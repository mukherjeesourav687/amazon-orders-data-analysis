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v mukherjee\OneDrive\Desktop\excel\CN(new)\"/>
    </mc:Choice>
  </mc:AlternateContent>
  <xr:revisionPtr revIDLastSave="0" documentId="13_ncr:1_{4B007B47-67AA-4712-8FFC-A928AB4A2430}" xr6:coauthVersionLast="47" xr6:coauthVersionMax="47" xr10:uidLastSave="{00000000-0000-0000-0000-000000000000}"/>
  <bookViews>
    <workbookView xWindow="-110" yWindow="-110" windowWidth="19420" windowHeight="10300" tabRatio="724" activeTab="3" xr2:uid="{487FA931-B3B5-4C48-8AB8-DA281E2DAD9F}"/>
  </bookViews>
  <sheets>
    <sheet name="Orders" sheetId="1" r:id="rId1"/>
    <sheet name="Customers" sheetId="4" r:id="rId2"/>
    <sheet name="Sales Targets" sheetId="3" r:id="rId3"/>
    <sheet name="Answers" sheetId="5" r:id="rId4"/>
    <sheet name="OBJS" sheetId="8" r:id="rId5"/>
  </sheets>
  <definedNames>
    <definedName name="_xlnm._FilterDatabase" localSheetId="1" hidden="1">Customers!$A$1:$G$2501</definedName>
    <definedName name="_xlnm._FilterDatabase" localSheetId="0" hidden="1">Orders!$A$1:$M$2501</definedName>
    <definedName name="_xlnm._FilterDatabase" localSheetId="2" hidden="1">'Sales Targets'!$A$1:$F$93</definedName>
    <definedName name="_xlchart.v1.0" hidden="1">Orders!$G$1</definedName>
    <definedName name="_xlchart.v1.1" hidden="1">Orders!$G$2:$G$2823</definedName>
    <definedName name="_xlchart.v1.2" hidden="1">Customers!$D$1</definedName>
    <definedName name="_xlchart.v1.3" hidden="1">Customers!$D$2:$D$2501</definedName>
  </definedNames>
  <calcPr calcId="191029"/>
  <pivotCaches>
    <pivotCache cacheId="4" r:id="rId6"/>
    <pivotCache cacheId="1" r:id="rId7"/>
    <pivotCache cacheId="20" r:id="rId8"/>
    <pivotCache cacheId="18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3" i="8" l="1"/>
  <c r="I15" i="3"/>
  <c r="I10" i="3"/>
  <c r="E7" i="3"/>
  <c r="F7" i="3" s="1"/>
  <c r="E8" i="3"/>
  <c r="F8" i="3" s="1"/>
  <c r="E41" i="3"/>
  <c r="F41" i="3" s="1"/>
  <c r="E9" i="3"/>
  <c r="F9" i="3" s="1"/>
  <c r="E10" i="3"/>
  <c r="F10" i="3" s="1"/>
  <c r="E42" i="3"/>
  <c r="F42" i="3" s="1"/>
  <c r="E11" i="3"/>
  <c r="F11" i="3" s="1"/>
  <c r="E43" i="3"/>
  <c r="F43" i="3" s="1"/>
  <c r="E4" i="3"/>
  <c r="F4" i="3" s="1"/>
  <c r="E12" i="3"/>
  <c r="F12" i="3" s="1"/>
  <c r="E2" i="3"/>
  <c r="F2" i="3" s="1"/>
  <c r="E44" i="3"/>
  <c r="F44" i="3" s="1"/>
  <c r="E13" i="3"/>
  <c r="F13" i="3" s="1"/>
  <c r="E83" i="3"/>
  <c r="F83" i="3" s="1"/>
  <c r="E45" i="3"/>
  <c r="F45" i="3" s="1"/>
  <c r="E46" i="3"/>
  <c r="K10" i="3" s="1"/>
  <c r="E17" i="3"/>
  <c r="F17" i="3" s="1"/>
  <c r="E18" i="3"/>
  <c r="F18" i="3" s="1"/>
  <c r="E19" i="3"/>
  <c r="F19" i="3" s="1"/>
  <c r="E47" i="3"/>
  <c r="F47" i="3" s="1"/>
  <c r="E20" i="3"/>
  <c r="F20" i="3" s="1"/>
  <c r="E21" i="3"/>
  <c r="F21" i="3" s="1"/>
  <c r="E48" i="3"/>
  <c r="F48" i="3" s="1"/>
  <c r="E3" i="3"/>
  <c r="F3" i="3" s="1"/>
  <c r="E49" i="3"/>
  <c r="F49" i="3" s="1"/>
  <c r="E50" i="3"/>
  <c r="F50" i="3" s="1"/>
  <c r="E22" i="3"/>
  <c r="F22" i="3" s="1"/>
  <c r="E23" i="3"/>
  <c r="F23" i="3" s="1"/>
  <c r="E84" i="3"/>
  <c r="F84" i="3" s="1"/>
  <c r="L15" i="3" s="1"/>
  <c r="E51" i="3"/>
  <c r="F51" i="3" s="1"/>
  <c r="E52" i="3"/>
  <c r="F52" i="3" s="1"/>
  <c r="E53" i="3"/>
  <c r="F53" i="3" s="1"/>
  <c r="E24" i="3"/>
  <c r="F24" i="3" s="1"/>
  <c r="E25" i="3"/>
  <c r="F25" i="3" s="1"/>
  <c r="E76" i="3"/>
  <c r="F76" i="3" s="1"/>
  <c r="E26" i="3"/>
  <c r="F26" i="3" s="1"/>
  <c r="E27" i="3"/>
  <c r="F27" i="3" s="1"/>
  <c r="E54" i="3"/>
  <c r="F54" i="3" s="1"/>
  <c r="E89" i="3"/>
  <c r="F89" i="3" s="1"/>
  <c r="E28" i="3"/>
  <c r="F28" i="3" s="1"/>
  <c r="E55" i="3"/>
  <c r="F55" i="3" s="1"/>
  <c r="E29" i="3"/>
  <c r="F29" i="3" s="1"/>
  <c r="E56" i="3"/>
  <c r="F56" i="3" s="1"/>
  <c r="E90" i="3"/>
  <c r="F90" i="3" s="1"/>
  <c r="E57" i="3"/>
  <c r="F57" i="3" s="1"/>
  <c r="E58" i="3"/>
  <c r="F58" i="3" s="1"/>
  <c r="E30" i="3"/>
  <c r="F30" i="3" s="1"/>
  <c r="E59" i="3"/>
  <c r="F59" i="3" s="1"/>
  <c r="E31" i="3"/>
  <c r="F31" i="3" s="1"/>
  <c r="E5" i="3"/>
  <c r="F5" i="3" s="1"/>
  <c r="E85" i="3"/>
  <c r="F85" i="3" s="1"/>
  <c r="E60" i="3"/>
  <c r="F60" i="3" s="1"/>
  <c r="E32" i="3"/>
  <c r="F32" i="3" s="1"/>
  <c r="E33" i="3"/>
  <c r="F33" i="3" s="1"/>
  <c r="E14" i="3"/>
  <c r="F14" i="3" s="1"/>
  <c r="E34" i="3"/>
  <c r="F34" i="3" s="1"/>
  <c r="E61" i="3"/>
  <c r="F61" i="3" s="1"/>
  <c r="E62" i="3"/>
  <c r="F62" i="3" s="1"/>
  <c r="E35" i="3"/>
  <c r="F35" i="3" s="1"/>
  <c r="E36" i="3"/>
  <c r="F36" i="3" s="1"/>
  <c r="E77" i="3"/>
  <c r="F77" i="3" s="1"/>
  <c r="E86" i="3"/>
  <c r="F86" i="3" s="1"/>
  <c r="E91" i="3"/>
  <c r="F91" i="3" s="1"/>
  <c r="E78" i="3"/>
  <c r="F78" i="3" s="1"/>
  <c r="E63" i="3"/>
  <c r="F63" i="3" s="1"/>
  <c r="E15" i="3"/>
  <c r="F15" i="3" s="1"/>
  <c r="E64" i="3"/>
  <c r="F64" i="3" s="1"/>
  <c r="E37" i="3"/>
  <c r="F37" i="3" s="1"/>
  <c r="E65" i="3"/>
  <c r="F65" i="3" s="1"/>
  <c r="E38" i="3"/>
  <c r="F38" i="3" s="1"/>
  <c r="E66" i="3"/>
  <c r="F66" i="3" s="1"/>
  <c r="E67" i="3"/>
  <c r="F67" i="3" s="1"/>
  <c r="E68" i="3"/>
  <c r="F68" i="3" s="1"/>
  <c r="E69" i="3"/>
  <c r="F69" i="3" s="1"/>
  <c r="E70" i="3"/>
  <c r="F70" i="3" s="1"/>
  <c r="E79" i="3"/>
  <c r="F79" i="3" s="1"/>
  <c r="E71" i="3"/>
  <c r="F71" i="3" s="1"/>
  <c r="E92" i="3"/>
  <c r="F92" i="3" s="1"/>
  <c r="E93" i="3"/>
  <c r="F93" i="3" s="1"/>
  <c r="E16" i="3"/>
  <c r="F16" i="3" s="1"/>
  <c r="E80" i="3"/>
  <c r="F80" i="3" s="1"/>
  <c r="E6" i="3"/>
  <c r="F6" i="3" s="1"/>
  <c r="E72" i="3"/>
  <c r="F72" i="3" s="1"/>
  <c r="E39" i="3"/>
  <c r="F39" i="3" s="1"/>
  <c r="E73" i="3"/>
  <c r="F73" i="3" s="1"/>
  <c r="E87" i="3"/>
  <c r="F87" i="3" s="1"/>
  <c r="E81" i="3"/>
  <c r="F81" i="3" s="1"/>
  <c r="E74" i="3"/>
  <c r="F74" i="3" s="1"/>
  <c r="E82" i="3"/>
  <c r="F82" i="3" s="1"/>
  <c r="E75" i="3"/>
  <c r="F75" i="3" s="1"/>
  <c r="E88" i="3"/>
  <c r="F88" i="3" s="1"/>
  <c r="E40" i="3"/>
  <c r="F40" i="3" s="1"/>
  <c r="G3" i="4"/>
  <c r="G4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7" i="4"/>
  <c r="G2498" i="4"/>
  <c r="G2499" i="4"/>
  <c r="G2500" i="4"/>
  <c r="G2501" i="4"/>
  <c r="G2" i="4"/>
  <c r="J32" i="5"/>
  <c r="J30" i="5"/>
  <c r="J29" i="5"/>
  <c r="J22" i="5"/>
  <c r="J23" i="5"/>
  <c r="J27" i="5"/>
  <c r="J26" i="5"/>
  <c r="F4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7" i="4"/>
  <c r="F2498" i="4"/>
  <c r="F2499" i="4"/>
  <c r="F2500" i="4"/>
  <c r="F2501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" i="1"/>
  <c r="I18" i="5"/>
  <c r="I17" i="5"/>
  <c r="I15" i="5"/>
  <c r="I14" i="5"/>
  <c r="I13" i="5"/>
  <c r="D5" i="4"/>
  <c r="J33" i="5" s="1"/>
  <c r="D1261" i="4"/>
  <c r="F1261" i="4" s="1"/>
  <c r="D1498" i="4"/>
  <c r="G1498" i="4" s="1"/>
  <c r="D1804" i="4"/>
  <c r="F1804" i="4" s="1"/>
  <c r="D1896" i="4"/>
  <c r="C2" i="5" s="1"/>
  <c r="D1919" i="4"/>
  <c r="G1919" i="4" s="1"/>
  <c r="D2221" i="4"/>
  <c r="F2221" i="4" s="1"/>
  <c r="D2496" i="4"/>
  <c r="G2496" i="4" s="1"/>
  <c r="B22" i="5"/>
  <c r="B3" i="5"/>
  <c r="B4" i="5" s="1"/>
  <c r="B2" i="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" i="1"/>
  <c r="F46" i="3" l="1"/>
  <c r="L14" i="5"/>
  <c r="F1498" i="4"/>
  <c r="G2221" i="4"/>
  <c r="G1261" i="4"/>
  <c r="G5" i="4"/>
  <c r="F2496" i="4"/>
  <c r="F1896" i="4"/>
  <c r="G1804" i="4"/>
  <c r="F1919" i="4"/>
  <c r="F5" i="4"/>
  <c r="G1896" i="4"/>
  <c r="L13" i="5"/>
  <c r="L15" i="5" l="1"/>
  <c r="L17" i="5" s="1"/>
  <c r="L18" i="5" l="1"/>
  <c r="F3" i="4" s="1"/>
  <c r="F2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14C269-2922-4687-9AB6-E538A7E95C1C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E1DB0257-083C-4329-A2C1-BD88150DB67D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3" xr16:uid="{5CC47E39-3D6A-4C7F-9D70-38C5EB113F62}" keepAlive="1" name="Query - Sales Targets" description="Connection to the 'Sales Targets' query in the workbook." type="5" refreshedVersion="0" background="1">
    <dbPr connection="Provider=Microsoft.Mashup.OleDb.1;Data Source=$Workbook$;Location=&quot;Sales Targets&quot;;Extended Properties=&quot;&quot;" command="SELECT * FROM [Sales Targets]"/>
  </connection>
</connections>
</file>

<file path=xl/sharedStrings.xml><?xml version="1.0" encoding="utf-8"?>
<sst xmlns="http://schemas.openxmlformats.org/spreadsheetml/2006/main" count="15472" uniqueCount="243">
  <si>
    <t>Order Datetime</t>
  </si>
  <si>
    <t>Order Value</t>
  </si>
  <si>
    <t>Customer ID</t>
  </si>
  <si>
    <t>Sales POC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</si>
  <si>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</si>
  <si>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</si>
  <si>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</si>
  <si>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</si>
  <si>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</si>
  <si>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</si>
  <si>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</si>
  <si>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</si>
  <si>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</si>
  <si>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</si>
  <si>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</si>
  <si>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</si>
  <si>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</si>
  <si>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</si>
  <si>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</si>
  <si>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</si>
  <si>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</si>
  <si>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</si>
  <si>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</si>
  <si>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</si>
  <si>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</si>
  <si>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</si>
  <si>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</si>
  <si>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</si>
  <si>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</si>
  <si>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</si>
  <si>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</si>
  <si>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</si>
  <si>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</si>
  <si>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</si>
  <si>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</si>
  <si>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</si>
  <si>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</si>
  <si>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</si>
  <si>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</si>
  <si>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</si>
  <si>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</si>
  <si>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</si>
  <si>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</si>
  <si>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</si>
  <si>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</si>
  <si>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</si>
  <si>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</si>
  <si>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</si>
  <si>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</si>
  <si>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</si>
  <si>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</si>
  <si>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</si>
  <si>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</si>
  <si>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</si>
  <si>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</si>
  <si>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</si>
  <si>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</si>
  <si>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</si>
  <si>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</si>
  <si>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</si>
  <si>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</si>
  <si>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</si>
  <si>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</si>
  <si>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</si>
  <si>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</si>
  <si>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</si>
  <si>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</si>
  <si>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</si>
  <si>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</si>
  <si>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</si>
  <si>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</si>
  <si>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</si>
  <si>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</si>
  <si>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</si>
  <si>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</si>
  <si>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</si>
  <si>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</si>
  <si>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</si>
  <si>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</si>
  <si>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</si>
  <si>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</si>
  <si>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</si>
  <si>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</si>
  <si>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</si>
  <si>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</si>
  <si>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</si>
  <si>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</si>
  <si>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</si>
  <si>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</si>
  <si>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</si>
  <si>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</si>
  <si>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</si>
  <si>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</si>
  <si>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</si>
  <si>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</si>
  <si>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</si>
  <si>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Other</t>
  </si>
  <si>
    <t>App</t>
  </si>
  <si>
    <t>Website</t>
  </si>
  <si>
    <t>USA</t>
  </si>
  <si>
    <t>France</t>
  </si>
  <si>
    <t>Australia</t>
  </si>
  <si>
    <t>Finland</t>
  </si>
  <si>
    <t>Norway</t>
  </si>
  <si>
    <t>Austria</t>
  </si>
  <si>
    <t>Spain</t>
  </si>
  <si>
    <t>Singapore</t>
  </si>
  <si>
    <t>Italy</t>
  </si>
  <si>
    <t>Denmark</t>
  </si>
  <si>
    <t>Germany</t>
  </si>
  <si>
    <t>Switzerland</t>
  </si>
  <si>
    <t>Ireland</t>
  </si>
  <si>
    <t>Order Source</t>
  </si>
  <si>
    <t>India</t>
  </si>
  <si>
    <t>Customer Country</t>
  </si>
  <si>
    <t>Sales Team</t>
  </si>
  <si>
    <t>Alpha</t>
  </si>
  <si>
    <t>Beta</t>
  </si>
  <si>
    <t>Gamma</t>
  </si>
  <si>
    <t>Delta</t>
  </si>
  <si>
    <t>Epsilon</t>
  </si>
  <si>
    <t>2023 Sales Target</t>
  </si>
  <si>
    <t>Order ID</t>
  </si>
  <si>
    <t>Gender</t>
  </si>
  <si>
    <t>Age</t>
  </si>
  <si>
    <t>M</t>
  </si>
  <si>
    <t>F</t>
  </si>
  <si>
    <t>Category</t>
  </si>
  <si>
    <t>A</t>
  </si>
  <si>
    <t>B</t>
  </si>
  <si>
    <t>C</t>
  </si>
  <si>
    <t>D</t>
  </si>
  <si>
    <t>E</t>
  </si>
  <si>
    <t>Whatsapp</t>
  </si>
  <si>
    <t>OrderDate</t>
  </si>
  <si>
    <t>OrderTime</t>
  </si>
  <si>
    <t>OrderMonth</t>
  </si>
  <si>
    <t>OrderDay</t>
  </si>
  <si>
    <t>Row Labels</t>
  </si>
  <si>
    <t>Grand Total</t>
  </si>
  <si>
    <t>Count of Customer Country</t>
  </si>
  <si>
    <t>Count of Order Source</t>
  </si>
  <si>
    <t>cleaned blank values from customer country and order sources</t>
  </si>
  <si>
    <t>INDEX(Orders!C2:C2501,MODE(MATCH(Orders!C2:C2501,Orders!C2:C2501,0)))</t>
  </si>
  <si>
    <t>ROUND(AVERAGE(D2:D4),0)</t>
  </si>
  <si>
    <t>cleaned blank values in the customer age column using moving average</t>
  </si>
  <si>
    <t>q1</t>
  </si>
  <si>
    <t>q3</t>
  </si>
  <si>
    <t>iqr</t>
  </si>
  <si>
    <t>Upper Limit</t>
  </si>
  <si>
    <t>Lower Limit</t>
  </si>
  <si>
    <t>Outlier Check</t>
  </si>
  <si>
    <t>Sales Manager Full Name</t>
  </si>
  <si>
    <t>Amelia Johnson</t>
  </si>
  <si>
    <t>Lukas Schmidt</t>
  </si>
  <si>
    <t>Olivia Jensen</t>
  </si>
  <si>
    <t>Sofia Laine</t>
  </si>
  <si>
    <t>Chloe Dupont</t>
  </si>
  <si>
    <t>Alexander Müller</t>
  </si>
  <si>
    <t>Liam O'Sullivan</t>
  </si>
  <si>
    <t>Sophia Rossi</t>
  </si>
  <si>
    <t>Emma Hansen</t>
  </si>
  <si>
    <t>Ethan Lee</t>
  </si>
  <si>
    <t>Isabella Garcia</t>
  </si>
  <si>
    <t>Noah Meier</t>
  </si>
  <si>
    <t>Ava Williams</t>
  </si>
  <si>
    <t>Dev Patel</t>
  </si>
  <si>
    <t>Mia Khan</t>
  </si>
  <si>
    <t>Sophie Gruber</t>
  </si>
  <si>
    <t>Lucas Nielsen</t>
  </si>
  <si>
    <t>Aino Virtanen</t>
  </si>
  <si>
    <t>Emily Dubois</t>
  </si>
  <si>
    <t>Benjamin Weber</t>
  </si>
  <si>
    <t>Emily Murphy</t>
  </si>
  <si>
    <t>Marco Bianchi</t>
  </si>
  <si>
    <t>Lucas Olsen</t>
  </si>
  <si>
    <t>Benjamin Chen</t>
  </si>
  <si>
    <t>Daniela Hernandez</t>
  </si>
  <si>
    <t>Liam Baumann</t>
  </si>
  <si>
    <t>Charlotte Miller</t>
  </si>
  <si>
    <t>Priya Kapoor</t>
  </si>
  <si>
    <t>Oliver Kumar</t>
  </si>
  <si>
    <r>
      <t>Total sales value in the second half of the year</t>
    </r>
    <r>
      <rPr>
        <sz val="11"/>
        <color theme="1"/>
        <rFont val="Calibri"/>
        <family val="2"/>
        <scheme val="minor"/>
      </rPr>
      <t>.</t>
    </r>
  </si>
  <si>
    <r>
      <t>Number of orders placed in the second half of the year</t>
    </r>
    <r>
      <rPr>
        <sz val="11"/>
        <color theme="1"/>
        <rFont val="Calibri"/>
        <family val="2"/>
        <scheme val="minor"/>
      </rPr>
      <t>.</t>
    </r>
  </si>
  <si>
    <t>Indian customers sales</t>
  </si>
  <si>
    <t>Indian customers orders</t>
  </si>
  <si>
    <t>Whatsapp order average</t>
  </si>
  <si>
    <t>Orders after 15 June &amp; age &gt;30</t>
  </si>
  <si>
    <t>using sumproduct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</si>
  <si>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</si>
  <si>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</si>
  <si>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</si>
  <si>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</si>
  <si>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</si>
  <si>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</si>
  <si>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</si>
  <si>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</si>
  <si>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</si>
  <si>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</si>
  <si>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</si>
  <si>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</si>
  <si>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 of Customer ID</t>
  </si>
  <si>
    <t>Sum of Order Value</t>
  </si>
  <si>
    <t>Average of Order Value</t>
  </si>
  <si>
    <t>00</t>
  </si>
  <si>
    <t>01</t>
  </si>
  <si>
    <t>02</t>
  </si>
  <si>
    <t>14</t>
  </si>
  <si>
    <t>16</t>
  </si>
  <si>
    <t>22</t>
  </si>
  <si>
    <t>23</t>
  </si>
  <si>
    <t>Age Group</t>
  </si>
  <si>
    <t>&lt;20</t>
  </si>
  <si>
    <t>20-30</t>
  </si>
  <si>
    <t>30-40</t>
  </si>
  <si>
    <t>40-50</t>
  </si>
  <si>
    <t>Target Status</t>
  </si>
  <si>
    <t>Achieved Sales</t>
  </si>
  <si>
    <t>Sum of Achieved Sales</t>
  </si>
  <si>
    <t>Target Not Met</t>
  </si>
  <si>
    <t>Exceeded Target</t>
  </si>
  <si>
    <t>Count of Sales POC</t>
  </si>
  <si>
    <r>
      <t>Steve Frick's target and achieved sales</t>
    </r>
    <r>
      <rPr>
        <sz val="11"/>
        <color theme="1"/>
        <rFont val="Calibri"/>
        <family val="2"/>
        <scheme val="minor"/>
      </rPr>
      <t>.</t>
    </r>
  </si>
  <si>
    <t>Target</t>
  </si>
  <si>
    <t>Achieved</t>
  </si>
  <si>
    <r>
      <t xml:space="preserve">Team of </t>
    </r>
    <r>
      <rPr>
        <b/>
        <sz val="11"/>
        <color theme="1"/>
        <rFont val="Calibri"/>
        <family val="2"/>
        <scheme val="minor"/>
      </rPr>
      <t>Dean Cassidy</t>
    </r>
  </si>
  <si>
    <t>If he met the target</t>
  </si>
  <si>
    <t>Count of Order ID</t>
  </si>
  <si>
    <t>Monday</t>
  </si>
  <si>
    <t>Tuesday</t>
  </si>
  <si>
    <t>Wednesday</t>
  </si>
  <si>
    <t>Thursday</t>
  </si>
  <si>
    <t>Friday</t>
  </si>
  <si>
    <t>Saturday</t>
  </si>
  <si>
    <t>Sunday</t>
  </si>
  <si>
    <t>20-29</t>
  </si>
  <si>
    <t>30-39</t>
  </si>
  <si>
    <t>40-49</t>
  </si>
  <si>
    <t>50-59</t>
  </si>
  <si>
    <t>60-69</t>
  </si>
  <si>
    <t>70-79</t>
  </si>
  <si>
    <t>80-90</t>
  </si>
  <si>
    <t>Sum of 2023 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</si>
</sst>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0" xfId="0" applyNumberFormat="1"/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7" xfId="0" applyBorder="1"/>
    <xf numFmtId="0" fontId="0" fillId="0" borderId="2" xfId="0" applyBorder="1"/>
    <xf numFmtId="0" fontId="0" fillId="0" borderId="0" xfId="0"/>
    <xf numFmtId="0" fontId="0" fillId="0" borderId="5" xfId="0" applyBorder="1"/>
    <xf numFmtId="0" fontId="0" fillId="0" borderId="0" xfId="0" applyAlignment="1">
      <alignment wrapText="1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NumberFormat="1"/>
    <xf numFmtId="0" fontId="3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/>
    <xf numFmtId="0" fontId="0" fillId="0" borderId="22" xfId="0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Dataset.xlsx]OBJS!PivotTable4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Trend by Month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1438862695355"/>
          <c:y val="0.14249781277340332"/>
          <c:w val="0.86599047459493095"/>
          <c:h val="0.5412368766404199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OBJS!$C$3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OBJS!$A$4:$A$16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OBJS!$C$4:$C$16</c:f>
              <c:numCache>
                <c:formatCode>0.00</c:formatCode>
                <c:ptCount val="12"/>
                <c:pt idx="0">
                  <c:v>4854.4285714285716</c:v>
                </c:pt>
                <c:pt idx="1">
                  <c:v>4979.590909090909</c:v>
                </c:pt>
                <c:pt idx="2">
                  <c:v>5166.2233502538074</c:v>
                </c:pt>
                <c:pt idx="3">
                  <c:v>4822.2335025380708</c:v>
                </c:pt>
                <c:pt idx="4">
                  <c:v>4901.6425120772947</c:v>
                </c:pt>
                <c:pt idx="5">
                  <c:v>4926.7605633802814</c:v>
                </c:pt>
                <c:pt idx="6">
                  <c:v>4989.196172248804</c:v>
                </c:pt>
                <c:pt idx="7">
                  <c:v>5169.579710144928</c:v>
                </c:pt>
                <c:pt idx="8">
                  <c:v>4759.041025641026</c:v>
                </c:pt>
                <c:pt idx="9">
                  <c:v>4673.4925373134329</c:v>
                </c:pt>
                <c:pt idx="10">
                  <c:v>5236.1091703056773</c:v>
                </c:pt>
                <c:pt idx="11">
                  <c:v>4403.3846153846152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5-4B08-BA20-9C71943BD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762175"/>
        <c:axId val="1308749695"/>
      </c:barChart>
      <c:lineChart>
        <c:grouping val="standard"/>
        <c:varyColors val="0"/>
        <c:ser>
          <c:idx val="0"/>
          <c:order val="0"/>
          <c:tx>
            <c:strRef>
              <c:f>OBJS!$B$3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OBJS!$A$4:$A$16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OBJS!$B$4:$B$16</c:f>
              <c:numCache>
                <c:formatCode>General</c:formatCode>
                <c:ptCount val="12"/>
                <c:pt idx="0">
                  <c:v>217</c:v>
                </c:pt>
                <c:pt idx="1">
                  <c:v>220</c:v>
                </c:pt>
                <c:pt idx="2">
                  <c:v>197</c:v>
                </c:pt>
                <c:pt idx="3">
                  <c:v>197</c:v>
                </c:pt>
                <c:pt idx="4">
                  <c:v>207</c:v>
                </c:pt>
                <c:pt idx="5">
                  <c:v>213</c:v>
                </c:pt>
                <c:pt idx="6">
                  <c:v>209</c:v>
                </c:pt>
                <c:pt idx="7">
                  <c:v>207</c:v>
                </c:pt>
                <c:pt idx="8">
                  <c:v>195</c:v>
                </c:pt>
                <c:pt idx="9">
                  <c:v>201</c:v>
                </c:pt>
                <c:pt idx="10">
                  <c:v>229</c:v>
                </c:pt>
                <c:pt idx="11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9EA-BB3F-B815E8D12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57615"/>
        <c:axId val="373656655"/>
      </c:lineChart>
      <c:catAx>
        <c:axId val="1308762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49695"/>
        <c:crosses val="autoZero"/>
        <c:auto val="1"/>
        <c:lblAlgn val="ctr"/>
        <c:lblOffset val="100"/>
        <c:noMultiLvlLbl val="0"/>
      </c:catAx>
      <c:valAx>
        <c:axId val="1308749695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62175"/>
        <c:crosses val="autoZero"/>
        <c:crossBetween val="between"/>
      </c:valAx>
      <c:valAx>
        <c:axId val="373656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57615"/>
        <c:crosses val="max"/>
        <c:crossBetween val="between"/>
      </c:valAx>
      <c:catAx>
        <c:axId val="373657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36566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Dataset.xlsx]OBJS!PivotTable5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OBJS!$C$20</c:f>
              <c:strCache>
                <c:ptCount val="1"/>
                <c:pt idx="0">
                  <c:v>Sum of Order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OBJS!$A$21:$A$35</c:f>
              <c:strCache>
                <c:ptCount val="14"/>
                <c:pt idx="0">
                  <c:v>USA</c:v>
                </c:pt>
                <c:pt idx="1">
                  <c:v>France</c:v>
                </c:pt>
                <c:pt idx="2">
                  <c:v>Spain</c:v>
                </c:pt>
                <c:pt idx="3">
                  <c:v>India</c:v>
                </c:pt>
                <c:pt idx="4">
                  <c:v>Australia</c:v>
                </c:pt>
                <c:pt idx="5">
                  <c:v>Italy</c:v>
                </c:pt>
                <c:pt idx="6">
                  <c:v>Singapore</c:v>
                </c:pt>
                <c:pt idx="7">
                  <c:v>Finland</c:v>
                </c:pt>
                <c:pt idx="8">
                  <c:v>Denmark</c:v>
                </c:pt>
                <c:pt idx="9">
                  <c:v>Germany</c:v>
                </c:pt>
                <c:pt idx="10">
                  <c:v>Austria</c:v>
                </c:pt>
                <c:pt idx="11">
                  <c:v>Norway</c:v>
                </c:pt>
                <c:pt idx="12">
                  <c:v>Switzerland</c:v>
                </c:pt>
                <c:pt idx="13">
                  <c:v>Ireland</c:v>
                </c:pt>
              </c:strCache>
            </c:strRef>
          </c:cat>
          <c:val>
            <c:numRef>
              <c:f>OBJS!$C$21:$C$35</c:f>
              <c:numCache>
                <c:formatCode>General</c:formatCode>
                <c:ptCount val="14"/>
                <c:pt idx="0">
                  <c:v>4295296</c:v>
                </c:pt>
                <c:pt idx="1">
                  <c:v>1637659</c:v>
                </c:pt>
                <c:pt idx="2">
                  <c:v>1378166</c:v>
                </c:pt>
                <c:pt idx="3">
                  <c:v>1356737</c:v>
                </c:pt>
                <c:pt idx="4">
                  <c:v>974217</c:v>
                </c:pt>
                <c:pt idx="5">
                  <c:v>538932</c:v>
                </c:pt>
                <c:pt idx="6">
                  <c:v>486633</c:v>
                </c:pt>
                <c:pt idx="7">
                  <c:v>324319</c:v>
                </c:pt>
                <c:pt idx="8">
                  <c:v>307260</c:v>
                </c:pt>
                <c:pt idx="9">
                  <c:v>299656</c:v>
                </c:pt>
                <c:pt idx="10">
                  <c:v>223916</c:v>
                </c:pt>
                <c:pt idx="11">
                  <c:v>195229</c:v>
                </c:pt>
                <c:pt idx="12">
                  <c:v>165904</c:v>
                </c:pt>
                <c:pt idx="13">
                  <c:v>91966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C-4C16-96A1-4E14B53AD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6637711"/>
        <c:axId val="1926638191"/>
      </c:barChart>
      <c:lineChart>
        <c:grouping val="standard"/>
        <c:varyColors val="0"/>
        <c:ser>
          <c:idx val="0"/>
          <c:order val="0"/>
          <c:tx>
            <c:strRef>
              <c:f>OBJS!$B$20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OBJS!$A$21:$A$35</c:f>
              <c:strCache>
                <c:ptCount val="14"/>
                <c:pt idx="0">
                  <c:v>USA</c:v>
                </c:pt>
                <c:pt idx="1">
                  <c:v>France</c:v>
                </c:pt>
                <c:pt idx="2">
                  <c:v>Spain</c:v>
                </c:pt>
                <c:pt idx="3">
                  <c:v>India</c:v>
                </c:pt>
                <c:pt idx="4">
                  <c:v>Australia</c:v>
                </c:pt>
                <c:pt idx="5">
                  <c:v>Italy</c:v>
                </c:pt>
                <c:pt idx="6">
                  <c:v>Singapore</c:v>
                </c:pt>
                <c:pt idx="7">
                  <c:v>Finland</c:v>
                </c:pt>
                <c:pt idx="8">
                  <c:v>Denmark</c:v>
                </c:pt>
                <c:pt idx="9">
                  <c:v>Germany</c:v>
                </c:pt>
                <c:pt idx="10">
                  <c:v>Austria</c:v>
                </c:pt>
                <c:pt idx="11">
                  <c:v>Norway</c:v>
                </c:pt>
                <c:pt idx="12">
                  <c:v>Switzerland</c:v>
                </c:pt>
                <c:pt idx="13">
                  <c:v>Ireland</c:v>
                </c:pt>
              </c:strCache>
            </c:strRef>
          </c:cat>
          <c:val>
            <c:numRef>
              <c:f>OBJS!$B$21:$B$35</c:f>
              <c:numCache>
                <c:formatCode>General</c:formatCode>
                <c:ptCount val="14"/>
                <c:pt idx="0">
                  <c:v>892</c:v>
                </c:pt>
                <c:pt idx="1">
                  <c:v>323</c:v>
                </c:pt>
                <c:pt idx="2">
                  <c:v>268</c:v>
                </c:pt>
                <c:pt idx="3">
                  <c:v>281</c:v>
                </c:pt>
                <c:pt idx="4">
                  <c:v>198</c:v>
                </c:pt>
                <c:pt idx="5">
                  <c:v>112</c:v>
                </c:pt>
                <c:pt idx="6">
                  <c:v>97</c:v>
                </c:pt>
                <c:pt idx="7">
                  <c:v>66</c:v>
                </c:pt>
                <c:pt idx="8">
                  <c:v>66</c:v>
                </c:pt>
                <c:pt idx="9">
                  <c:v>58</c:v>
                </c:pt>
                <c:pt idx="10">
                  <c:v>43</c:v>
                </c:pt>
                <c:pt idx="11">
                  <c:v>40</c:v>
                </c:pt>
                <c:pt idx="12">
                  <c:v>36</c:v>
                </c:pt>
                <c:pt idx="1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C-4C16-96A1-4E14B53AD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544335"/>
        <c:axId val="373543855"/>
      </c:lineChart>
      <c:catAx>
        <c:axId val="192663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38191"/>
        <c:crosses val="autoZero"/>
        <c:auto val="1"/>
        <c:lblAlgn val="ctr"/>
        <c:lblOffset val="100"/>
        <c:noMultiLvlLbl val="0"/>
      </c:catAx>
      <c:valAx>
        <c:axId val="192663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37711"/>
        <c:crosses val="autoZero"/>
        <c:crossBetween val="between"/>
      </c:valAx>
      <c:valAx>
        <c:axId val="3735438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44335"/>
        <c:crosses val="max"/>
        <c:crossBetween val="between"/>
      </c:valAx>
      <c:catAx>
        <c:axId val="373544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35438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Dataset.xlsx]OBJS!PivotTable6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by Hour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OBJS!$C$39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OBJS!$A$40:$A$47</c:f>
              <c:strCache>
                <c:ptCount val="7"/>
                <c:pt idx="0">
                  <c:v>16</c:v>
                </c:pt>
                <c:pt idx="1">
                  <c:v>00</c:v>
                </c:pt>
                <c:pt idx="2">
                  <c:v>01</c:v>
                </c:pt>
                <c:pt idx="3">
                  <c:v>22</c:v>
                </c:pt>
                <c:pt idx="4">
                  <c:v>23</c:v>
                </c:pt>
                <c:pt idx="5">
                  <c:v>02</c:v>
                </c:pt>
                <c:pt idx="6">
                  <c:v>14</c:v>
                </c:pt>
              </c:strCache>
            </c:strRef>
          </c:cat>
          <c:val>
            <c:numRef>
              <c:f>OBJS!$C$40:$C$47</c:f>
              <c:numCache>
                <c:formatCode>0.00</c:formatCode>
                <c:ptCount val="7"/>
                <c:pt idx="0">
                  <c:v>6297.5</c:v>
                </c:pt>
                <c:pt idx="1">
                  <c:v>4984.1631840796017</c:v>
                </c:pt>
                <c:pt idx="2">
                  <c:v>4969.430842607313</c:v>
                </c:pt>
                <c:pt idx="3">
                  <c:v>4933.6025641025644</c:v>
                </c:pt>
                <c:pt idx="4">
                  <c:v>4760.4429012345681</c:v>
                </c:pt>
                <c:pt idx="5">
                  <c:v>4571.4310344827591</c:v>
                </c:pt>
                <c:pt idx="6">
                  <c:v>4443.5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75-4B61-9D2D-0DA892FA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6666031"/>
        <c:axId val="1926649711"/>
      </c:barChart>
      <c:lineChart>
        <c:grouping val="standard"/>
        <c:varyColors val="0"/>
        <c:ser>
          <c:idx val="0"/>
          <c:order val="0"/>
          <c:tx>
            <c:strRef>
              <c:f>OBJS!$B$39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OBJS!$A$40:$A$47</c:f>
              <c:strCache>
                <c:ptCount val="7"/>
                <c:pt idx="0">
                  <c:v>16</c:v>
                </c:pt>
                <c:pt idx="1">
                  <c:v>00</c:v>
                </c:pt>
                <c:pt idx="2">
                  <c:v>01</c:v>
                </c:pt>
                <c:pt idx="3">
                  <c:v>22</c:v>
                </c:pt>
                <c:pt idx="4">
                  <c:v>23</c:v>
                </c:pt>
                <c:pt idx="5">
                  <c:v>02</c:v>
                </c:pt>
                <c:pt idx="6">
                  <c:v>14</c:v>
                </c:pt>
              </c:strCache>
            </c:strRef>
          </c:cat>
          <c:val>
            <c:numRef>
              <c:f>OBJS!$B$40:$B$47</c:f>
              <c:numCache>
                <c:formatCode>General</c:formatCode>
                <c:ptCount val="7"/>
                <c:pt idx="0">
                  <c:v>2</c:v>
                </c:pt>
                <c:pt idx="1">
                  <c:v>1005</c:v>
                </c:pt>
                <c:pt idx="2">
                  <c:v>629</c:v>
                </c:pt>
                <c:pt idx="3">
                  <c:v>156</c:v>
                </c:pt>
                <c:pt idx="4">
                  <c:v>648</c:v>
                </c:pt>
                <c:pt idx="5">
                  <c:v>58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5-4B61-9D2D-0DA892FA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54735"/>
        <c:axId val="373651375"/>
      </c:lineChart>
      <c:catAx>
        <c:axId val="192666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49711"/>
        <c:crosses val="autoZero"/>
        <c:auto val="1"/>
        <c:lblAlgn val="ctr"/>
        <c:lblOffset val="100"/>
        <c:noMultiLvlLbl val="0"/>
      </c:catAx>
      <c:valAx>
        <c:axId val="19266497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66031"/>
        <c:crosses val="autoZero"/>
        <c:crossBetween val="between"/>
      </c:valAx>
      <c:valAx>
        <c:axId val="3736513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54735"/>
        <c:crosses val="max"/>
        <c:crossBetween val="between"/>
      </c:valAx>
      <c:catAx>
        <c:axId val="373654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36513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Dataset.xlsx]OBJS!PivotTable7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530317834358298E-2"/>
          <c:y val="0.293899367230259"/>
          <c:w val="0.87127260187367095"/>
          <c:h val="0.483993163645242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OBJS!$B$54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OBJS!$A$55:$A$59</c:f>
              <c:strCache>
                <c:ptCount val="4"/>
                <c:pt idx="0">
                  <c:v>40-50</c:v>
                </c:pt>
                <c:pt idx="1">
                  <c:v>20-30</c:v>
                </c:pt>
                <c:pt idx="2">
                  <c:v>30-40</c:v>
                </c:pt>
                <c:pt idx="3">
                  <c:v>&lt;20</c:v>
                </c:pt>
              </c:strCache>
            </c:strRef>
          </c:cat>
          <c:val>
            <c:numRef>
              <c:f>OBJS!$B$55:$B$59</c:f>
              <c:numCache>
                <c:formatCode>General</c:formatCode>
                <c:ptCount val="4"/>
                <c:pt idx="0">
                  <c:v>1702</c:v>
                </c:pt>
                <c:pt idx="1">
                  <c:v>375</c:v>
                </c:pt>
                <c:pt idx="2">
                  <c:v>357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6-4835-921B-3B0903213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675151"/>
        <c:axId val="1926673711"/>
      </c:barChart>
      <c:catAx>
        <c:axId val="192667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73711"/>
        <c:crosses val="autoZero"/>
        <c:auto val="1"/>
        <c:lblAlgn val="ctr"/>
        <c:lblOffset val="100"/>
        <c:noMultiLvlLbl val="0"/>
      </c:catAx>
      <c:valAx>
        <c:axId val="1926673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Dataset.xlsx]OBJS!PivotTable8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Target Status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OBJS!$B$70</c:f>
              <c:strCache>
                <c:ptCount val="1"/>
                <c:pt idx="0">
                  <c:v>Sum of Achieved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OBJS!$A$71:$A$72</c:f>
              <c:strCache>
                <c:ptCount val="2"/>
                <c:pt idx="0">
                  <c:v>Exceeded Target</c:v>
                </c:pt>
                <c:pt idx="1">
                  <c:v>Target Not Met</c:v>
                </c:pt>
              </c:strCache>
            </c:strRef>
          </c:cat>
          <c:val>
            <c:numRef>
              <c:f>OBJS!$B$71:$B$72</c:f>
              <c:numCache>
                <c:formatCode>General</c:formatCode>
                <c:ptCount val="2"/>
                <c:pt idx="0">
                  <c:v>6259584</c:v>
                </c:pt>
                <c:pt idx="1">
                  <c:v>6016306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C-49BD-93BA-484653E5E146}"/>
            </c:ext>
          </c:extLst>
        </c:ser>
        <c:ser>
          <c:idx val="1"/>
          <c:order val="1"/>
          <c:tx>
            <c:strRef>
              <c:f>OBJS!$C$70</c:f>
              <c:strCache>
                <c:ptCount val="1"/>
                <c:pt idx="0">
                  <c:v>Count of Sales POC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OBJS!$A$71:$A$72</c:f>
              <c:strCache>
                <c:ptCount val="2"/>
                <c:pt idx="0">
                  <c:v>Exceeded Target</c:v>
                </c:pt>
                <c:pt idx="1">
                  <c:v>Target Not Met</c:v>
                </c:pt>
              </c:strCache>
            </c:strRef>
          </c:cat>
          <c:val>
            <c:numRef>
              <c:f>OBJS!$C$71:$C$72</c:f>
              <c:numCache>
                <c:formatCode>General</c:formatCode>
                <c:ptCount val="2"/>
                <c:pt idx="0">
                  <c:v>37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C-49BD-93BA-484653E5E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2458847"/>
        <c:axId val="2022447807"/>
      </c:barChart>
      <c:catAx>
        <c:axId val="202245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47807"/>
        <c:crosses val="autoZero"/>
        <c:auto val="1"/>
        <c:lblAlgn val="ctr"/>
        <c:lblOffset val="100"/>
        <c:noMultiLvlLbl val="0"/>
      </c:catAx>
      <c:valAx>
        <c:axId val="2022447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5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Dataset.xlsx]OBJS!PivotTable2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Order Value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OBJS!$B$86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OBJS!$A$87:$A$94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OBJS!$B$87:$B$94</c:f>
              <c:numCache>
                <c:formatCode>General</c:formatCode>
                <c:ptCount val="7"/>
                <c:pt idx="0">
                  <c:v>386</c:v>
                </c:pt>
                <c:pt idx="1">
                  <c:v>366</c:v>
                </c:pt>
                <c:pt idx="2">
                  <c:v>346</c:v>
                </c:pt>
                <c:pt idx="3">
                  <c:v>347</c:v>
                </c:pt>
                <c:pt idx="4">
                  <c:v>340</c:v>
                </c:pt>
                <c:pt idx="5">
                  <c:v>368</c:v>
                </c:pt>
                <c:pt idx="6">
                  <c:v>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50-4C0B-9239-EF1F00BE7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539055"/>
        <c:axId val="373547215"/>
      </c:lineChart>
      <c:catAx>
        <c:axId val="373539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47215"/>
        <c:crosses val="autoZero"/>
        <c:auto val="1"/>
        <c:lblAlgn val="ctr"/>
        <c:lblOffset val="100"/>
        <c:noMultiLvlLbl val="0"/>
      </c:catAx>
      <c:valAx>
        <c:axId val="373547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3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Order Value Distribution and Outliers (Box Plot)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6F5CCB6B-DC10-4578-8D5B-B7EB90D51AB9}">
          <cx:tx>
            <cx:txData>
              <cx:f>_xlchart.v1.0</cx:f>
              <cx:v>Order 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Age Distribution and Outliers (Box Plot)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987E2A1E-4546-4F17-9924-9F9964811691}">
          <cx:tx>
            <cx:txData>
              <cx:f>_xlchart.v1.2</cx:f>
              <cx:v>Age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527050</xdr:colOff>
      <xdr:row>0</xdr:row>
      <xdr:rowOff>234950</xdr:rowOff>
    </xdr:from>
    <xdr:to>
      <xdr:col>22</xdr:col>
      <xdr:colOff>222250</xdr:colOff>
      <xdr:row>11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40848A-50B7-9851-7693-573C2EE1EC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00" y="234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11</xdr:row>
      <xdr:rowOff>203200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B0DB311-ECF5-D0CB-CC37-702A5B372C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7350" y="254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2</xdr:row>
      <xdr:rowOff>19050</xdr:rowOff>
    </xdr:from>
    <xdr:to>
      <xdr:col>10</xdr:col>
      <xdr:colOff>38100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A8DAE-5D9A-DE6F-D8F0-E9400824A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101600</xdr:colOff>
      <xdr:row>19</xdr:row>
      <xdr:rowOff>69850</xdr:rowOff>
    </xdr:from>
    <xdr:to>
      <xdr:col>10</xdr:col>
      <xdr:colOff>19050</xdr:colOff>
      <xdr:row>34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B21C1-9EFD-57F0-2C16-507C42DE1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36</xdr:row>
      <xdr:rowOff>177800</xdr:rowOff>
    </xdr:from>
    <xdr:to>
      <xdr:col>10</xdr:col>
      <xdr:colOff>215900</xdr:colOff>
      <xdr:row>51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B04770-0C1C-C5D2-2D96-3A152C410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660400</xdr:colOff>
      <xdr:row>52</xdr:row>
      <xdr:rowOff>158750</xdr:rowOff>
    </xdr:from>
    <xdr:to>
      <xdr:col>8</xdr:col>
      <xdr:colOff>393700</xdr:colOff>
      <xdr:row>66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7A2C7A-AEEF-6692-CFF9-AECBB16CF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114300</xdr:colOff>
      <xdr:row>67</xdr:row>
      <xdr:rowOff>95250</xdr:rowOff>
    </xdr:from>
    <xdr:to>
      <xdr:col>9</xdr:col>
      <xdr:colOff>438150</xdr:colOff>
      <xdr:row>82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AFB3B4-0162-C28B-0CBC-F2DA48C24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1206500</xdr:colOff>
      <xdr:row>83</xdr:row>
      <xdr:rowOff>12700</xdr:rowOff>
    </xdr:from>
    <xdr:to>
      <xdr:col>9</xdr:col>
      <xdr:colOff>552450</xdr:colOff>
      <xdr:row>97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0B05C9-A2B0-AB8C-23CF-1405EB41C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 mukherjee" refreshedDate="46094.569749305556" createdVersion="8" refreshedVersion="8" minRefreshableVersion="3" recordCount="2500" xr:uid="{5663EE62-E45F-41C6-972B-068A7A32A1DA}">
  <cacheSource type="worksheet">
    <worksheetSource ref="A1:L2501" sheet="Orders"/>
  </cacheSource>
  <cacheFields count="13">
    <cacheField name="Order ID" numFmtId="0">
      <sharedItems containsSemiMixedTypes="0" containsString="0" containsNumber="1" containsInteger="1" minValue="1597" maxValue="1682358"/>
    </cacheField>
    <cacheField name="Customer ID" numFmtId="0">
      <sharedItems containsSemiMixedTypes="0" containsString="0" containsNumber="1" containsInteger="1" minValue="1" maxValue="1998"/>
    </cacheField>
    <cacheField name="Customer Country" numFmtId="0">
      <sharedItems count="14">
        <s v="USA"/>
        <s v="India"/>
        <s v="Italy"/>
        <s v="France"/>
        <s v="Spain"/>
        <s v="Singapore"/>
        <s v="Australia"/>
        <s v="Germany"/>
        <s v="Norway"/>
        <s v="Austria"/>
        <s v="Finland"/>
        <s v="Switzerland"/>
        <s v="Ireland"/>
        <s v="Denmark"/>
      </sharedItems>
    </cacheField>
    <cacheField name="Order Datetime" numFmtId="164">
      <sharedItems containsSemiMixedTypes="0" containsNonDate="0" containsDate="1" containsString="0" minDate="2023-01-01T00:44:00" maxDate="2023-12-31T23:34:00"/>
    </cacheField>
    <cacheField name="Order Source" numFmtId="0">
      <sharedItems/>
    </cacheField>
    <cacheField name="Sales POC" numFmtId="0">
      <sharedItems/>
    </cacheField>
    <cacheField name="Order Value" numFmtId="0">
      <sharedItems containsSemiMixedTypes="0" containsString="0" containsNumber="1" containsInteger="1" minValue="10" maxValue="9994"/>
    </cacheField>
    <cacheField name="OrderDate" numFmtId="14">
      <sharedItems containsSemiMixedTypes="0" containsNonDate="0" containsDate="1" containsString="0" minDate="2023-01-01T00:00:00" maxDate="2024-01-01T00:00:00"/>
    </cacheField>
    <cacheField name="OrderTime" numFmtId="165">
      <sharedItems containsSemiMixedTypes="0" containsNonDate="0" containsDate="1" containsString="0" minDate="1899-12-30T00:00:00" maxDate="1899-12-30T23:59:00" count="221">
        <d v="1899-12-30T00:50:00"/>
        <d v="1899-12-30T23:40:00"/>
        <d v="1899-12-30T00:21:00"/>
        <d v="1899-12-30T00:31:00"/>
        <d v="1899-12-30T23:11:00"/>
        <d v="1899-12-30T22:52:00"/>
        <d v="1899-12-30T00:23:00"/>
        <d v="1899-12-30T01:10:00"/>
        <d v="1899-12-30T01:20:00"/>
        <d v="1899-12-30T23:46:00"/>
        <d v="1899-12-30T00:11:00"/>
        <d v="1899-12-30T00:39:00"/>
        <d v="1899-12-30T01:05:00"/>
        <d v="1899-12-30T22:29:00"/>
        <d v="1899-12-30T01:42:00"/>
        <d v="1899-12-30T23:13:00"/>
        <d v="1899-12-30T01:01:00"/>
        <d v="1899-12-30T22:33:00"/>
        <d v="1899-12-30T23:16:00"/>
        <d v="1899-12-30T00:12:00"/>
        <d v="1899-12-30T00:17:00"/>
        <d v="1899-12-30T00:34:00"/>
        <d v="1899-12-30T00:06:00"/>
        <d v="1899-12-30T02:00:00"/>
        <d v="1899-12-30T23:19:00"/>
        <d v="1899-12-30T22:59:00"/>
        <d v="1899-12-30T22:56:00"/>
        <d v="1899-12-30T23:20:00"/>
        <d v="1899-12-30T00:58:00"/>
        <d v="1899-12-30T00:45:00"/>
        <d v="1899-12-30T00:52:00"/>
        <d v="1899-12-30T01:07:00"/>
        <d v="1899-12-30T01:13:00"/>
        <d v="1899-12-30T01:49:00"/>
        <d v="1899-12-30T00:07:00"/>
        <d v="1899-12-30T00:49:00"/>
        <d v="1899-12-30T00:53:00"/>
        <d v="1899-12-30T01:08:00"/>
        <d v="1899-12-30T23:42:00"/>
        <d v="1899-12-30T00:28:00"/>
        <d v="1899-12-30T23:07:00"/>
        <d v="1899-12-30T02:22:00"/>
        <d v="1899-12-30T00:57:00"/>
        <d v="1899-12-30T23:49:00"/>
        <d v="1899-12-30T00:55:00"/>
        <d v="1899-12-30T01:50:00"/>
        <d v="1899-12-30T01:48:00"/>
        <d v="1899-12-30T01:33:00"/>
        <d v="1899-12-30T00:05:00"/>
        <d v="1899-12-30T01:28:00"/>
        <d v="1899-12-30T00:29:00"/>
        <d v="1899-12-30T00:40:00"/>
        <d v="1899-12-30T01:12:00"/>
        <d v="1899-12-30T00:33:00"/>
        <d v="1899-12-30T00:22:00"/>
        <d v="1899-12-30T22:35:00"/>
        <d v="1899-12-30T23:24:00"/>
        <d v="1899-12-30T23:31:00"/>
        <d v="1899-12-30T00:32:00"/>
        <d v="1899-12-30T01:45:00"/>
        <d v="1899-12-30T00:41:00"/>
        <d v="1899-12-30T00:16:00"/>
        <d v="1899-12-30T23:33:00"/>
        <d v="1899-12-30T00:01:00"/>
        <d v="1899-12-30T00:04:00"/>
        <d v="1899-12-30T01:26:00"/>
        <d v="1899-12-30T23:08:00"/>
        <d v="1899-12-30T00:35:00"/>
        <d v="1899-12-30T00:20:00"/>
        <d v="1899-12-30T23:21:00"/>
        <d v="1899-12-30T23:14:00"/>
        <d v="1899-12-30T23:29:00"/>
        <d v="1899-12-30T00:03:00"/>
        <d v="1899-12-30T00:54:00"/>
        <d v="1899-12-30T23:35:00"/>
        <d v="1899-12-30T00:47:00"/>
        <d v="1899-12-30T01:40:00"/>
        <d v="1899-12-30T00:46:00"/>
        <d v="1899-12-30T23:37:00"/>
        <d v="1899-12-30T23:27:00"/>
        <d v="1899-12-30T23:38:00"/>
        <d v="1899-12-30T00:09:00"/>
        <d v="1899-12-30T02:12:00"/>
        <d v="1899-12-30T01:23:00"/>
        <d v="1899-12-30T01:16:00"/>
        <d v="1899-12-30T00:44:00"/>
        <d v="1899-12-30T01:41:00"/>
        <d v="1899-12-30T23:51:00"/>
        <d v="1899-12-30T00:48:00"/>
        <d v="1899-12-30T00:02:00"/>
        <d v="1899-12-30T22:39:00"/>
        <d v="1899-12-30T23:32:00"/>
        <d v="1899-12-30T01:09:00"/>
        <d v="1899-12-30T00:51:00"/>
        <d v="1899-12-30T23:52:00"/>
        <d v="1899-12-30T01:19:00"/>
        <d v="1899-12-30T23:58:00"/>
        <d v="1899-12-30T00:13:00"/>
        <d v="1899-12-30T02:16:00"/>
        <d v="1899-12-30T23:34:00"/>
        <d v="1899-12-30T23:47:00"/>
        <d v="1899-12-30T23:39:00"/>
        <d v="1899-12-30T01:53:00"/>
        <d v="1899-12-30T01:29:00"/>
        <d v="1899-12-30T01:51:00"/>
        <d v="1899-12-30T22:54:00"/>
        <d v="1899-12-30T22:36:00"/>
        <d v="1899-12-30T00:10:00"/>
        <d v="1899-12-30T00:27:00"/>
        <d v="1899-12-30T01:37:00"/>
        <d v="1899-12-30T22:57:00"/>
        <d v="1899-12-30T00:30:00"/>
        <d v="1899-12-30T00:43:00"/>
        <d v="1899-12-30T02:26:00"/>
        <d v="1899-12-30T23:02:00"/>
        <d v="1899-12-30T00:24:00"/>
        <d v="1899-12-30T23:57:00"/>
        <d v="1899-12-30T01:32:00"/>
        <d v="1899-12-30T01:43:00"/>
        <d v="1899-12-30T22:41:00"/>
        <d v="1899-12-30T00:36:00"/>
        <d v="1899-12-30T01:04:00"/>
        <d v="1899-12-30T01:11:00"/>
        <d v="1899-12-30T00:15:00"/>
        <d v="1899-12-30T01:24:00"/>
        <d v="1899-12-30T22:55:00"/>
        <d v="1899-12-30T00:00:00"/>
        <d v="1899-12-30T01:15:00"/>
        <d v="1899-12-30T01:21:00"/>
        <d v="1899-12-30T01:46:00"/>
        <d v="1899-12-30T01:03:00"/>
        <d v="1899-12-30T02:07:00"/>
        <d v="1899-12-30T01:59:00"/>
        <d v="1899-12-30T22:50:00"/>
        <d v="1899-12-30T23:28:00"/>
        <d v="1899-12-30T23:36:00"/>
        <d v="1899-12-30T23:15:00"/>
        <d v="1899-12-30T23:22:00"/>
        <d v="1899-12-30T23:56:00"/>
        <d v="1899-12-30T00:18:00"/>
        <d v="1899-12-30T23:18:00"/>
        <d v="1899-12-30T23:25:00"/>
        <d v="1899-12-30T01:22:00"/>
        <d v="1899-12-30T01:54:00"/>
        <d v="1899-12-30T23:01:00"/>
        <d v="1899-12-30T22:40:00"/>
        <d v="1899-12-30T23:44:00"/>
        <d v="1899-12-30T22:44:00"/>
        <d v="1899-12-30T00:25:00"/>
        <d v="1899-12-30T00:08:00"/>
        <d v="1899-12-30T00:56:00"/>
        <d v="1899-12-30T00:26:00"/>
        <d v="1899-12-30T01:39:00"/>
        <d v="1899-12-30T23:48:00"/>
        <d v="1899-12-30T23:23:00"/>
        <d v="1899-12-30T23:41:00"/>
        <d v="1899-12-30T01:14:00"/>
        <d v="1899-12-30T01:58:00"/>
        <d v="1899-12-30T22:58:00"/>
        <d v="1899-12-30T23:05:00"/>
        <d v="1899-12-30T02:05:00"/>
        <d v="1899-12-30T01:34:00"/>
        <d v="1899-12-30T00:38:00"/>
        <d v="1899-12-30T23:06:00"/>
        <d v="1899-12-30T23:45:00"/>
        <d v="1899-12-30T22:47:00"/>
        <d v="1899-12-30T23:55:00"/>
        <d v="1899-12-30T00:19:00"/>
        <d v="1899-12-30T01:00:00"/>
        <d v="1899-12-30T23:43:00"/>
        <d v="1899-12-30T22:32:00"/>
        <d v="1899-12-30T23:00:00"/>
        <d v="1899-12-30T00:14:00"/>
        <d v="1899-12-30T01:36:00"/>
        <d v="1899-12-30T23:54:00"/>
        <d v="1899-12-30T23:09:00"/>
        <d v="1899-12-30T23:10:00"/>
        <d v="1899-12-30T01:31:00"/>
        <d v="1899-12-30T22:53:00"/>
        <d v="1899-12-30T01:52:00"/>
        <d v="1899-12-30T02:29:00"/>
        <d v="1899-12-30T23:59:00"/>
        <d v="1899-12-30T23:04:00"/>
        <d v="1899-12-30T23:03:00"/>
        <d v="1899-12-30T22:51:00"/>
        <d v="1899-12-30T22:12:00"/>
        <d v="1899-12-30T01:02:00"/>
        <d v="1899-12-30T23:53:00"/>
        <d v="1899-12-30T22:43:00"/>
        <d v="1899-12-30T01:47:00"/>
        <d v="1899-12-30T23:17:00"/>
        <d v="1899-12-30T23:26:00"/>
        <d v="1899-12-30T00:59:00"/>
        <d v="1899-12-30T22:45:00"/>
        <d v="1899-12-30T23:50:00"/>
        <d v="1899-12-30T01:25:00"/>
        <d v="1899-12-30T22:34:00"/>
        <d v="1899-12-30T02:23:00"/>
        <d v="1899-12-30T02:14:00"/>
        <d v="1899-12-30T02:10:00"/>
        <d v="1899-12-30T01:35:00"/>
        <d v="1899-12-30T00:37:00"/>
        <d v="1899-12-30T02:09:00"/>
        <d v="1899-12-30T01:44:00"/>
        <d v="1899-12-30T14:20:00"/>
        <d v="1899-12-30T16:44:00"/>
        <d v="1899-12-30T22:49:00"/>
        <d v="1899-12-30T01:06:00"/>
        <d v="1899-12-30T22:31:00"/>
        <d v="1899-12-30T01:30:00"/>
        <d v="1899-12-30T01:17:00"/>
        <d v="1899-12-30T01:38:00"/>
        <d v="1899-12-30T01:56:00"/>
        <d v="1899-12-30T23:30:00"/>
        <d v="1899-12-30T02:58:00"/>
        <d v="1899-12-30T00:42:00"/>
        <d v="1899-12-30T02:06:00"/>
        <d v="1899-12-30T01:57:00"/>
        <d v="1899-12-30T22:37:00"/>
        <d v="1899-12-30T01:27:00"/>
        <d v="1899-12-30T01:55:00"/>
      </sharedItems>
      <fieldGroup par="12"/>
    </cacheField>
    <cacheField name="OrderMonth" numFmtId="0">
      <sharedItems count="12">
        <s v="December"/>
        <s v="April"/>
        <s v="November"/>
        <s v="October"/>
        <s v="March"/>
        <s v="February"/>
        <s v="July"/>
        <s v="June"/>
        <s v="August"/>
        <s v="January"/>
        <s v="September"/>
        <s v="May"/>
      </sharedItems>
    </cacheField>
    <cacheField name="OrderDay" numFmtId="0">
      <sharedItems count="7">
        <s v="Friday"/>
        <s v="Saturday"/>
        <s v="Tuesday"/>
        <s v="Thursday"/>
        <s v="Wednesday"/>
        <s v="Monday"/>
        <s v="Sunday"/>
      </sharedItems>
    </cacheField>
    <cacheField name="Outlier Check" numFmtId="0">
      <sharedItems/>
    </cacheField>
    <cacheField name="Hours (OrderTime)" numFmtId="0" databaseField="0">
      <fieldGroup base="8">
        <rangePr groupBy="hours" startDate="1899-12-30T00:00:00" endDate="1899-12-30T23:59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 mukherjee" refreshedDate="46094.580345023147" createdVersion="8" refreshedVersion="8" minRefreshableVersion="3" recordCount="2500" xr:uid="{62F0B61A-26C7-49E7-ADCF-C98F9257123B}">
  <cacheSource type="worksheet">
    <worksheetSource ref="A1:G2501" sheet="Customers"/>
  </cacheSource>
  <cacheFields count="7">
    <cacheField name="Customer ID" numFmtId="0">
      <sharedItems containsSemiMixedTypes="0" containsString="0" containsNumber="1" containsInteger="1" minValue="1" maxValue="2500"/>
    </cacheField>
    <cacheField name="Customer Countr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90"/>
    </cacheField>
    <cacheField name="Category" numFmtId="0">
      <sharedItems/>
    </cacheField>
    <cacheField name="Outlier Check" numFmtId="0">
      <sharedItems/>
    </cacheField>
    <cacheField name="Age Group" numFmtId="0">
      <sharedItems count="4">
        <s v="30-40"/>
        <s v="40-50"/>
        <s v="20-30"/>
        <s v="&lt;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 mukherjee" refreshedDate="46094.585604282409" createdVersion="8" refreshedVersion="8" minRefreshableVersion="3" recordCount="92" xr:uid="{AEBB6979-C0E2-4DD2-9808-526AF8DE6D2F}">
  <cacheSource type="worksheet">
    <worksheetSource ref="A1:F93" sheet="Sales Targets"/>
  </cacheSource>
  <cacheFields count="6">
    <cacheField name="Sales POC" numFmtId="0">
      <sharedItems count="92">
        <s v="Kalle Suominen"/>
        <s v="Julie Brown"/>
        <s v="Jeff Young"/>
        <s v="Kyung Yu"/>
        <s v="Adrian Huxley"/>
        <s v="Kwai Yu"/>
        <s v="Jytte Petersen"/>
        <s v="Paul Henriot"/>
        <s v="Sue King"/>
        <s v="Victoria Ashworth"/>
        <s v="Anna O'Hara"/>
        <s v="Diego Freyre"/>
        <s v="Akiko Shimamura"/>
        <s v="Janine Labrune"/>
        <s v="Thomas Hardy"/>
        <s v="Annette Roulet"/>
        <s v="Steve Frick"/>
        <s v="Mary Saveley"/>
        <s v="Henriette Pfalzheim"/>
        <s v="Laurence Lebihan"/>
        <s v="Catherine Dewey"/>
        <s v="Giovanni Rovelli"/>
        <s v="Paolo Accorti"/>
        <s v="Daniel Da Cunha"/>
        <s v="Valarie Nelson"/>
        <s v="Frederique Citeaux"/>
        <s v="Arnold Cruz"/>
        <s v="Marie Bertrand"/>
        <s v="Georg Pipps"/>
        <s v="Dean Cassidy"/>
        <s v="Rosa Hernandez"/>
        <s v="Violeta Benitez"/>
        <s v="Christina Berglund"/>
        <s v="Juri Hirano"/>
        <s v="Mart¡n Sommer"/>
        <s v="Elizabeth Lincoln"/>
        <s v="Dominique Perrier"/>
        <s v="Michael Frick"/>
        <s v="Valarie Franco"/>
        <s v="Leslie Taylor"/>
        <s v="Marta Hernandez"/>
        <s v="Julie King"/>
        <s v="Matti Karttunen"/>
        <s v="Francisca Cervantes"/>
        <s v="Michael Donnermeyer"/>
        <s v="Yoshi Tannamuri"/>
        <s v="Juri Yoshido"/>
        <s v="Jan Klaeboe"/>
        <s v="Pirkko Koskitalo"/>
        <s v="Maurizio Moroni"/>
        <s v="Wendy Victorino"/>
        <s v="Eduardo Saavedra"/>
        <s v="Ann Brown"/>
        <s v="Valarie Young"/>
        <s v="Maria Larsson"/>
        <s v="Eric Natividad"/>
        <s v="Julie Murphy"/>
        <s v="Wing C Tam"/>
        <s v="Sean Connery"/>
        <s v="Veysel Oeztan"/>
        <s v="Michael Holz"/>
        <s v="Roland Keitel"/>
        <s v="Pascale Cartrain"/>
        <s v="Leslie Young"/>
        <s v="Michael Chandler"/>
        <s v="Allen Nelson"/>
        <s v="Kee Kuo"/>
        <s v="Helen Bennett"/>
        <s v="Julie Young"/>
        <s v="Leslie Murphy"/>
        <s v="Jonas Bergulfsen"/>
        <s v="Palle Ibsen"/>
        <s v="Jose Pedro Roel"/>
        <s v="Elizabeth Devon"/>
        <s v="Steve Thompson"/>
        <s v="Daniel Tonini"/>
        <s v="Tony Calaghan"/>
        <s v="Jean Fresnisre"/>
        <s v="Carine Schmitt"/>
        <s v="Dan Lewis"/>
        <s v="Sue Frick"/>
        <s v="William Brown"/>
        <s v="Peter Ferguson"/>
        <s v="Kyung Tseng"/>
        <s v="Martine Rance"/>
        <s v="Sue Taylor"/>
        <s v="Miguel Barajas"/>
        <s v="Valarie Thompson"/>
        <s v="Roland Mendel"/>
        <s v="Maria Hernandez"/>
        <s v="Mory Kentary"/>
        <s v="Jesus Fernandez"/>
      </sharedItems>
    </cacheField>
    <cacheField name="Sales Manager Full Name" numFmtId="0">
      <sharedItems count="30">
        <s v="Amelia Johnson"/>
        <s v="Lukas Schmidt"/>
        <s v="Olivia Jensen"/>
        <s v="Sofia Laine"/>
        <s v="Chloe Dupont"/>
        <s v="Alexander Müller"/>
        <s v="Liam O'Sullivan"/>
        <s v="Sophia Rossi"/>
        <s v="Emma Hansen"/>
        <s v="Ethan Lee"/>
        <s v="Isabella Garcia"/>
        <s v="Noah Meier"/>
        <s v="Ava Williams"/>
        <s v="Dev Patel"/>
        <s v="Mia Khan"/>
        <s v="William Brown"/>
        <s v="Sophie Gruber"/>
        <s v="Lucas Nielsen"/>
        <s v="Aino Virtanen"/>
        <s v="Emily Dubois"/>
        <s v="Benjamin Weber"/>
        <s v="Emily Murphy"/>
        <s v="Marco Bianchi"/>
        <s v="Lucas Olsen"/>
        <s v="Benjamin Chen"/>
        <s v="Daniela Hernandez"/>
        <s v="Liam Baumann"/>
        <s v="Charlotte Miller"/>
        <s v="Priya Kapoor"/>
        <s v="Oliver Kumar"/>
      </sharedItems>
    </cacheField>
    <cacheField name="Sales Team" numFmtId="0">
      <sharedItems count="5">
        <s v="Epsilon"/>
        <s v="Alpha"/>
        <s v="Beta"/>
        <s v="Gamma"/>
        <s v="Delta"/>
      </sharedItems>
    </cacheField>
    <cacheField name="2023 Sales Target" numFmtId="0">
      <sharedItems containsSemiMixedTypes="0" containsString="0" containsNumber="1" containsInteger="1" minValue="30000" maxValue="1000000"/>
    </cacheField>
    <cacheField name="Achieved Sales" numFmtId="0">
      <sharedItems containsSemiMixedTypes="0" containsString="0" containsNumber="1" containsInteger="1" minValue="10197" maxValue="1089868"/>
    </cacheField>
    <cacheField name="Target Status" numFmtId="0">
      <sharedItems count="2">
        <s v="Exceeded Target"/>
        <s v="Target Not M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 mukherjee" refreshedDate="46117.522248263886" createdVersion="8" refreshedVersion="8" minRefreshableVersion="3" recordCount="2500" xr:uid="{F183F267-281A-4588-9DBA-54DF0288D997}">
  <cacheSource type="worksheet">
    <worksheetSource ref="A1:M2501" sheet="Orders"/>
  </cacheSource>
  <cacheFields count="13">
    <cacheField name="Order ID" numFmtId="0">
      <sharedItems containsSemiMixedTypes="0" containsString="0" containsNumber="1" containsInteger="1" minValue="1597" maxValue="1682358"/>
    </cacheField>
    <cacheField name="Customer ID" numFmtId="0">
      <sharedItems containsSemiMixedTypes="0" containsString="0" containsNumber="1" containsInteger="1" minValue="1" maxValue="1998"/>
    </cacheField>
    <cacheField name="Customer Country" numFmtId="0">
      <sharedItems/>
    </cacheField>
    <cacheField name="Order Datetime" numFmtId="164">
      <sharedItems containsSemiMixedTypes="0" containsNonDate="0" containsDate="1" containsString="0" minDate="2023-01-01T00:44:00" maxDate="2023-12-31T23:34:00"/>
    </cacheField>
    <cacheField name="Order Source" numFmtId="0">
      <sharedItems/>
    </cacheField>
    <cacheField name="Sales POC" numFmtId="0">
      <sharedItems/>
    </cacheField>
    <cacheField name="Order Value" numFmtId="0">
      <sharedItems containsSemiMixedTypes="0" containsString="0" containsNumber="1" containsInteger="1" minValue="10" maxValue="9994"/>
    </cacheField>
    <cacheField name="OrderDate" numFmtId="14">
      <sharedItems containsSemiMixedTypes="0" containsNonDate="0" containsDate="1" containsString="0" minDate="2023-01-01T00:00:00" maxDate="2024-01-01T00:00:00"/>
    </cacheField>
    <cacheField name="OrderTime" numFmtId="165">
      <sharedItems containsSemiMixedTypes="0" containsNonDate="0" containsDate="1" containsString="0" minDate="1899-12-30T00:00:00" maxDate="1899-12-30T23:59:00"/>
    </cacheField>
    <cacheField name="OrderMonth" numFmtId="0">
      <sharedItems/>
    </cacheField>
    <cacheField name="OrderDay" numFmtId="0">
      <sharedItems/>
    </cacheField>
    <cacheField name="Outlier Check" numFmtId="0">
      <sharedItems/>
    </cacheField>
    <cacheField name="Age" numFmtId="0">
      <sharedItems containsSemiMixedTypes="0" containsString="0" containsNumber="1" containsInteger="1" minValue="18" maxValue="90" count="73">
        <n v="59"/>
        <n v="20"/>
        <n v="37"/>
        <n v="29"/>
        <n v="38"/>
        <n v="25"/>
        <n v="34"/>
        <n v="46"/>
        <n v="74"/>
        <n v="28"/>
        <n v="41"/>
        <n v="19"/>
        <n v="23"/>
        <n v="22"/>
        <n v="62"/>
        <n v="76"/>
        <n v="80"/>
        <n v="68"/>
        <n v="27"/>
        <n v="33"/>
        <n v="89"/>
        <n v="75"/>
        <n v="49"/>
        <n v="45"/>
        <n v="32"/>
        <n v="67"/>
        <n v="54"/>
        <n v="87"/>
        <n v="40"/>
        <n v="21"/>
        <n v="58"/>
        <n v="35"/>
        <n v="24"/>
        <n v="79"/>
        <n v="31"/>
        <n v="30"/>
        <n v="39"/>
        <n v="71"/>
        <n v="73"/>
        <n v="55"/>
        <n v="36"/>
        <n v="70"/>
        <n v="63"/>
        <n v="82"/>
        <n v="52"/>
        <n v="69"/>
        <n v="86"/>
        <n v="26"/>
        <n v="65"/>
        <n v="81"/>
        <n v="66"/>
        <n v="88"/>
        <n v="60"/>
        <n v="42"/>
        <n v="72"/>
        <n v="77"/>
        <n v="57"/>
        <n v="61"/>
        <n v="84"/>
        <n v="47"/>
        <n v="44"/>
        <n v="78"/>
        <n v="53"/>
        <n v="50"/>
        <n v="43"/>
        <n v="18"/>
        <n v="51"/>
        <n v="85"/>
        <n v="48"/>
        <n v="83"/>
        <n v="90"/>
        <n v="64"/>
        <n v="56"/>
      </sharedItems>
      <fieldGroup base="12">
        <rangePr autoStart="0" startNum="20" endNum="90" groupInterval="10"/>
        <groupItems count="9">
          <s v="&lt;20"/>
          <s v="20-29"/>
          <s v="30-39"/>
          <s v="40-49"/>
          <s v="50-59"/>
          <s v="60-69"/>
          <s v="70-79"/>
          <s v="8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597"/>
    <n v="856"/>
    <x v="0"/>
    <d v="2023-12-15T00:50:00"/>
    <s v="Other"/>
    <s v="Kwai Yu"/>
    <n v="412"/>
    <d v="2023-12-15T00:00:00"/>
    <x v="0"/>
    <x v="0"/>
    <x v="0"/>
    <s v="Normal"/>
  </r>
  <r>
    <n v="2011"/>
    <n v="525"/>
    <x v="1"/>
    <d v="2023-04-29T23:40:00"/>
    <s v="Whatsapp"/>
    <s v="Paul Henriot"/>
    <n v="4551"/>
    <d v="2023-04-29T00:00:00"/>
    <x v="1"/>
    <x v="1"/>
    <x v="1"/>
    <s v="Outlier"/>
  </r>
  <r>
    <n v="2822"/>
    <n v="1614"/>
    <x v="0"/>
    <d v="2023-12-30T00:21:00"/>
    <s v="Whatsapp"/>
    <s v="Daniel Da Cunha"/>
    <n v="3960"/>
    <d v="2023-12-30T00:00:00"/>
    <x v="2"/>
    <x v="0"/>
    <x v="1"/>
    <s v="Outlier"/>
  </r>
  <r>
    <n v="2889"/>
    <n v="743"/>
    <x v="0"/>
    <d v="2023-11-28T00:31:00"/>
    <s v="Whatsapp"/>
    <s v="Julie Young"/>
    <n v="8397"/>
    <d v="2023-11-28T00:00:00"/>
    <x v="3"/>
    <x v="2"/>
    <x v="2"/>
    <s v="Outlier"/>
  </r>
  <r>
    <n v="3971"/>
    <n v="20"/>
    <x v="0"/>
    <d v="2023-10-26T23:11:00"/>
    <s v="Website"/>
    <s v="Julie Brown"/>
    <n v="5545"/>
    <d v="2023-10-26T00:00:00"/>
    <x v="4"/>
    <x v="3"/>
    <x v="3"/>
    <s v="Outlier"/>
  </r>
  <r>
    <n v="4111"/>
    <n v="1367"/>
    <x v="2"/>
    <d v="2023-03-08T22:52:00"/>
    <s v="App"/>
    <s v="Juri Hirano"/>
    <n v="7800"/>
    <d v="2023-03-08T00:00:00"/>
    <x v="5"/>
    <x v="4"/>
    <x v="4"/>
    <s v="Outlier"/>
  </r>
  <r>
    <n v="4801"/>
    <n v="945"/>
    <x v="3"/>
    <d v="2023-02-18T00:23:00"/>
    <s v="Other"/>
    <s v="Martine Rance"/>
    <n v="4674"/>
    <d v="2023-02-18T00:00:00"/>
    <x v="6"/>
    <x v="5"/>
    <x v="1"/>
    <s v="Outlier"/>
  </r>
  <r>
    <n v="5719"/>
    <n v="218"/>
    <x v="3"/>
    <d v="2023-11-23T01:10:00"/>
    <s v="Website"/>
    <s v="Veysel Oeztan"/>
    <n v="5954"/>
    <d v="2023-11-23T00:00:00"/>
    <x v="7"/>
    <x v="2"/>
    <x v="3"/>
    <s v="Outlier"/>
  </r>
  <r>
    <n v="5846"/>
    <n v="264"/>
    <x v="0"/>
    <d v="2023-12-23T01:20:00"/>
    <s v="Website"/>
    <s v="Julie Murphy"/>
    <n v="9887"/>
    <d v="2023-12-23T00:00:00"/>
    <x v="8"/>
    <x v="0"/>
    <x v="1"/>
    <s v="Outlier"/>
  </r>
  <r>
    <n v="7615"/>
    <n v="566"/>
    <x v="0"/>
    <d v="2023-11-03T23:46:00"/>
    <s v="Whatsapp"/>
    <s v="Dominique Perrier"/>
    <n v="8303"/>
    <d v="2023-11-03T00:00:00"/>
    <x v="9"/>
    <x v="2"/>
    <x v="0"/>
    <s v="Outlier"/>
  </r>
  <r>
    <n v="8568"/>
    <n v="1414"/>
    <x v="0"/>
    <d v="2023-07-26T00:11:00"/>
    <s v="App"/>
    <s v="Peter Ferguson"/>
    <n v="8969"/>
    <d v="2023-07-26T00:00:00"/>
    <x v="10"/>
    <x v="6"/>
    <x v="4"/>
    <s v="Outlier"/>
  </r>
  <r>
    <n v="9339"/>
    <n v="1681"/>
    <x v="4"/>
    <d v="2023-12-18T00:39:00"/>
    <s v="App"/>
    <s v="Michael Frick"/>
    <n v="2782"/>
    <d v="2023-12-18T00:00:00"/>
    <x v="11"/>
    <x v="0"/>
    <x v="5"/>
    <s v="Outlier"/>
  </r>
  <r>
    <n v="9839"/>
    <n v="223"/>
    <x v="1"/>
    <d v="2023-06-05T01:05:00"/>
    <s v="Other"/>
    <s v="William Brown"/>
    <n v="7215"/>
    <d v="2023-06-05T00:00:00"/>
    <x v="12"/>
    <x v="7"/>
    <x v="5"/>
    <s v="Outlier"/>
  </r>
  <r>
    <n v="10101"/>
    <n v="276"/>
    <x v="1"/>
    <d v="2023-11-27T22:29:00"/>
    <s v="App"/>
    <s v="Julie King"/>
    <n v="6947"/>
    <d v="2023-11-27T00:00:00"/>
    <x v="13"/>
    <x v="2"/>
    <x v="5"/>
    <s v="Outlier"/>
  </r>
  <r>
    <n v="10208"/>
    <n v="1219"/>
    <x v="0"/>
    <d v="2023-10-04T01:42:00"/>
    <s v="Website"/>
    <s v="Janine Labrune"/>
    <n v="3866"/>
    <d v="2023-10-04T00:00:00"/>
    <x v="14"/>
    <x v="3"/>
    <x v="4"/>
    <s v="Outlier"/>
  </r>
  <r>
    <n v="10508"/>
    <n v="1016"/>
    <x v="1"/>
    <d v="2023-08-24T23:13:00"/>
    <s v="Whatsapp"/>
    <s v="Marta Hernandez"/>
    <n v="4247"/>
    <d v="2023-08-24T00:00:00"/>
    <x v="15"/>
    <x v="8"/>
    <x v="3"/>
    <s v="Outlier"/>
  </r>
  <r>
    <n v="10526"/>
    <n v="241"/>
    <x v="0"/>
    <d v="2023-10-19T22:52:00"/>
    <s v="Website"/>
    <s v="Matti Karttunen"/>
    <n v="6627"/>
    <d v="2023-10-19T00:00:00"/>
    <x v="5"/>
    <x v="3"/>
    <x v="3"/>
    <s v="Outlier"/>
  </r>
  <r>
    <n v="10667"/>
    <n v="467"/>
    <x v="3"/>
    <d v="2023-10-13T01:01:00"/>
    <s v="Whatsapp"/>
    <s v="Jonas Bergulfsen"/>
    <n v="840"/>
    <d v="2023-10-13T00:00:00"/>
    <x v="16"/>
    <x v="3"/>
    <x v="0"/>
    <s v="Outlier"/>
  </r>
  <r>
    <n v="10922"/>
    <n v="7"/>
    <x v="5"/>
    <d v="2023-01-19T22:33:00"/>
    <s v="App"/>
    <s v="Kyung Yu"/>
    <n v="3157"/>
    <d v="2023-01-19T00:00:00"/>
    <x v="17"/>
    <x v="9"/>
    <x v="3"/>
    <s v="Outlier"/>
  </r>
  <r>
    <n v="11114"/>
    <n v="563"/>
    <x v="3"/>
    <d v="2023-03-17T23:16:00"/>
    <s v="Website"/>
    <s v="Kwai Yu"/>
    <n v="6371"/>
    <d v="2023-03-17T00:00:00"/>
    <x v="18"/>
    <x v="4"/>
    <x v="0"/>
    <s v="Outlier"/>
  </r>
  <r>
    <n v="12200"/>
    <n v="1218"/>
    <x v="0"/>
    <d v="2023-06-11T00:12:00"/>
    <s v="Whatsapp"/>
    <s v="Georg Pipps"/>
    <n v="1774"/>
    <d v="2023-06-11T00:00:00"/>
    <x v="19"/>
    <x v="7"/>
    <x v="6"/>
    <s v="Outlier"/>
  </r>
  <r>
    <n v="13586"/>
    <n v="26"/>
    <x v="3"/>
    <d v="2023-01-23T00:17:00"/>
    <s v="App"/>
    <s v="Adrian Huxley"/>
    <n v="321"/>
    <d v="2023-01-23T00:00:00"/>
    <x v="20"/>
    <x v="9"/>
    <x v="5"/>
    <s v="Outlier"/>
  </r>
  <r>
    <n v="14287"/>
    <n v="1552"/>
    <x v="2"/>
    <d v="2023-02-18T00:34:00"/>
    <s v="Other"/>
    <s v="Janine Labrune"/>
    <n v="1628"/>
    <d v="2023-02-18T00:00:00"/>
    <x v="21"/>
    <x v="5"/>
    <x v="1"/>
    <s v="Outlier"/>
  </r>
  <r>
    <n v="14971"/>
    <n v="148"/>
    <x v="4"/>
    <d v="2023-09-10T00:06:00"/>
    <s v="Other"/>
    <s v="Violeta Benitez"/>
    <n v="7545"/>
    <d v="2023-09-10T00:00:00"/>
    <x v="22"/>
    <x v="10"/>
    <x v="6"/>
    <s v="Outlier"/>
  </r>
  <r>
    <n v="15113"/>
    <n v="252"/>
    <x v="0"/>
    <d v="2023-03-18T02:00:00"/>
    <s v="App"/>
    <s v="Elizabeth Devon"/>
    <n v="2730"/>
    <d v="2023-03-18T00:00:00"/>
    <x v="23"/>
    <x v="4"/>
    <x v="1"/>
    <s v="Outlier"/>
  </r>
  <r>
    <n v="15878"/>
    <n v="1524"/>
    <x v="3"/>
    <d v="2023-06-03T01:01:00"/>
    <s v="Whatsapp"/>
    <s v="Diego Freyre"/>
    <n v="2717"/>
    <d v="2023-06-03T00:00:00"/>
    <x v="16"/>
    <x v="7"/>
    <x v="1"/>
    <s v="Outlier"/>
  </r>
  <r>
    <n v="16243"/>
    <n v="1812"/>
    <x v="4"/>
    <d v="2023-07-31T23:19:00"/>
    <s v="Website"/>
    <s v="Jonas Bergulfsen"/>
    <n v="9723"/>
    <d v="2023-07-31T00:00:00"/>
    <x v="24"/>
    <x v="6"/>
    <x v="5"/>
    <s v="Outlier"/>
  </r>
  <r>
    <n v="16263"/>
    <n v="311"/>
    <x v="6"/>
    <d v="2023-11-30T22:59:00"/>
    <s v="Website"/>
    <s v="Christina Berglund"/>
    <n v="6673"/>
    <d v="2023-11-30T00:00:00"/>
    <x v="25"/>
    <x v="2"/>
    <x v="3"/>
    <s v="Outlier"/>
  </r>
  <r>
    <n v="16847"/>
    <n v="406"/>
    <x v="1"/>
    <d v="2023-11-08T00:17:00"/>
    <s v="Other"/>
    <s v="Mart¡n Sommer"/>
    <n v="1802"/>
    <d v="2023-11-08T00:00:00"/>
    <x v="20"/>
    <x v="2"/>
    <x v="4"/>
    <s v="Outlier"/>
  </r>
  <r>
    <n v="17912"/>
    <n v="498"/>
    <x v="7"/>
    <d v="2023-03-21T22:56:00"/>
    <s v="Other"/>
    <s v="Juri Hirano"/>
    <n v="9179"/>
    <d v="2023-03-21T00:00:00"/>
    <x v="26"/>
    <x v="4"/>
    <x v="2"/>
    <s v="Outlier"/>
  </r>
  <r>
    <n v="20076"/>
    <n v="446"/>
    <x v="0"/>
    <d v="2023-03-16T23:20:00"/>
    <s v="Website"/>
    <s v="Eric Natividad"/>
    <n v="2311"/>
    <d v="2023-03-16T00:00:00"/>
    <x v="27"/>
    <x v="4"/>
    <x v="3"/>
    <s v="Outlier"/>
  </r>
  <r>
    <n v="20342"/>
    <n v="451"/>
    <x v="8"/>
    <d v="2023-03-03T00:58:00"/>
    <s v="Other"/>
    <s v="Maria Hernandez"/>
    <n v="3940"/>
    <d v="2023-03-03T00:00:00"/>
    <x v="28"/>
    <x v="4"/>
    <x v="0"/>
    <s v="Outlier"/>
  </r>
  <r>
    <n v="21461"/>
    <n v="975"/>
    <x v="3"/>
    <d v="2023-02-20T23:40:00"/>
    <s v="Website"/>
    <s v="Tony Calaghan"/>
    <n v="5888"/>
    <d v="2023-02-20T00:00:00"/>
    <x v="1"/>
    <x v="5"/>
    <x v="5"/>
    <s v="Outlier"/>
  </r>
  <r>
    <n v="22486"/>
    <n v="1315"/>
    <x v="0"/>
    <d v="2023-07-03T00:45:00"/>
    <s v="App"/>
    <s v="Francisca Cervantes"/>
    <n v="2819"/>
    <d v="2023-07-03T00:00:00"/>
    <x v="29"/>
    <x v="6"/>
    <x v="5"/>
    <s v="Outlier"/>
  </r>
  <r>
    <n v="23598"/>
    <n v="1017"/>
    <x v="1"/>
    <d v="2023-10-10T00:52:00"/>
    <s v="App"/>
    <s v="Mary Saveley"/>
    <n v="3015"/>
    <d v="2023-10-10T00:00:00"/>
    <x v="30"/>
    <x v="3"/>
    <x v="2"/>
    <s v="Outlier"/>
  </r>
  <r>
    <n v="25923"/>
    <n v="875"/>
    <x v="0"/>
    <d v="2023-10-27T01:07:00"/>
    <s v="App"/>
    <s v="Yoshi Tannamuri"/>
    <n v="8826"/>
    <d v="2023-10-27T00:00:00"/>
    <x v="31"/>
    <x v="3"/>
    <x v="0"/>
    <s v="Outlier"/>
  </r>
  <r>
    <n v="27076"/>
    <n v="242"/>
    <x v="0"/>
    <d v="2023-06-30T01:13:00"/>
    <s v="Other"/>
    <s v="Steve Thompson"/>
    <n v="4466"/>
    <d v="2023-06-30T00:00:00"/>
    <x v="32"/>
    <x v="7"/>
    <x v="0"/>
    <s v="Outlier"/>
  </r>
  <r>
    <n v="27115"/>
    <n v="276"/>
    <x v="1"/>
    <d v="2023-11-05T01:49:00"/>
    <s v="Website"/>
    <s v="Kyung Tseng"/>
    <n v="9943"/>
    <d v="2023-11-05T00:00:00"/>
    <x v="33"/>
    <x v="2"/>
    <x v="6"/>
    <s v="Outlier"/>
  </r>
  <r>
    <n v="27493"/>
    <n v="827"/>
    <x v="5"/>
    <d v="2023-10-26T00:12:00"/>
    <s v="Whatsapp"/>
    <s v="Leslie Murphy"/>
    <n v="2811"/>
    <d v="2023-10-26T00:00:00"/>
    <x v="19"/>
    <x v="3"/>
    <x v="3"/>
    <s v="Outlier"/>
  </r>
  <r>
    <n v="28066"/>
    <n v="1986"/>
    <x v="3"/>
    <d v="2023-05-07T00:07:00"/>
    <s v="App"/>
    <s v="Akiko Shimamura"/>
    <n v="7129"/>
    <d v="2023-05-07T00:00:00"/>
    <x v="34"/>
    <x v="11"/>
    <x v="6"/>
    <s v="Outlier"/>
  </r>
  <r>
    <n v="28318"/>
    <n v="983"/>
    <x v="0"/>
    <d v="2023-02-17T00:49:00"/>
    <s v="Website"/>
    <s v="Adrian Huxley"/>
    <n v="5284"/>
    <d v="2023-02-17T00:00:00"/>
    <x v="35"/>
    <x v="5"/>
    <x v="0"/>
    <s v="Outlier"/>
  </r>
  <r>
    <n v="28720"/>
    <n v="725"/>
    <x v="0"/>
    <d v="2023-02-23T00:53:00"/>
    <s v="Whatsapp"/>
    <s v="Paolo Accorti"/>
    <n v="405"/>
    <d v="2023-02-23T00:00:00"/>
    <x v="36"/>
    <x v="5"/>
    <x v="3"/>
    <s v="Outlier"/>
  </r>
  <r>
    <n v="28841"/>
    <n v="954"/>
    <x v="1"/>
    <d v="2023-01-19T01:08:00"/>
    <s v="App"/>
    <s v="Maria Larsson"/>
    <n v="8558"/>
    <d v="2023-01-19T00:00:00"/>
    <x v="37"/>
    <x v="9"/>
    <x v="3"/>
    <s v="Outlier"/>
  </r>
  <r>
    <n v="28901"/>
    <n v="1093"/>
    <x v="1"/>
    <d v="2023-11-16T23:46:00"/>
    <s v="App"/>
    <s v="Daniel Tonini"/>
    <n v="5536"/>
    <d v="2023-11-16T00:00:00"/>
    <x v="9"/>
    <x v="2"/>
    <x v="3"/>
    <s v="Outlier"/>
  </r>
  <r>
    <n v="30449"/>
    <n v="962"/>
    <x v="0"/>
    <d v="2023-07-01T23:42:00"/>
    <s v="App"/>
    <s v="Valarie Nelson"/>
    <n v="660"/>
    <d v="2023-07-01T00:00:00"/>
    <x v="38"/>
    <x v="6"/>
    <x v="1"/>
    <s v="Outlier"/>
  </r>
  <r>
    <n v="30739"/>
    <n v="1771"/>
    <x v="2"/>
    <d v="2023-05-29T00:28:00"/>
    <s v="Other"/>
    <s v="Valarie Young"/>
    <n v="5684"/>
    <d v="2023-05-29T00:00:00"/>
    <x v="39"/>
    <x v="11"/>
    <x v="5"/>
    <s v="Outlier"/>
  </r>
  <r>
    <n v="31216"/>
    <n v="1240"/>
    <x v="7"/>
    <d v="2023-09-25T23:46:00"/>
    <s v="Website"/>
    <s v="Julie Murphy"/>
    <n v="8294"/>
    <d v="2023-09-25T00:00:00"/>
    <x v="9"/>
    <x v="10"/>
    <x v="5"/>
    <s v="Outlier"/>
  </r>
  <r>
    <n v="31707"/>
    <n v="652"/>
    <x v="0"/>
    <d v="2023-05-11T00:31:00"/>
    <s v="Other"/>
    <s v="Peter Ferguson"/>
    <n v="8379"/>
    <d v="2023-05-11T00:00:00"/>
    <x v="3"/>
    <x v="11"/>
    <x v="3"/>
    <s v="Outlier"/>
  </r>
  <r>
    <n v="33662"/>
    <n v="1381"/>
    <x v="0"/>
    <d v="2023-01-19T23:07:00"/>
    <s v="Website"/>
    <s v="Valarie Nelson"/>
    <n v="8214"/>
    <d v="2023-01-19T00:00:00"/>
    <x v="40"/>
    <x v="9"/>
    <x v="3"/>
    <s v="Outlier"/>
  </r>
  <r>
    <n v="33963"/>
    <n v="1251"/>
    <x v="0"/>
    <d v="2023-10-06T23:40:00"/>
    <s v="Other"/>
    <s v="Allen Nelson"/>
    <n v="6147"/>
    <d v="2023-10-06T00:00:00"/>
    <x v="1"/>
    <x v="3"/>
    <x v="0"/>
    <s v="Outlier"/>
  </r>
  <r>
    <n v="33983"/>
    <n v="305"/>
    <x v="6"/>
    <d v="2023-05-17T02:22:00"/>
    <s v="App"/>
    <s v="Julie Brown"/>
    <n v="3894"/>
    <d v="2023-05-17T00:00:00"/>
    <x v="41"/>
    <x v="11"/>
    <x v="4"/>
    <s v="Outlier"/>
  </r>
  <r>
    <n v="34125"/>
    <n v="530"/>
    <x v="6"/>
    <d v="2023-10-18T00:57:00"/>
    <s v="Whatsapp"/>
    <s v="Anna O'Hara"/>
    <n v="4341"/>
    <d v="2023-10-18T00:00:00"/>
    <x v="42"/>
    <x v="3"/>
    <x v="4"/>
    <s v="Outlier"/>
  </r>
  <r>
    <n v="34477"/>
    <n v="1749"/>
    <x v="9"/>
    <d v="2023-04-26T23:49:00"/>
    <s v="App"/>
    <s v="Jean Fresnisre"/>
    <n v="9140"/>
    <d v="2023-04-26T00:00:00"/>
    <x v="43"/>
    <x v="1"/>
    <x v="4"/>
    <s v="Outlier"/>
  </r>
  <r>
    <n v="34504"/>
    <n v="915"/>
    <x v="3"/>
    <d v="2023-02-06T00:55:00"/>
    <s v="Other"/>
    <s v="Diego Freyre"/>
    <n v="9163"/>
    <d v="2023-02-06T00:00:00"/>
    <x v="44"/>
    <x v="5"/>
    <x v="5"/>
    <s v="Outlier"/>
  </r>
  <r>
    <n v="34978"/>
    <n v="492"/>
    <x v="4"/>
    <d v="2023-07-13T01:50:00"/>
    <s v="App"/>
    <s v="Kwai Yu"/>
    <n v="1494"/>
    <d v="2023-07-13T00:00:00"/>
    <x v="45"/>
    <x v="6"/>
    <x v="3"/>
    <s v="Outlier"/>
  </r>
  <r>
    <n v="35391"/>
    <n v="1057"/>
    <x v="4"/>
    <d v="2023-05-10T01:48:00"/>
    <s v="Website"/>
    <s v="Peter Ferguson"/>
    <n v="6287"/>
    <d v="2023-05-10T00:00:00"/>
    <x v="46"/>
    <x v="11"/>
    <x v="4"/>
    <s v="Outlier"/>
  </r>
  <r>
    <n v="36759"/>
    <n v="1667"/>
    <x v="3"/>
    <d v="2023-01-23T01:33:00"/>
    <s v="Whatsapp"/>
    <s v="Daniel Da Cunha"/>
    <n v="6587"/>
    <d v="2023-01-23T00:00:00"/>
    <x v="47"/>
    <x v="9"/>
    <x v="5"/>
    <s v="Outlier"/>
  </r>
  <r>
    <n v="37737"/>
    <n v="744"/>
    <x v="10"/>
    <d v="2023-10-24T00:05:00"/>
    <s v="Website"/>
    <s v="Julie Young"/>
    <n v="9738"/>
    <d v="2023-10-24T00:00:00"/>
    <x v="48"/>
    <x v="3"/>
    <x v="2"/>
    <s v="Outlier"/>
  </r>
  <r>
    <n v="37971"/>
    <n v="433"/>
    <x v="1"/>
    <d v="2023-06-24T01:28:00"/>
    <s v="Whatsapp"/>
    <s v="Julie Brown"/>
    <n v="7884"/>
    <d v="2023-06-24T00:00:00"/>
    <x v="49"/>
    <x v="7"/>
    <x v="1"/>
    <s v="Outlier"/>
  </r>
  <r>
    <n v="38242"/>
    <n v="1131"/>
    <x v="6"/>
    <d v="2023-01-03T00:29:00"/>
    <s v="Whatsapp"/>
    <s v="Juri Hirano"/>
    <n v="9299"/>
    <d v="2023-01-03T00:00:00"/>
    <x v="50"/>
    <x v="9"/>
    <x v="2"/>
    <s v="Outlier"/>
  </r>
  <r>
    <n v="38528"/>
    <n v="551"/>
    <x v="11"/>
    <d v="2023-10-20T00:40:00"/>
    <s v="Other"/>
    <s v="Martine Rance"/>
    <n v="7036"/>
    <d v="2023-10-20T00:00:00"/>
    <x v="51"/>
    <x v="3"/>
    <x v="0"/>
    <s v="Outlier"/>
  </r>
  <r>
    <n v="40114"/>
    <n v="172"/>
    <x v="0"/>
    <d v="2023-09-24T01:12:00"/>
    <s v="App"/>
    <s v="Veysel Oeztan"/>
    <n v="1841"/>
    <d v="2023-09-24T00:00:00"/>
    <x v="52"/>
    <x v="10"/>
    <x v="6"/>
    <s v="Outlier"/>
  </r>
  <r>
    <n v="41110"/>
    <n v="1858"/>
    <x v="0"/>
    <d v="2023-06-03T00:33:00"/>
    <s v="Website"/>
    <s v="Julie Murphy"/>
    <n v="9844"/>
    <d v="2023-06-03T00:00:00"/>
    <x v="53"/>
    <x v="7"/>
    <x v="1"/>
    <s v="Outlier"/>
  </r>
  <r>
    <n v="41478"/>
    <n v="871"/>
    <x v="2"/>
    <d v="2023-05-12T00:22:00"/>
    <s v="Website"/>
    <s v="Mory Kentary"/>
    <n v="2454"/>
    <d v="2023-05-12T00:00:00"/>
    <x v="54"/>
    <x v="11"/>
    <x v="0"/>
    <s v="Outlier"/>
  </r>
  <r>
    <n v="42094"/>
    <n v="987"/>
    <x v="0"/>
    <d v="2023-06-16T22:35:00"/>
    <s v="Website"/>
    <s v="Peter Ferguson"/>
    <n v="4039"/>
    <d v="2023-06-16T00:00:00"/>
    <x v="55"/>
    <x v="7"/>
    <x v="0"/>
    <s v="Outlier"/>
  </r>
  <r>
    <n v="43427"/>
    <n v="1066"/>
    <x v="1"/>
    <d v="2023-03-18T23:24:00"/>
    <s v="Whatsapp"/>
    <s v="Rosa Hernandez"/>
    <n v="959"/>
    <d v="2023-03-18T00:00:00"/>
    <x v="56"/>
    <x v="4"/>
    <x v="1"/>
    <s v="Outlier"/>
  </r>
  <r>
    <n v="43722"/>
    <n v="1223"/>
    <x v="0"/>
    <d v="2023-11-03T23:31:00"/>
    <s v="Other"/>
    <s v="William Brown"/>
    <n v="6074"/>
    <d v="2023-11-03T00:00:00"/>
    <x v="57"/>
    <x v="2"/>
    <x v="0"/>
    <s v="Outlier"/>
  </r>
  <r>
    <n v="44241"/>
    <n v="800"/>
    <x v="12"/>
    <d v="2023-10-15T00:32:00"/>
    <s v="Whatsapp"/>
    <s v="Julie King"/>
    <n v="3306"/>
    <d v="2023-10-15T00:00:00"/>
    <x v="58"/>
    <x v="3"/>
    <x v="6"/>
    <s v="Outlier"/>
  </r>
  <r>
    <n v="44275"/>
    <n v="423"/>
    <x v="5"/>
    <d v="2023-03-31T01:45:00"/>
    <s v="App"/>
    <s v="Janine Labrune"/>
    <n v="7290"/>
    <d v="2023-03-31T00:00:00"/>
    <x v="59"/>
    <x v="4"/>
    <x v="0"/>
    <s v="Outlier"/>
  </r>
  <r>
    <n v="44486"/>
    <n v="905"/>
    <x v="0"/>
    <d v="2023-06-09T00:41:00"/>
    <s v="Website"/>
    <s v="Marta Hernandez"/>
    <n v="8730"/>
    <d v="2023-06-09T00:00:00"/>
    <x v="60"/>
    <x v="7"/>
    <x v="0"/>
    <s v="Outlier"/>
  </r>
  <r>
    <n v="47050"/>
    <n v="1466"/>
    <x v="12"/>
    <d v="2023-11-18T00:16:00"/>
    <s v="Website"/>
    <s v="Carine Schmitt"/>
    <n v="6692"/>
    <d v="2023-11-18T00:00:00"/>
    <x v="61"/>
    <x v="2"/>
    <x v="1"/>
    <s v="Outlier"/>
  </r>
  <r>
    <n v="47212"/>
    <n v="1083"/>
    <x v="4"/>
    <d v="2023-07-09T23:33:00"/>
    <s v="Other"/>
    <s v="Steve Frick"/>
    <n v="1067"/>
    <d v="2023-07-09T00:00:00"/>
    <x v="62"/>
    <x v="6"/>
    <x v="6"/>
    <s v="Outlier"/>
  </r>
  <r>
    <n v="49060"/>
    <n v="430"/>
    <x v="1"/>
    <d v="2023-09-22T00:33:00"/>
    <s v="Other"/>
    <s v="Kyung Yu"/>
    <n v="5513"/>
    <d v="2023-09-22T00:00:00"/>
    <x v="53"/>
    <x v="10"/>
    <x v="0"/>
    <s v="Outlier"/>
  </r>
  <r>
    <n v="49520"/>
    <n v="1670"/>
    <x v="0"/>
    <d v="2023-07-03T00:01:00"/>
    <s v="Whatsapp"/>
    <s v="Kwai Yu"/>
    <n v="6214"/>
    <d v="2023-07-03T00:00:00"/>
    <x v="63"/>
    <x v="6"/>
    <x v="5"/>
    <s v="Outlier"/>
  </r>
  <r>
    <n v="49544"/>
    <n v="526"/>
    <x v="0"/>
    <d v="2023-10-28T00:04:00"/>
    <s v="Website"/>
    <s v="Akiko Shimamura"/>
    <n v="7802"/>
    <d v="2023-10-28T00:00:00"/>
    <x v="64"/>
    <x v="3"/>
    <x v="1"/>
    <s v="Outlier"/>
  </r>
  <r>
    <n v="50199"/>
    <n v="105"/>
    <x v="0"/>
    <d v="2023-01-29T01:26:00"/>
    <s v="Whatsapp"/>
    <s v="Adrian Huxley"/>
    <n v="8898"/>
    <d v="2023-01-29T00:00:00"/>
    <x v="65"/>
    <x v="9"/>
    <x v="6"/>
    <s v="Outlier"/>
  </r>
  <r>
    <n v="50499"/>
    <n v="639"/>
    <x v="0"/>
    <d v="2023-04-02T23:08:00"/>
    <s v="Website"/>
    <s v="Tony Calaghan"/>
    <n v="3514"/>
    <d v="2023-04-02T00:00:00"/>
    <x v="66"/>
    <x v="1"/>
    <x v="6"/>
    <s v="Outlier"/>
  </r>
  <r>
    <n v="51688"/>
    <n v="453"/>
    <x v="3"/>
    <d v="2023-12-18T00:35:00"/>
    <s v="Other"/>
    <s v="Violeta Benitez"/>
    <n v="4365"/>
    <d v="2023-12-18T00:00:00"/>
    <x v="67"/>
    <x v="0"/>
    <x v="5"/>
    <s v="Outlier"/>
  </r>
  <r>
    <n v="51913"/>
    <n v="1208"/>
    <x v="0"/>
    <d v="2023-11-11T00:20:00"/>
    <s v="Website"/>
    <s v="Dominique Perrier"/>
    <n v="1733"/>
    <d v="2023-11-11T00:00:00"/>
    <x v="68"/>
    <x v="2"/>
    <x v="1"/>
    <s v="Outlier"/>
  </r>
  <r>
    <n v="52659"/>
    <n v="1282"/>
    <x v="3"/>
    <d v="2023-06-07T00:55:00"/>
    <s v="Whatsapp"/>
    <s v="Diego Freyre"/>
    <n v="3865"/>
    <d v="2023-06-07T00:00:00"/>
    <x v="44"/>
    <x v="7"/>
    <x v="4"/>
    <s v="Outlier"/>
  </r>
  <r>
    <n v="53119"/>
    <n v="1257"/>
    <x v="0"/>
    <d v="2023-04-14T01:28:00"/>
    <s v="App"/>
    <s v="Kwai Yu"/>
    <n v="6403"/>
    <d v="2023-04-14T00:00:00"/>
    <x v="49"/>
    <x v="1"/>
    <x v="0"/>
    <s v="Outlier"/>
  </r>
  <r>
    <n v="53899"/>
    <n v="392"/>
    <x v="1"/>
    <d v="2023-09-23T00:53:00"/>
    <s v="Whatsapp"/>
    <s v="Peter Ferguson"/>
    <n v="8165"/>
    <d v="2023-09-23T00:00:00"/>
    <x v="36"/>
    <x v="10"/>
    <x v="1"/>
    <s v="Outlier"/>
  </r>
  <r>
    <n v="54569"/>
    <n v="147"/>
    <x v="0"/>
    <d v="2023-12-17T23:21:00"/>
    <s v="App"/>
    <s v="Daniel Da Cunha"/>
    <n v="6561"/>
    <d v="2023-12-17T00:00:00"/>
    <x v="69"/>
    <x v="0"/>
    <x v="6"/>
    <s v="Outlier"/>
  </r>
  <r>
    <n v="55920"/>
    <n v="769"/>
    <x v="3"/>
    <d v="2023-02-07T23:14:00"/>
    <s v="Other"/>
    <s v="Julie Young"/>
    <n v="9946"/>
    <d v="2023-02-07T00:00:00"/>
    <x v="70"/>
    <x v="5"/>
    <x v="2"/>
    <s v="Outlier"/>
  </r>
  <r>
    <n v="56130"/>
    <n v="1446"/>
    <x v="7"/>
    <d v="2023-08-30T23:29:00"/>
    <s v="Website"/>
    <s v="Julie Brown"/>
    <n v="9631"/>
    <d v="2023-08-30T00:00:00"/>
    <x v="71"/>
    <x v="8"/>
    <x v="4"/>
    <s v="Outlier"/>
  </r>
  <r>
    <n v="56703"/>
    <n v="381"/>
    <x v="2"/>
    <d v="2023-10-05T00:22:00"/>
    <s v="Whatsapp"/>
    <s v="Juri Hirano"/>
    <n v="3490"/>
    <d v="2023-10-05T00:00:00"/>
    <x v="54"/>
    <x v="3"/>
    <x v="3"/>
    <s v="Outlier"/>
  </r>
  <r>
    <n v="57478"/>
    <n v="1004"/>
    <x v="0"/>
    <d v="2023-02-06T00:03:00"/>
    <s v="Other"/>
    <s v="Martine Rance"/>
    <n v="7689"/>
    <d v="2023-02-06T00:00:00"/>
    <x v="72"/>
    <x v="5"/>
    <x v="5"/>
    <s v="Outlier"/>
  </r>
  <r>
    <n v="57568"/>
    <n v="464"/>
    <x v="2"/>
    <d v="2023-03-21T00:54:00"/>
    <s v="Website"/>
    <s v="Veysel Oeztan"/>
    <n v="5877"/>
    <d v="2023-03-21T00:00:00"/>
    <x v="73"/>
    <x v="4"/>
    <x v="2"/>
    <s v="Outlier"/>
  </r>
  <r>
    <n v="57650"/>
    <n v="1542"/>
    <x v="3"/>
    <d v="2023-10-28T00:04:00"/>
    <s v="Whatsapp"/>
    <s v="Julie Murphy"/>
    <n v="1231"/>
    <d v="2023-10-28T00:00:00"/>
    <x v="64"/>
    <x v="3"/>
    <x v="1"/>
    <s v="Outlier"/>
  </r>
  <r>
    <n v="58309"/>
    <n v="479"/>
    <x v="10"/>
    <d v="2023-01-12T23:35:00"/>
    <s v="Website"/>
    <s v="Mory Kentary"/>
    <n v="9668"/>
    <d v="2023-01-12T00:00:00"/>
    <x v="74"/>
    <x v="9"/>
    <x v="3"/>
    <s v="Outlier"/>
  </r>
  <r>
    <n v="58546"/>
    <n v="1218"/>
    <x v="0"/>
    <d v="2023-07-21T00:11:00"/>
    <s v="Other"/>
    <s v="Peter Ferguson"/>
    <n v="736"/>
    <d v="2023-07-21T00:00:00"/>
    <x v="10"/>
    <x v="6"/>
    <x v="0"/>
    <s v="Outlier"/>
  </r>
  <r>
    <n v="59723"/>
    <n v="1606"/>
    <x v="3"/>
    <d v="2023-11-05T01:05:00"/>
    <s v="Other"/>
    <s v="Michael Frick"/>
    <n v="3606"/>
    <d v="2023-11-05T00:00:00"/>
    <x v="12"/>
    <x v="2"/>
    <x v="6"/>
    <s v="Outlier"/>
  </r>
  <r>
    <n v="60635"/>
    <n v="723"/>
    <x v="13"/>
    <d v="2023-01-13T00:07:00"/>
    <s v="Other"/>
    <s v="William Brown"/>
    <n v="2575"/>
    <d v="2023-01-13T00:00:00"/>
    <x v="34"/>
    <x v="9"/>
    <x v="0"/>
    <s v="Outlier"/>
  </r>
  <r>
    <n v="60770"/>
    <n v="1934"/>
    <x v="4"/>
    <d v="2023-01-06T00:47:00"/>
    <s v="App"/>
    <s v="Julie King"/>
    <n v="7606"/>
    <d v="2023-01-06T00:00:00"/>
    <x v="75"/>
    <x v="9"/>
    <x v="0"/>
    <s v="Outlier"/>
  </r>
  <r>
    <n v="60781"/>
    <n v="353"/>
    <x v="3"/>
    <d v="2023-10-26T01:40:00"/>
    <s v="App"/>
    <s v="Janine Labrune"/>
    <n v="936"/>
    <d v="2023-10-26T00:00:00"/>
    <x v="76"/>
    <x v="3"/>
    <x v="3"/>
    <s v="Outlier"/>
  </r>
  <r>
    <n v="61005"/>
    <n v="480"/>
    <x v="10"/>
    <d v="2023-01-02T00:46:00"/>
    <s v="Other"/>
    <s v="Marta Hernandez"/>
    <n v="7727"/>
    <d v="2023-01-02T00:00:00"/>
    <x v="77"/>
    <x v="9"/>
    <x v="5"/>
    <s v="Outlier"/>
  </r>
  <r>
    <n v="61504"/>
    <n v="260"/>
    <x v="0"/>
    <d v="2023-12-26T00:32:00"/>
    <s v="App"/>
    <s v="Matti Karttunen"/>
    <n v="7129"/>
    <d v="2023-12-26T00:00:00"/>
    <x v="58"/>
    <x v="0"/>
    <x v="2"/>
    <s v="Outlier"/>
  </r>
  <r>
    <n v="61520"/>
    <n v="1870"/>
    <x v="0"/>
    <d v="2023-06-22T23:37:00"/>
    <s v="Whatsapp"/>
    <s v="Steve Frick"/>
    <n v="3077"/>
    <d v="2023-06-22T00:00:00"/>
    <x v="78"/>
    <x v="7"/>
    <x v="3"/>
    <s v="Outlier"/>
  </r>
  <r>
    <n v="63153"/>
    <n v="765"/>
    <x v="8"/>
    <d v="2023-03-28T23:27:00"/>
    <s v="Whatsapp"/>
    <s v="Kyung Yu"/>
    <n v="5427"/>
    <d v="2023-03-28T00:00:00"/>
    <x v="79"/>
    <x v="4"/>
    <x v="2"/>
    <s v="Outlier"/>
  </r>
  <r>
    <n v="64461"/>
    <n v="1755"/>
    <x v="4"/>
    <d v="2023-03-21T23:38:00"/>
    <s v="Whatsapp"/>
    <s v="Kwai Yu"/>
    <n v="7725"/>
    <d v="2023-03-21T00:00:00"/>
    <x v="80"/>
    <x v="4"/>
    <x v="2"/>
    <s v="Outlier"/>
  </r>
  <r>
    <n v="66118"/>
    <n v="1425"/>
    <x v="6"/>
    <d v="2023-02-25T00:11:00"/>
    <s v="Other"/>
    <s v="Akiko Shimamura"/>
    <n v="1282"/>
    <d v="2023-02-25T00:00:00"/>
    <x v="10"/>
    <x v="5"/>
    <x v="1"/>
    <s v="Outlier"/>
  </r>
  <r>
    <n v="66951"/>
    <n v="342"/>
    <x v="1"/>
    <d v="2023-07-27T00:04:00"/>
    <s v="Whatsapp"/>
    <s v="Juri Hirano"/>
    <n v="7338"/>
    <d v="2023-07-27T00:00:00"/>
    <x v="64"/>
    <x v="6"/>
    <x v="3"/>
    <s v="Outlier"/>
  </r>
  <r>
    <n v="69722"/>
    <n v="571"/>
    <x v="10"/>
    <d v="2023-09-05T00:58:00"/>
    <s v="Website"/>
    <s v="Tony Calaghan"/>
    <n v="1269"/>
    <d v="2023-09-05T00:00:00"/>
    <x v="28"/>
    <x v="10"/>
    <x v="2"/>
    <s v="Outlier"/>
  </r>
  <r>
    <n v="69918"/>
    <n v="1378"/>
    <x v="4"/>
    <d v="2023-03-07T00:09:00"/>
    <s v="App"/>
    <s v="Violeta Benitez"/>
    <n v="8657"/>
    <d v="2023-03-07T00:00:00"/>
    <x v="81"/>
    <x v="4"/>
    <x v="2"/>
    <s v="Outlier"/>
  </r>
  <r>
    <n v="69942"/>
    <n v="1070"/>
    <x v="5"/>
    <d v="2023-12-13T22:59:00"/>
    <s v="Website"/>
    <s v="Elizabeth Devon"/>
    <n v="3418"/>
    <d v="2023-12-13T00:00:00"/>
    <x v="25"/>
    <x v="0"/>
    <x v="4"/>
    <s v="Outlier"/>
  </r>
  <r>
    <n v="70005"/>
    <n v="1014"/>
    <x v="1"/>
    <d v="2023-06-09T00:05:00"/>
    <s v="App"/>
    <s v="Diego Freyre"/>
    <n v="3582"/>
    <d v="2023-06-09T00:00:00"/>
    <x v="48"/>
    <x v="7"/>
    <x v="0"/>
    <s v="Outlier"/>
  </r>
  <r>
    <n v="70020"/>
    <n v="1811"/>
    <x v="0"/>
    <d v="2023-01-17T00:07:00"/>
    <s v="App"/>
    <s v="Jytte Petersen"/>
    <n v="7484"/>
    <d v="2023-01-17T00:00:00"/>
    <x v="34"/>
    <x v="9"/>
    <x v="2"/>
    <s v="Outlier"/>
  </r>
  <r>
    <n v="71722"/>
    <n v="1420"/>
    <x v="0"/>
    <d v="2023-09-15T00:34:00"/>
    <s v="App"/>
    <s v="Georg Pipps"/>
    <n v="8556"/>
    <d v="2023-09-15T00:00:00"/>
    <x v="21"/>
    <x v="10"/>
    <x v="0"/>
    <s v="Outlier"/>
  </r>
  <r>
    <n v="72556"/>
    <n v="89"/>
    <x v="2"/>
    <d v="2023-07-13T02:12:00"/>
    <s v="Website"/>
    <s v="Ann Brown"/>
    <n v="427"/>
    <d v="2023-07-13T00:00:00"/>
    <x v="82"/>
    <x v="6"/>
    <x v="3"/>
    <s v="Outlier"/>
  </r>
  <r>
    <n v="73057"/>
    <n v="306"/>
    <x v="1"/>
    <d v="2023-11-07T00:55:00"/>
    <s v="App"/>
    <s v="Wing C Tam"/>
    <n v="7936"/>
    <d v="2023-11-07T00:00:00"/>
    <x v="44"/>
    <x v="2"/>
    <x v="2"/>
    <s v="Outlier"/>
  </r>
  <r>
    <n v="73293"/>
    <n v="128"/>
    <x v="0"/>
    <d v="2023-12-12T01:23:00"/>
    <s v="App"/>
    <s v="Matti Karttunen"/>
    <n v="7868"/>
    <d v="2023-12-12T00:00:00"/>
    <x v="83"/>
    <x v="0"/>
    <x v="2"/>
    <s v="Outlier"/>
  </r>
  <r>
    <n v="73642"/>
    <n v="1519"/>
    <x v="4"/>
    <d v="2023-09-25T01:16:00"/>
    <s v="Whatsapp"/>
    <s v="Maria Larsson"/>
    <n v="3758"/>
    <d v="2023-09-25T00:00:00"/>
    <x v="84"/>
    <x v="10"/>
    <x v="5"/>
    <s v="Outlier"/>
  </r>
  <r>
    <n v="73914"/>
    <n v="1772"/>
    <x v="0"/>
    <d v="2023-06-23T00:44:00"/>
    <s v="Other"/>
    <s v="Annette Roulet"/>
    <n v="8306"/>
    <d v="2023-06-23T00:00:00"/>
    <x v="85"/>
    <x v="7"/>
    <x v="0"/>
    <s v="Outlier"/>
  </r>
  <r>
    <n v="74485"/>
    <n v="1247"/>
    <x v="0"/>
    <d v="2023-12-14T00:20:00"/>
    <s v="App"/>
    <s v="Thomas Hardy"/>
    <n v="4523"/>
    <d v="2023-12-14T00:00:00"/>
    <x v="68"/>
    <x v="0"/>
    <x v="3"/>
    <s v="Outlier"/>
  </r>
  <r>
    <n v="74526"/>
    <n v="1489"/>
    <x v="4"/>
    <d v="2023-12-13T01:41:00"/>
    <s v="Website"/>
    <s v="Eduardo Saavedra"/>
    <n v="1132"/>
    <d v="2023-12-13T00:00:00"/>
    <x v="86"/>
    <x v="0"/>
    <x v="4"/>
    <s v="Outlier"/>
  </r>
  <r>
    <n v="75315"/>
    <n v="1291"/>
    <x v="0"/>
    <d v="2023-07-31T00:47:00"/>
    <s v="Website"/>
    <s v="Michael Chandler"/>
    <n v="7931"/>
    <d v="2023-07-31T00:00:00"/>
    <x v="75"/>
    <x v="6"/>
    <x v="5"/>
    <s v="Outlier"/>
  </r>
  <r>
    <n v="75706"/>
    <n v="737"/>
    <x v="1"/>
    <d v="2023-04-05T23:51:00"/>
    <s v="Website"/>
    <s v="Valarie Thompson"/>
    <n v="989"/>
    <d v="2023-04-05T00:00:00"/>
    <x v="87"/>
    <x v="1"/>
    <x v="4"/>
    <s v="Outlier"/>
  </r>
  <r>
    <n v="76181"/>
    <n v="773"/>
    <x v="0"/>
    <d v="2023-10-21T00:48:00"/>
    <s v="Whatsapp"/>
    <s v="Kwai Yu"/>
    <n v="2221"/>
    <d v="2023-10-21T00:00:00"/>
    <x v="88"/>
    <x v="3"/>
    <x v="1"/>
    <s v="Outlier"/>
  </r>
  <r>
    <n v="78613"/>
    <n v="784"/>
    <x v="0"/>
    <d v="2023-03-14T00:02:00"/>
    <s v="Whatsapp"/>
    <s v="Jean Fresnisre"/>
    <n v="6104"/>
    <d v="2023-03-14T00:00:00"/>
    <x v="89"/>
    <x v="4"/>
    <x v="2"/>
    <s v="Outlier"/>
  </r>
  <r>
    <n v="79407"/>
    <n v="1784"/>
    <x v="0"/>
    <d v="2023-08-08T22:39:00"/>
    <s v="Whatsapp"/>
    <s v="Catherine Dewey"/>
    <n v="8067"/>
    <d v="2023-08-08T00:00:00"/>
    <x v="90"/>
    <x v="8"/>
    <x v="2"/>
    <s v="Outlier"/>
  </r>
  <r>
    <n v="80630"/>
    <n v="748"/>
    <x v="0"/>
    <d v="2023-05-13T23:32:00"/>
    <s v="Whatsapp"/>
    <s v="Elizabeth Lincoln"/>
    <n v="62"/>
    <d v="2023-05-13T00:00:00"/>
    <x v="91"/>
    <x v="11"/>
    <x v="1"/>
    <s v="Outlier"/>
  </r>
  <r>
    <n v="80707"/>
    <n v="1993"/>
    <x v="0"/>
    <d v="2023-12-09T01:09:00"/>
    <s v="App"/>
    <s v="Juri Yoshido"/>
    <n v="2966"/>
    <d v="2023-12-09T00:00:00"/>
    <x v="92"/>
    <x v="0"/>
    <x v="1"/>
    <s v="Outlier"/>
  </r>
  <r>
    <n v="81061"/>
    <n v="676"/>
    <x v="1"/>
    <d v="2023-03-30T00:28:00"/>
    <s v="Website"/>
    <s v="Francisca Cervantes"/>
    <n v="4219"/>
    <d v="2023-03-30T00:00:00"/>
    <x v="39"/>
    <x v="4"/>
    <x v="3"/>
    <s v="Outlier"/>
  </r>
  <r>
    <n v="81431"/>
    <n v="508"/>
    <x v="11"/>
    <d v="2023-07-15T00:39:00"/>
    <s v="App"/>
    <s v="Helen Bennett"/>
    <n v="9101"/>
    <d v="2023-07-15T00:00:00"/>
    <x v="11"/>
    <x v="6"/>
    <x v="1"/>
    <s v="Outlier"/>
  </r>
  <r>
    <n v="82314"/>
    <n v="1242"/>
    <x v="4"/>
    <d v="2023-12-21T00:51:00"/>
    <s v="App"/>
    <s v="Jonas Bergulfsen"/>
    <n v="9870"/>
    <d v="2023-12-21T00:00:00"/>
    <x v="93"/>
    <x v="0"/>
    <x v="3"/>
    <s v="Outlier"/>
  </r>
  <r>
    <n v="82480"/>
    <n v="1899"/>
    <x v="0"/>
    <d v="2023-02-11T23:52:00"/>
    <s v="Website"/>
    <s v="Maria Hernandez"/>
    <n v="3220"/>
    <d v="2023-02-11T00:00:00"/>
    <x v="94"/>
    <x v="5"/>
    <x v="1"/>
    <s v="Outlier"/>
  </r>
  <r>
    <n v="82755"/>
    <n v="689"/>
    <x v="3"/>
    <d v="2023-11-02T01:19:00"/>
    <s v="App"/>
    <s v="Diego Freyre"/>
    <n v="5551"/>
    <d v="2023-11-02T00:00:00"/>
    <x v="95"/>
    <x v="2"/>
    <x v="3"/>
    <s v="Outlier"/>
  </r>
  <r>
    <n v="83365"/>
    <n v="829"/>
    <x v="0"/>
    <d v="2023-05-05T23:58:00"/>
    <s v="Whatsapp"/>
    <s v="Paul Henriot"/>
    <n v="7937"/>
    <d v="2023-05-05T00:00:00"/>
    <x v="96"/>
    <x v="11"/>
    <x v="0"/>
    <s v="Outlier"/>
  </r>
  <r>
    <n v="83818"/>
    <n v="827"/>
    <x v="5"/>
    <d v="2023-04-17T00:40:00"/>
    <s v="App"/>
    <s v="Pirkko Koskitalo"/>
    <n v="7643"/>
    <d v="2023-04-17T00:00:00"/>
    <x v="51"/>
    <x v="1"/>
    <x v="5"/>
    <s v="Outlier"/>
  </r>
  <r>
    <n v="84351"/>
    <n v="1331"/>
    <x v="0"/>
    <d v="2023-04-19T00:13:00"/>
    <s v="Whatsapp"/>
    <s v="Julie Brown"/>
    <n v="4824"/>
    <d v="2023-04-19T00:00:00"/>
    <x v="97"/>
    <x v="1"/>
    <x v="4"/>
    <s v="Outlier"/>
  </r>
  <r>
    <n v="85001"/>
    <n v="266"/>
    <x v="0"/>
    <d v="2023-11-12T01:08:00"/>
    <s v="Whatsapp"/>
    <s v="Daniel Da Cunha"/>
    <n v="9796"/>
    <d v="2023-11-12T00:00:00"/>
    <x v="37"/>
    <x v="2"/>
    <x v="6"/>
    <s v="Outlier"/>
  </r>
  <r>
    <n v="85142"/>
    <n v="1794"/>
    <x v="6"/>
    <d v="2023-02-19T02:16:00"/>
    <s v="Website"/>
    <s v="Sue Frick"/>
    <n v="1569"/>
    <d v="2023-02-19T00:00:00"/>
    <x v="98"/>
    <x v="5"/>
    <x v="6"/>
    <s v="Outlier"/>
  </r>
  <r>
    <n v="85195"/>
    <n v="1954"/>
    <x v="10"/>
    <d v="2023-10-27T23:34:00"/>
    <s v="Whatsapp"/>
    <s v="Juri Yoshido"/>
    <n v="1860"/>
    <d v="2023-10-27T00:00:00"/>
    <x v="99"/>
    <x v="3"/>
    <x v="0"/>
    <s v="Outlier"/>
  </r>
  <r>
    <n v="85703"/>
    <n v="142"/>
    <x v="1"/>
    <d v="2023-01-05T23:47:00"/>
    <s v="App"/>
    <s v="Jonas Bergulfsen"/>
    <n v="3427"/>
    <d v="2023-01-05T00:00:00"/>
    <x v="100"/>
    <x v="9"/>
    <x v="3"/>
    <s v="Outlier"/>
  </r>
  <r>
    <n v="85897"/>
    <n v="948"/>
    <x v="10"/>
    <d v="2023-01-29T23:39:00"/>
    <s v="Website"/>
    <s v="Marie Bertrand"/>
    <n v="4650"/>
    <d v="2023-01-29T00:00:00"/>
    <x v="101"/>
    <x v="9"/>
    <x v="6"/>
    <s v="Outlier"/>
  </r>
  <r>
    <n v="86258"/>
    <n v="726"/>
    <x v="0"/>
    <d v="2023-11-23T01:53:00"/>
    <s v="App"/>
    <s v="Mart¡n Sommer"/>
    <n v="6129"/>
    <d v="2023-11-23T00:00:00"/>
    <x v="102"/>
    <x v="2"/>
    <x v="3"/>
    <s v="Outlier"/>
  </r>
  <r>
    <n v="88069"/>
    <n v="61"/>
    <x v="4"/>
    <d v="2023-01-26T01:29:00"/>
    <s v="Other"/>
    <s v="Juri Hirano"/>
    <n v="8410"/>
    <d v="2023-01-26T00:00:00"/>
    <x v="103"/>
    <x v="9"/>
    <x v="3"/>
    <s v="Outlier"/>
  </r>
  <r>
    <n v="88156"/>
    <n v="719"/>
    <x v="8"/>
    <d v="2023-12-14T01:07:00"/>
    <s v="Other"/>
    <s v="Eric Natividad"/>
    <n v="9836"/>
    <d v="2023-12-14T00:00:00"/>
    <x v="31"/>
    <x v="0"/>
    <x v="3"/>
    <s v="Outlier"/>
  </r>
  <r>
    <n v="89811"/>
    <n v="1007"/>
    <x v="0"/>
    <d v="2023-07-30T23:40:00"/>
    <s v="Website"/>
    <s v="Roland Mendel"/>
    <n v="3761"/>
    <d v="2023-07-30T00:00:00"/>
    <x v="1"/>
    <x v="6"/>
    <x v="6"/>
    <s v="Outlier"/>
  </r>
  <r>
    <n v="89864"/>
    <n v="1150"/>
    <x v="0"/>
    <d v="2023-10-16T01:51:00"/>
    <s v="Other"/>
    <s v="Ann Brown"/>
    <n v="8022"/>
    <d v="2023-10-16T00:00:00"/>
    <x v="104"/>
    <x v="3"/>
    <x v="5"/>
    <s v="Outlier"/>
  </r>
  <r>
    <n v="92317"/>
    <n v="820"/>
    <x v="2"/>
    <d v="2023-02-10T01:26:00"/>
    <s v="Website"/>
    <s v="Francisca Cervantes"/>
    <n v="6790"/>
    <d v="2023-02-10T00:00:00"/>
    <x v="65"/>
    <x v="5"/>
    <x v="0"/>
    <s v="Outlier"/>
  </r>
  <r>
    <n v="93408"/>
    <n v="1804"/>
    <x v="6"/>
    <d v="2023-11-05T22:54:00"/>
    <s v="App"/>
    <s v="Mary Saveley"/>
    <n v="6323"/>
    <d v="2023-11-05T00:00:00"/>
    <x v="105"/>
    <x v="2"/>
    <x v="6"/>
    <s v="Outlier"/>
  </r>
  <r>
    <n v="94344"/>
    <n v="1122"/>
    <x v="7"/>
    <d v="2023-03-14T00:49:00"/>
    <s v="Whatsapp"/>
    <s v="Valarie Franco"/>
    <n v="5649"/>
    <d v="2023-03-14T00:00:00"/>
    <x v="35"/>
    <x v="4"/>
    <x v="2"/>
    <s v="Outlier"/>
  </r>
  <r>
    <n v="94709"/>
    <n v="991"/>
    <x v="0"/>
    <d v="2023-05-15T22:36:00"/>
    <s v="Website"/>
    <s v="Wendy Victorino"/>
    <n v="1850"/>
    <d v="2023-05-15T00:00:00"/>
    <x v="106"/>
    <x v="11"/>
    <x v="5"/>
    <s v="Outlier"/>
  </r>
  <r>
    <n v="95054"/>
    <n v="1666"/>
    <x v="4"/>
    <d v="2023-06-10T00:40:00"/>
    <s v="Other"/>
    <s v="Valarie Nelson"/>
    <n v="2320"/>
    <d v="2023-06-10T00:00:00"/>
    <x v="51"/>
    <x v="7"/>
    <x v="1"/>
    <s v="Outlier"/>
  </r>
  <r>
    <n v="95500"/>
    <n v="158"/>
    <x v="0"/>
    <d v="2023-03-25T00:51:00"/>
    <s v="Whatsapp"/>
    <s v="Leslie Murphy"/>
    <n v="7674"/>
    <d v="2023-03-25T00:00:00"/>
    <x v="93"/>
    <x v="4"/>
    <x v="1"/>
    <s v="Outlier"/>
  </r>
  <r>
    <n v="95657"/>
    <n v="985"/>
    <x v="0"/>
    <d v="2023-05-12T23:40:00"/>
    <s v="Other"/>
    <s v="Wendy Victorino"/>
    <n v="8990"/>
    <d v="2023-05-12T00:00:00"/>
    <x v="1"/>
    <x v="11"/>
    <x v="0"/>
    <s v="Outlier"/>
  </r>
  <r>
    <n v="98453"/>
    <n v="1169"/>
    <x v="3"/>
    <d v="2023-04-29T00:10:00"/>
    <s v="Whatsapp"/>
    <s v="Adrian Huxley"/>
    <n v="2261"/>
    <d v="2023-04-29T00:00:00"/>
    <x v="107"/>
    <x v="1"/>
    <x v="1"/>
    <s v="Outlier"/>
  </r>
  <r>
    <n v="98856"/>
    <n v="129"/>
    <x v="0"/>
    <d v="2023-11-09T00:10:00"/>
    <s v="Website"/>
    <s v="Kyung Yu"/>
    <n v="7750"/>
    <d v="2023-11-09T00:00:00"/>
    <x v="107"/>
    <x v="2"/>
    <x v="3"/>
    <s v="Outlier"/>
  </r>
  <r>
    <n v="98968"/>
    <n v="215"/>
    <x v="0"/>
    <d v="2023-01-23T00:13:00"/>
    <s v="App"/>
    <s v="Maria Larsson"/>
    <n v="2161"/>
    <d v="2023-01-23T00:00:00"/>
    <x v="97"/>
    <x v="9"/>
    <x v="5"/>
    <s v="Outlier"/>
  </r>
  <r>
    <n v="99495"/>
    <n v="1957"/>
    <x v="0"/>
    <d v="2023-03-16T23:31:00"/>
    <s v="Website"/>
    <s v="Marta Hernandez"/>
    <n v="1403"/>
    <d v="2023-03-16T00:00:00"/>
    <x v="57"/>
    <x v="4"/>
    <x v="3"/>
    <s v="Outlier"/>
  </r>
  <r>
    <n v="101471"/>
    <n v="584"/>
    <x v="0"/>
    <d v="2023-11-25T01:12:00"/>
    <s v="Other"/>
    <s v="Yoshi Tannamuri"/>
    <n v="9105"/>
    <d v="2023-11-25T00:00:00"/>
    <x v="52"/>
    <x v="2"/>
    <x v="1"/>
    <s v="Outlier"/>
  </r>
  <r>
    <n v="101807"/>
    <n v="1181"/>
    <x v="5"/>
    <d v="2023-11-02T00:27:00"/>
    <s v="Whatsapp"/>
    <s v="Valarie Young"/>
    <n v="3541"/>
    <d v="2023-11-02T00:00:00"/>
    <x v="108"/>
    <x v="2"/>
    <x v="3"/>
    <s v="Outlier"/>
  </r>
  <r>
    <n v="101815"/>
    <n v="520"/>
    <x v="4"/>
    <d v="2023-09-18T01:37:00"/>
    <s v="Whatsapp"/>
    <s v="Christina Berglund"/>
    <n v="5420"/>
    <d v="2023-09-18T00:00:00"/>
    <x v="109"/>
    <x v="10"/>
    <x v="5"/>
    <s v="Outlier"/>
  </r>
  <r>
    <n v="102053"/>
    <n v="1739"/>
    <x v="4"/>
    <d v="2023-08-17T23:19:00"/>
    <s v="Other"/>
    <s v="Peter Ferguson"/>
    <n v="3746"/>
    <d v="2023-08-17T00:00:00"/>
    <x v="24"/>
    <x v="8"/>
    <x v="3"/>
    <s v="Outlier"/>
  </r>
  <r>
    <n v="102252"/>
    <n v="1812"/>
    <x v="4"/>
    <d v="2023-11-08T00:23:00"/>
    <s v="App"/>
    <s v="Valarie Nelson"/>
    <n v="2944"/>
    <d v="2023-11-08T00:00:00"/>
    <x v="6"/>
    <x v="2"/>
    <x v="4"/>
    <s v="Outlier"/>
  </r>
  <r>
    <n v="102931"/>
    <n v="1185"/>
    <x v="6"/>
    <d v="2023-06-15T22:57:00"/>
    <s v="Whatsapp"/>
    <s v="Anna O'Hara"/>
    <n v="3433"/>
    <d v="2023-06-15T00:00:00"/>
    <x v="110"/>
    <x v="7"/>
    <x v="3"/>
    <s v="Outlier"/>
  </r>
  <r>
    <n v="103462"/>
    <n v="1280"/>
    <x v="0"/>
    <d v="2023-10-13T00:35:00"/>
    <s v="Whatsapp"/>
    <s v="Julie Brown"/>
    <n v="9693"/>
    <d v="2023-10-13T00:00:00"/>
    <x v="67"/>
    <x v="3"/>
    <x v="0"/>
    <s v="Outlier"/>
  </r>
  <r>
    <n v="103711"/>
    <n v="1972"/>
    <x v="0"/>
    <d v="2023-06-14T00:45:00"/>
    <s v="Website"/>
    <s v="Anna O'Hara"/>
    <n v="9524"/>
    <d v="2023-06-14T00:00:00"/>
    <x v="29"/>
    <x v="7"/>
    <x v="4"/>
    <s v="Outlier"/>
  </r>
  <r>
    <n v="103812"/>
    <n v="1047"/>
    <x v="2"/>
    <d v="2023-12-13T00:30:00"/>
    <s v="Website"/>
    <s v="Jean Fresnisre"/>
    <n v="3954"/>
    <d v="2023-12-13T00:00:00"/>
    <x v="111"/>
    <x v="0"/>
    <x v="4"/>
    <s v="Outlier"/>
  </r>
  <r>
    <n v="104755"/>
    <n v="1663"/>
    <x v="9"/>
    <d v="2023-05-20T00:43:00"/>
    <s v="Other"/>
    <s v="Janine Labrune"/>
    <n v="4423"/>
    <d v="2023-05-20T00:00:00"/>
    <x v="112"/>
    <x v="11"/>
    <x v="1"/>
    <s v="Outlier"/>
  </r>
  <r>
    <n v="105735"/>
    <n v="1793"/>
    <x v="3"/>
    <d v="2023-11-24T01:51:00"/>
    <s v="App"/>
    <s v="Arnold Cruz"/>
    <n v="5861"/>
    <d v="2023-11-24T00:00:00"/>
    <x v="104"/>
    <x v="2"/>
    <x v="0"/>
    <s v="Outlier"/>
  </r>
  <r>
    <n v="106294"/>
    <n v="1011"/>
    <x v="3"/>
    <d v="2023-04-04T22:59:00"/>
    <s v="Whatsapp"/>
    <s v="Laurence Lebihan"/>
    <n v="4430"/>
    <d v="2023-04-04T00:00:00"/>
    <x v="25"/>
    <x v="1"/>
    <x v="2"/>
    <s v="Outlier"/>
  </r>
  <r>
    <n v="106529"/>
    <n v="723"/>
    <x v="13"/>
    <d v="2023-01-27T00:01:00"/>
    <s v="Other"/>
    <s v="Valarie Nelson"/>
    <n v="6130"/>
    <d v="2023-01-27T00:00:00"/>
    <x v="63"/>
    <x v="9"/>
    <x v="0"/>
    <s v="Outlier"/>
  </r>
  <r>
    <n v="108586"/>
    <n v="1584"/>
    <x v="0"/>
    <d v="2023-04-03T02:26:00"/>
    <s v="Other"/>
    <s v="Allen Nelson"/>
    <n v="4335"/>
    <d v="2023-04-03T00:00:00"/>
    <x v="113"/>
    <x v="1"/>
    <x v="5"/>
    <s v="Outlier"/>
  </r>
  <r>
    <n v="109103"/>
    <n v="856"/>
    <x v="0"/>
    <d v="2023-03-01T23:29:00"/>
    <s v="App"/>
    <s v="Julie Brown"/>
    <n v="936"/>
    <d v="2023-03-01T00:00:00"/>
    <x v="71"/>
    <x v="4"/>
    <x v="4"/>
    <s v="Outlier"/>
  </r>
  <r>
    <n v="109547"/>
    <n v="1223"/>
    <x v="0"/>
    <d v="2023-02-08T00:10:00"/>
    <s v="App"/>
    <s v="Anna O'Hara"/>
    <n v="719"/>
    <d v="2023-02-08T00:00:00"/>
    <x v="107"/>
    <x v="5"/>
    <x v="4"/>
    <s v="Outlier"/>
  </r>
  <r>
    <n v="110341"/>
    <n v="1628"/>
    <x v="0"/>
    <d v="2023-04-29T00:55:00"/>
    <s v="Website"/>
    <s v="Veysel Oeztan"/>
    <n v="1411"/>
    <d v="2023-04-29T00:00:00"/>
    <x v="44"/>
    <x v="1"/>
    <x v="1"/>
    <s v="Outlier"/>
  </r>
  <r>
    <n v="111992"/>
    <n v="1515"/>
    <x v="0"/>
    <d v="2023-03-26T23:02:00"/>
    <s v="App"/>
    <s v="Henriette Pfalzheim"/>
    <n v="9312"/>
    <d v="2023-03-26T00:00:00"/>
    <x v="114"/>
    <x v="4"/>
    <x v="6"/>
    <s v="Outlier"/>
  </r>
  <r>
    <n v="112219"/>
    <n v="1857"/>
    <x v="3"/>
    <d v="2023-05-19T23:07:00"/>
    <s v="Whatsapp"/>
    <s v="Diego Freyre"/>
    <n v="7425"/>
    <d v="2023-05-19T00:00:00"/>
    <x v="40"/>
    <x v="11"/>
    <x v="0"/>
    <s v="Outlier"/>
  </r>
  <r>
    <n v="112565"/>
    <n v="1485"/>
    <x v="4"/>
    <d v="2023-04-25T00:24:00"/>
    <s v="Website"/>
    <s v="Dominique Perrier"/>
    <n v="6159"/>
    <d v="2023-04-25T00:00:00"/>
    <x v="115"/>
    <x v="1"/>
    <x v="2"/>
    <s v="Outlier"/>
  </r>
  <r>
    <n v="112919"/>
    <n v="1262"/>
    <x v="0"/>
    <d v="2023-08-03T00:09:00"/>
    <s v="Other"/>
    <s v="Michael Holz"/>
    <n v="3155"/>
    <d v="2023-08-03T00:00:00"/>
    <x v="81"/>
    <x v="8"/>
    <x v="3"/>
    <s v="Outlier"/>
  </r>
  <r>
    <n v="113132"/>
    <n v="211"/>
    <x v="3"/>
    <d v="2023-12-06T23:57:00"/>
    <s v="Whatsapp"/>
    <s v="Jytte Petersen"/>
    <n v="2270"/>
    <d v="2023-12-06T00:00:00"/>
    <x v="116"/>
    <x v="0"/>
    <x v="4"/>
    <s v="Outlier"/>
  </r>
  <r>
    <n v="113406"/>
    <n v="1911"/>
    <x v="6"/>
    <d v="2023-03-02T01:48:00"/>
    <s v="Other"/>
    <s v="Elizabeth Devon"/>
    <n v="2500"/>
    <d v="2023-03-02T00:00:00"/>
    <x v="46"/>
    <x v="4"/>
    <x v="3"/>
    <s v="Outlier"/>
  </r>
  <r>
    <n v="114309"/>
    <n v="139"/>
    <x v="0"/>
    <d v="2023-06-25T01:42:00"/>
    <s v="Other"/>
    <s v="Maurizio Moroni"/>
    <n v="5868"/>
    <d v="2023-06-25T00:00:00"/>
    <x v="14"/>
    <x v="7"/>
    <x v="6"/>
    <s v="Outlier"/>
  </r>
  <r>
    <n v="114621"/>
    <n v="501"/>
    <x v="4"/>
    <d v="2023-12-23T23:51:00"/>
    <s v="Whatsapp"/>
    <s v="Miguel Barajas"/>
    <n v="3842"/>
    <d v="2023-12-23T00:00:00"/>
    <x v="87"/>
    <x v="0"/>
    <x v="1"/>
    <s v="Outlier"/>
  </r>
  <r>
    <n v="115590"/>
    <n v="517"/>
    <x v="6"/>
    <d v="2023-02-02T23:52:00"/>
    <s v="Other"/>
    <s v="Michael Holz"/>
    <n v="9953"/>
    <d v="2023-02-02T00:00:00"/>
    <x v="94"/>
    <x v="5"/>
    <x v="3"/>
    <s v="Outlier"/>
  </r>
  <r>
    <n v="116342"/>
    <n v="1210"/>
    <x v="4"/>
    <d v="2023-12-17T00:58:00"/>
    <s v="Other"/>
    <s v="Roland Keitel"/>
    <n v="2323"/>
    <d v="2023-12-17T00:00:00"/>
    <x v="28"/>
    <x v="0"/>
    <x v="6"/>
    <s v="Outlier"/>
  </r>
  <r>
    <n v="118335"/>
    <n v="1715"/>
    <x v="0"/>
    <d v="2023-09-25T00:11:00"/>
    <s v="Other"/>
    <s v="Henriette Pfalzheim"/>
    <n v="477"/>
    <d v="2023-09-25T00:00:00"/>
    <x v="10"/>
    <x v="10"/>
    <x v="5"/>
    <s v="Outlier"/>
  </r>
  <r>
    <n v="118716"/>
    <n v="1599"/>
    <x v="0"/>
    <d v="2023-12-15T00:10:00"/>
    <s v="Other"/>
    <s v="Christina Berglund"/>
    <n v="4765"/>
    <d v="2023-12-15T00:00:00"/>
    <x v="107"/>
    <x v="0"/>
    <x v="0"/>
    <s v="Outlier"/>
  </r>
  <r>
    <n v="118960"/>
    <n v="1265"/>
    <x v="0"/>
    <d v="2023-03-19T00:27:00"/>
    <s v="Website"/>
    <s v="Kwai Yu"/>
    <n v="3942"/>
    <d v="2023-03-19T00:00:00"/>
    <x v="108"/>
    <x v="4"/>
    <x v="6"/>
    <s v="Outlier"/>
  </r>
  <r>
    <n v="120228"/>
    <n v="1795"/>
    <x v="3"/>
    <d v="2023-05-03T01:32:00"/>
    <s v="Whatsapp"/>
    <s v="Georg Pipps"/>
    <n v="5864"/>
    <d v="2023-05-03T00:00:00"/>
    <x v="117"/>
    <x v="11"/>
    <x v="4"/>
    <s v="Outlier"/>
  </r>
  <r>
    <n v="120567"/>
    <n v="1523"/>
    <x v="4"/>
    <d v="2023-06-30T23:33:00"/>
    <s v="Whatsapp"/>
    <s v="Kalle Suominen"/>
    <n v="1876"/>
    <d v="2023-06-30T00:00:00"/>
    <x v="62"/>
    <x v="7"/>
    <x v="0"/>
    <s v="Outlier"/>
  </r>
  <r>
    <n v="122068"/>
    <n v="624"/>
    <x v="6"/>
    <d v="2023-10-01T01:43:00"/>
    <s v="Other"/>
    <s v="Janine Labrune"/>
    <n v="3030"/>
    <d v="2023-10-01T00:00:00"/>
    <x v="118"/>
    <x v="3"/>
    <x v="6"/>
    <s v="Outlier"/>
  </r>
  <r>
    <n v="122492"/>
    <n v="147"/>
    <x v="0"/>
    <d v="2023-07-02T22:41:00"/>
    <s v="App"/>
    <s v="Maria Larsson"/>
    <n v="1788"/>
    <d v="2023-07-02T00:00:00"/>
    <x v="119"/>
    <x v="6"/>
    <x v="6"/>
    <s v="Outlier"/>
  </r>
  <r>
    <n v="123546"/>
    <n v="990"/>
    <x v="7"/>
    <d v="2023-05-16T00:44:00"/>
    <s v="App"/>
    <s v="Georg Pipps"/>
    <n v="9475"/>
    <d v="2023-05-16T00:00:00"/>
    <x v="85"/>
    <x v="11"/>
    <x v="2"/>
    <s v="Outlier"/>
  </r>
  <r>
    <n v="125939"/>
    <n v="213"/>
    <x v="0"/>
    <d v="2023-02-28T00:53:00"/>
    <s v="Whatsapp"/>
    <s v="Jytte Petersen"/>
    <n v="6023"/>
    <d v="2023-02-28T00:00:00"/>
    <x v="36"/>
    <x v="5"/>
    <x v="2"/>
    <s v="Outlier"/>
  </r>
  <r>
    <n v="127157"/>
    <n v="532"/>
    <x v="0"/>
    <d v="2023-02-15T23:57:00"/>
    <s v="App"/>
    <s v="Eric Natividad"/>
    <n v="2367"/>
    <d v="2023-02-15T00:00:00"/>
    <x v="116"/>
    <x v="5"/>
    <x v="4"/>
    <s v="Outlier"/>
  </r>
  <r>
    <n v="127349"/>
    <n v="620"/>
    <x v="5"/>
    <d v="2023-04-11T00:36:00"/>
    <s v="Whatsapp"/>
    <s v="Jeff Young"/>
    <n v="4477"/>
    <d v="2023-04-11T00:00:00"/>
    <x v="120"/>
    <x v="1"/>
    <x v="2"/>
    <s v="Outlier"/>
  </r>
  <r>
    <n v="127352"/>
    <n v="1534"/>
    <x v="0"/>
    <d v="2023-09-12T00:12:00"/>
    <s v="App"/>
    <s v="Valarie Nelson"/>
    <n v="8980"/>
    <d v="2023-09-12T00:00:00"/>
    <x v="19"/>
    <x v="10"/>
    <x v="2"/>
    <s v="Outlier"/>
  </r>
  <r>
    <n v="128831"/>
    <n v="816"/>
    <x v="1"/>
    <d v="2023-11-25T01:04:00"/>
    <s v="Whatsapp"/>
    <s v="Diego Freyre"/>
    <n v="483"/>
    <d v="2023-11-25T00:00:00"/>
    <x v="121"/>
    <x v="2"/>
    <x v="1"/>
    <s v="Outlier"/>
  </r>
  <r>
    <n v="130037"/>
    <n v="765"/>
    <x v="8"/>
    <d v="2023-05-16T01:11:00"/>
    <s v="App"/>
    <s v="Eric Natividad"/>
    <n v="7380"/>
    <d v="2023-05-16T00:00:00"/>
    <x v="122"/>
    <x v="11"/>
    <x v="2"/>
    <s v="Outlier"/>
  </r>
  <r>
    <n v="130805"/>
    <n v="207"/>
    <x v="13"/>
    <d v="2023-07-11T00:15:00"/>
    <s v="App"/>
    <s v="Maurizio Moroni"/>
    <n v="9542"/>
    <d v="2023-07-11T00:00:00"/>
    <x v="123"/>
    <x v="6"/>
    <x v="2"/>
    <s v="Outlier"/>
  </r>
  <r>
    <n v="130920"/>
    <n v="1099"/>
    <x v="3"/>
    <d v="2023-04-19T23:47:00"/>
    <s v="App"/>
    <s v="Wing C Tam"/>
    <n v="5261"/>
    <d v="2023-04-19T00:00:00"/>
    <x v="100"/>
    <x v="1"/>
    <x v="4"/>
    <s v="Outlier"/>
  </r>
  <r>
    <n v="131508"/>
    <n v="140"/>
    <x v="0"/>
    <d v="2023-02-11T00:50:00"/>
    <s v="Website"/>
    <s v="Leslie Murphy"/>
    <n v="2656"/>
    <d v="2023-02-11T00:00:00"/>
    <x v="0"/>
    <x v="5"/>
    <x v="1"/>
    <s v="Outlier"/>
  </r>
  <r>
    <n v="133285"/>
    <n v="516"/>
    <x v="3"/>
    <d v="2023-02-11T01:24:00"/>
    <s v="Other"/>
    <s v="Mary Saveley"/>
    <n v="7837"/>
    <d v="2023-02-11T00:00:00"/>
    <x v="124"/>
    <x v="5"/>
    <x v="1"/>
    <s v="Outlier"/>
  </r>
  <r>
    <n v="133922"/>
    <n v="1441"/>
    <x v="6"/>
    <d v="2023-08-18T00:09:00"/>
    <s v="Other"/>
    <s v="Dean Cassidy"/>
    <n v="4932"/>
    <d v="2023-08-18T00:00:00"/>
    <x v="81"/>
    <x v="8"/>
    <x v="0"/>
    <s v="Outlier"/>
  </r>
  <r>
    <n v="134419"/>
    <n v="628"/>
    <x v="3"/>
    <d v="2023-02-03T22:55:00"/>
    <s v="Website"/>
    <s v="Jesus Fernandez"/>
    <n v="2768"/>
    <d v="2023-02-03T00:00:00"/>
    <x v="125"/>
    <x v="5"/>
    <x v="0"/>
    <s v="Outlier"/>
  </r>
  <r>
    <n v="137231"/>
    <n v="1344"/>
    <x v="4"/>
    <d v="2023-10-17T00:00:00"/>
    <s v="Whatsapp"/>
    <s v="Kalle Suominen"/>
    <n v="6898"/>
    <d v="2023-10-17T00:00:00"/>
    <x v="126"/>
    <x v="3"/>
    <x v="2"/>
    <s v="Outlier"/>
  </r>
  <r>
    <n v="138329"/>
    <n v="1108"/>
    <x v="1"/>
    <d v="2023-07-31T01:10:00"/>
    <s v="App"/>
    <s v="Kyung Yu"/>
    <n v="7219"/>
    <d v="2023-07-31T00:00:00"/>
    <x v="7"/>
    <x v="6"/>
    <x v="5"/>
    <s v="Outlier"/>
  </r>
  <r>
    <n v="139357"/>
    <n v="423"/>
    <x v="5"/>
    <d v="2023-05-18T23:38:00"/>
    <s v="Other"/>
    <s v="Valarie Nelson"/>
    <n v="5563"/>
    <d v="2023-05-18T00:00:00"/>
    <x v="80"/>
    <x v="11"/>
    <x v="3"/>
    <s v="Outlier"/>
  </r>
  <r>
    <n v="139611"/>
    <n v="444"/>
    <x v="4"/>
    <d v="2023-10-21T01:15:00"/>
    <s v="App"/>
    <s v="Paolo Accorti"/>
    <n v="6827"/>
    <d v="2023-10-21T00:00:00"/>
    <x v="127"/>
    <x v="3"/>
    <x v="1"/>
    <s v="Outlier"/>
  </r>
  <r>
    <n v="139755"/>
    <n v="813"/>
    <x v="5"/>
    <d v="2023-07-29T23:31:00"/>
    <s v="Other"/>
    <s v="Victoria Ashworth"/>
    <n v="7305"/>
    <d v="2023-07-29T00:00:00"/>
    <x v="57"/>
    <x v="6"/>
    <x v="1"/>
    <s v="Outlier"/>
  </r>
  <r>
    <n v="140002"/>
    <n v="1848"/>
    <x v="0"/>
    <d v="2023-10-02T00:49:00"/>
    <s v="Whatsapp"/>
    <s v="Palle Ibsen"/>
    <n v="3536"/>
    <d v="2023-10-02T00:00:00"/>
    <x v="35"/>
    <x v="3"/>
    <x v="5"/>
    <s v="Outlier"/>
  </r>
  <r>
    <n v="141004"/>
    <n v="1499"/>
    <x v="0"/>
    <d v="2023-05-17T01:21:00"/>
    <s v="Whatsapp"/>
    <s v="Jonas Bergulfsen"/>
    <n v="9940"/>
    <d v="2023-05-17T00:00:00"/>
    <x v="128"/>
    <x v="11"/>
    <x v="4"/>
    <s v="Outlier"/>
  </r>
  <r>
    <n v="141024"/>
    <n v="1436"/>
    <x v="4"/>
    <d v="2023-03-08T02:00:00"/>
    <s v="Other"/>
    <s v="Marie Bertrand"/>
    <n v="9491"/>
    <d v="2023-03-08T00:00:00"/>
    <x v="23"/>
    <x v="4"/>
    <x v="4"/>
    <s v="Outlier"/>
  </r>
  <r>
    <n v="141306"/>
    <n v="249"/>
    <x v="0"/>
    <d v="2023-01-11T01:46:00"/>
    <s v="Whatsapp"/>
    <s v="Mart¡n Sommer"/>
    <n v="9751"/>
    <d v="2023-01-11T00:00:00"/>
    <x v="129"/>
    <x v="9"/>
    <x v="4"/>
    <s v="Outlier"/>
  </r>
  <r>
    <n v="142160"/>
    <n v="1976"/>
    <x v="4"/>
    <d v="2023-02-14T01:03:00"/>
    <s v="Website"/>
    <s v="Paul Henriot"/>
    <n v="7114"/>
    <d v="2023-02-14T00:00:00"/>
    <x v="130"/>
    <x v="5"/>
    <x v="2"/>
    <s v="Outlier"/>
  </r>
  <r>
    <n v="145440"/>
    <n v="948"/>
    <x v="10"/>
    <d v="2023-08-19T01:19:00"/>
    <s v="Whatsapp"/>
    <s v="Valarie Nelson"/>
    <n v="140"/>
    <d v="2023-08-19T00:00:00"/>
    <x v="95"/>
    <x v="8"/>
    <x v="1"/>
    <s v="Outlier"/>
  </r>
  <r>
    <n v="145667"/>
    <n v="813"/>
    <x v="5"/>
    <d v="2023-08-02T00:13:00"/>
    <s v="Other"/>
    <s v="Valarie Nelson"/>
    <n v="8841"/>
    <d v="2023-08-02T00:00:00"/>
    <x v="97"/>
    <x v="8"/>
    <x v="4"/>
    <s v="Outlier"/>
  </r>
  <r>
    <n v="146599"/>
    <n v="393"/>
    <x v="1"/>
    <d v="2023-05-15T02:07:00"/>
    <s v="Whatsapp"/>
    <s v="Daniel Da Cunha"/>
    <n v="7712"/>
    <d v="2023-05-15T00:00:00"/>
    <x v="131"/>
    <x v="11"/>
    <x v="5"/>
    <s v="Outlier"/>
  </r>
  <r>
    <n v="146917"/>
    <n v="183"/>
    <x v="1"/>
    <d v="2023-02-24T01:46:00"/>
    <s v="Other"/>
    <s v="Julie King"/>
    <n v="2595"/>
    <d v="2023-02-24T00:00:00"/>
    <x v="129"/>
    <x v="5"/>
    <x v="0"/>
    <s v="Outlier"/>
  </r>
  <r>
    <n v="148310"/>
    <n v="625"/>
    <x v="1"/>
    <d v="2023-05-03T00:22:00"/>
    <s v="Other"/>
    <s v="Jonas Bergulfsen"/>
    <n v="2291"/>
    <d v="2023-05-03T00:00:00"/>
    <x v="54"/>
    <x v="11"/>
    <x v="4"/>
    <s v="Outlier"/>
  </r>
  <r>
    <n v="148706"/>
    <n v="188"/>
    <x v="1"/>
    <d v="2023-12-09T23:20:00"/>
    <s v="App"/>
    <s v="Valarie Nelson"/>
    <n v="4301"/>
    <d v="2023-12-09T00:00:00"/>
    <x v="27"/>
    <x v="0"/>
    <x v="1"/>
    <s v="Outlier"/>
  </r>
  <r>
    <n v="149310"/>
    <n v="1734"/>
    <x v="0"/>
    <d v="2023-01-15T01:37:00"/>
    <s v="Other"/>
    <s v="Mart¡n Sommer"/>
    <n v="1340"/>
    <d v="2023-01-15T00:00:00"/>
    <x v="109"/>
    <x v="9"/>
    <x v="6"/>
    <s v="Outlier"/>
  </r>
  <r>
    <n v="149497"/>
    <n v="931"/>
    <x v="0"/>
    <d v="2023-04-10T23:39:00"/>
    <s v="Other"/>
    <s v="Juri Hirano"/>
    <n v="7840"/>
    <d v="2023-04-10T00:00:00"/>
    <x v="101"/>
    <x v="1"/>
    <x v="5"/>
    <s v="Outlier"/>
  </r>
  <r>
    <n v="149877"/>
    <n v="978"/>
    <x v="0"/>
    <d v="2023-01-20T23:29:00"/>
    <s v="Other"/>
    <s v="Eric Natividad"/>
    <n v="5106"/>
    <d v="2023-01-20T00:00:00"/>
    <x v="71"/>
    <x v="9"/>
    <x v="0"/>
    <s v="Outlier"/>
  </r>
  <r>
    <n v="151746"/>
    <n v="718"/>
    <x v="8"/>
    <d v="2023-05-24T01:59:00"/>
    <s v="App"/>
    <s v="Roland Mendel"/>
    <n v="7817"/>
    <d v="2023-05-24T00:00:00"/>
    <x v="132"/>
    <x v="11"/>
    <x v="4"/>
    <s v="Outlier"/>
  </r>
  <r>
    <n v="151991"/>
    <n v="1361"/>
    <x v="4"/>
    <d v="2023-01-23T23:24:00"/>
    <s v="Whatsapp"/>
    <s v="Tony Calaghan"/>
    <n v="1045"/>
    <d v="2023-01-23T00:00:00"/>
    <x v="56"/>
    <x v="9"/>
    <x v="5"/>
    <s v="Outlier"/>
  </r>
  <r>
    <n v="152504"/>
    <n v="280"/>
    <x v="0"/>
    <d v="2023-04-20T01:03:00"/>
    <s v="Whatsapp"/>
    <s v="Francisca Cervantes"/>
    <n v="6681"/>
    <d v="2023-04-20T00:00:00"/>
    <x v="130"/>
    <x v="1"/>
    <x v="3"/>
    <s v="Outlier"/>
  </r>
  <r>
    <n v="152609"/>
    <n v="991"/>
    <x v="0"/>
    <d v="2023-08-12T01:29:00"/>
    <s v="Whatsapp"/>
    <s v="Mary Saveley"/>
    <n v="7294"/>
    <d v="2023-08-12T00:00:00"/>
    <x v="103"/>
    <x v="8"/>
    <x v="1"/>
    <s v="Outlier"/>
  </r>
  <r>
    <n v="152738"/>
    <n v="1099"/>
    <x v="3"/>
    <d v="2023-07-04T00:11:00"/>
    <s v="Website"/>
    <s v="Yoshi Tannamuri"/>
    <n v="177"/>
    <d v="2023-07-04T00:00:00"/>
    <x v="10"/>
    <x v="6"/>
    <x v="2"/>
    <s v="Outlier"/>
  </r>
  <r>
    <n v="152762"/>
    <n v="1015"/>
    <x v="2"/>
    <d v="2023-06-20T22:41:00"/>
    <s v="Website"/>
    <s v="Daniel Tonini"/>
    <n v="9099"/>
    <d v="2023-06-20T00:00:00"/>
    <x v="119"/>
    <x v="7"/>
    <x v="2"/>
    <s v="Outlier"/>
  </r>
  <r>
    <n v="153389"/>
    <n v="1715"/>
    <x v="0"/>
    <d v="2023-10-28T23:21:00"/>
    <s v="App"/>
    <s v="Valarie Nelson"/>
    <n v="2257"/>
    <d v="2023-10-28T00:00:00"/>
    <x v="69"/>
    <x v="3"/>
    <x v="1"/>
    <s v="Outlier"/>
  </r>
  <r>
    <n v="153440"/>
    <n v="1070"/>
    <x v="5"/>
    <d v="2023-11-17T22:50:00"/>
    <s v="App"/>
    <s v="Leslie Murphy"/>
    <n v="5399"/>
    <d v="2023-11-17T00:00:00"/>
    <x v="133"/>
    <x v="2"/>
    <x v="0"/>
    <s v="Outlier"/>
  </r>
  <r>
    <n v="153648"/>
    <n v="1459"/>
    <x v="3"/>
    <d v="2023-10-10T00:55:00"/>
    <s v="Website"/>
    <s v="Akiko Shimamura"/>
    <n v="7435"/>
    <d v="2023-10-10T00:00:00"/>
    <x v="44"/>
    <x v="3"/>
    <x v="2"/>
    <s v="Outlier"/>
  </r>
  <r>
    <n v="153794"/>
    <n v="887"/>
    <x v="0"/>
    <d v="2023-01-14T00:27:00"/>
    <s v="Other"/>
    <s v="Adrian Huxley"/>
    <n v="3781"/>
    <d v="2023-01-14T00:00:00"/>
    <x v="108"/>
    <x v="9"/>
    <x v="1"/>
    <s v="Outlier"/>
  </r>
  <r>
    <n v="155501"/>
    <n v="1703"/>
    <x v="3"/>
    <d v="2023-03-20T23:28:00"/>
    <s v="Whatsapp"/>
    <s v="Kyung Yu"/>
    <n v="2102"/>
    <d v="2023-03-20T00:00:00"/>
    <x v="134"/>
    <x v="4"/>
    <x v="5"/>
    <s v="Outlier"/>
  </r>
  <r>
    <n v="155731"/>
    <n v="1212"/>
    <x v="5"/>
    <d v="2023-11-01T23:36:00"/>
    <s v="Whatsapp"/>
    <s v="Maria Larsson"/>
    <n v="8205"/>
    <d v="2023-11-01T00:00:00"/>
    <x v="135"/>
    <x v="2"/>
    <x v="4"/>
    <s v="Outlier"/>
  </r>
  <r>
    <n v="157238"/>
    <n v="1100"/>
    <x v="4"/>
    <d v="2023-03-26T00:34:00"/>
    <s v="Other"/>
    <s v="Daniel Tonini"/>
    <n v="5281"/>
    <d v="2023-03-26T00:00:00"/>
    <x v="21"/>
    <x v="4"/>
    <x v="6"/>
    <s v="Outlier"/>
  </r>
  <r>
    <n v="157882"/>
    <n v="72"/>
    <x v="4"/>
    <d v="2023-11-24T00:54:00"/>
    <s v="Website"/>
    <s v="Yoshi Tannamuri"/>
    <n v="8982"/>
    <d v="2023-11-24T00:00:00"/>
    <x v="73"/>
    <x v="2"/>
    <x v="0"/>
    <s v="Outlier"/>
  </r>
  <r>
    <n v="158217"/>
    <n v="698"/>
    <x v="6"/>
    <d v="2023-05-29T02:00:00"/>
    <s v="Whatsapp"/>
    <s v="Valarie Young"/>
    <n v="424"/>
    <d v="2023-05-29T00:00:00"/>
    <x v="23"/>
    <x v="11"/>
    <x v="5"/>
    <s v="Outlier"/>
  </r>
  <r>
    <n v="159503"/>
    <n v="333"/>
    <x v="7"/>
    <d v="2023-05-14T00:29:00"/>
    <s v="App"/>
    <s v="Julie Murphy"/>
    <n v="5295"/>
    <d v="2023-05-14T00:00:00"/>
    <x v="50"/>
    <x v="11"/>
    <x v="6"/>
    <s v="Outlier"/>
  </r>
  <r>
    <n v="160435"/>
    <n v="737"/>
    <x v="1"/>
    <d v="2023-06-06T23:15:00"/>
    <s v="Other"/>
    <s v="Peter Ferguson"/>
    <n v="2127"/>
    <d v="2023-06-06T00:00:00"/>
    <x v="136"/>
    <x v="7"/>
    <x v="2"/>
    <s v="Outlier"/>
  </r>
  <r>
    <n v="160692"/>
    <n v="532"/>
    <x v="0"/>
    <d v="2023-11-06T01:04:00"/>
    <s v="Whatsapp"/>
    <s v="Valarie Nelson"/>
    <n v="679"/>
    <d v="2023-11-06T00:00:00"/>
    <x v="121"/>
    <x v="2"/>
    <x v="5"/>
    <s v="Outlier"/>
  </r>
  <r>
    <n v="162458"/>
    <n v="1515"/>
    <x v="0"/>
    <d v="2023-12-06T00:58:00"/>
    <s v="Website"/>
    <s v="Anna O'Hara"/>
    <n v="3793"/>
    <d v="2023-12-06T00:00:00"/>
    <x v="28"/>
    <x v="0"/>
    <x v="4"/>
    <s v="Outlier"/>
  </r>
  <r>
    <n v="163919"/>
    <n v="1635"/>
    <x v="0"/>
    <d v="2023-06-22T00:48:00"/>
    <s v="Website"/>
    <s v="Julie Brown"/>
    <n v="4116"/>
    <d v="2023-06-22T00:00:00"/>
    <x v="88"/>
    <x v="7"/>
    <x v="3"/>
    <s v="Outlier"/>
  </r>
  <r>
    <n v="164155"/>
    <n v="820"/>
    <x v="2"/>
    <d v="2023-05-21T00:49:00"/>
    <s v="Other"/>
    <s v="Anna O'Hara"/>
    <n v="6498"/>
    <d v="2023-05-21T00:00:00"/>
    <x v="35"/>
    <x v="11"/>
    <x v="6"/>
    <s v="Outlier"/>
  </r>
  <r>
    <n v="165080"/>
    <n v="715"/>
    <x v="0"/>
    <d v="2023-12-23T23:22:00"/>
    <s v="Website"/>
    <s v="Jean Fresnisre"/>
    <n v="3378"/>
    <d v="2023-12-23T00:00:00"/>
    <x v="137"/>
    <x v="0"/>
    <x v="1"/>
    <s v="Outlier"/>
  </r>
  <r>
    <n v="165318"/>
    <n v="1759"/>
    <x v="4"/>
    <d v="2023-02-09T00:50:00"/>
    <s v="Website"/>
    <s v="Diego Freyre"/>
    <n v="3573"/>
    <d v="2023-02-09T00:00:00"/>
    <x v="0"/>
    <x v="5"/>
    <x v="3"/>
    <s v="Outlier"/>
  </r>
  <r>
    <n v="165674"/>
    <n v="614"/>
    <x v="0"/>
    <d v="2023-11-29T00:34:00"/>
    <s v="App"/>
    <s v="Kwai Yu"/>
    <n v="8831"/>
    <d v="2023-11-29T00:00:00"/>
    <x v="21"/>
    <x v="2"/>
    <x v="4"/>
    <s v="Outlier"/>
  </r>
  <r>
    <n v="165835"/>
    <n v="1191"/>
    <x v="6"/>
    <d v="2023-05-31T00:16:00"/>
    <s v="App"/>
    <s v="Paul Henriot"/>
    <n v="2282"/>
    <d v="2023-05-31T00:00:00"/>
    <x v="61"/>
    <x v="11"/>
    <x v="4"/>
    <s v="Outlier"/>
  </r>
  <r>
    <n v="166687"/>
    <n v="813"/>
    <x v="5"/>
    <d v="2023-05-21T00:35:00"/>
    <s v="Website"/>
    <s v="Daniel Da Cunha"/>
    <n v="2254"/>
    <d v="2023-05-21T00:00:00"/>
    <x v="67"/>
    <x v="11"/>
    <x v="6"/>
    <s v="Outlier"/>
  </r>
  <r>
    <n v="167720"/>
    <n v="1887"/>
    <x v="4"/>
    <d v="2023-12-02T00:35:00"/>
    <s v="App"/>
    <s v="Julie Young"/>
    <n v="8941"/>
    <d v="2023-12-02T00:00:00"/>
    <x v="67"/>
    <x v="0"/>
    <x v="1"/>
    <s v="Outlier"/>
  </r>
  <r>
    <n v="169945"/>
    <n v="1325"/>
    <x v="4"/>
    <d v="2023-07-04T00:54:00"/>
    <s v="Whatsapp"/>
    <s v="Julie Brown"/>
    <n v="9136"/>
    <d v="2023-07-04T00:00:00"/>
    <x v="73"/>
    <x v="6"/>
    <x v="2"/>
    <s v="Outlier"/>
  </r>
  <r>
    <n v="170046"/>
    <n v="242"/>
    <x v="0"/>
    <d v="2023-01-16T00:57:00"/>
    <s v="App"/>
    <s v="Anna O'Hara"/>
    <n v="9317"/>
    <d v="2023-01-16T00:00:00"/>
    <x v="42"/>
    <x v="9"/>
    <x v="5"/>
    <s v="Outlier"/>
  </r>
  <r>
    <n v="170058"/>
    <n v="446"/>
    <x v="0"/>
    <d v="2023-11-11T00:50:00"/>
    <s v="App"/>
    <s v="Martine Rance"/>
    <n v="8184"/>
    <d v="2023-11-11T00:00:00"/>
    <x v="0"/>
    <x v="2"/>
    <x v="1"/>
    <s v="Outlier"/>
  </r>
  <r>
    <n v="170864"/>
    <n v="1870"/>
    <x v="0"/>
    <d v="2023-05-09T23:56:00"/>
    <s v="Other"/>
    <s v="Julie Young"/>
    <n v="4281"/>
    <d v="2023-05-09T00:00:00"/>
    <x v="138"/>
    <x v="11"/>
    <x v="2"/>
    <s v="Outlier"/>
  </r>
  <r>
    <n v="170991"/>
    <n v="1845"/>
    <x v="10"/>
    <d v="2023-07-02T23:42:00"/>
    <s v="Whatsapp"/>
    <s v="Julie Murphy"/>
    <n v="2460"/>
    <d v="2023-07-02T00:00:00"/>
    <x v="38"/>
    <x v="6"/>
    <x v="6"/>
    <s v="Outlier"/>
  </r>
  <r>
    <n v="171269"/>
    <n v="516"/>
    <x v="3"/>
    <d v="2023-08-22T00:18:00"/>
    <s v="Whatsapp"/>
    <s v="Dominique Perrier"/>
    <n v="5709"/>
    <d v="2023-08-22T00:00:00"/>
    <x v="139"/>
    <x v="8"/>
    <x v="2"/>
    <s v="Outlier"/>
  </r>
  <r>
    <n v="171420"/>
    <n v="614"/>
    <x v="0"/>
    <d v="2023-01-17T00:51:00"/>
    <s v="Website"/>
    <s v="Martine Rance"/>
    <n v="8738"/>
    <d v="2023-01-17T00:00:00"/>
    <x v="93"/>
    <x v="9"/>
    <x v="2"/>
    <s v="Outlier"/>
  </r>
  <r>
    <n v="172114"/>
    <n v="264"/>
    <x v="0"/>
    <d v="2023-02-22T00:22:00"/>
    <s v="Whatsapp"/>
    <s v="Michael Frick"/>
    <n v="5214"/>
    <d v="2023-02-22T00:00:00"/>
    <x v="54"/>
    <x v="5"/>
    <x v="4"/>
    <s v="Outlier"/>
  </r>
  <r>
    <n v="172649"/>
    <n v="1816"/>
    <x v="4"/>
    <d v="2023-02-24T00:55:00"/>
    <s v="Whatsapp"/>
    <s v="William Brown"/>
    <n v="6377"/>
    <d v="2023-02-24T00:00:00"/>
    <x v="44"/>
    <x v="5"/>
    <x v="0"/>
    <s v="Outlier"/>
  </r>
  <r>
    <n v="174652"/>
    <n v="218"/>
    <x v="3"/>
    <d v="2023-11-24T23:28:00"/>
    <s v="Whatsapp"/>
    <s v="Julie King"/>
    <n v="9736"/>
    <d v="2023-11-24T00:00:00"/>
    <x v="134"/>
    <x v="2"/>
    <x v="0"/>
    <s v="Outlier"/>
  </r>
  <r>
    <n v="174998"/>
    <n v="1303"/>
    <x v="4"/>
    <d v="2023-03-01T23:52:00"/>
    <s v="Whatsapp"/>
    <s v="Miguel Barajas"/>
    <n v="5209"/>
    <d v="2023-03-01T00:00:00"/>
    <x v="94"/>
    <x v="4"/>
    <x v="4"/>
    <s v="Outlier"/>
  </r>
  <r>
    <n v="175577"/>
    <n v="515"/>
    <x v="4"/>
    <d v="2023-11-21T01:53:00"/>
    <s v="Other"/>
    <s v="Marta Hernandez"/>
    <n v="5334"/>
    <d v="2023-11-21T00:00:00"/>
    <x v="102"/>
    <x v="2"/>
    <x v="2"/>
    <s v="Outlier"/>
  </r>
  <r>
    <n v="177047"/>
    <n v="1189"/>
    <x v="3"/>
    <d v="2023-08-13T23:18:00"/>
    <s v="App"/>
    <s v="Matti Karttunen"/>
    <n v="2516"/>
    <d v="2023-08-13T00:00:00"/>
    <x v="140"/>
    <x v="8"/>
    <x v="6"/>
    <s v="Outlier"/>
  </r>
  <r>
    <n v="177753"/>
    <n v="790"/>
    <x v="1"/>
    <d v="2023-08-06T00:44:00"/>
    <s v="App"/>
    <s v="Jonas Bergulfsen"/>
    <n v="5420"/>
    <d v="2023-08-06T00:00:00"/>
    <x v="85"/>
    <x v="8"/>
    <x v="6"/>
    <s v="Outlier"/>
  </r>
  <r>
    <n v="177897"/>
    <n v="1698"/>
    <x v="3"/>
    <d v="2023-08-05T23:20:00"/>
    <s v="App"/>
    <s v="Kee Kuo"/>
    <n v="8289"/>
    <d v="2023-08-05T00:00:00"/>
    <x v="27"/>
    <x v="8"/>
    <x v="1"/>
    <s v="Outlier"/>
  </r>
  <r>
    <n v="177908"/>
    <n v="1848"/>
    <x v="0"/>
    <d v="2023-04-29T23:25:00"/>
    <s v="Website"/>
    <s v="Kwai Yu"/>
    <n v="1341"/>
    <d v="2023-04-29T00:00:00"/>
    <x v="141"/>
    <x v="1"/>
    <x v="1"/>
    <s v="Outlier"/>
  </r>
  <r>
    <n v="178044"/>
    <n v="1576"/>
    <x v="0"/>
    <d v="2023-02-04T01:22:00"/>
    <s v="Whatsapp"/>
    <s v="Georg Pipps"/>
    <n v="8097"/>
    <d v="2023-02-04T00:00:00"/>
    <x v="142"/>
    <x v="5"/>
    <x v="1"/>
    <s v="Outlier"/>
  </r>
  <r>
    <n v="178761"/>
    <n v="1021"/>
    <x v="5"/>
    <d v="2023-02-25T22:36:00"/>
    <s v="Website"/>
    <s v="Juri Hirano"/>
    <n v="2487"/>
    <d v="2023-02-25T00:00:00"/>
    <x v="106"/>
    <x v="5"/>
    <x v="1"/>
    <s v="Outlier"/>
  </r>
  <r>
    <n v="179974"/>
    <n v="1547"/>
    <x v="3"/>
    <d v="2023-05-18T00:40:00"/>
    <s v="Website"/>
    <s v="Janine Labrune"/>
    <n v="5106"/>
    <d v="2023-05-18T00:00:00"/>
    <x v="51"/>
    <x v="11"/>
    <x v="3"/>
    <s v="Outlier"/>
  </r>
  <r>
    <n v="180507"/>
    <n v="1459"/>
    <x v="3"/>
    <d v="2023-05-15T22:35:00"/>
    <s v="Website"/>
    <s v="Violeta Benitez"/>
    <n v="1697"/>
    <d v="2023-05-15T00:00:00"/>
    <x v="55"/>
    <x v="11"/>
    <x v="5"/>
    <s v="Outlier"/>
  </r>
  <r>
    <n v="180775"/>
    <n v="645"/>
    <x v="13"/>
    <d v="2023-03-20T00:05:00"/>
    <s v="Website"/>
    <s v="Elizabeth Devon"/>
    <n v="4981"/>
    <d v="2023-03-20T00:00:00"/>
    <x v="48"/>
    <x v="4"/>
    <x v="5"/>
    <s v="Outlier"/>
  </r>
  <r>
    <n v="182197"/>
    <n v="74"/>
    <x v="0"/>
    <d v="2023-06-04T01:54:00"/>
    <s v="App"/>
    <s v="Diego Freyre"/>
    <n v="801"/>
    <d v="2023-06-04T00:00:00"/>
    <x v="143"/>
    <x v="7"/>
    <x v="6"/>
    <s v="Outlier"/>
  </r>
  <r>
    <n v="182299"/>
    <n v="570"/>
    <x v="1"/>
    <d v="2023-10-13T00:33:00"/>
    <s v="App"/>
    <s v="Diego Freyre"/>
    <n v="2238"/>
    <d v="2023-10-13T00:00:00"/>
    <x v="53"/>
    <x v="3"/>
    <x v="0"/>
    <s v="Outlier"/>
  </r>
  <r>
    <n v="182441"/>
    <n v="1694"/>
    <x v="12"/>
    <d v="2023-12-18T23:01:00"/>
    <s v="Whatsapp"/>
    <s v="Eric Natividad"/>
    <n v="1072"/>
    <d v="2023-12-18T00:00:00"/>
    <x v="144"/>
    <x v="0"/>
    <x v="5"/>
    <s v="Outlier"/>
  </r>
  <r>
    <n v="183352"/>
    <n v="1682"/>
    <x v="3"/>
    <d v="2023-10-16T00:35:00"/>
    <s v="Whatsapp"/>
    <s v="Jeff Young"/>
    <n v="8347"/>
    <d v="2023-10-16T00:00:00"/>
    <x v="67"/>
    <x v="3"/>
    <x v="5"/>
    <s v="Outlier"/>
  </r>
  <r>
    <n v="183380"/>
    <n v="1712"/>
    <x v="7"/>
    <d v="2023-07-06T00:03:00"/>
    <s v="Whatsapp"/>
    <s v="Valarie Nelson"/>
    <n v="1046"/>
    <d v="2023-07-06T00:00:00"/>
    <x v="72"/>
    <x v="6"/>
    <x v="3"/>
    <s v="Outlier"/>
  </r>
  <r>
    <n v="183654"/>
    <n v="618"/>
    <x v="10"/>
    <d v="2023-08-14T23:02:00"/>
    <s v="Other"/>
    <s v="Diego Freyre"/>
    <n v="1434"/>
    <d v="2023-08-14T00:00:00"/>
    <x v="114"/>
    <x v="8"/>
    <x v="5"/>
    <s v="Outlier"/>
  </r>
  <r>
    <n v="184958"/>
    <n v="1354"/>
    <x v="5"/>
    <d v="2023-08-12T00:58:00"/>
    <s v="Other"/>
    <s v="Eric Natividad"/>
    <n v="39"/>
    <d v="2023-08-12T00:00:00"/>
    <x v="28"/>
    <x v="8"/>
    <x v="1"/>
    <s v="Outlier"/>
  </r>
  <r>
    <n v="185213"/>
    <n v="868"/>
    <x v="11"/>
    <d v="2023-04-16T22:40:00"/>
    <s v="App"/>
    <s v="Maurizio Moroni"/>
    <n v="4245"/>
    <d v="2023-04-16T00:00:00"/>
    <x v="145"/>
    <x v="1"/>
    <x v="6"/>
    <s v="Outlier"/>
  </r>
  <r>
    <n v="185809"/>
    <n v="1830"/>
    <x v="6"/>
    <d v="2023-03-08T02:07:00"/>
    <s v="Whatsapp"/>
    <s v="Wing C Tam"/>
    <n v="3863"/>
    <d v="2023-03-08T00:00:00"/>
    <x v="131"/>
    <x v="4"/>
    <x v="4"/>
    <s v="Outlier"/>
  </r>
  <r>
    <n v="187527"/>
    <n v="877"/>
    <x v="1"/>
    <d v="2023-04-07T01:22:00"/>
    <s v="Whatsapp"/>
    <s v="Leslie Murphy"/>
    <n v="6774"/>
    <d v="2023-04-07T00:00:00"/>
    <x v="142"/>
    <x v="1"/>
    <x v="0"/>
    <s v="Outlier"/>
  </r>
  <r>
    <n v="187746"/>
    <n v="500"/>
    <x v="0"/>
    <d v="2023-10-21T00:12:00"/>
    <s v="Other"/>
    <s v="Mary Saveley"/>
    <n v="946"/>
    <d v="2023-10-21T00:00:00"/>
    <x v="19"/>
    <x v="3"/>
    <x v="1"/>
    <s v="Outlier"/>
  </r>
  <r>
    <n v="188610"/>
    <n v="1057"/>
    <x v="4"/>
    <d v="2023-02-05T23:44:00"/>
    <s v="App"/>
    <s v="Dean Cassidy"/>
    <n v="597"/>
    <d v="2023-02-05T00:00:00"/>
    <x v="146"/>
    <x v="5"/>
    <x v="6"/>
    <s v="Outlier"/>
  </r>
  <r>
    <n v="188856"/>
    <n v="1984"/>
    <x v="6"/>
    <d v="2023-11-21T23:01:00"/>
    <s v="Whatsapp"/>
    <s v="Roland Keitel"/>
    <n v="4243"/>
    <d v="2023-11-21T00:00:00"/>
    <x v="144"/>
    <x v="2"/>
    <x v="2"/>
    <s v="Outlier"/>
  </r>
  <r>
    <n v="191639"/>
    <n v="1293"/>
    <x v="0"/>
    <d v="2023-04-26T23:40:00"/>
    <s v="App"/>
    <s v="Kalle Suominen"/>
    <n v="957"/>
    <d v="2023-04-26T00:00:00"/>
    <x v="1"/>
    <x v="1"/>
    <x v="4"/>
    <s v="Outlier"/>
  </r>
  <r>
    <n v="193342"/>
    <n v="1974"/>
    <x v="0"/>
    <d v="2023-03-17T01:43:00"/>
    <s v="Other"/>
    <s v="Kyung Yu"/>
    <n v="242"/>
    <d v="2023-03-17T00:00:00"/>
    <x v="118"/>
    <x v="4"/>
    <x v="0"/>
    <s v="Outlier"/>
  </r>
  <r>
    <n v="194632"/>
    <n v="1962"/>
    <x v="0"/>
    <d v="2023-01-02T00:40:00"/>
    <s v="App"/>
    <s v="Valarie Nelson"/>
    <n v="8267"/>
    <d v="2023-01-02T00:00:00"/>
    <x v="51"/>
    <x v="9"/>
    <x v="5"/>
    <s v="Outlier"/>
  </r>
  <r>
    <n v="194894"/>
    <n v="1210"/>
    <x v="4"/>
    <d v="2023-11-06T22:44:00"/>
    <s v="App"/>
    <s v="Paolo Accorti"/>
    <n v="8013"/>
    <d v="2023-11-06T00:00:00"/>
    <x v="147"/>
    <x v="2"/>
    <x v="5"/>
    <s v="Outlier"/>
  </r>
  <r>
    <n v="195686"/>
    <n v="67"/>
    <x v="2"/>
    <d v="2023-09-07T01:04:00"/>
    <s v="Whatsapp"/>
    <s v="Victoria Ashworth"/>
    <n v="2651"/>
    <d v="2023-09-07T00:00:00"/>
    <x v="121"/>
    <x v="10"/>
    <x v="3"/>
    <s v="Outlier"/>
  </r>
  <r>
    <n v="195704"/>
    <n v="1260"/>
    <x v="3"/>
    <d v="2023-02-16T00:25:00"/>
    <s v="Whatsapp"/>
    <s v="Palle Ibsen"/>
    <n v="6946"/>
    <d v="2023-02-16T00:00:00"/>
    <x v="148"/>
    <x v="5"/>
    <x v="3"/>
    <s v="Outlier"/>
  </r>
  <r>
    <n v="196116"/>
    <n v="1831"/>
    <x v="0"/>
    <d v="2023-11-24T00:08:00"/>
    <s v="App"/>
    <s v="Michael Frick"/>
    <n v="7358"/>
    <d v="2023-11-24T00:00:00"/>
    <x v="149"/>
    <x v="2"/>
    <x v="0"/>
    <s v="Outlier"/>
  </r>
  <r>
    <n v="196148"/>
    <n v="325"/>
    <x v="3"/>
    <d v="2023-01-15T01:09:00"/>
    <s v="Website"/>
    <s v="Marie Bertrand"/>
    <n v="8010"/>
    <d v="2023-01-15T00:00:00"/>
    <x v="92"/>
    <x v="9"/>
    <x v="6"/>
    <s v="Outlier"/>
  </r>
  <r>
    <n v="196872"/>
    <n v="1250"/>
    <x v="0"/>
    <d v="2023-09-25T01:13:00"/>
    <s v="App"/>
    <s v="Mart¡n Sommer"/>
    <n v="5888"/>
    <d v="2023-09-25T00:00:00"/>
    <x v="32"/>
    <x v="10"/>
    <x v="5"/>
    <s v="Outlier"/>
  </r>
  <r>
    <n v="197854"/>
    <n v="347"/>
    <x v="13"/>
    <d v="2023-08-31T00:56:00"/>
    <s v="App"/>
    <s v="Diego Freyre"/>
    <n v="1674"/>
    <d v="2023-08-31T00:00:00"/>
    <x v="150"/>
    <x v="8"/>
    <x v="3"/>
    <s v="Outlier"/>
  </r>
  <r>
    <n v="197952"/>
    <n v="1843"/>
    <x v="0"/>
    <d v="2023-02-03T00:26:00"/>
    <s v="App"/>
    <s v="Akiko Shimamura"/>
    <n v="1453"/>
    <d v="2023-02-03T00:00:00"/>
    <x v="151"/>
    <x v="5"/>
    <x v="0"/>
    <s v="Outlier"/>
  </r>
  <r>
    <n v="198251"/>
    <n v="1589"/>
    <x v="0"/>
    <d v="2023-02-12T00:44:00"/>
    <s v="Website"/>
    <s v="Valarie Nelson"/>
    <n v="8821"/>
    <d v="2023-02-12T00:00:00"/>
    <x v="85"/>
    <x v="5"/>
    <x v="6"/>
    <s v="Outlier"/>
  </r>
  <r>
    <n v="198841"/>
    <n v="1735"/>
    <x v="10"/>
    <d v="2023-07-24T01:23:00"/>
    <s v="Other"/>
    <s v="Julie King"/>
    <n v="4094"/>
    <d v="2023-07-24T00:00:00"/>
    <x v="83"/>
    <x v="6"/>
    <x v="5"/>
    <s v="Outlier"/>
  </r>
  <r>
    <n v="199110"/>
    <n v="104"/>
    <x v="6"/>
    <d v="2023-05-21T00:46:00"/>
    <s v="Whatsapp"/>
    <s v="Arnold Cruz"/>
    <n v="717"/>
    <d v="2023-05-21T00:00:00"/>
    <x v="77"/>
    <x v="11"/>
    <x v="6"/>
    <s v="Outlier"/>
  </r>
  <r>
    <n v="200851"/>
    <n v="71"/>
    <x v="1"/>
    <d v="2023-12-03T23:20:00"/>
    <s v="App"/>
    <s v="Laurence Lebihan"/>
    <n v="8510"/>
    <d v="2023-12-03T00:00:00"/>
    <x v="27"/>
    <x v="0"/>
    <x v="6"/>
    <s v="Outlier"/>
  </r>
  <r>
    <n v="202059"/>
    <n v="712"/>
    <x v="0"/>
    <d v="2023-03-27T01:24:00"/>
    <s v="Whatsapp"/>
    <s v="Valarie Nelson"/>
    <n v="7202"/>
    <d v="2023-03-27T00:00:00"/>
    <x v="124"/>
    <x v="4"/>
    <x v="5"/>
    <s v="Outlier"/>
  </r>
  <r>
    <n v="202315"/>
    <n v="1518"/>
    <x v="0"/>
    <d v="2023-01-04T01:45:00"/>
    <s v="Whatsapp"/>
    <s v="Michael Chandler"/>
    <n v="6344"/>
    <d v="2023-01-04T00:00:00"/>
    <x v="59"/>
    <x v="9"/>
    <x v="4"/>
    <s v="Outlier"/>
  </r>
  <r>
    <n v="202334"/>
    <n v="358"/>
    <x v="4"/>
    <d v="2023-09-02T00:55:00"/>
    <s v="Other"/>
    <s v="Allen Nelson"/>
    <n v="4560"/>
    <d v="2023-09-02T00:00:00"/>
    <x v="44"/>
    <x v="10"/>
    <x v="1"/>
    <s v="Outlier"/>
  </r>
  <r>
    <n v="202389"/>
    <n v="1641"/>
    <x v="7"/>
    <d v="2023-07-23T23:39:00"/>
    <s v="Website"/>
    <s v="Roland Mendel"/>
    <n v="1709"/>
    <d v="2023-07-23T00:00:00"/>
    <x v="101"/>
    <x v="6"/>
    <x v="6"/>
    <s v="Outlier"/>
  </r>
  <r>
    <n v="205425"/>
    <n v="1760"/>
    <x v="3"/>
    <d v="2023-09-21T01:13:00"/>
    <s v="Other"/>
    <s v="Veysel Oeztan"/>
    <n v="9729"/>
    <d v="2023-09-21T00:00:00"/>
    <x v="32"/>
    <x v="10"/>
    <x v="3"/>
    <s v="Outlier"/>
  </r>
  <r>
    <n v="208396"/>
    <n v="186"/>
    <x v="5"/>
    <d v="2023-04-17T01:39:00"/>
    <s v="Whatsapp"/>
    <s v="Henriette Pfalzheim"/>
    <n v="9712"/>
    <d v="2023-04-17T00:00:00"/>
    <x v="152"/>
    <x v="1"/>
    <x v="5"/>
    <s v="Outlier"/>
  </r>
  <r>
    <n v="209068"/>
    <n v="1704"/>
    <x v="0"/>
    <d v="2023-04-03T23:48:00"/>
    <s v="Whatsapp"/>
    <s v="Diego Freyre"/>
    <n v="119"/>
    <d v="2023-04-03T00:00:00"/>
    <x v="153"/>
    <x v="1"/>
    <x v="5"/>
    <s v="Outlier"/>
  </r>
  <r>
    <n v="209185"/>
    <n v="541"/>
    <x v="0"/>
    <d v="2023-08-28T00:16:00"/>
    <s v="App"/>
    <s v="Diego Freyre"/>
    <n v="4430"/>
    <d v="2023-08-28T00:00:00"/>
    <x v="61"/>
    <x v="8"/>
    <x v="5"/>
    <s v="Outlier"/>
  </r>
  <r>
    <n v="211600"/>
    <n v="937"/>
    <x v="7"/>
    <d v="2023-08-05T01:16:00"/>
    <s v="Other"/>
    <s v="Michael Holz"/>
    <n v="8720"/>
    <d v="2023-08-05T00:00:00"/>
    <x v="84"/>
    <x v="8"/>
    <x v="1"/>
    <s v="Outlier"/>
  </r>
  <r>
    <n v="213090"/>
    <n v="10"/>
    <x v="8"/>
    <d v="2023-10-09T01:03:00"/>
    <s v="Other"/>
    <s v="Jytte Petersen"/>
    <n v="9353"/>
    <d v="2023-10-09T00:00:00"/>
    <x v="130"/>
    <x v="3"/>
    <x v="5"/>
    <s v="Outlier"/>
  </r>
  <r>
    <n v="213254"/>
    <n v="1344"/>
    <x v="4"/>
    <d v="2023-07-28T00:35:00"/>
    <s v="App"/>
    <s v="Elizabeth Devon"/>
    <n v="3943"/>
    <d v="2023-07-28T00:00:00"/>
    <x v="67"/>
    <x v="6"/>
    <x v="0"/>
    <s v="Outlier"/>
  </r>
  <r>
    <n v="213804"/>
    <n v="1473"/>
    <x v="0"/>
    <d v="2023-07-08T00:49:00"/>
    <s v="App"/>
    <s v="Maurizio Moroni"/>
    <n v="7453"/>
    <d v="2023-07-08T00:00:00"/>
    <x v="35"/>
    <x v="6"/>
    <x v="1"/>
    <s v="Outlier"/>
  </r>
  <r>
    <n v="214073"/>
    <n v="336"/>
    <x v="4"/>
    <d v="2023-01-16T01:37:00"/>
    <s v="Whatsapp"/>
    <s v="Miguel Barajas"/>
    <n v="730"/>
    <d v="2023-01-16T00:00:00"/>
    <x v="109"/>
    <x v="9"/>
    <x v="5"/>
    <s v="Outlier"/>
  </r>
  <r>
    <n v="214251"/>
    <n v="1952"/>
    <x v="0"/>
    <d v="2023-04-17T00:57:00"/>
    <s v="Whatsapp"/>
    <s v="Michael Holz"/>
    <n v="492"/>
    <d v="2023-04-17T00:00:00"/>
    <x v="42"/>
    <x v="1"/>
    <x v="5"/>
    <s v="Outlier"/>
  </r>
  <r>
    <n v="214516"/>
    <n v="1840"/>
    <x v="0"/>
    <d v="2023-07-27T23:23:00"/>
    <s v="App"/>
    <s v="Roland Keitel"/>
    <n v="1356"/>
    <d v="2023-07-27T00:00:00"/>
    <x v="154"/>
    <x v="6"/>
    <x v="3"/>
    <s v="Outlier"/>
  </r>
  <r>
    <n v="214557"/>
    <n v="613"/>
    <x v="1"/>
    <d v="2023-06-05T00:28:00"/>
    <s v="Whatsapp"/>
    <s v="Henriette Pfalzheim"/>
    <n v="5981"/>
    <d v="2023-06-05T00:00:00"/>
    <x v="39"/>
    <x v="7"/>
    <x v="5"/>
    <s v="Outlier"/>
  </r>
  <r>
    <n v="216256"/>
    <n v="1521"/>
    <x v="0"/>
    <d v="2023-01-26T00:34:00"/>
    <s v="App"/>
    <s v="Christina Berglund"/>
    <n v="3720"/>
    <d v="2023-01-26T00:00:00"/>
    <x v="21"/>
    <x v="9"/>
    <x v="3"/>
    <s v="Outlier"/>
  </r>
  <r>
    <n v="217952"/>
    <n v="1102"/>
    <x v="1"/>
    <d v="2023-09-24T23:49:00"/>
    <s v="Whatsapp"/>
    <s v="Kwai Yu"/>
    <n v="3521"/>
    <d v="2023-09-24T00:00:00"/>
    <x v="43"/>
    <x v="10"/>
    <x v="6"/>
    <s v="Outlier"/>
  </r>
  <r>
    <n v="218379"/>
    <n v="831"/>
    <x v="2"/>
    <d v="2023-02-19T23:18:00"/>
    <s v="App"/>
    <s v="Georg Pipps"/>
    <n v="8241"/>
    <d v="2023-02-19T00:00:00"/>
    <x v="140"/>
    <x v="5"/>
    <x v="6"/>
    <s v="Outlier"/>
  </r>
  <r>
    <n v="219884"/>
    <n v="802"/>
    <x v="3"/>
    <d v="2023-01-19T23:41:00"/>
    <s v="Whatsapp"/>
    <s v="Kalle Suominen"/>
    <n v="2233"/>
    <d v="2023-01-19T00:00:00"/>
    <x v="155"/>
    <x v="9"/>
    <x v="3"/>
    <s v="Outlier"/>
  </r>
  <r>
    <n v="220292"/>
    <n v="1785"/>
    <x v="5"/>
    <d v="2023-05-02T00:25:00"/>
    <s v="Website"/>
    <s v="Leslie Young"/>
    <n v="3987"/>
    <d v="2023-05-02T00:00:00"/>
    <x v="148"/>
    <x v="11"/>
    <x v="2"/>
    <s v="Outlier"/>
  </r>
  <r>
    <n v="220733"/>
    <n v="1875"/>
    <x v="3"/>
    <d v="2023-01-05T00:11:00"/>
    <s v="Other"/>
    <s v="Maria Larsson"/>
    <n v="6006"/>
    <d v="2023-01-05T00:00:00"/>
    <x v="10"/>
    <x v="9"/>
    <x v="3"/>
    <s v="Outlier"/>
  </r>
  <r>
    <n v="221857"/>
    <n v="1244"/>
    <x v="4"/>
    <d v="2023-07-17T01:14:00"/>
    <s v="Other"/>
    <s v="Georg Pipps"/>
    <n v="4142"/>
    <d v="2023-07-17T00:00:00"/>
    <x v="156"/>
    <x v="6"/>
    <x v="5"/>
    <s v="Outlier"/>
  </r>
  <r>
    <n v="222114"/>
    <n v="208"/>
    <x v="0"/>
    <d v="2023-07-13T23:39:00"/>
    <s v="Website"/>
    <s v="Jytte Petersen"/>
    <n v="4738"/>
    <d v="2023-07-13T00:00:00"/>
    <x v="101"/>
    <x v="6"/>
    <x v="3"/>
    <s v="Outlier"/>
  </r>
  <r>
    <n v="224155"/>
    <n v="753"/>
    <x v="0"/>
    <d v="2023-10-13T00:00:00"/>
    <s v="App"/>
    <s v="Eric Natividad"/>
    <n v="4988"/>
    <d v="2023-10-13T00:00:00"/>
    <x v="126"/>
    <x v="3"/>
    <x v="0"/>
    <s v="Outlier"/>
  </r>
  <r>
    <n v="225264"/>
    <n v="1973"/>
    <x v="0"/>
    <d v="2023-09-17T01:53:00"/>
    <s v="Website"/>
    <s v="Jeff Young"/>
    <n v="5089"/>
    <d v="2023-09-17T00:00:00"/>
    <x v="102"/>
    <x v="10"/>
    <x v="6"/>
    <s v="Outlier"/>
  </r>
  <r>
    <n v="226876"/>
    <n v="150"/>
    <x v="0"/>
    <d v="2023-01-30T22:50:00"/>
    <s v="App"/>
    <s v="Valarie Nelson"/>
    <n v="17"/>
    <d v="2023-01-30T00:00:00"/>
    <x v="133"/>
    <x v="9"/>
    <x v="5"/>
    <s v="Outlier"/>
  </r>
  <r>
    <n v="228177"/>
    <n v="1272"/>
    <x v="6"/>
    <d v="2023-05-08T00:53:00"/>
    <s v="Website"/>
    <s v="Diego Freyre"/>
    <n v="8567"/>
    <d v="2023-05-08T00:00:00"/>
    <x v="36"/>
    <x v="11"/>
    <x v="5"/>
    <s v="Outlier"/>
  </r>
  <r>
    <n v="228562"/>
    <n v="1812"/>
    <x v="4"/>
    <d v="2023-10-09T01:28:00"/>
    <s v="Whatsapp"/>
    <s v="Eric Natividad"/>
    <n v="1733"/>
    <d v="2023-10-09T00:00:00"/>
    <x v="49"/>
    <x v="3"/>
    <x v="5"/>
    <s v="Outlier"/>
  </r>
  <r>
    <n v="229056"/>
    <n v="594"/>
    <x v="0"/>
    <d v="2023-06-06T01:58:00"/>
    <s v="Other"/>
    <s v="Maurizio Moroni"/>
    <n v="4328"/>
    <d v="2023-06-06T00:00:00"/>
    <x v="157"/>
    <x v="7"/>
    <x v="2"/>
    <s v="Outlier"/>
  </r>
  <r>
    <n v="229843"/>
    <n v="1527"/>
    <x v="2"/>
    <d v="2023-03-17T22:58:00"/>
    <s v="Other"/>
    <s v="Wing C Tam"/>
    <n v="4155"/>
    <d v="2023-03-17T00:00:00"/>
    <x v="158"/>
    <x v="4"/>
    <x v="0"/>
    <s v="Outlier"/>
  </r>
  <r>
    <n v="231094"/>
    <n v="680"/>
    <x v="0"/>
    <d v="2023-11-29T00:51:00"/>
    <s v="Other"/>
    <s v="Leslie Murphy"/>
    <n v="7379"/>
    <d v="2023-11-29T00:00:00"/>
    <x v="93"/>
    <x v="2"/>
    <x v="4"/>
    <s v="Outlier"/>
  </r>
  <r>
    <n v="232129"/>
    <n v="67"/>
    <x v="2"/>
    <d v="2023-11-20T23:40:00"/>
    <s v="Other"/>
    <s v="Mary Saveley"/>
    <n v="6264"/>
    <d v="2023-11-20T00:00:00"/>
    <x v="1"/>
    <x v="2"/>
    <x v="5"/>
    <s v="Outlier"/>
  </r>
  <r>
    <n v="232261"/>
    <n v="1269"/>
    <x v="11"/>
    <d v="2023-08-31T22:35:00"/>
    <s v="Whatsapp"/>
    <s v="Dean Cassidy"/>
    <n v="434"/>
    <d v="2023-08-31T00:00:00"/>
    <x v="55"/>
    <x v="8"/>
    <x v="3"/>
    <s v="Outlier"/>
  </r>
  <r>
    <n v="232274"/>
    <n v="1647"/>
    <x v="0"/>
    <d v="2023-12-22T01:24:00"/>
    <s v="Website"/>
    <s v="Jesus Fernandez"/>
    <n v="8947"/>
    <d v="2023-12-22T00:00:00"/>
    <x v="124"/>
    <x v="0"/>
    <x v="0"/>
    <s v="Outlier"/>
  </r>
  <r>
    <n v="233409"/>
    <n v="1393"/>
    <x v="2"/>
    <d v="2023-11-01T23:05:00"/>
    <s v="Website"/>
    <s v="Kalle Suominen"/>
    <n v="9750"/>
    <d v="2023-11-01T00:00:00"/>
    <x v="159"/>
    <x v="2"/>
    <x v="4"/>
    <s v="Outlier"/>
  </r>
  <r>
    <n v="233843"/>
    <n v="1577"/>
    <x v="3"/>
    <d v="2023-04-23T00:58:00"/>
    <s v="Website"/>
    <s v="Kyung Yu"/>
    <n v="6392"/>
    <d v="2023-04-23T00:00:00"/>
    <x v="28"/>
    <x v="1"/>
    <x v="6"/>
    <s v="Outlier"/>
  </r>
  <r>
    <n v="234705"/>
    <n v="1367"/>
    <x v="2"/>
    <d v="2023-09-15T00:01:00"/>
    <s v="Other"/>
    <s v="Valarie Nelson"/>
    <n v="1662"/>
    <d v="2023-09-15T00:00:00"/>
    <x v="63"/>
    <x v="10"/>
    <x v="0"/>
    <s v="Outlier"/>
  </r>
  <r>
    <n v="235219"/>
    <n v="1829"/>
    <x v="6"/>
    <d v="2023-11-06T00:54:00"/>
    <s v="Website"/>
    <s v="Paolo Accorti"/>
    <n v="4965"/>
    <d v="2023-11-06T00:00:00"/>
    <x v="73"/>
    <x v="2"/>
    <x v="5"/>
    <s v="Outlier"/>
  </r>
  <r>
    <n v="235760"/>
    <n v="1816"/>
    <x v="4"/>
    <d v="2023-11-20T00:57:00"/>
    <s v="Website"/>
    <s v="Victoria Ashworth"/>
    <n v="4835"/>
    <d v="2023-11-20T00:00:00"/>
    <x v="42"/>
    <x v="2"/>
    <x v="5"/>
    <s v="Outlier"/>
  </r>
  <r>
    <n v="237369"/>
    <n v="401"/>
    <x v="1"/>
    <d v="2023-05-10T00:23:00"/>
    <s v="App"/>
    <s v="Palle Ibsen"/>
    <n v="2313"/>
    <d v="2023-05-10T00:00:00"/>
    <x v="6"/>
    <x v="11"/>
    <x v="4"/>
    <s v="Outlier"/>
  </r>
  <r>
    <n v="238602"/>
    <n v="153"/>
    <x v="0"/>
    <d v="2023-04-01T01:12:00"/>
    <s v="Website"/>
    <s v="Jonas Bergulfsen"/>
    <n v="951"/>
    <d v="2023-04-01T00:00:00"/>
    <x v="52"/>
    <x v="1"/>
    <x v="1"/>
    <s v="Outlier"/>
  </r>
  <r>
    <n v="238793"/>
    <n v="1574"/>
    <x v="9"/>
    <d v="2023-04-10T02:05:00"/>
    <s v="Whatsapp"/>
    <s v="Marie Bertrand"/>
    <n v="3650"/>
    <d v="2023-04-10T00:00:00"/>
    <x v="160"/>
    <x v="1"/>
    <x v="5"/>
    <s v="Outlier"/>
  </r>
  <r>
    <n v="238839"/>
    <n v="766"/>
    <x v="0"/>
    <d v="2023-06-15T00:52:00"/>
    <s v="App"/>
    <s v="Jeff Young"/>
    <n v="1367"/>
    <d v="2023-06-15T00:00:00"/>
    <x v="30"/>
    <x v="7"/>
    <x v="3"/>
    <s v="Outlier"/>
  </r>
  <r>
    <n v="241257"/>
    <n v="1374"/>
    <x v="3"/>
    <d v="2023-04-11T01:34:00"/>
    <s v="Other"/>
    <s v="Paul Henriot"/>
    <n v="6819"/>
    <d v="2023-04-11T00:00:00"/>
    <x v="161"/>
    <x v="1"/>
    <x v="2"/>
    <s v="Outlier"/>
  </r>
  <r>
    <n v="241334"/>
    <n v="864"/>
    <x v="0"/>
    <d v="2023-01-13T00:39:00"/>
    <s v="Whatsapp"/>
    <s v="Akiko Shimamura"/>
    <n v="3422"/>
    <d v="2023-01-13T00:00:00"/>
    <x v="11"/>
    <x v="9"/>
    <x v="0"/>
    <s v="Outlier"/>
  </r>
  <r>
    <n v="242256"/>
    <n v="504"/>
    <x v="10"/>
    <d v="2023-07-16T01:51:00"/>
    <s v="Other"/>
    <s v="Valarie Nelson"/>
    <n v="3986"/>
    <d v="2023-07-16T00:00:00"/>
    <x v="104"/>
    <x v="6"/>
    <x v="6"/>
    <s v="Outlier"/>
  </r>
  <r>
    <n v="243319"/>
    <n v="818"/>
    <x v="3"/>
    <d v="2023-05-26T23:22:00"/>
    <s v="Whatsapp"/>
    <s v="Valarie Nelson"/>
    <n v="2539"/>
    <d v="2023-05-26T00:00:00"/>
    <x v="137"/>
    <x v="11"/>
    <x v="0"/>
    <s v="Outlier"/>
  </r>
  <r>
    <n v="243485"/>
    <n v="633"/>
    <x v="3"/>
    <d v="2023-07-12T00:16:00"/>
    <s v="Website"/>
    <s v="Julie King"/>
    <n v="6552"/>
    <d v="2023-07-12T00:00:00"/>
    <x v="61"/>
    <x v="6"/>
    <x v="4"/>
    <s v="Outlier"/>
  </r>
  <r>
    <n v="245474"/>
    <n v="40"/>
    <x v="6"/>
    <d v="2023-11-18T23:13:00"/>
    <s v="Other"/>
    <s v="Arnold Cruz"/>
    <n v="3933"/>
    <d v="2023-11-18T00:00:00"/>
    <x v="15"/>
    <x v="2"/>
    <x v="1"/>
    <s v="Outlier"/>
  </r>
  <r>
    <n v="246033"/>
    <n v="1715"/>
    <x v="0"/>
    <d v="2023-12-05T23:33:00"/>
    <s v="Other"/>
    <s v="Laurence Lebihan"/>
    <n v="5126"/>
    <d v="2023-12-05T00:00:00"/>
    <x v="62"/>
    <x v="0"/>
    <x v="2"/>
    <s v="Outlier"/>
  </r>
  <r>
    <n v="246834"/>
    <n v="808"/>
    <x v="0"/>
    <d v="2023-07-27T00:34:00"/>
    <s v="Other"/>
    <s v="Valarie Nelson"/>
    <n v="9507"/>
    <d v="2023-07-27T00:00:00"/>
    <x v="21"/>
    <x v="6"/>
    <x v="3"/>
    <s v="Outlier"/>
  </r>
  <r>
    <n v="246988"/>
    <n v="243"/>
    <x v="0"/>
    <d v="2023-06-15T00:40:00"/>
    <s v="Whatsapp"/>
    <s v="Allen Nelson"/>
    <n v="4264"/>
    <d v="2023-06-15T00:00:00"/>
    <x v="51"/>
    <x v="7"/>
    <x v="3"/>
    <s v="Outlier"/>
  </r>
  <r>
    <n v="247011"/>
    <n v="1809"/>
    <x v="0"/>
    <d v="2023-12-11T23:29:00"/>
    <s v="Website"/>
    <s v="Julie Brown"/>
    <n v="4533"/>
    <d v="2023-12-11T00:00:00"/>
    <x v="71"/>
    <x v="0"/>
    <x v="5"/>
    <s v="Outlier"/>
  </r>
  <r>
    <n v="247239"/>
    <n v="1643"/>
    <x v="6"/>
    <d v="2023-03-21T01:42:00"/>
    <s v="Website"/>
    <s v="Anna O'Hara"/>
    <n v="9225"/>
    <d v="2023-03-21T00:00:00"/>
    <x v="14"/>
    <x v="4"/>
    <x v="2"/>
    <s v="Outlier"/>
  </r>
  <r>
    <n v="248737"/>
    <n v="109"/>
    <x v="0"/>
    <d v="2023-03-15T00:38:00"/>
    <s v="Website"/>
    <s v="Veysel Oeztan"/>
    <n v="1887"/>
    <d v="2023-03-15T00:00:00"/>
    <x v="162"/>
    <x v="4"/>
    <x v="4"/>
    <s v="Outlier"/>
  </r>
  <r>
    <n v="250181"/>
    <n v="1583"/>
    <x v="5"/>
    <d v="2023-04-20T00:12:00"/>
    <s v="Other"/>
    <s v="Henriette Pfalzheim"/>
    <n v="4036"/>
    <d v="2023-04-20T00:00:00"/>
    <x v="19"/>
    <x v="1"/>
    <x v="3"/>
    <s v="Outlier"/>
  </r>
  <r>
    <n v="251278"/>
    <n v="1591"/>
    <x v="0"/>
    <d v="2023-04-02T23:05:00"/>
    <s v="Other"/>
    <s v="Diego Freyre"/>
    <n v="2551"/>
    <d v="2023-04-02T00:00:00"/>
    <x v="159"/>
    <x v="1"/>
    <x v="6"/>
    <s v="Outlier"/>
  </r>
  <r>
    <n v="251865"/>
    <n v="414"/>
    <x v="1"/>
    <d v="2023-12-07T23:06:00"/>
    <s v="Whatsapp"/>
    <s v="Dominique Perrier"/>
    <n v="6149"/>
    <d v="2023-12-07T00:00:00"/>
    <x v="163"/>
    <x v="0"/>
    <x v="3"/>
    <s v="Outlier"/>
  </r>
  <r>
    <n v="251999"/>
    <n v="317"/>
    <x v="3"/>
    <d v="2023-11-02T00:18:00"/>
    <s v="Other"/>
    <s v="Michael Holz"/>
    <n v="8817"/>
    <d v="2023-11-02T00:00:00"/>
    <x v="139"/>
    <x v="2"/>
    <x v="3"/>
    <s v="Outlier"/>
  </r>
  <r>
    <n v="252920"/>
    <n v="298"/>
    <x v="4"/>
    <d v="2023-07-27T00:48:00"/>
    <s v="Website"/>
    <s v="Jytte Petersen"/>
    <n v="5044"/>
    <d v="2023-07-27T00:00:00"/>
    <x v="88"/>
    <x v="6"/>
    <x v="3"/>
    <s v="Outlier"/>
  </r>
  <r>
    <n v="253281"/>
    <n v="1725"/>
    <x v="0"/>
    <d v="2023-08-15T23:45:00"/>
    <s v="App"/>
    <s v="Elizabeth Devon"/>
    <n v="8869"/>
    <d v="2023-08-15T00:00:00"/>
    <x v="164"/>
    <x v="8"/>
    <x v="2"/>
    <s v="Outlier"/>
  </r>
  <r>
    <n v="253341"/>
    <n v="1663"/>
    <x v="9"/>
    <d v="2023-06-01T01:39:00"/>
    <s v="Website"/>
    <s v="Maurizio Moroni"/>
    <n v="6399"/>
    <d v="2023-06-01T00:00:00"/>
    <x v="152"/>
    <x v="7"/>
    <x v="3"/>
    <s v="Outlier"/>
  </r>
  <r>
    <n v="254112"/>
    <n v="1975"/>
    <x v="0"/>
    <d v="2023-09-07T23:46:00"/>
    <s v="App"/>
    <s v="Miguel Barajas"/>
    <n v="2037"/>
    <d v="2023-09-07T00:00:00"/>
    <x v="9"/>
    <x v="10"/>
    <x v="3"/>
    <s v="Outlier"/>
  </r>
  <r>
    <n v="254795"/>
    <n v="1357"/>
    <x v="12"/>
    <d v="2023-05-28T01:23:00"/>
    <s v="Other"/>
    <s v="Michael Holz"/>
    <n v="7938"/>
    <d v="2023-05-28T00:00:00"/>
    <x v="83"/>
    <x v="11"/>
    <x v="6"/>
    <s v="Outlier"/>
  </r>
  <r>
    <n v="255781"/>
    <n v="847"/>
    <x v="1"/>
    <d v="2023-08-26T22:47:00"/>
    <s v="Other"/>
    <s v="Roland Keitel"/>
    <n v="298"/>
    <d v="2023-08-26T00:00:00"/>
    <x v="165"/>
    <x v="8"/>
    <x v="1"/>
    <s v="Outlier"/>
  </r>
  <r>
    <n v="257849"/>
    <n v="27"/>
    <x v="0"/>
    <d v="2023-12-24T00:47:00"/>
    <s v="Other"/>
    <s v="Henriette Pfalzheim"/>
    <n v="1534"/>
    <d v="2023-12-24T00:00:00"/>
    <x v="75"/>
    <x v="0"/>
    <x v="6"/>
    <s v="Outlier"/>
  </r>
  <r>
    <n v="258070"/>
    <n v="295"/>
    <x v="1"/>
    <d v="2023-11-16T23:55:00"/>
    <s v="App"/>
    <s v="Christina Berglund"/>
    <n v="3890"/>
    <d v="2023-11-16T00:00:00"/>
    <x v="166"/>
    <x v="2"/>
    <x v="3"/>
    <s v="Outlier"/>
  </r>
  <r>
    <n v="259823"/>
    <n v="1557"/>
    <x v="0"/>
    <d v="2023-09-03T23:18:00"/>
    <s v="Website"/>
    <s v="Kwai Yu"/>
    <n v="5762"/>
    <d v="2023-09-03T00:00:00"/>
    <x v="140"/>
    <x v="10"/>
    <x v="6"/>
    <s v="Outlier"/>
  </r>
  <r>
    <n v="260160"/>
    <n v="1525"/>
    <x v="2"/>
    <d v="2023-11-30T00:48:00"/>
    <s v="Website"/>
    <s v="Georg Pipps"/>
    <n v="586"/>
    <d v="2023-11-30T00:00:00"/>
    <x v="88"/>
    <x v="2"/>
    <x v="3"/>
    <s v="Outlier"/>
  </r>
  <r>
    <n v="260615"/>
    <n v="1539"/>
    <x v="0"/>
    <d v="2023-04-10T23:31:00"/>
    <s v="App"/>
    <s v="Kalle Suominen"/>
    <n v="3646"/>
    <d v="2023-04-10T00:00:00"/>
    <x v="57"/>
    <x v="1"/>
    <x v="5"/>
    <s v="Outlier"/>
  </r>
  <r>
    <n v="260991"/>
    <n v="1916"/>
    <x v="11"/>
    <d v="2023-02-22T00:19:00"/>
    <s v="Website"/>
    <s v="Matti Karttunen"/>
    <n v="8257"/>
    <d v="2023-02-22T00:00:00"/>
    <x v="167"/>
    <x v="5"/>
    <x v="4"/>
    <s v="Outlier"/>
  </r>
  <r>
    <n v="261671"/>
    <n v="1566"/>
    <x v="0"/>
    <d v="2023-08-21T23:32:00"/>
    <s v="App"/>
    <s v="Maria Larsson"/>
    <n v="7957"/>
    <d v="2023-08-21T00:00:00"/>
    <x v="91"/>
    <x v="8"/>
    <x v="5"/>
    <s v="Outlier"/>
  </r>
  <r>
    <n v="262192"/>
    <n v="418"/>
    <x v="5"/>
    <d v="2023-08-26T22:54:00"/>
    <s v="Whatsapp"/>
    <s v="Georg Pipps"/>
    <n v="6532"/>
    <d v="2023-08-26T00:00:00"/>
    <x v="105"/>
    <x v="8"/>
    <x v="1"/>
    <s v="Outlier"/>
  </r>
  <r>
    <n v="262661"/>
    <n v="1604"/>
    <x v="4"/>
    <d v="2023-06-17T23:51:00"/>
    <s v="Website"/>
    <s v="Diego Freyre"/>
    <n v="2871"/>
    <d v="2023-06-17T00:00:00"/>
    <x v="87"/>
    <x v="7"/>
    <x v="1"/>
    <s v="Outlier"/>
  </r>
  <r>
    <n v="262946"/>
    <n v="1835"/>
    <x v="10"/>
    <d v="2023-08-28T23:25:00"/>
    <s v="Whatsapp"/>
    <s v="Maria Hernandez"/>
    <n v="934"/>
    <d v="2023-08-28T00:00:00"/>
    <x v="141"/>
    <x v="8"/>
    <x v="5"/>
    <s v="Outlier"/>
  </r>
  <r>
    <n v="264917"/>
    <n v="1281"/>
    <x v="4"/>
    <d v="2023-07-23T00:15:00"/>
    <s v="Website"/>
    <s v="Jeff Young"/>
    <n v="1214"/>
    <d v="2023-07-23T00:00:00"/>
    <x v="123"/>
    <x v="6"/>
    <x v="6"/>
    <s v="Outlier"/>
  </r>
  <r>
    <n v="265772"/>
    <n v="396"/>
    <x v="4"/>
    <d v="2023-12-11T00:52:00"/>
    <s v="App"/>
    <s v="Kalle Suominen"/>
    <n v="553"/>
    <d v="2023-12-11T00:00:00"/>
    <x v="30"/>
    <x v="0"/>
    <x v="5"/>
    <s v="Outlier"/>
  </r>
  <r>
    <n v="267881"/>
    <n v="1284"/>
    <x v="4"/>
    <d v="2023-10-23T00:17:00"/>
    <s v="Whatsapp"/>
    <s v="Pirkko Koskitalo"/>
    <n v="395"/>
    <d v="2023-10-23T00:00:00"/>
    <x v="20"/>
    <x v="3"/>
    <x v="5"/>
    <s v="Outlier"/>
  </r>
  <r>
    <n v="268063"/>
    <n v="775"/>
    <x v="5"/>
    <d v="2023-01-30T01:58:00"/>
    <s v="Whatsapp"/>
    <s v="Eric Natividad"/>
    <n v="4938"/>
    <d v="2023-01-30T00:00:00"/>
    <x v="157"/>
    <x v="9"/>
    <x v="5"/>
    <s v="Outlier"/>
  </r>
  <r>
    <n v="268418"/>
    <n v="1123"/>
    <x v="3"/>
    <d v="2023-07-28T23:32:00"/>
    <s v="App"/>
    <s v="Ann Brown"/>
    <n v="8306"/>
    <d v="2023-07-28T00:00:00"/>
    <x v="91"/>
    <x v="6"/>
    <x v="0"/>
    <s v="Outlier"/>
  </r>
  <r>
    <n v="268811"/>
    <n v="519"/>
    <x v="3"/>
    <d v="2023-02-06T01:33:00"/>
    <s v="Other"/>
    <s v="Jose Pedro Roel"/>
    <n v="9147"/>
    <d v="2023-02-06T00:00:00"/>
    <x v="47"/>
    <x v="5"/>
    <x v="5"/>
    <s v="Outlier"/>
  </r>
  <r>
    <n v="268861"/>
    <n v="919"/>
    <x v="13"/>
    <d v="2023-07-09T01:00:00"/>
    <s v="App"/>
    <s v="Steve Frick"/>
    <n v="4370"/>
    <d v="2023-07-09T00:00:00"/>
    <x v="168"/>
    <x v="6"/>
    <x v="6"/>
    <s v="Outlier"/>
  </r>
  <r>
    <n v="271858"/>
    <n v="1634"/>
    <x v="4"/>
    <d v="2023-12-06T00:02:00"/>
    <s v="App"/>
    <s v="Valarie Franco"/>
    <n v="1755"/>
    <d v="2023-12-06T00:00:00"/>
    <x v="89"/>
    <x v="0"/>
    <x v="4"/>
    <s v="Outlier"/>
  </r>
  <r>
    <n v="272165"/>
    <n v="1133"/>
    <x v="1"/>
    <d v="2023-04-04T01:16:00"/>
    <s v="Other"/>
    <s v="Sue Taylor"/>
    <n v="6204"/>
    <d v="2023-04-04T00:00:00"/>
    <x v="84"/>
    <x v="1"/>
    <x v="2"/>
    <s v="Outlier"/>
  </r>
  <r>
    <n v="272174"/>
    <n v="105"/>
    <x v="0"/>
    <d v="2023-06-20T01:08:00"/>
    <s v="Whatsapp"/>
    <s v="Valarie Nelson"/>
    <n v="5045"/>
    <d v="2023-06-20T00:00:00"/>
    <x v="37"/>
    <x v="7"/>
    <x v="2"/>
    <s v="Outlier"/>
  </r>
  <r>
    <n v="272255"/>
    <n v="187"/>
    <x v="3"/>
    <d v="2023-05-15T23:47:00"/>
    <s v="Whatsapp"/>
    <s v="Diego Freyre"/>
    <n v="1181"/>
    <d v="2023-05-15T00:00:00"/>
    <x v="100"/>
    <x v="11"/>
    <x v="5"/>
    <s v="Outlier"/>
  </r>
  <r>
    <n v="273538"/>
    <n v="1944"/>
    <x v="4"/>
    <d v="2023-02-18T23:43:00"/>
    <s v="Other"/>
    <s v="Wendy Victorino"/>
    <n v="5193"/>
    <d v="2023-02-18T00:00:00"/>
    <x v="169"/>
    <x v="5"/>
    <x v="1"/>
    <s v="Outlier"/>
  </r>
  <r>
    <n v="273817"/>
    <n v="530"/>
    <x v="6"/>
    <d v="2023-05-05T01:21:00"/>
    <s v="Website"/>
    <s v="Valarie Nelson"/>
    <n v="4051"/>
    <d v="2023-05-05T00:00:00"/>
    <x v="128"/>
    <x v="11"/>
    <x v="0"/>
    <s v="Outlier"/>
  </r>
  <r>
    <n v="273923"/>
    <n v="1911"/>
    <x v="6"/>
    <d v="2023-01-31T00:58:00"/>
    <s v="Website"/>
    <s v="Kyung Yu"/>
    <n v="4736"/>
    <d v="2023-01-31T00:00:00"/>
    <x v="28"/>
    <x v="9"/>
    <x v="2"/>
    <s v="Outlier"/>
  </r>
  <r>
    <n v="275855"/>
    <n v="869"/>
    <x v="9"/>
    <d v="2023-08-24T23:51:00"/>
    <s v="App"/>
    <s v="Kwai Yu"/>
    <n v="7700"/>
    <d v="2023-08-24T00:00:00"/>
    <x v="87"/>
    <x v="8"/>
    <x v="3"/>
    <s v="Outlier"/>
  </r>
  <r>
    <n v="275961"/>
    <n v="679"/>
    <x v="5"/>
    <d v="2023-11-18T23:58:00"/>
    <s v="Website"/>
    <s v="Marta Hernandez"/>
    <n v="2936"/>
    <d v="2023-11-18T00:00:00"/>
    <x v="96"/>
    <x v="2"/>
    <x v="1"/>
    <s v="Outlier"/>
  </r>
  <r>
    <n v="276276"/>
    <n v="1442"/>
    <x v="0"/>
    <d v="2023-09-05T01:29:00"/>
    <s v="Website"/>
    <s v="Palle Ibsen"/>
    <n v="5165"/>
    <d v="2023-09-05T00:00:00"/>
    <x v="103"/>
    <x v="10"/>
    <x v="2"/>
    <s v="Outlier"/>
  </r>
  <r>
    <n v="276403"/>
    <n v="1356"/>
    <x v="0"/>
    <d v="2023-09-14T23:58:00"/>
    <s v="Website"/>
    <s v="Michael Frick"/>
    <n v="8633"/>
    <d v="2023-09-14T00:00:00"/>
    <x v="96"/>
    <x v="10"/>
    <x v="3"/>
    <s v="Outlier"/>
  </r>
  <r>
    <n v="276698"/>
    <n v="43"/>
    <x v="5"/>
    <d v="2023-05-11T01:05:00"/>
    <s v="Other"/>
    <s v="Marie Bertrand"/>
    <n v="9942"/>
    <d v="2023-05-11T00:00:00"/>
    <x v="12"/>
    <x v="11"/>
    <x v="3"/>
    <s v="Outlier"/>
  </r>
  <r>
    <n v="277038"/>
    <n v="1677"/>
    <x v="2"/>
    <d v="2023-08-01T22:32:00"/>
    <s v="Website"/>
    <s v="Jeff Young"/>
    <n v="2455"/>
    <d v="2023-08-01T00:00:00"/>
    <x v="170"/>
    <x v="8"/>
    <x v="2"/>
    <s v="Outlier"/>
  </r>
  <r>
    <n v="279106"/>
    <n v="104"/>
    <x v="6"/>
    <d v="2023-01-14T00:54:00"/>
    <s v="Website"/>
    <s v="Diego Freyre"/>
    <n v="4768"/>
    <d v="2023-01-14T00:00:00"/>
    <x v="73"/>
    <x v="9"/>
    <x v="1"/>
    <s v="Outlier"/>
  </r>
  <r>
    <n v="279515"/>
    <n v="713"/>
    <x v="10"/>
    <d v="2023-09-15T23:00:00"/>
    <s v="App"/>
    <s v="Valarie Nelson"/>
    <n v="4633"/>
    <d v="2023-09-15T00:00:00"/>
    <x v="171"/>
    <x v="10"/>
    <x v="0"/>
    <s v="Outlier"/>
  </r>
  <r>
    <n v="279963"/>
    <n v="1775"/>
    <x v="0"/>
    <d v="2023-10-27T00:04:00"/>
    <s v="App"/>
    <s v="Valarie Nelson"/>
    <n v="7812"/>
    <d v="2023-10-27T00:00:00"/>
    <x v="64"/>
    <x v="3"/>
    <x v="0"/>
    <s v="Outlier"/>
  </r>
  <r>
    <n v="280459"/>
    <n v="457"/>
    <x v="13"/>
    <d v="2023-09-26T23:42:00"/>
    <s v="Whatsapp"/>
    <s v="Diego Freyre"/>
    <n v="3197"/>
    <d v="2023-09-26T00:00:00"/>
    <x v="38"/>
    <x v="10"/>
    <x v="2"/>
    <s v="Outlier"/>
  </r>
  <r>
    <n v="280739"/>
    <n v="138"/>
    <x v="0"/>
    <d v="2023-07-06T23:37:00"/>
    <s v="Whatsapp"/>
    <s v="Janine Labrune"/>
    <n v="2453"/>
    <d v="2023-07-06T00:00:00"/>
    <x v="78"/>
    <x v="6"/>
    <x v="3"/>
    <s v="Outlier"/>
  </r>
  <r>
    <n v="281193"/>
    <n v="1522"/>
    <x v="0"/>
    <d v="2023-03-17T00:14:00"/>
    <s v="Website"/>
    <s v="Arnold Cruz"/>
    <n v="6173"/>
    <d v="2023-03-17T00:00:00"/>
    <x v="172"/>
    <x v="4"/>
    <x v="0"/>
    <s v="Outlier"/>
  </r>
  <r>
    <n v="281454"/>
    <n v="1413"/>
    <x v="4"/>
    <d v="2023-09-17T23:51:00"/>
    <s v="Other"/>
    <s v="Laurence Lebihan"/>
    <n v="5802"/>
    <d v="2023-09-17T00:00:00"/>
    <x v="87"/>
    <x v="10"/>
    <x v="6"/>
    <s v="Outlier"/>
  </r>
  <r>
    <n v="281813"/>
    <n v="331"/>
    <x v="5"/>
    <d v="2023-06-21T01:58:00"/>
    <s v="App"/>
    <s v="Valarie Nelson"/>
    <n v="5117"/>
    <d v="2023-06-21T00:00:00"/>
    <x v="157"/>
    <x v="7"/>
    <x v="4"/>
    <s v="Outlier"/>
  </r>
  <r>
    <n v="283066"/>
    <n v="956"/>
    <x v="3"/>
    <d v="2023-02-06T01:53:00"/>
    <s v="App"/>
    <s v="Allen Nelson"/>
    <n v="5819"/>
    <d v="2023-02-06T00:00:00"/>
    <x v="102"/>
    <x v="5"/>
    <x v="5"/>
    <s v="Outlier"/>
  </r>
  <r>
    <n v="283068"/>
    <n v="1967"/>
    <x v="4"/>
    <d v="2023-11-29T00:12:00"/>
    <s v="Other"/>
    <s v="Michael Chandler"/>
    <n v="3805"/>
    <d v="2023-11-29T00:00:00"/>
    <x v="19"/>
    <x v="2"/>
    <x v="4"/>
    <s v="Outlier"/>
  </r>
  <r>
    <n v="283610"/>
    <n v="1401"/>
    <x v="10"/>
    <d v="2023-01-30T23:52:00"/>
    <s v="Whatsapp"/>
    <s v="Roland Mendel"/>
    <n v="3862"/>
    <d v="2023-01-30T00:00:00"/>
    <x v="94"/>
    <x v="9"/>
    <x v="5"/>
    <s v="Outlier"/>
  </r>
  <r>
    <n v="284363"/>
    <n v="100"/>
    <x v="12"/>
    <d v="2023-03-21T23:28:00"/>
    <s v="Website"/>
    <s v="Veysel Oeztan"/>
    <n v="3844"/>
    <d v="2023-03-21T00:00:00"/>
    <x v="134"/>
    <x v="4"/>
    <x v="2"/>
    <s v="Outlier"/>
  </r>
  <r>
    <n v="284974"/>
    <n v="1218"/>
    <x v="0"/>
    <d v="2023-09-11T01:36:00"/>
    <s v="Website"/>
    <s v="Valarie Young"/>
    <n v="5755"/>
    <d v="2023-09-11T00:00:00"/>
    <x v="173"/>
    <x v="10"/>
    <x v="5"/>
    <s v="Outlier"/>
  </r>
  <r>
    <n v="286598"/>
    <n v="1903"/>
    <x v="6"/>
    <d v="2023-03-12T00:54:00"/>
    <s v="Whatsapp"/>
    <s v="Diego Freyre"/>
    <n v="8252"/>
    <d v="2023-03-12T00:00:00"/>
    <x v="73"/>
    <x v="4"/>
    <x v="6"/>
    <s v="Outlier"/>
  </r>
  <r>
    <n v="287761"/>
    <n v="91"/>
    <x v="4"/>
    <d v="2023-05-07T01:19:00"/>
    <s v="App"/>
    <s v="Diego Freyre"/>
    <n v="3891"/>
    <d v="2023-05-07T00:00:00"/>
    <x v="95"/>
    <x v="11"/>
    <x v="6"/>
    <s v="Outlier"/>
  </r>
  <r>
    <n v="288186"/>
    <n v="415"/>
    <x v="1"/>
    <d v="2023-05-30T23:57:00"/>
    <s v="Whatsapp"/>
    <s v="Michael Holz"/>
    <n v="4166"/>
    <d v="2023-05-30T00:00:00"/>
    <x v="116"/>
    <x v="11"/>
    <x v="2"/>
    <s v="Outlier"/>
  </r>
  <r>
    <n v="288332"/>
    <n v="1069"/>
    <x v="6"/>
    <d v="2023-01-16T00:23:00"/>
    <s v="Website"/>
    <s v="Pirkko Koskitalo"/>
    <n v="610"/>
    <d v="2023-01-16T00:00:00"/>
    <x v="6"/>
    <x v="9"/>
    <x v="5"/>
    <s v="Outlier"/>
  </r>
  <r>
    <n v="288335"/>
    <n v="1703"/>
    <x v="3"/>
    <d v="2023-07-15T00:46:00"/>
    <s v="Other"/>
    <s v="Elizabeth Devon"/>
    <n v="362"/>
    <d v="2023-07-15T00:00:00"/>
    <x v="77"/>
    <x v="6"/>
    <x v="1"/>
    <s v="Outlier"/>
  </r>
  <r>
    <n v="289882"/>
    <n v="1177"/>
    <x v="13"/>
    <d v="2023-11-04T01:04:00"/>
    <s v="Whatsapp"/>
    <s v="Maurizio Moroni"/>
    <n v="4569"/>
    <d v="2023-11-04T00:00:00"/>
    <x v="121"/>
    <x v="2"/>
    <x v="1"/>
    <s v="Outlier"/>
  </r>
  <r>
    <n v="289906"/>
    <n v="1349"/>
    <x v="6"/>
    <d v="2023-04-15T23:54:00"/>
    <s v="Other"/>
    <s v="Eric Natividad"/>
    <n v="2771"/>
    <d v="2023-04-15T00:00:00"/>
    <x v="174"/>
    <x v="1"/>
    <x v="1"/>
    <s v="Outlier"/>
  </r>
  <r>
    <n v="290270"/>
    <n v="1955"/>
    <x v="4"/>
    <d v="2023-02-03T01:54:00"/>
    <s v="App"/>
    <s v="Michael Holz"/>
    <n v="2355"/>
    <d v="2023-02-03T00:00:00"/>
    <x v="143"/>
    <x v="5"/>
    <x v="0"/>
    <s v="Outlier"/>
  </r>
  <r>
    <n v="292907"/>
    <n v="1829"/>
    <x v="6"/>
    <d v="2023-04-22T00:05:00"/>
    <s v="Website"/>
    <s v="Roland Keitel"/>
    <n v="4040"/>
    <d v="2023-04-22T00:00:00"/>
    <x v="48"/>
    <x v="1"/>
    <x v="1"/>
    <s v="Outlier"/>
  </r>
  <r>
    <n v="294015"/>
    <n v="669"/>
    <x v="0"/>
    <d v="2023-09-03T23:27:00"/>
    <s v="App"/>
    <s v="Henriette Pfalzheim"/>
    <n v="9046"/>
    <d v="2023-09-03T00:00:00"/>
    <x v="79"/>
    <x v="10"/>
    <x v="6"/>
    <s v="Outlier"/>
  </r>
  <r>
    <n v="295823"/>
    <n v="1085"/>
    <x v="4"/>
    <d v="2023-01-18T00:11:00"/>
    <s v="Other"/>
    <s v="Violeta Benitez"/>
    <n v="2562"/>
    <d v="2023-01-18T00:00:00"/>
    <x v="10"/>
    <x v="9"/>
    <x v="4"/>
    <s v="Outlier"/>
  </r>
  <r>
    <n v="296042"/>
    <n v="722"/>
    <x v="0"/>
    <d v="2023-08-29T00:48:00"/>
    <s v="Whatsapp"/>
    <s v="Kwai Yu"/>
    <n v="3962"/>
    <d v="2023-08-29T00:00:00"/>
    <x v="88"/>
    <x v="8"/>
    <x v="2"/>
    <s v="Outlier"/>
  </r>
  <r>
    <n v="296324"/>
    <n v="167"/>
    <x v="6"/>
    <d v="2023-05-13T23:09:00"/>
    <s v="Whatsapp"/>
    <s v="Georg Pipps"/>
    <n v="5732"/>
    <d v="2023-05-13T00:00:00"/>
    <x v="175"/>
    <x v="11"/>
    <x v="1"/>
    <s v="Outlier"/>
  </r>
  <r>
    <n v="298715"/>
    <n v="1706"/>
    <x v="0"/>
    <d v="2023-04-01T23:52:00"/>
    <s v="Website"/>
    <s v="Kalle Suominen"/>
    <n v="5256"/>
    <d v="2023-04-01T00:00:00"/>
    <x v="94"/>
    <x v="1"/>
    <x v="1"/>
    <s v="Outlier"/>
  </r>
  <r>
    <n v="299065"/>
    <n v="177"/>
    <x v="1"/>
    <d v="2023-04-11T22:47:00"/>
    <s v="Other"/>
    <s v="Matti Karttunen"/>
    <n v="7292"/>
    <d v="2023-04-11T00:00:00"/>
    <x v="165"/>
    <x v="1"/>
    <x v="2"/>
    <s v="Outlier"/>
  </r>
  <r>
    <n v="299700"/>
    <n v="533"/>
    <x v="0"/>
    <d v="2023-10-09T01:32:00"/>
    <s v="Whatsapp"/>
    <s v="Maria Larsson"/>
    <n v="7166"/>
    <d v="2023-10-09T00:00:00"/>
    <x v="117"/>
    <x v="3"/>
    <x v="5"/>
    <s v="Outlier"/>
  </r>
  <r>
    <n v="300907"/>
    <n v="383"/>
    <x v="3"/>
    <d v="2023-11-12T23:00:00"/>
    <s v="Whatsapp"/>
    <s v="Frederique Citeaux"/>
    <n v="346"/>
    <d v="2023-11-12T00:00:00"/>
    <x v="171"/>
    <x v="2"/>
    <x v="6"/>
    <s v="Outlier"/>
  </r>
  <r>
    <n v="302110"/>
    <n v="1357"/>
    <x v="12"/>
    <d v="2023-10-15T01:26:00"/>
    <s v="App"/>
    <s v="Georg Pipps"/>
    <n v="4576"/>
    <d v="2023-10-15T00:00:00"/>
    <x v="65"/>
    <x v="3"/>
    <x v="6"/>
    <s v="Outlier"/>
  </r>
  <r>
    <n v="303207"/>
    <n v="1052"/>
    <x v="7"/>
    <d v="2023-11-19T23:54:00"/>
    <s v="App"/>
    <s v="Jonas Bergulfsen"/>
    <n v="1054"/>
    <d v="2023-11-19T00:00:00"/>
    <x v="174"/>
    <x v="2"/>
    <x v="6"/>
    <s v="Outlier"/>
  </r>
  <r>
    <n v="303923"/>
    <n v="691"/>
    <x v="8"/>
    <d v="2023-05-30T23:02:00"/>
    <s v="Website"/>
    <s v="Valarie Nelson"/>
    <n v="5642"/>
    <d v="2023-05-30T00:00:00"/>
    <x v="114"/>
    <x v="11"/>
    <x v="2"/>
    <s v="Outlier"/>
  </r>
  <r>
    <n v="304668"/>
    <n v="835"/>
    <x v="6"/>
    <d v="2023-02-12T00:44:00"/>
    <s v="App"/>
    <s v="Mart¡n Sommer"/>
    <n v="3450"/>
    <d v="2023-02-12T00:00:00"/>
    <x v="85"/>
    <x v="5"/>
    <x v="6"/>
    <s v="Outlier"/>
  </r>
  <r>
    <n v="305175"/>
    <n v="766"/>
    <x v="0"/>
    <d v="2023-08-06T00:17:00"/>
    <s v="Whatsapp"/>
    <s v="Juri Hirano"/>
    <n v="1876"/>
    <d v="2023-08-06T00:00:00"/>
    <x v="20"/>
    <x v="8"/>
    <x v="6"/>
    <s v="Outlier"/>
  </r>
  <r>
    <n v="305282"/>
    <n v="1594"/>
    <x v="6"/>
    <d v="2023-03-11T00:20:00"/>
    <s v="App"/>
    <s v="Eric Natividad"/>
    <n v="2529"/>
    <d v="2023-03-11T00:00:00"/>
    <x v="68"/>
    <x v="4"/>
    <x v="1"/>
    <s v="Outlier"/>
  </r>
  <r>
    <n v="305291"/>
    <n v="1519"/>
    <x v="4"/>
    <d v="2023-08-22T23:10:00"/>
    <s v="Whatsapp"/>
    <s v="Roland Mendel"/>
    <n v="3778"/>
    <d v="2023-08-22T00:00:00"/>
    <x v="176"/>
    <x v="8"/>
    <x v="2"/>
    <s v="Outlier"/>
  </r>
  <r>
    <n v="305510"/>
    <n v="935"/>
    <x v="3"/>
    <d v="2023-11-21T02:00:00"/>
    <s v="Website"/>
    <s v="Tony Calaghan"/>
    <n v="6989"/>
    <d v="2023-11-21T00:00:00"/>
    <x v="23"/>
    <x v="2"/>
    <x v="2"/>
    <s v="Outlier"/>
  </r>
  <r>
    <n v="306677"/>
    <n v="1145"/>
    <x v="0"/>
    <d v="2023-08-20T23:45:00"/>
    <s v="Other"/>
    <s v="Francisca Cervantes"/>
    <n v="6771"/>
    <d v="2023-08-20T00:00:00"/>
    <x v="164"/>
    <x v="8"/>
    <x v="6"/>
    <s v="Outlier"/>
  </r>
  <r>
    <n v="306798"/>
    <n v="132"/>
    <x v="4"/>
    <d v="2023-01-14T00:29:00"/>
    <s v="Whatsapp"/>
    <s v="Mary Saveley"/>
    <n v="291"/>
    <d v="2023-01-14T00:00:00"/>
    <x v="50"/>
    <x v="9"/>
    <x v="1"/>
    <s v="Outlier"/>
  </r>
  <r>
    <n v="306831"/>
    <n v="1135"/>
    <x v="1"/>
    <d v="2023-06-13T00:35:00"/>
    <s v="Whatsapp"/>
    <s v="Yoshi Tannamuri"/>
    <n v="4730"/>
    <d v="2023-06-13T00:00:00"/>
    <x v="67"/>
    <x v="7"/>
    <x v="2"/>
    <s v="Outlier"/>
  </r>
  <r>
    <n v="307999"/>
    <n v="1476"/>
    <x v="2"/>
    <d v="2023-07-04T23:33:00"/>
    <s v="Other"/>
    <s v="Steve Thompson"/>
    <n v="5434"/>
    <d v="2023-07-04T00:00:00"/>
    <x v="62"/>
    <x v="6"/>
    <x v="2"/>
    <s v="Outlier"/>
  </r>
  <r>
    <n v="308888"/>
    <n v="731"/>
    <x v="3"/>
    <d v="2023-04-06T01:09:00"/>
    <s v="Website"/>
    <s v="Kyung Tseng"/>
    <n v="5383"/>
    <d v="2023-04-06T00:00:00"/>
    <x v="92"/>
    <x v="1"/>
    <x v="3"/>
    <s v="Outlier"/>
  </r>
  <r>
    <n v="309642"/>
    <n v="1222"/>
    <x v="4"/>
    <d v="2023-09-16T00:34:00"/>
    <s v="Other"/>
    <s v="Leslie Murphy"/>
    <n v="2898"/>
    <d v="2023-09-16T00:00:00"/>
    <x v="21"/>
    <x v="10"/>
    <x v="1"/>
    <s v="Outlier"/>
  </r>
  <r>
    <n v="310236"/>
    <n v="839"/>
    <x v="1"/>
    <d v="2023-04-18T00:04:00"/>
    <s v="Website"/>
    <s v="Akiko Shimamura"/>
    <n v="221"/>
    <d v="2023-04-18T00:00:00"/>
    <x v="64"/>
    <x v="1"/>
    <x v="2"/>
    <s v="Outlier"/>
  </r>
  <r>
    <n v="310303"/>
    <n v="42"/>
    <x v="4"/>
    <d v="2023-07-28T00:28:00"/>
    <s v="Other"/>
    <s v="Adrian Huxley"/>
    <n v="369"/>
    <d v="2023-07-28T00:00:00"/>
    <x v="39"/>
    <x v="6"/>
    <x v="0"/>
    <s v="Outlier"/>
  </r>
  <r>
    <n v="311285"/>
    <n v="511"/>
    <x v="0"/>
    <d v="2023-10-14T23:47:00"/>
    <s v="Website"/>
    <s v="Paolo Accorti"/>
    <n v="3345"/>
    <d v="2023-10-14T00:00:00"/>
    <x v="100"/>
    <x v="3"/>
    <x v="1"/>
    <s v="Outlier"/>
  </r>
  <r>
    <n v="312250"/>
    <n v="343"/>
    <x v="1"/>
    <d v="2023-11-18T00:28:00"/>
    <s v="Website"/>
    <s v="Maria Larsson"/>
    <n v="8056"/>
    <d v="2023-11-18T00:00:00"/>
    <x v="39"/>
    <x v="2"/>
    <x v="1"/>
    <s v="Outlier"/>
  </r>
  <r>
    <n v="312391"/>
    <n v="780"/>
    <x v="1"/>
    <d v="2023-12-16T23:05:00"/>
    <s v="Website"/>
    <s v="Daniel Tonini"/>
    <n v="3848"/>
    <d v="2023-12-16T00:00:00"/>
    <x v="159"/>
    <x v="0"/>
    <x v="1"/>
    <s v="Outlier"/>
  </r>
  <r>
    <n v="312413"/>
    <n v="1696"/>
    <x v="0"/>
    <d v="2023-09-16T00:17:00"/>
    <s v="App"/>
    <s v="Valarie Nelson"/>
    <n v="7605"/>
    <d v="2023-09-16T00:00:00"/>
    <x v="20"/>
    <x v="10"/>
    <x v="1"/>
    <s v="Outlier"/>
  </r>
  <r>
    <n v="312581"/>
    <n v="624"/>
    <x v="6"/>
    <d v="2023-08-07T00:48:00"/>
    <s v="Whatsapp"/>
    <s v="Valarie Young"/>
    <n v="5721"/>
    <d v="2023-08-07T00:00:00"/>
    <x v="88"/>
    <x v="8"/>
    <x v="5"/>
    <s v="Outlier"/>
  </r>
  <r>
    <n v="313294"/>
    <n v="1513"/>
    <x v="0"/>
    <d v="2023-06-24T00:09:00"/>
    <s v="App"/>
    <s v="Julie Murphy"/>
    <n v="3975"/>
    <d v="2023-06-24T00:00:00"/>
    <x v="81"/>
    <x v="7"/>
    <x v="1"/>
    <s v="Outlier"/>
  </r>
  <r>
    <n v="313756"/>
    <n v="1032"/>
    <x v="3"/>
    <d v="2023-12-28T01:31:00"/>
    <s v="App"/>
    <s v="Peter Ferguson"/>
    <n v="1340"/>
    <d v="2023-12-28T00:00:00"/>
    <x v="177"/>
    <x v="0"/>
    <x v="3"/>
    <s v="Outlier"/>
  </r>
  <r>
    <n v="314254"/>
    <n v="224"/>
    <x v="1"/>
    <d v="2023-07-26T00:20:00"/>
    <s v="Other"/>
    <s v="Valarie Nelson"/>
    <n v="2043"/>
    <d v="2023-07-26T00:00:00"/>
    <x v="68"/>
    <x v="6"/>
    <x v="4"/>
    <s v="Outlier"/>
  </r>
  <r>
    <n v="314530"/>
    <n v="967"/>
    <x v="6"/>
    <d v="2023-11-11T00:50:00"/>
    <s v="Whatsapp"/>
    <s v="Anna O'Hara"/>
    <n v="4214"/>
    <d v="2023-11-11T00:00:00"/>
    <x v="0"/>
    <x v="2"/>
    <x v="1"/>
    <s v="Outlier"/>
  </r>
  <r>
    <n v="315549"/>
    <n v="108"/>
    <x v="4"/>
    <d v="2023-03-19T23:39:00"/>
    <s v="Whatsapp"/>
    <s v="Julie Brown"/>
    <n v="7653"/>
    <d v="2023-03-19T00:00:00"/>
    <x v="101"/>
    <x v="4"/>
    <x v="6"/>
    <s v="Outlier"/>
  </r>
  <r>
    <n v="315899"/>
    <n v="1934"/>
    <x v="4"/>
    <d v="2023-10-09T00:56:00"/>
    <s v="Whatsapp"/>
    <s v="Anna O'Hara"/>
    <n v="6965"/>
    <d v="2023-10-09T00:00:00"/>
    <x v="150"/>
    <x v="3"/>
    <x v="5"/>
    <s v="Outlier"/>
  </r>
  <r>
    <n v="315977"/>
    <n v="1837"/>
    <x v="11"/>
    <d v="2023-09-03T00:01:00"/>
    <s v="Website"/>
    <s v="Jean Fresnisre"/>
    <n v="8432"/>
    <d v="2023-09-03T00:00:00"/>
    <x v="63"/>
    <x v="10"/>
    <x v="6"/>
    <s v="Outlier"/>
  </r>
  <r>
    <n v="316324"/>
    <n v="1564"/>
    <x v="5"/>
    <d v="2023-03-07T00:20:00"/>
    <s v="Whatsapp"/>
    <s v="Diego Freyre"/>
    <n v="1285"/>
    <d v="2023-03-07T00:00:00"/>
    <x v="68"/>
    <x v="4"/>
    <x v="2"/>
    <s v="Outlier"/>
  </r>
  <r>
    <n v="316364"/>
    <n v="486"/>
    <x v="9"/>
    <d v="2023-11-09T00:19:00"/>
    <s v="Website"/>
    <s v="Rosa Hernandez"/>
    <n v="1699"/>
    <d v="2023-11-09T00:00:00"/>
    <x v="167"/>
    <x v="2"/>
    <x v="3"/>
    <s v="Outlier"/>
  </r>
  <r>
    <n v="316858"/>
    <n v="1140"/>
    <x v="10"/>
    <d v="2023-03-18T00:39:00"/>
    <s v="Other"/>
    <s v="Laurence Lebihan"/>
    <n v="3160"/>
    <d v="2023-03-18T00:00:00"/>
    <x v="11"/>
    <x v="4"/>
    <x v="1"/>
    <s v="Outlier"/>
  </r>
  <r>
    <n v="318630"/>
    <n v="137"/>
    <x v="1"/>
    <d v="2023-04-13T23:22:00"/>
    <s v="Whatsapp"/>
    <s v="Annette Roulet"/>
    <n v="9655"/>
    <d v="2023-04-13T00:00:00"/>
    <x v="137"/>
    <x v="1"/>
    <x v="3"/>
    <s v="Outlier"/>
  </r>
  <r>
    <n v="318961"/>
    <n v="821"/>
    <x v="2"/>
    <d v="2023-05-09T01:14:00"/>
    <s v="Website"/>
    <s v="Anna O'Hara"/>
    <n v="7028"/>
    <d v="2023-05-09T00:00:00"/>
    <x v="156"/>
    <x v="11"/>
    <x v="2"/>
    <s v="Outlier"/>
  </r>
  <r>
    <n v="319587"/>
    <n v="1505"/>
    <x v="0"/>
    <d v="2023-09-30T00:04:00"/>
    <s v="Other"/>
    <s v="Palle Ibsen"/>
    <n v="1648"/>
    <d v="2023-09-30T00:00:00"/>
    <x v="64"/>
    <x v="10"/>
    <x v="1"/>
    <s v="Outlier"/>
  </r>
  <r>
    <n v="320251"/>
    <n v="648"/>
    <x v="9"/>
    <d v="2023-11-11T01:40:00"/>
    <s v="App"/>
    <s v="Jean Fresnisre"/>
    <n v="8979"/>
    <d v="2023-11-11T00:00:00"/>
    <x v="76"/>
    <x v="2"/>
    <x v="1"/>
    <s v="Outlier"/>
  </r>
  <r>
    <n v="320353"/>
    <n v="173"/>
    <x v="1"/>
    <d v="2023-05-25T00:41:00"/>
    <s v="App"/>
    <s v="Veysel Oeztan"/>
    <n v="7229"/>
    <d v="2023-05-25T00:00:00"/>
    <x v="60"/>
    <x v="11"/>
    <x v="3"/>
    <s v="Outlier"/>
  </r>
  <r>
    <n v="322784"/>
    <n v="132"/>
    <x v="4"/>
    <d v="2023-01-02T23:21:00"/>
    <s v="Whatsapp"/>
    <s v="Valarie Young"/>
    <n v="5201"/>
    <d v="2023-01-02T00:00:00"/>
    <x v="69"/>
    <x v="9"/>
    <x v="5"/>
    <s v="Outlier"/>
  </r>
  <r>
    <n v="323100"/>
    <n v="867"/>
    <x v="0"/>
    <d v="2023-05-29T00:15:00"/>
    <s v="Other"/>
    <s v="Jeff Young"/>
    <n v="6684"/>
    <d v="2023-05-29T00:00:00"/>
    <x v="123"/>
    <x v="11"/>
    <x v="5"/>
    <s v="Outlier"/>
  </r>
  <r>
    <n v="325850"/>
    <n v="166"/>
    <x v="3"/>
    <d v="2023-05-09T00:47:00"/>
    <s v="Whatsapp"/>
    <s v="Diego Freyre"/>
    <n v="7311"/>
    <d v="2023-05-09T00:00:00"/>
    <x v="75"/>
    <x v="11"/>
    <x v="2"/>
    <s v="Outlier"/>
  </r>
  <r>
    <n v="325939"/>
    <n v="1285"/>
    <x v="4"/>
    <d v="2023-12-24T22:53:00"/>
    <s v="Whatsapp"/>
    <s v="Michael Holz"/>
    <n v="4569"/>
    <d v="2023-12-24T00:00:00"/>
    <x v="178"/>
    <x v="0"/>
    <x v="6"/>
    <s v="Outlier"/>
  </r>
  <r>
    <n v="327243"/>
    <n v="595"/>
    <x v="0"/>
    <d v="2023-05-08T00:54:00"/>
    <s v="Other"/>
    <s v="Mory Kentary"/>
    <n v="8969"/>
    <d v="2023-05-08T00:00:00"/>
    <x v="73"/>
    <x v="11"/>
    <x v="5"/>
    <s v="Outlier"/>
  </r>
  <r>
    <n v="327268"/>
    <n v="1038"/>
    <x v="3"/>
    <d v="2023-11-06T01:14:00"/>
    <s v="Website"/>
    <s v="Elizabeth Devon"/>
    <n v="6977"/>
    <d v="2023-11-06T00:00:00"/>
    <x v="156"/>
    <x v="2"/>
    <x v="5"/>
    <s v="Outlier"/>
  </r>
  <r>
    <n v="328597"/>
    <n v="221"/>
    <x v="6"/>
    <d v="2023-10-06T01:46:00"/>
    <s v="Whatsapp"/>
    <s v="Maurizio Moroni"/>
    <n v="5537"/>
    <d v="2023-10-06T00:00:00"/>
    <x v="129"/>
    <x v="3"/>
    <x v="0"/>
    <s v="Outlier"/>
  </r>
  <r>
    <n v="329474"/>
    <n v="1133"/>
    <x v="1"/>
    <d v="2023-12-08T00:32:00"/>
    <s v="Website"/>
    <s v="Sue King"/>
    <n v="7243"/>
    <d v="2023-12-08T00:00:00"/>
    <x v="58"/>
    <x v="0"/>
    <x v="0"/>
    <s v="Outlier"/>
  </r>
  <r>
    <n v="331297"/>
    <n v="1595"/>
    <x v="0"/>
    <d v="2023-03-17T00:16:00"/>
    <s v="App"/>
    <s v="Michael Holz"/>
    <n v="7756"/>
    <d v="2023-03-17T00:00:00"/>
    <x v="61"/>
    <x v="4"/>
    <x v="0"/>
    <s v="Outlier"/>
  </r>
  <r>
    <n v="331797"/>
    <n v="1190"/>
    <x v="8"/>
    <d v="2023-10-15T01:46:00"/>
    <s v="Whatsapp"/>
    <s v="Jan Klaeboe"/>
    <n v="5185"/>
    <d v="2023-10-15T00:00:00"/>
    <x v="129"/>
    <x v="3"/>
    <x v="6"/>
    <s v="Outlier"/>
  </r>
  <r>
    <n v="332513"/>
    <n v="164"/>
    <x v="0"/>
    <d v="2023-03-17T01:16:00"/>
    <s v="App"/>
    <s v="Henriette Pfalzheim"/>
    <n v="9265"/>
    <d v="2023-03-17T00:00:00"/>
    <x v="84"/>
    <x v="4"/>
    <x v="0"/>
    <s v="Outlier"/>
  </r>
  <r>
    <n v="333900"/>
    <n v="629"/>
    <x v="0"/>
    <d v="2023-11-12T01:08:00"/>
    <s v="Other"/>
    <s v="Violeta Benitez"/>
    <n v="8694"/>
    <d v="2023-11-12T00:00:00"/>
    <x v="37"/>
    <x v="2"/>
    <x v="6"/>
    <s v="Outlier"/>
  </r>
  <r>
    <n v="334028"/>
    <n v="323"/>
    <x v="3"/>
    <d v="2023-07-07T01:21:00"/>
    <s v="App"/>
    <s v="Rosa Hernandez"/>
    <n v="9365"/>
    <d v="2023-07-07T00:00:00"/>
    <x v="128"/>
    <x v="6"/>
    <x v="0"/>
    <s v="Outlier"/>
  </r>
  <r>
    <n v="335011"/>
    <n v="1188"/>
    <x v="0"/>
    <d v="2023-11-27T23:43:00"/>
    <s v="App"/>
    <s v="Peter Ferguson"/>
    <n v="4882"/>
    <d v="2023-11-27T00:00:00"/>
    <x v="169"/>
    <x v="2"/>
    <x v="5"/>
    <s v="Outlier"/>
  </r>
  <r>
    <n v="336670"/>
    <n v="1963"/>
    <x v="6"/>
    <d v="2023-07-09T01:20:00"/>
    <s v="Website"/>
    <s v="Daniel Da Cunha"/>
    <n v="7178"/>
    <d v="2023-07-09T00:00:00"/>
    <x v="8"/>
    <x v="6"/>
    <x v="6"/>
    <s v="Outlier"/>
  </r>
  <r>
    <n v="337678"/>
    <n v="231"/>
    <x v="0"/>
    <d v="2023-06-25T00:11:00"/>
    <s v="Website"/>
    <s v="Wing C Tam"/>
    <n v="6888"/>
    <d v="2023-06-25T00:00:00"/>
    <x v="10"/>
    <x v="7"/>
    <x v="6"/>
    <s v="Outlier"/>
  </r>
  <r>
    <n v="338433"/>
    <n v="1583"/>
    <x v="5"/>
    <d v="2023-05-20T23:31:00"/>
    <s v="Whatsapp"/>
    <s v="Matti Karttunen"/>
    <n v="2588"/>
    <d v="2023-05-20T00:00:00"/>
    <x v="57"/>
    <x v="11"/>
    <x v="1"/>
    <s v="Outlier"/>
  </r>
  <r>
    <n v="338722"/>
    <n v="1401"/>
    <x v="10"/>
    <d v="2023-07-02T01:04:00"/>
    <s v="Other"/>
    <s v="Valarie Nelson"/>
    <n v="8554"/>
    <d v="2023-07-02T00:00:00"/>
    <x v="121"/>
    <x v="6"/>
    <x v="6"/>
    <s v="Outlier"/>
  </r>
  <r>
    <n v="339088"/>
    <n v="904"/>
    <x v="1"/>
    <d v="2023-07-31T00:49:00"/>
    <s v="App"/>
    <s v="Jytte Petersen"/>
    <n v="4909"/>
    <d v="2023-07-31T00:00:00"/>
    <x v="35"/>
    <x v="6"/>
    <x v="5"/>
    <s v="Outlier"/>
  </r>
  <r>
    <n v="340986"/>
    <n v="1570"/>
    <x v="0"/>
    <d v="2023-09-22T23:36:00"/>
    <s v="Whatsapp"/>
    <s v="Georg Pipps"/>
    <n v="3502"/>
    <d v="2023-09-22T00:00:00"/>
    <x v="135"/>
    <x v="10"/>
    <x v="0"/>
    <s v="Outlier"/>
  </r>
  <r>
    <n v="341171"/>
    <n v="1438"/>
    <x v="5"/>
    <d v="2023-11-01T01:52:00"/>
    <s v="App"/>
    <s v="Michael Frick"/>
    <n v="1596"/>
    <d v="2023-11-01T00:00:00"/>
    <x v="179"/>
    <x v="2"/>
    <x v="4"/>
    <s v="Outlier"/>
  </r>
  <r>
    <n v="341522"/>
    <n v="1268"/>
    <x v="0"/>
    <d v="2023-08-12T00:34:00"/>
    <s v="Whatsapp"/>
    <s v="Julie Murphy"/>
    <n v="1649"/>
    <d v="2023-08-12T00:00:00"/>
    <x v="21"/>
    <x v="8"/>
    <x v="1"/>
    <s v="Outlier"/>
  </r>
  <r>
    <n v="341838"/>
    <n v="1367"/>
    <x v="2"/>
    <d v="2023-11-18T01:37:00"/>
    <s v="Website"/>
    <s v="Peter Ferguson"/>
    <n v="7477"/>
    <d v="2023-11-18T00:00:00"/>
    <x v="109"/>
    <x v="2"/>
    <x v="1"/>
    <s v="Outlier"/>
  </r>
  <r>
    <n v="341843"/>
    <n v="1121"/>
    <x v="1"/>
    <d v="2023-05-29T00:08:00"/>
    <s v="Other"/>
    <s v="Adrian Huxley"/>
    <n v="863"/>
    <d v="2023-05-29T00:00:00"/>
    <x v="149"/>
    <x v="11"/>
    <x v="5"/>
    <s v="Outlier"/>
  </r>
  <r>
    <n v="342057"/>
    <n v="1152"/>
    <x v="4"/>
    <d v="2023-06-04T00:53:00"/>
    <s v="Other"/>
    <s v="Sue Taylor"/>
    <n v="9941"/>
    <d v="2023-06-04T00:00:00"/>
    <x v="36"/>
    <x v="7"/>
    <x v="6"/>
    <s v="Outlier"/>
  </r>
  <r>
    <n v="342826"/>
    <n v="1486"/>
    <x v="0"/>
    <d v="2023-06-20T22:33:00"/>
    <s v="Other"/>
    <s v="Julie Brown"/>
    <n v="3861"/>
    <d v="2023-06-20T00:00:00"/>
    <x v="17"/>
    <x v="7"/>
    <x v="2"/>
    <s v="Outlier"/>
  </r>
  <r>
    <n v="343003"/>
    <n v="1880"/>
    <x v="4"/>
    <d v="2023-02-19T01:16:00"/>
    <s v="Website"/>
    <s v="Giovanni Rovelli"/>
    <n v="7628"/>
    <d v="2023-02-19T00:00:00"/>
    <x v="84"/>
    <x v="5"/>
    <x v="6"/>
    <s v="Outlier"/>
  </r>
  <r>
    <n v="344182"/>
    <n v="519"/>
    <x v="3"/>
    <d v="2023-07-20T01:09:00"/>
    <s v="Other"/>
    <s v="Valarie Nelson"/>
    <n v="9637"/>
    <d v="2023-07-20T00:00:00"/>
    <x v="92"/>
    <x v="6"/>
    <x v="3"/>
    <s v="Outlier"/>
  </r>
  <r>
    <n v="347036"/>
    <n v="1424"/>
    <x v="4"/>
    <d v="2023-02-14T22:47:00"/>
    <s v="Website"/>
    <s v="Sean Connery"/>
    <n v="1632"/>
    <d v="2023-02-14T00:00:00"/>
    <x v="165"/>
    <x v="5"/>
    <x v="2"/>
    <s v="Outlier"/>
  </r>
  <r>
    <n v="347243"/>
    <n v="470"/>
    <x v="0"/>
    <d v="2023-06-02T23:47:00"/>
    <s v="Website"/>
    <s v="Diego Freyre"/>
    <n v="5127"/>
    <d v="2023-06-02T00:00:00"/>
    <x v="100"/>
    <x v="7"/>
    <x v="0"/>
    <s v="Outlier"/>
  </r>
  <r>
    <n v="347273"/>
    <n v="654"/>
    <x v="3"/>
    <d v="2023-06-08T00:18:00"/>
    <s v="Other"/>
    <s v="Steve Thompson"/>
    <n v="9105"/>
    <d v="2023-06-08T00:00:00"/>
    <x v="139"/>
    <x v="7"/>
    <x v="3"/>
    <s v="Outlier"/>
  </r>
  <r>
    <n v="347302"/>
    <n v="1997"/>
    <x v="4"/>
    <d v="2023-02-05T00:12:00"/>
    <s v="Whatsapp"/>
    <s v="Mary Saveley"/>
    <n v="4850"/>
    <d v="2023-02-05T00:00:00"/>
    <x v="19"/>
    <x v="5"/>
    <x v="6"/>
    <s v="Outlier"/>
  </r>
  <r>
    <n v="347767"/>
    <n v="299"/>
    <x v="1"/>
    <d v="2023-09-13T23:41:00"/>
    <s v="App"/>
    <s v="Diego Freyre"/>
    <n v="6931"/>
    <d v="2023-09-13T00:00:00"/>
    <x v="155"/>
    <x v="10"/>
    <x v="4"/>
    <s v="Outlier"/>
  </r>
  <r>
    <n v="348694"/>
    <n v="1726"/>
    <x v="4"/>
    <d v="2023-05-25T02:29:00"/>
    <s v="Whatsapp"/>
    <s v="Jytte Petersen"/>
    <n v="4572"/>
    <d v="2023-05-25T00:00:00"/>
    <x v="180"/>
    <x v="11"/>
    <x v="3"/>
    <s v="Outlier"/>
  </r>
  <r>
    <n v="349131"/>
    <n v="1664"/>
    <x v="0"/>
    <d v="2023-07-08T23:57:00"/>
    <s v="Other"/>
    <s v="Paolo Accorti"/>
    <n v="7000"/>
    <d v="2023-07-08T00:00:00"/>
    <x v="116"/>
    <x v="6"/>
    <x v="1"/>
    <s v="Outlier"/>
  </r>
  <r>
    <n v="350253"/>
    <n v="1752"/>
    <x v="6"/>
    <d v="2023-08-18T22:55:00"/>
    <s v="Other"/>
    <s v="Veysel Oeztan"/>
    <n v="9824"/>
    <d v="2023-08-18T00:00:00"/>
    <x v="125"/>
    <x v="8"/>
    <x v="0"/>
    <s v="Outlier"/>
  </r>
  <r>
    <n v="352076"/>
    <n v="393"/>
    <x v="1"/>
    <d v="2023-03-26T23:56:00"/>
    <s v="App"/>
    <s v="Daniel Tonini"/>
    <n v="4290"/>
    <d v="2023-03-26T00:00:00"/>
    <x v="138"/>
    <x v="4"/>
    <x v="6"/>
    <s v="Outlier"/>
  </r>
  <r>
    <n v="353096"/>
    <n v="1590"/>
    <x v="5"/>
    <d v="2023-07-17T00:46:00"/>
    <s v="Website"/>
    <s v="Valarie Nelson"/>
    <n v="8163"/>
    <d v="2023-07-17T00:00:00"/>
    <x v="77"/>
    <x v="6"/>
    <x v="5"/>
    <s v="Outlier"/>
  </r>
  <r>
    <n v="353572"/>
    <n v="1346"/>
    <x v="0"/>
    <d v="2023-02-24T23:36:00"/>
    <s v="Whatsapp"/>
    <s v="Valarie Young"/>
    <n v="4976"/>
    <d v="2023-02-24T00:00:00"/>
    <x v="135"/>
    <x v="5"/>
    <x v="0"/>
    <s v="Outlier"/>
  </r>
  <r>
    <n v="353582"/>
    <n v="1948"/>
    <x v="0"/>
    <d v="2023-12-09T23:59:00"/>
    <s v="Other"/>
    <s v="Victoria Ashworth"/>
    <n v="5138"/>
    <d v="2023-12-09T00:00:00"/>
    <x v="181"/>
    <x v="0"/>
    <x v="1"/>
    <s v="Outlier"/>
  </r>
  <r>
    <n v="354439"/>
    <n v="1014"/>
    <x v="1"/>
    <d v="2023-01-04T00:29:00"/>
    <s v="Other"/>
    <s v="Sue King"/>
    <n v="2885"/>
    <d v="2023-01-04T00:00:00"/>
    <x v="50"/>
    <x v="9"/>
    <x v="4"/>
    <s v="Outlier"/>
  </r>
  <r>
    <n v="354532"/>
    <n v="419"/>
    <x v="3"/>
    <d v="2023-11-21T01:00:00"/>
    <s v="App"/>
    <s v="Daniel Da Cunha"/>
    <n v="1673"/>
    <d v="2023-11-21T00:00:00"/>
    <x v="168"/>
    <x v="2"/>
    <x v="2"/>
    <s v="Outlier"/>
  </r>
  <r>
    <n v="356612"/>
    <n v="1636"/>
    <x v="9"/>
    <d v="2023-11-30T00:24:00"/>
    <s v="Whatsapp"/>
    <s v="Allen Nelson"/>
    <n v="4576"/>
    <d v="2023-11-30T00:00:00"/>
    <x v="115"/>
    <x v="2"/>
    <x v="3"/>
    <s v="Outlier"/>
  </r>
  <r>
    <n v="360154"/>
    <n v="638"/>
    <x v="3"/>
    <d v="2023-05-24T00:50:00"/>
    <s v="Other"/>
    <s v="Diego Freyre"/>
    <n v="9618"/>
    <d v="2023-05-24T00:00:00"/>
    <x v="0"/>
    <x v="11"/>
    <x v="4"/>
    <s v="Outlier"/>
  </r>
  <r>
    <n v="361590"/>
    <n v="1452"/>
    <x v="3"/>
    <d v="2023-10-24T23:19:00"/>
    <s v="Whatsapp"/>
    <s v="Anna O'Hara"/>
    <n v="2425"/>
    <d v="2023-10-24T00:00:00"/>
    <x v="24"/>
    <x v="3"/>
    <x v="2"/>
    <s v="Outlier"/>
  </r>
  <r>
    <n v="361964"/>
    <n v="147"/>
    <x v="0"/>
    <d v="2023-02-20T00:36:00"/>
    <s v="App"/>
    <s v="Kyung Yu"/>
    <n v="2602"/>
    <d v="2023-02-20T00:00:00"/>
    <x v="120"/>
    <x v="5"/>
    <x v="5"/>
    <s v="Outlier"/>
  </r>
  <r>
    <n v="362049"/>
    <n v="1594"/>
    <x v="6"/>
    <d v="2023-02-26T01:29:00"/>
    <s v="Other"/>
    <s v="Michael Frick"/>
    <n v="4382"/>
    <d v="2023-02-26T00:00:00"/>
    <x v="103"/>
    <x v="5"/>
    <x v="6"/>
    <s v="Outlier"/>
  </r>
  <r>
    <n v="363155"/>
    <n v="416"/>
    <x v="1"/>
    <d v="2023-01-19T00:56:00"/>
    <s v="Whatsapp"/>
    <s v="Julie Murphy"/>
    <n v="3033"/>
    <d v="2023-01-19T00:00:00"/>
    <x v="150"/>
    <x v="9"/>
    <x v="3"/>
    <s v="Outlier"/>
  </r>
  <r>
    <n v="363439"/>
    <n v="1150"/>
    <x v="0"/>
    <d v="2023-07-13T23:48:00"/>
    <s v="Website"/>
    <s v="Mart¡n Sommer"/>
    <n v="8067"/>
    <d v="2023-07-13T00:00:00"/>
    <x v="153"/>
    <x v="6"/>
    <x v="3"/>
    <s v="Outlier"/>
  </r>
  <r>
    <n v="363764"/>
    <n v="927"/>
    <x v="1"/>
    <d v="2023-06-20T00:23:00"/>
    <s v="Website"/>
    <s v="Adrian Huxley"/>
    <n v="6014"/>
    <d v="2023-06-20T00:00:00"/>
    <x v="6"/>
    <x v="7"/>
    <x v="2"/>
    <s v="Outlier"/>
  </r>
  <r>
    <n v="364332"/>
    <n v="1169"/>
    <x v="3"/>
    <d v="2023-02-24T01:00:00"/>
    <s v="Other"/>
    <s v="Sue Taylor"/>
    <n v="6539"/>
    <d v="2023-02-24T00:00:00"/>
    <x v="168"/>
    <x v="5"/>
    <x v="0"/>
    <s v="Outlier"/>
  </r>
  <r>
    <n v="365101"/>
    <n v="1475"/>
    <x v="4"/>
    <d v="2023-02-14T23:04:00"/>
    <s v="App"/>
    <s v="Julie Brown"/>
    <n v="433"/>
    <d v="2023-02-14T00:00:00"/>
    <x v="182"/>
    <x v="5"/>
    <x v="2"/>
    <s v="Outlier"/>
  </r>
  <r>
    <n v="365117"/>
    <n v="1415"/>
    <x v="3"/>
    <d v="2023-05-17T23:32:00"/>
    <s v="App"/>
    <s v="Giovanni Rovelli"/>
    <n v="5905"/>
    <d v="2023-05-17T00:00:00"/>
    <x v="91"/>
    <x v="11"/>
    <x v="4"/>
    <s v="Outlier"/>
  </r>
  <r>
    <n v="365718"/>
    <n v="1080"/>
    <x v="1"/>
    <d v="2023-09-28T22:47:00"/>
    <s v="Website"/>
    <s v="Valarie Nelson"/>
    <n v="5697"/>
    <d v="2023-09-28T00:00:00"/>
    <x v="165"/>
    <x v="10"/>
    <x v="3"/>
    <s v="Outlier"/>
  </r>
  <r>
    <n v="366083"/>
    <n v="1680"/>
    <x v="0"/>
    <d v="2023-02-15T01:12:00"/>
    <s v="Other"/>
    <s v="Sean Connery"/>
    <n v="8672"/>
    <d v="2023-02-15T00:00:00"/>
    <x v="52"/>
    <x v="5"/>
    <x v="4"/>
    <s v="Outlier"/>
  </r>
  <r>
    <n v="366394"/>
    <n v="1048"/>
    <x v="1"/>
    <d v="2023-09-01T00:45:00"/>
    <s v="Other"/>
    <s v="Diego Freyre"/>
    <n v="3380"/>
    <d v="2023-09-01T00:00:00"/>
    <x v="29"/>
    <x v="10"/>
    <x v="0"/>
    <s v="Outlier"/>
  </r>
  <r>
    <n v="366719"/>
    <n v="1505"/>
    <x v="0"/>
    <d v="2023-03-04T23:03:00"/>
    <s v="Other"/>
    <s v="Steve Thompson"/>
    <n v="7878"/>
    <d v="2023-03-04T00:00:00"/>
    <x v="183"/>
    <x v="4"/>
    <x v="1"/>
    <s v="Outlier"/>
  </r>
  <r>
    <n v="367308"/>
    <n v="1355"/>
    <x v="4"/>
    <d v="2023-01-15T02:22:00"/>
    <s v="Other"/>
    <s v="Mary Saveley"/>
    <n v="6648"/>
    <d v="2023-01-15T00:00:00"/>
    <x v="41"/>
    <x v="9"/>
    <x v="6"/>
    <s v="Outlier"/>
  </r>
  <r>
    <n v="368229"/>
    <n v="1318"/>
    <x v="0"/>
    <d v="2023-11-19T23:37:00"/>
    <s v="App"/>
    <s v="Diego Freyre"/>
    <n v="4702"/>
    <d v="2023-11-19T00:00:00"/>
    <x v="78"/>
    <x v="2"/>
    <x v="6"/>
    <s v="Outlier"/>
  </r>
  <r>
    <n v="368675"/>
    <n v="1109"/>
    <x v="1"/>
    <d v="2023-10-17T23:44:00"/>
    <s v="Website"/>
    <s v="Jytte Petersen"/>
    <n v="6922"/>
    <d v="2023-10-17T00:00:00"/>
    <x v="146"/>
    <x v="3"/>
    <x v="2"/>
    <s v="Outlier"/>
  </r>
  <r>
    <n v="369020"/>
    <n v="1740"/>
    <x v="0"/>
    <d v="2023-09-20T01:03:00"/>
    <s v="Website"/>
    <s v="Paolo Accorti"/>
    <n v="8651"/>
    <d v="2023-09-20T00:00:00"/>
    <x v="130"/>
    <x v="10"/>
    <x v="4"/>
    <s v="Outlier"/>
  </r>
  <r>
    <n v="369311"/>
    <n v="1985"/>
    <x v="3"/>
    <d v="2023-11-29T01:21:00"/>
    <s v="Whatsapp"/>
    <s v="Veysel Oeztan"/>
    <n v="5332"/>
    <d v="2023-11-29T00:00:00"/>
    <x v="128"/>
    <x v="2"/>
    <x v="4"/>
    <s v="Outlier"/>
  </r>
  <r>
    <n v="370729"/>
    <n v="1170"/>
    <x v="7"/>
    <d v="2023-02-25T02:00:00"/>
    <s v="App"/>
    <s v="Daniel Tonini"/>
    <n v="2725"/>
    <d v="2023-02-25T00:00:00"/>
    <x v="23"/>
    <x v="5"/>
    <x v="1"/>
    <s v="Outlier"/>
  </r>
  <r>
    <n v="372217"/>
    <n v="43"/>
    <x v="5"/>
    <d v="2023-09-19T23:19:00"/>
    <s v="Other"/>
    <s v="Valarie Nelson"/>
    <n v="6713"/>
    <d v="2023-09-19T00:00:00"/>
    <x v="24"/>
    <x v="10"/>
    <x v="2"/>
    <s v="Outlier"/>
  </r>
  <r>
    <n v="373284"/>
    <n v="879"/>
    <x v="0"/>
    <d v="2023-01-24T22:51:00"/>
    <s v="Website"/>
    <s v="Valarie Young"/>
    <n v="4368"/>
    <d v="2023-01-24T00:00:00"/>
    <x v="184"/>
    <x v="9"/>
    <x v="2"/>
    <s v="Outlier"/>
  </r>
  <r>
    <n v="373452"/>
    <n v="1209"/>
    <x v="10"/>
    <d v="2023-07-28T22:12:00"/>
    <s v="Website"/>
    <s v="Victoria Ashworth"/>
    <n v="8190"/>
    <d v="2023-07-28T00:00:00"/>
    <x v="185"/>
    <x v="6"/>
    <x v="0"/>
    <s v="Outlier"/>
  </r>
  <r>
    <n v="373612"/>
    <n v="1567"/>
    <x v="0"/>
    <d v="2023-05-20T23:34:00"/>
    <s v="App"/>
    <s v="Peter Ferguson"/>
    <n v="9653"/>
    <d v="2023-05-20T00:00:00"/>
    <x v="99"/>
    <x v="11"/>
    <x v="1"/>
    <s v="Outlier"/>
  </r>
  <r>
    <n v="374946"/>
    <n v="931"/>
    <x v="0"/>
    <d v="2023-09-17T00:38:00"/>
    <s v="Whatsapp"/>
    <s v="Daniel Da Cunha"/>
    <n v="8553"/>
    <d v="2023-09-17T00:00:00"/>
    <x v="162"/>
    <x v="10"/>
    <x v="6"/>
    <s v="Outlier"/>
  </r>
  <r>
    <n v="375276"/>
    <n v="1524"/>
    <x v="3"/>
    <d v="2023-04-21T01:16:00"/>
    <s v="App"/>
    <s v="Allen Nelson"/>
    <n v="4766"/>
    <d v="2023-04-21T00:00:00"/>
    <x v="84"/>
    <x v="1"/>
    <x v="0"/>
    <s v="Outlier"/>
  </r>
  <r>
    <n v="375561"/>
    <n v="599"/>
    <x v="6"/>
    <d v="2023-12-29T00:24:00"/>
    <s v="App"/>
    <s v="Julie Brown"/>
    <n v="3609"/>
    <d v="2023-12-29T00:00:00"/>
    <x v="115"/>
    <x v="0"/>
    <x v="0"/>
    <s v="Outlier"/>
  </r>
  <r>
    <n v="376848"/>
    <n v="1893"/>
    <x v="6"/>
    <d v="2023-06-21T00:44:00"/>
    <s v="Whatsapp"/>
    <s v="Anna O'Hara"/>
    <n v="2298"/>
    <d v="2023-06-21T00:00:00"/>
    <x v="85"/>
    <x v="7"/>
    <x v="4"/>
    <s v="Outlier"/>
  </r>
  <r>
    <n v="378945"/>
    <n v="1964"/>
    <x v="4"/>
    <d v="2023-08-01T23:39:00"/>
    <s v="Other"/>
    <s v="Kyung Yu"/>
    <n v="2444"/>
    <d v="2023-08-01T00:00:00"/>
    <x v="101"/>
    <x v="8"/>
    <x v="2"/>
    <s v="Outlier"/>
  </r>
  <r>
    <n v="379416"/>
    <n v="1873"/>
    <x v="6"/>
    <d v="2023-05-27T00:25:00"/>
    <s v="Other"/>
    <s v="Victoria Ashworth"/>
    <n v="7996"/>
    <d v="2023-05-27T00:00:00"/>
    <x v="148"/>
    <x v="11"/>
    <x v="1"/>
    <s v="Outlier"/>
  </r>
  <r>
    <n v="380866"/>
    <n v="202"/>
    <x v="0"/>
    <d v="2023-12-31T01:02:00"/>
    <s v="Other"/>
    <s v="Carine Schmitt"/>
    <n v="526"/>
    <d v="2023-12-31T00:00:00"/>
    <x v="186"/>
    <x v="0"/>
    <x v="6"/>
    <s v="Outlier"/>
  </r>
  <r>
    <n v="381897"/>
    <n v="1314"/>
    <x v="0"/>
    <d v="2023-07-13T23:53:00"/>
    <s v="Whatsapp"/>
    <s v="Paul Henriot"/>
    <n v="3916"/>
    <d v="2023-07-13T00:00:00"/>
    <x v="187"/>
    <x v="6"/>
    <x v="3"/>
    <s v="Outlier"/>
  </r>
  <r>
    <n v="382563"/>
    <n v="1070"/>
    <x v="5"/>
    <d v="2023-10-16T01:22:00"/>
    <s v="Website"/>
    <s v="Anna O'Hara"/>
    <n v="471"/>
    <d v="2023-10-16T00:00:00"/>
    <x v="142"/>
    <x v="3"/>
    <x v="5"/>
    <s v="Outlier"/>
  </r>
  <r>
    <n v="382755"/>
    <n v="777"/>
    <x v="0"/>
    <d v="2023-07-31T23:14:00"/>
    <s v="App"/>
    <s v="Palle Ibsen"/>
    <n v="1008"/>
    <d v="2023-07-31T00:00:00"/>
    <x v="70"/>
    <x v="6"/>
    <x v="5"/>
    <s v="Outlier"/>
  </r>
  <r>
    <n v="383194"/>
    <n v="1167"/>
    <x v="0"/>
    <d v="2023-05-29T22:43:00"/>
    <s v="Whatsapp"/>
    <s v="Julie King"/>
    <n v="6812"/>
    <d v="2023-05-29T00:00:00"/>
    <x v="188"/>
    <x v="11"/>
    <x v="5"/>
    <s v="Outlier"/>
  </r>
  <r>
    <n v="383311"/>
    <n v="1257"/>
    <x v="0"/>
    <d v="2023-08-16T23:53:00"/>
    <s v="Whatsapp"/>
    <s v="Veysel Oeztan"/>
    <n v="362"/>
    <d v="2023-08-16T00:00:00"/>
    <x v="187"/>
    <x v="8"/>
    <x v="4"/>
    <s v="Outlier"/>
  </r>
  <r>
    <n v="383781"/>
    <n v="333"/>
    <x v="7"/>
    <d v="2023-12-14T01:23:00"/>
    <s v="Website"/>
    <s v="Valarie Young"/>
    <n v="75"/>
    <d v="2023-12-14T00:00:00"/>
    <x v="83"/>
    <x v="0"/>
    <x v="3"/>
    <s v="Outlier"/>
  </r>
  <r>
    <n v="384942"/>
    <n v="1938"/>
    <x v="0"/>
    <d v="2023-10-05T23:20:00"/>
    <s v="Other"/>
    <s v="Jeff Young"/>
    <n v="5617"/>
    <d v="2023-10-05T00:00:00"/>
    <x v="27"/>
    <x v="3"/>
    <x v="3"/>
    <s v="Outlier"/>
  </r>
  <r>
    <n v="385164"/>
    <n v="1569"/>
    <x v="4"/>
    <d v="2023-05-24T00:33:00"/>
    <s v="Other"/>
    <s v="Diego Freyre"/>
    <n v="6376"/>
    <d v="2023-05-24T00:00:00"/>
    <x v="53"/>
    <x v="11"/>
    <x v="4"/>
    <s v="Outlier"/>
  </r>
  <r>
    <n v="385361"/>
    <n v="565"/>
    <x v="3"/>
    <d v="2023-11-19T23:24:00"/>
    <s v="App"/>
    <s v="Valarie Thompson"/>
    <n v="9005"/>
    <d v="2023-11-19T00:00:00"/>
    <x v="56"/>
    <x v="2"/>
    <x v="6"/>
    <s v="Outlier"/>
  </r>
  <r>
    <n v="386283"/>
    <n v="190"/>
    <x v="3"/>
    <d v="2023-02-06T23:45:00"/>
    <s v="App"/>
    <s v="Frederique Citeaux"/>
    <n v="8183"/>
    <d v="2023-02-06T00:00:00"/>
    <x v="164"/>
    <x v="5"/>
    <x v="5"/>
    <s v="Outlier"/>
  </r>
  <r>
    <n v="386673"/>
    <n v="302"/>
    <x v="7"/>
    <d v="2023-05-31T01:58:00"/>
    <s v="App"/>
    <s v="Elizabeth Devon"/>
    <n v="1947"/>
    <d v="2023-05-31T00:00:00"/>
    <x v="157"/>
    <x v="11"/>
    <x v="4"/>
    <s v="Outlier"/>
  </r>
  <r>
    <n v="386885"/>
    <n v="1647"/>
    <x v="0"/>
    <d v="2023-03-06T00:29:00"/>
    <s v="App"/>
    <s v="Maurizio Moroni"/>
    <n v="9165"/>
    <d v="2023-03-06T00:00:00"/>
    <x v="50"/>
    <x v="4"/>
    <x v="5"/>
    <s v="Outlier"/>
  </r>
  <r>
    <n v="387103"/>
    <n v="762"/>
    <x v="13"/>
    <d v="2023-05-31T00:25:00"/>
    <s v="Website"/>
    <s v="Sue King"/>
    <n v="1379"/>
    <d v="2023-05-31T00:00:00"/>
    <x v="148"/>
    <x v="11"/>
    <x v="4"/>
    <s v="Outlier"/>
  </r>
  <r>
    <n v="388268"/>
    <n v="217"/>
    <x v="0"/>
    <d v="2023-10-21T00:48:00"/>
    <s v="App"/>
    <s v="Wendy Victorino"/>
    <n v="1780"/>
    <d v="2023-10-21T00:00:00"/>
    <x v="88"/>
    <x v="3"/>
    <x v="1"/>
    <s v="Outlier"/>
  </r>
  <r>
    <n v="389519"/>
    <n v="336"/>
    <x v="4"/>
    <d v="2023-11-19T01:52:00"/>
    <s v="App"/>
    <s v="Jan Klaeboe"/>
    <n v="5243"/>
    <d v="2023-11-19T00:00:00"/>
    <x v="179"/>
    <x v="2"/>
    <x v="6"/>
    <s v="Outlier"/>
  </r>
  <r>
    <n v="389648"/>
    <n v="1360"/>
    <x v="4"/>
    <d v="2023-01-14T00:17:00"/>
    <s v="App"/>
    <s v="Diego Freyre"/>
    <n v="6153"/>
    <d v="2023-01-14T00:00:00"/>
    <x v="20"/>
    <x v="9"/>
    <x v="1"/>
    <s v="Outlier"/>
  </r>
  <r>
    <n v="389725"/>
    <n v="487"/>
    <x v="6"/>
    <d v="2023-11-07T01:47:00"/>
    <s v="Whatsapp"/>
    <s v="Violeta Benitez"/>
    <n v="206"/>
    <d v="2023-11-07T00:00:00"/>
    <x v="189"/>
    <x v="2"/>
    <x v="2"/>
    <s v="Outlier"/>
  </r>
  <r>
    <n v="390345"/>
    <n v="245"/>
    <x v="1"/>
    <d v="2023-07-13T00:26:00"/>
    <s v="Whatsapp"/>
    <s v="Rosa Hernandez"/>
    <n v="4767"/>
    <d v="2023-07-13T00:00:00"/>
    <x v="151"/>
    <x v="6"/>
    <x v="3"/>
    <s v="Outlier"/>
  </r>
  <r>
    <n v="390509"/>
    <n v="11"/>
    <x v="0"/>
    <d v="2023-08-09T00:58:00"/>
    <s v="Other"/>
    <s v="Paul Henriot"/>
    <n v="2754"/>
    <d v="2023-08-09T00:00:00"/>
    <x v="28"/>
    <x v="8"/>
    <x v="4"/>
    <s v="Outlier"/>
  </r>
  <r>
    <n v="390821"/>
    <n v="291"/>
    <x v="1"/>
    <d v="2023-05-10T01:04:00"/>
    <s v="Website"/>
    <s v="Julie Young"/>
    <n v="2140"/>
    <d v="2023-05-10T00:00:00"/>
    <x v="121"/>
    <x v="11"/>
    <x v="4"/>
    <s v="Outlier"/>
  </r>
  <r>
    <n v="391564"/>
    <n v="926"/>
    <x v="0"/>
    <d v="2023-05-03T23:32:00"/>
    <s v="Other"/>
    <s v="Diego Freyre"/>
    <n v="3051"/>
    <d v="2023-05-03T00:00:00"/>
    <x v="91"/>
    <x v="11"/>
    <x v="4"/>
    <s v="Outlier"/>
  </r>
  <r>
    <n v="391706"/>
    <n v="1840"/>
    <x v="0"/>
    <d v="2023-02-14T23:03:00"/>
    <s v="App"/>
    <s v="Sue Frick"/>
    <n v="5396"/>
    <d v="2023-02-14T00:00:00"/>
    <x v="183"/>
    <x v="5"/>
    <x v="2"/>
    <s v="Outlier"/>
  </r>
  <r>
    <n v="391963"/>
    <n v="1885"/>
    <x v="9"/>
    <d v="2023-11-10T23:17:00"/>
    <s v="Website"/>
    <s v="Georg Pipps"/>
    <n v="856"/>
    <d v="2023-11-10T00:00:00"/>
    <x v="190"/>
    <x v="2"/>
    <x v="0"/>
    <s v="Outlier"/>
  </r>
  <r>
    <n v="393726"/>
    <n v="1676"/>
    <x v="9"/>
    <d v="2023-03-29T23:56:00"/>
    <s v="Website"/>
    <s v="Giovanni Rovelli"/>
    <n v="2852"/>
    <d v="2023-03-29T00:00:00"/>
    <x v="138"/>
    <x v="4"/>
    <x v="4"/>
    <s v="Outlier"/>
  </r>
  <r>
    <n v="393917"/>
    <n v="359"/>
    <x v="3"/>
    <d v="2023-06-28T00:50:00"/>
    <s v="App"/>
    <s v="Georg Pipps"/>
    <n v="2533"/>
    <d v="2023-06-28T00:00:00"/>
    <x v="0"/>
    <x v="7"/>
    <x v="4"/>
    <s v="Outlier"/>
  </r>
  <r>
    <n v="394768"/>
    <n v="224"/>
    <x v="1"/>
    <d v="2023-12-29T23:26:00"/>
    <s v="Whatsapp"/>
    <s v="Dan Lewis"/>
    <n v="3458"/>
    <d v="2023-12-29T00:00:00"/>
    <x v="191"/>
    <x v="0"/>
    <x v="0"/>
    <s v="Outlier"/>
  </r>
  <r>
    <n v="394773"/>
    <n v="1474"/>
    <x v="0"/>
    <d v="2023-11-01T00:44:00"/>
    <s v="Whatsapp"/>
    <s v="Wing C Tam"/>
    <n v="9148"/>
    <d v="2023-11-01T00:00:00"/>
    <x v="85"/>
    <x v="2"/>
    <x v="4"/>
    <s v="Outlier"/>
  </r>
  <r>
    <n v="394904"/>
    <n v="1620"/>
    <x v="0"/>
    <d v="2023-10-07T01:42:00"/>
    <s v="App"/>
    <s v="Matti Karttunen"/>
    <n v="3234"/>
    <d v="2023-10-07T00:00:00"/>
    <x v="14"/>
    <x v="3"/>
    <x v="1"/>
    <s v="Outlier"/>
  </r>
  <r>
    <n v="394940"/>
    <n v="1815"/>
    <x v="9"/>
    <d v="2023-10-31T00:59:00"/>
    <s v="Whatsapp"/>
    <s v="Maria Larsson"/>
    <n v="4437"/>
    <d v="2023-10-31T00:00:00"/>
    <x v="192"/>
    <x v="3"/>
    <x v="2"/>
    <s v="Outlier"/>
  </r>
  <r>
    <n v="395235"/>
    <n v="869"/>
    <x v="9"/>
    <d v="2023-10-06T00:00:00"/>
    <s v="Other"/>
    <s v="Annette Roulet"/>
    <n v="6921"/>
    <d v="2023-10-06T00:00:00"/>
    <x v="126"/>
    <x v="3"/>
    <x v="0"/>
    <s v="Outlier"/>
  </r>
  <r>
    <n v="396045"/>
    <n v="892"/>
    <x v="0"/>
    <d v="2023-05-13T00:44:00"/>
    <s v="Whatsapp"/>
    <s v="Thomas Hardy"/>
    <n v="4913"/>
    <d v="2023-05-13T00:00:00"/>
    <x v="85"/>
    <x v="11"/>
    <x v="1"/>
    <s v="Outlier"/>
  </r>
  <r>
    <n v="396103"/>
    <n v="1588"/>
    <x v="3"/>
    <d v="2023-12-15T01:23:00"/>
    <s v="Website"/>
    <s v="Arnold Cruz"/>
    <n v="3558"/>
    <d v="2023-12-15T00:00:00"/>
    <x v="83"/>
    <x v="0"/>
    <x v="0"/>
    <s v="Outlier"/>
  </r>
  <r>
    <n v="396352"/>
    <n v="965"/>
    <x v="6"/>
    <d v="2023-06-13T01:46:00"/>
    <s v="App"/>
    <s v="Mory Kentary"/>
    <n v="6855"/>
    <d v="2023-06-13T00:00:00"/>
    <x v="129"/>
    <x v="7"/>
    <x v="2"/>
    <s v="Outlier"/>
  </r>
  <r>
    <n v="396721"/>
    <n v="410"/>
    <x v="1"/>
    <d v="2023-09-23T22:45:00"/>
    <s v="App"/>
    <s v="Valarie Thompson"/>
    <n v="3567"/>
    <d v="2023-09-23T00:00:00"/>
    <x v="193"/>
    <x v="10"/>
    <x v="1"/>
    <s v="Outlier"/>
  </r>
  <r>
    <n v="397428"/>
    <n v="576"/>
    <x v="0"/>
    <d v="2023-05-10T23:04:00"/>
    <s v="App"/>
    <s v="Sue Frick"/>
    <n v="1426"/>
    <d v="2023-05-10T00:00:00"/>
    <x v="182"/>
    <x v="11"/>
    <x v="4"/>
    <s v="Outlier"/>
  </r>
  <r>
    <n v="397931"/>
    <n v="1062"/>
    <x v="1"/>
    <d v="2023-07-24T00:23:00"/>
    <s v="App"/>
    <s v="Diego Freyre"/>
    <n v="8407"/>
    <d v="2023-07-24T00:00:00"/>
    <x v="6"/>
    <x v="6"/>
    <x v="5"/>
    <s v="Outlier"/>
  </r>
  <r>
    <n v="400062"/>
    <n v="1054"/>
    <x v="1"/>
    <d v="2023-09-03T23:17:00"/>
    <s v="Other"/>
    <s v="Allen Nelson"/>
    <n v="1436"/>
    <d v="2023-09-03T00:00:00"/>
    <x v="190"/>
    <x v="10"/>
    <x v="6"/>
    <s v="Outlier"/>
  </r>
  <r>
    <n v="400313"/>
    <n v="899"/>
    <x v="0"/>
    <d v="2023-04-18T00:43:00"/>
    <s v="Whatsapp"/>
    <s v="Jan Klaeboe"/>
    <n v="6891"/>
    <d v="2023-04-18T00:00:00"/>
    <x v="112"/>
    <x v="1"/>
    <x v="2"/>
    <s v="Outlier"/>
  </r>
  <r>
    <n v="400957"/>
    <n v="1746"/>
    <x v="2"/>
    <d v="2023-09-01T23:32:00"/>
    <s v="Other"/>
    <s v="Michael Donnermeyer"/>
    <n v="382"/>
    <d v="2023-09-01T00:00:00"/>
    <x v="91"/>
    <x v="10"/>
    <x v="0"/>
    <s v="Outlier"/>
  </r>
  <r>
    <n v="401745"/>
    <n v="327"/>
    <x v="1"/>
    <d v="2023-06-25T22:55:00"/>
    <s v="Whatsapp"/>
    <s v="Francisca Cervantes"/>
    <n v="166"/>
    <d v="2023-06-25T00:00:00"/>
    <x v="125"/>
    <x v="7"/>
    <x v="6"/>
    <s v="Outlier"/>
  </r>
  <r>
    <n v="401879"/>
    <n v="126"/>
    <x v="0"/>
    <d v="2023-05-06T23:34:00"/>
    <s v="Whatsapp"/>
    <s v="Helen Bennett"/>
    <n v="1022"/>
    <d v="2023-05-06T00:00:00"/>
    <x v="99"/>
    <x v="11"/>
    <x v="1"/>
    <s v="Outlier"/>
  </r>
  <r>
    <n v="401887"/>
    <n v="376"/>
    <x v="1"/>
    <d v="2023-02-03T01:12:00"/>
    <s v="Whatsapp"/>
    <s v="Jytte Petersen"/>
    <n v="9941"/>
    <d v="2023-02-03T00:00:00"/>
    <x v="52"/>
    <x v="5"/>
    <x v="0"/>
    <s v="Outlier"/>
  </r>
  <r>
    <n v="402186"/>
    <n v="651"/>
    <x v="0"/>
    <d v="2023-08-05T00:03:00"/>
    <s v="Website"/>
    <s v="Pascale Cartrain"/>
    <n v="8800"/>
    <d v="2023-08-05T00:00:00"/>
    <x v="72"/>
    <x v="8"/>
    <x v="1"/>
    <s v="Outlier"/>
  </r>
  <r>
    <n v="402508"/>
    <n v="155"/>
    <x v="1"/>
    <d v="2023-10-20T01:40:00"/>
    <s v="Website"/>
    <s v="Ann Brown"/>
    <n v="8064"/>
    <d v="2023-10-20T00:00:00"/>
    <x v="76"/>
    <x v="3"/>
    <x v="0"/>
    <s v="Outlier"/>
  </r>
  <r>
    <n v="403651"/>
    <n v="1700"/>
    <x v="0"/>
    <d v="2023-07-17T00:38:00"/>
    <s v="Other"/>
    <s v="Pirkko Koskitalo"/>
    <n v="8812"/>
    <d v="2023-07-17T00:00:00"/>
    <x v="162"/>
    <x v="6"/>
    <x v="5"/>
    <s v="Outlier"/>
  </r>
  <r>
    <n v="404150"/>
    <n v="1902"/>
    <x v="9"/>
    <d v="2023-03-30T00:29:00"/>
    <s v="Website"/>
    <s v="Diego Freyre"/>
    <n v="5798"/>
    <d v="2023-03-30T00:00:00"/>
    <x v="50"/>
    <x v="4"/>
    <x v="3"/>
    <s v="Outlier"/>
  </r>
  <r>
    <n v="404700"/>
    <n v="1182"/>
    <x v="0"/>
    <d v="2023-11-26T22:59:00"/>
    <s v="Other"/>
    <s v="Paul Henriot"/>
    <n v="2761"/>
    <d v="2023-11-26T00:00:00"/>
    <x v="25"/>
    <x v="2"/>
    <x v="6"/>
    <s v="Outlier"/>
  </r>
  <r>
    <n v="405184"/>
    <n v="1848"/>
    <x v="0"/>
    <d v="2023-03-08T23:05:00"/>
    <s v="Other"/>
    <s v="Sue Frick"/>
    <n v="7111"/>
    <d v="2023-03-08T00:00:00"/>
    <x v="159"/>
    <x v="4"/>
    <x v="4"/>
    <s v="Outlier"/>
  </r>
  <r>
    <n v="406996"/>
    <n v="1083"/>
    <x v="4"/>
    <d v="2023-04-24T23:00:00"/>
    <s v="App"/>
    <s v="Maurizio Moroni"/>
    <n v="9682"/>
    <d v="2023-04-24T00:00:00"/>
    <x v="171"/>
    <x v="1"/>
    <x v="5"/>
    <s v="Outlier"/>
  </r>
  <r>
    <n v="408798"/>
    <n v="1293"/>
    <x v="0"/>
    <d v="2023-01-31T01:32:00"/>
    <s v="Whatsapp"/>
    <s v="Valarie Young"/>
    <n v="9889"/>
    <d v="2023-01-31T00:00:00"/>
    <x v="117"/>
    <x v="9"/>
    <x v="2"/>
    <s v="Outlier"/>
  </r>
  <r>
    <n v="408889"/>
    <n v="751"/>
    <x v="1"/>
    <d v="2023-02-20T00:01:00"/>
    <s v="App"/>
    <s v="Victoria Ashworth"/>
    <n v="8398"/>
    <d v="2023-02-20T00:00:00"/>
    <x v="63"/>
    <x v="5"/>
    <x v="5"/>
    <s v="Outlier"/>
  </r>
  <r>
    <n v="410734"/>
    <n v="555"/>
    <x v="0"/>
    <d v="2023-05-06T01:13:00"/>
    <s v="Website"/>
    <s v="Sue King"/>
    <n v="3175"/>
    <d v="2023-05-06T00:00:00"/>
    <x v="32"/>
    <x v="11"/>
    <x v="1"/>
    <s v="Outlier"/>
  </r>
  <r>
    <n v="411108"/>
    <n v="258"/>
    <x v="1"/>
    <d v="2023-04-01T23:57:00"/>
    <s v="Website"/>
    <s v="Sue Taylor"/>
    <n v="4801"/>
    <d v="2023-04-01T00:00:00"/>
    <x v="116"/>
    <x v="1"/>
    <x v="1"/>
    <s v="Outlier"/>
  </r>
  <r>
    <n v="411162"/>
    <n v="433"/>
    <x v="1"/>
    <d v="2023-08-06T00:26:00"/>
    <s v="App"/>
    <s v="Julie Brown"/>
    <n v="2485"/>
    <d v="2023-08-06T00:00:00"/>
    <x v="151"/>
    <x v="8"/>
    <x v="6"/>
    <s v="Outlier"/>
  </r>
  <r>
    <n v="411449"/>
    <n v="609"/>
    <x v="0"/>
    <d v="2023-05-01T00:10:00"/>
    <s v="Whatsapp"/>
    <s v="Giovanni Rovelli"/>
    <n v="4109"/>
    <d v="2023-05-01T00:00:00"/>
    <x v="107"/>
    <x v="11"/>
    <x v="5"/>
    <s v="Outlier"/>
  </r>
  <r>
    <n v="411916"/>
    <n v="967"/>
    <x v="6"/>
    <d v="2023-07-29T00:10:00"/>
    <s v="Whatsapp"/>
    <s v="Valarie Nelson"/>
    <n v="2961"/>
    <d v="2023-07-29T00:00:00"/>
    <x v="107"/>
    <x v="6"/>
    <x v="1"/>
    <s v="Outlier"/>
  </r>
  <r>
    <n v="412386"/>
    <n v="1997"/>
    <x v="4"/>
    <d v="2023-07-28T01:59:00"/>
    <s v="App"/>
    <s v="Sean Connery"/>
    <n v="2004"/>
    <d v="2023-07-28T00:00:00"/>
    <x v="132"/>
    <x v="6"/>
    <x v="0"/>
    <s v="Outlier"/>
  </r>
  <r>
    <n v="412431"/>
    <n v="1620"/>
    <x v="0"/>
    <d v="2023-10-26T23:29:00"/>
    <s v="App"/>
    <s v="Jeff Young"/>
    <n v="4390"/>
    <d v="2023-10-26T00:00:00"/>
    <x v="71"/>
    <x v="3"/>
    <x v="3"/>
    <s v="Outlier"/>
  </r>
  <r>
    <n v="413305"/>
    <n v="294"/>
    <x v="3"/>
    <d v="2023-01-17T00:00:00"/>
    <s v="Other"/>
    <s v="Mart¡n Sommer"/>
    <n v="39"/>
    <d v="2023-01-17T00:00:00"/>
    <x v="126"/>
    <x v="9"/>
    <x v="2"/>
    <s v="Outlier"/>
  </r>
  <r>
    <n v="413694"/>
    <n v="1551"/>
    <x v="0"/>
    <d v="2023-05-03T01:16:00"/>
    <s v="Other"/>
    <s v="Mary Saveley"/>
    <n v="4835"/>
    <d v="2023-05-03T00:00:00"/>
    <x v="84"/>
    <x v="11"/>
    <x v="4"/>
    <s v="Outlier"/>
  </r>
  <r>
    <n v="414161"/>
    <n v="1675"/>
    <x v="0"/>
    <d v="2023-12-27T23:49:00"/>
    <s v="Whatsapp"/>
    <s v="Frederique Citeaux"/>
    <n v="3894"/>
    <d v="2023-12-27T00:00:00"/>
    <x v="43"/>
    <x v="0"/>
    <x v="4"/>
    <s v="Outlier"/>
  </r>
  <r>
    <n v="414191"/>
    <n v="350"/>
    <x v="7"/>
    <d v="2023-01-10T23:00:00"/>
    <s v="Other"/>
    <s v="Paolo Accorti"/>
    <n v="6814"/>
    <d v="2023-01-10T00:00:00"/>
    <x v="171"/>
    <x v="9"/>
    <x v="2"/>
    <s v="Outlier"/>
  </r>
  <r>
    <n v="416161"/>
    <n v="1030"/>
    <x v="1"/>
    <d v="2023-02-16T01:13:00"/>
    <s v="Website"/>
    <s v="Wendy Victorino"/>
    <n v="5555"/>
    <d v="2023-02-16T00:00:00"/>
    <x v="32"/>
    <x v="5"/>
    <x v="3"/>
    <s v="Outlier"/>
  </r>
  <r>
    <n v="417613"/>
    <n v="1547"/>
    <x v="3"/>
    <d v="2023-03-26T01:23:00"/>
    <s v="Website"/>
    <s v="Elizabeth Devon"/>
    <n v="8023"/>
    <d v="2023-03-26T00:00:00"/>
    <x v="83"/>
    <x v="4"/>
    <x v="6"/>
    <s v="Outlier"/>
  </r>
  <r>
    <n v="417779"/>
    <n v="1473"/>
    <x v="0"/>
    <d v="2023-01-31T00:40:00"/>
    <s v="Other"/>
    <s v="Valarie Nelson"/>
    <n v="9335"/>
    <d v="2023-01-31T00:00:00"/>
    <x v="51"/>
    <x v="9"/>
    <x v="2"/>
    <s v="Outlier"/>
  </r>
  <r>
    <n v="419211"/>
    <n v="1044"/>
    <x v="1"/>
    <d v="2023-03-24T23:50:00"/>
    <s v="Other"/>
    <s v="Rosa Hernandez"/>
    <n v="4918"/>
    <d v="2023-03-24T00:00:00"/>
    <x v="194"/>
    <x v="4"/>
    <x v="0"/>
    <s v="Outlier"/>
  </r>
  <r>
    <n v="419676"/>
    <n v="1259"/>
    <x v="0"/>
    <d v="2023-05-14T01:40:00"/>
    <s v="Whatsapp"/>
    <s v="Laurence Lebihan"/>
    <n v="7702"/>
    <d v="2023-05-14T00:00:00"/>
    <x v="76"/>
    <x v="11"/>
    <x v="6"/>
    <s v="Outlier"/>
  </r>
  <r>
    <n v="421069"/>
    <n v="440"/>
    <x v="7"/>
    <d v="2023-04-30T23:10:00"/>
    <s v="App"/>
    <s v="Julie Young"/>
    <n v="1791"/>
    <d v="2023-04-30T00:00:00"/>
    <x v="176"/>
    <x v="1"/>
    <x v="6"/>
    <s v="Outlier"/>
  </r>
  <r>
    <n v="421505"/>
    <n v="1088"/>
    <x v="1"/>
    <d v="2023-03-28T01:26:00"/>
    <s v="Other"/>
    <s v="Diego Freyre"/>
    <n v="6441"/>
    <d v="2023-03-28T00:00:00"/>
    <x v="65"/>
    <x v="4"/>
    <x v="2"/>
    <s v="Outlier"/>
  </r>
  <r>
    <n v="422786"/>
    <n v="1530"/>
    <x v="9"/>
    <d v="2023-09-26T01:01:00"/>
    <s v="App"/>
    <s v="Sue Frick"/>
    <n v="642"/>
    <d v="2023-09-26T00:00:00"/>
    <x v="16"/>
    <x v="10"/>
    <x v="2"/>
    <s v="Outlier"/>
  </r>
  <r>
    <n v="423114"/>
    <n v="1201"/>
    <x v="3"/>
    <d v="2023-02-26T23:50:00"/>
    <s v="Website"/>
    <s v="Adrian Huxley"/>
    <n v="6057"/>
    <d v="2023-02-26T00:00:00"/>
    <x v="194"/>
    <x v="5"/>
    <x v="6"/>
    <s v="Outlier"/>
  </r>
  <r>
    <n v="423933"/>
    <n v="703"/>
    <x v="0"/>
    <d v="2023-03-22T01:31:00"/>
    <s v="Whatsapp"/>
    <s v="Arnold Cruz"/>
    <n v="4027"/>
    <d v="2023-03-22T00:00:00"/>
    <x v="177"/>
    <x v="4"/>
    <x v="4"/>
    <s v="Outlier"/>
  </r>
  <r>
    <n v="424079"/>
    <n v="1816"/>
    <x v="4"/>
    <d v="2023-12-03T00:09:00"/>
    <s v="App"/>
    <s v="Laurence Lebihan"/>
    <n v="9152"/>
    <d v="2023-12-03T00:00:00"/>
    <x v="81"/>
    <x v="0"/>
    <x v="6"/>
    <s v="Outlier"/>
  </r>
  <r>
    <n v="424517"/>
    <n v="870"/>
    <x v="1"/>
    <d v="2023-01-08T00:38:00"/>
    <s v="App"/>
    <s v="Valarie Nelson"/>
    <n v="2515"/>
    <d v="2023-01-08T00:00:00"/>
    <x v="162"/>
    <x v="9"/>
    <x v="6"/>
    <s v="Outlier"/>
  </r>
  <r>
    <n v="425030"/>
    <n v="1231"/>
    <x v="9"/>
    <d v="2023-02-27T01:24:00"/>
    <s v="Whatsapp"/>
    <s v="Allen Nelson"/>
    <n v="5268"/>
    <d v="2023-02-27T00:00:00"/>
    <x v="124"/>
    <x v="5"/>
    <x v="5"/>
    <s v="Outlier"/>
  </r>
  <r>
    <n v="425321"/>
    <n v="117"/>
    <x v="1"/>
    <d v="2023-08-13T01:25:00"/>
    <s v="Other"/>
    <s v="Michael Chandler"/>
    <n v="4727"/>
    <d v="2023-08-13T00:00:00"/>
    <x v="195"/>
    <x v="8"/>
    <x v="6"/>
    <s v="Outlier"/>
  </r>
  <r>
    <n v="425554"/>
    <n v="1363"/>
    <x v="3"/>
    <d v="2023-09-02T23:27:00"/>
    <s v="Website"/>
    <s v="Roland Mendel"/>
    <n v="6327"/>
    <d v="2023-09-02T00:00:00"/>
    <x v="79"/>
    <x v="10"/>
    <x v="1"/>
    <s v="Outlier"/>
  </r>
  <r>
    <n v="425673"/>
    <n v="1058"/>
    <x v="1"/>
    <d v="2023-09-27T00:44:00"/>
    <s v="Website"/>
    <s v="Veysel Oeztan"/>
    <n v="491"/>
    <d v="2023-09-27T00:00:00"/>
    <x v="85"/>
    <x v="10"/>
    <x v="4"/>
    <s v="Outlier"/>
  </r>
  <r>
    <n v="426056"/>
    <n v="1138"/>
    <x v="6"/>
    <d v="2023-04-18T23:44:00"/>
    <s v="App"/>
    <s v="Valarie Young"/>
    <n v="3481"/>
    <d v="2023-04-18T00:00:00"/>
    <x v="146"/>
    <x v="1"/>
    <x v="2"/>
    <s v="Outlier"/>
  </r>
  <r>
    <n v="426461"/>
    <n v="254"/>
    <x v="3"/>
    <d v="2023-02-02T01:50:00"/>
    <s v="Whatsapp"/>
    <s v="Diego Freyre"/>
    <n v="6998"/>
    <d v="2023-02-02T00:00:00"/>
    <x v="45"/>
    <x v="5"/>
    <x v="3"/>
    <s v="Outlier"/>
  </r>
  <r>
    <n v="426515"/>
    <n v="971"/>
    <x v="3"/>
    <d v="2023-10-20T00:53:00"/>
    <s v="Whatsapp"/>
    <s v="Diego Freyre"/>
    <n v="6753"/>
    <d v="2023-10-20T00:00:00"/>
    <x v="36"/>
    <x v="3"/>
    <x v="0"/>
    <s v="Outlier"/>
  </r>
  <r>
    <n v="427737"/>
    <n v="780"/>
    <x v="1"/>
    <d v="2023-12-28T00:58:00"/>
    <s v="Whatsapp"/>
    <s v="Michael Holz"/>
    <n v="4456"/>
    <d v="2023-12-28T00:00:00"/>
    <x v="28"/>
    <x v="0"/>
    <x v="3"/>
    <s v="Outlier"/>
  </r>
  <r>
    <n v="429796"/>
    <n v="771"/>
    <x v="13"/>
    <d v="2023-09-02T00:44:00"/>
    <s v="Website"/>
    <s v="Pirkko Koskitalo"/>
    <n v="9994"/>
    <d v="2023-09-02T00:00:00"/>
    <x v="85"/>
    <x v="10"/>
    <x v="1"/>
    <s v="Outlier"/>
  </r>
  <r>
    <n v="430092"/>
    <n v="1814"/>
    <x v="0"/>
    <d v="2023-10-30T01:22:00"/>
    <s v="Website"/>
    <s v="Elizabeth Devon"/>
    <n v="5251"/>
    <d v="2023-10-30T00:00:00"/>
    <x v="142"/>
    <x v="3"/>
    <x v="5"/>
    <s v="Outlier"/>
  </r>
  <r>
    <n v="431955"/>
    <n v="997"/>
    <x v="1"/>
    <d v="2023-03-12T01:01:00"/>
    <s v="Whatsapp"/>
    <s v="Maurizio Moroni"/>
    <n v="9387"/>
    <d v="2023-03-12T00:00:00"/>
    <x v="16"/>
    <x v="4"/>
    <x v="6"/>
    <s v="Outlier"/>
  </r>
  <r>
    <n v="432167"/>
    <n v="1543"/>
    <x v="0"/>
    <d v="2023-02-12T00:41:00"/>
    <s v="Website"/>
    <s v="Sue King"/>
    <n v="3319"/>
    <d v="2023-02-12T00:00:00"/>
    <x v="60"/>
    <x v="5"/>
    <x v="6"/>
    <s v="Outlier"/>
  </r>
  <r>
    <n v="432633"/>
    <n v="1738"/>
    <x v="3"/>
    <d v="2023-02-11T01:11:00"/>
    <s v="Website"/>
    <s v="Michael Holz"/>
    <n v="9557"/>
    <d v="2023-02-11T00:00:00"/>
    <x v="122"/>
    <x v="5"/>
    <x v="1"/>
    <s v="Outlier"/>
  </r>
  <r>
    <n v="434591"/>
    <n v="1450"/>
    <x v="3"/>
    <d v="2023-02-27T01:00:00"/>
    <s v="Other"/>
    <s v="Roland Keitel"/>
    <n v="4060"/>
    <d v="2023-02-27T00:00:00"/>
    <x v="168"/>
    <x v="5"/>
    <x v="5"/>
    <s v="Outlier"/>
  </r>
  <r>
    <n v="435768"/>
    <n v="74"/>
    <x v="0"/>
    <d v="2023-02-13T00:32:00"/>
    <s v="Whatsapp"/>
    <s v="Henriette Pfalzheim"/>
    <n v="5262"/>
    <d v="2023-02-13T00:00:00"/>
    <x v="58"/>
    <x v="5"/>
    <x v="5"/>
    <s v="Outlier"/>
  </r>
  <r>
    <n v="438673"/>
    <n v="1769"/>
    <x v="4"/>
    <d v="2023-12-24T22:34:00"/>
    <s v="App"/>
    <s v="Violeta Benitez"/>
    <n v="6941"/>
    <d v="2023-12-24T00:00:00"/>
    <x v="196"/>
    <x v="0"/>
    <x v="6"/>
    <s v="Outlier"/>
  </r>
  <r>
    <n v="439833"/>
    <n v="1472"/>
    <x v="0"/>
    <d v="2023-06-04T02:23:00"/>
    <s v="Website"/>
    <s v="Kwai Yu"/>
    <n v="3338"/>
    <d v="2023-06-04T00:00:00"/>
    <x v="197"/>
    <x v="7"/>
    <x v="6"/>
    <s v="Outlier"/>
  </r>
  <r>
    <n v="439986"/>
    <n v="1256"/>
    <x v="4"/>
    <d v="2023-07-22T00:53:00"/>
    <s v="App"/>
    <s v="Peter Ferguson"/>
    <n v="6038"/>
    <d v="2023-07-22T00:00:00"/>
    <x v="36"/>
    <x v="6"/>
    <x v="1"/>
    <s v="Outlier"/>
  </r>
  <r>
    <n v="440925"/>
    <n v="419"/>
    <x v="3"/>
    <d v="2023-01-17T00:19:00"/>
    <s v="Other"/>
    <s v="Kalle Suominen"/>
    <n v="8432"/>
    <d v="2023-01-17T00:00:00"/>
    <x v="167"/>
    <x v="9"/>
    <x v="2"/>
    <s v="Outlier"/>
  </r>
  <r>
    <n v="441275"/>
    <n v="685"/>
    <x v="6"/>
    <d v="2023-01-18T23:36:00"/>
    <s v="Other"/>
    <s v="Matti Karttunen"/>
    <n v="7319"/>
    <d v="2023-01-18T00:00:00"/>
    <x v="135"/>
    <x v="9"/>
    <x v="4"/>
    <s v="Outlier"/>
  </r>
  <r>
    <n v="441310"/>
    <n v="880"/>
    <x v="1"/>
    <d v="2023-11-28T23:29:00"/>
    <s v="Website"/>
    <s v="Maria Larsson"/>
    <n v="3544"/>
    <d v="2023-11-28T00:00:00"/>
    <x v="71"/>
    <x v="2"/>
    <x v="2"/>
    <s v="Outlier"/>
  </r>
  <r>
    <n v="442615"/>
    <n v="1196"/>
    <x v="0"/>
    <d v="2023-11-25T22:36:00"/>
    <s v="App"/>
    <s v="Frederique Citeaux"/>
    <n v="6526"/>
    <d v="2023-11-25T00:00:00"/>
    <x v="106"/>
    <x v="2"/>
    <x v="1"/>
    <s v="Outlier"/>
  </r>
  <r>
    <n v="442842"/>
    <n v="226"/>
    <x v="0"/>
    <d v="2023-03-15T22:50:00"/>
    <s v="App"/>
    <s v="Georg Pipps"/>
    <n v="4064"/>
    <d v="2023-03-15T00:00:00"/>
    <x v="133"/>
    <x v="4"/>
    <x v="4"/>
    <s v="Outlier"/>
  </r>
  <r>
    <n v="443374"/>
    <n v="47"/>
    <x v="4"/>
    <d v="2023-05-15T02:14:00"/>
    <s v="Website"/>
    <s v="Rosa Hernandez"/>
    <n v="768"/>
    <d v="2023-05-15T00:00:00"/>
    <x v="198"/>
    <x v="11"/>
    <x v="5"/>
    <s v="Outlier"/>
  </r>
  <r>
    <n v="443577"/>
    <n v="507"/>
    <x v="0"/>
    <d v="2023-09-17T01:34:00"/>
    <s v="App"/>
    <s v="Laurence Lebihan"/>
    <n v="7940"/>
    <d v="2023-09-17T00:00:00"/>
    <x v="161"/>
    <x v="10"/>
    <x v="6"/>
    <s v="Outlier"/>
  </r>
  <r>
    <n v="443968"/>
    <n v="1179"/>
    <x v="4"/>
    <d v="2023-10-12T00:39:00"/>
    <s v="App"/>
    <s v="Annette Roulet"/>
    <n v="7784"/>
    <d v="2023-10-12T00:00:00"/>
    <x v="11"/>
    <x v="3"/>
    <x v="3"/>
    <s v="Outlier"/>
  </r>
  <r>
    <n v="444540"/>
    <n v="112"/>
    <x v="0"/>
    <d v="2023-09-05T00:24:00"/>
    <s v="Website"/>
    <s v="Anna O'Hara"/>
    <n v="8547"/>
    <d v="2023-09-05T00:00:00"/>
    <x v="115"/>
    <x v="10"/>
    <x v="2"/>
    <s v="Outlier"/>
  </r>
  <r>
    <n v="445200"/>
    <n v="465"/>
    <x v="0"/>
    <d v="2023-06-16T02:10:00"/>
    <s v="Website"/>
    <s v="Palle Ibsen"/>
    <n v="2670"/>
    <d v="2023-06-16T00:00:00"/>
    <x v="199"/>
    <x v="7"/>
    <x v="0"/>
    <s v="Outlier"/>
  </r>
  <r>
    <n v="445784"/>
    <n v="899"/>
    <x v="0"/>
    <d v="2023-07-20T01:02:00"/>
    <s v="Whatsapp"/>
    <s v="Jean Fresnisre"/>
    <n v="7646"/>
    <d v="2023-07-20T00:00:00"/>
    <x v="186"/>
    <x v="6"/>
    <x v="3"/>
    <s v="Outlier"/>
  </r>
  <r>
    <n v="446644"/>
    <n v="1728"/>
    <x v="3"/>
    <d v="2023-01-22T00:15:00"/>
    <s v="App"/>
    <s v="Veysel Oeztan"/>
    <n v="8854"/>
    <d v="2023-01-22T00:00:00"/>
    <x v="123"/>
    <x v="9"/>
    <x v="6"/>
    <s v="Outlier"/>
  </r>
  <r>
    <n v="447240"/>
    <n v="1318"/>
    <x v="0"/>
    <d v="2023-11-16T23:08:00"/>
    <s v="Other"/>
    <s v="Valarie Young"/>
    <n v="6512"/>
    <d v="2023-11-16T00:00:00"/>
    <x v="66"/>
    <x v="2"/>
    <x v="3"/>
    <s v="Outlier"/>
  </r>
  <r>
    <n v="447917"/>
    <n v="359"/>
    <x v="3"/>
    <d v="2023-03-18T23:46:00"/>
    <s v="Website"/>
    <s v="Jeff Young"/>
    <n v="9321"/>
    <d v="2023-03-18T00:00:00"/>
    <x v="9"/>
    <x v="4"/>
    <x v="1"/>
    <s v="Outlier"/>
  </r>
  <r>
    <n v="447970"/>
    <n v="1464"/>
    <x v="3"/>
    <d v="2023-09-12T01:12:00"/>
    <s v="Other"/>
    <s v="Diego Freyre"/>
    <n v="2974"/>
    <d v="2023-09-12T00:00:00"/>
    <x v="52"/>
    <x v="10"/>
    <x v="2"/>
    <s v="Outlier"/>
  </r>
  <r>
    <n v="448027"/>
    <n v="1046"/>
    <x v="1"/>
    <d v="2023-07-09T00:58:00"/>
    <s v="Website"/>
    <s v="Valarie Thompson"/>
    <n v="532"/>
    <d v="2023-07-09T00:00:00"/>
    <x v="28"/>
    <x v="6"/>
    <x v="6"/>
    <s v="Outlier"/>
  </r>
  <r>
    <n v="448164"/>
    <n v="1502"/>
    <x v="4"/>
    <d v="2023-02-04T01:35:00"/>
    <s v="Other"/>
    <s v="Mory Kentary"/>
    <n v="3869"/>
    <d v="2023-02-04T00:00:00"/>
    <x v="200"/>
    <x v="5"/>
    <x v="1"/>
    <s v="Outlier"/>
  </r>
  <r>
    <n v="448776"/>
    <n v="1173"/>
    <x v="0"/>
    <d v="2023-12-13T00:07:00"/>
    <s v="Whatsapp"/>
    <s v="Elizabeth Devon"/>
    <n v="4703"/>
    <d v="2023-12-13T00:00:00"/>
    <x v="34"/>
    <x v="0"/>
    <x v="4"/>
    <s v="Outlier"/>
  </r>
  <r>
    <n v="449457"/>
    <n v="494"/>
    <x v="3"/>
    <d v="2023-11-02T01:10:00"/>
    <s v="App"/>
    <s v="Maurizio Moroni"/>
    <n v="3426"/>
    <d v="2023-11-02T00:00:00"/>
    <x v="7"/>
    <x v="2"/>
    <x v="3"/>
    <s v="Outlier"/>
  </r>
  <r>
    <n v="451541"/>
    <n v="116"/>
    <x v="13"/>
    <d v="2023-06-29T01:31:00"/>
    <s v="Website"/>
    <s v="Sue King"/>
    <n v="2490"/>
    <d v="2023-06-29T00:00:00"/>
    <x v="177"/>
    <x v="7"/>
    <x v="3"/>
    <s v="Outlier"/>
  </r>
  <r>
    <n v="451694"/>
    <n v="1031"/>
    <x v="6"/>
    <d v="2023-05-27T23:34:00"/>
    <s v="Whatsapp"/>
    <s v="Michael Holz"/>
    <n v="3713"/>
    <d v="2023-05-27T00:00:00"/>
    <x v="99"/>
    <x v="11"/>
    <x v="1"/>
    <s v="Outlier"/>
  </r>
  <r>
    <n v="452070"/>
    <n v="1693"/>
    <x v="3"/>
    <d v="2023-05-06T00:22:00"/>
    <s v="Other"/>
    <s v="Jan Klaeboe"/>
    <n v="9332"/>
    <d v="2023-05-06T00:00:00"/>
    <x v="54"/>
    <x v="11"/>
    <x v="1"/>
    <s v="Outlier"/>
  </r>
  <r>
    <n v="452684"/>
    <n v="374"/>
    <x v="13"/>
    <d v="2023-08-08T01:58:00"/>
    <s v="Website"/>
    <s v="Henriette Pfalzheim"/>
    <n v="9309"/>
    <d v="2023-08-08T00:00:00"/>
    <x v="157"/>
    <x v="8"/>
    <x v="2"/>
    <s v="Outlier"/>
  </r>
  <r>
    <n v="453466"/>
    <n v="637"/>
    <x v="0"/>
    <d v="2023-03-11T01:23:00"/>
    <s v="Other"/>
    <s v="Violeta Benitez"/>
    <n v="6625"/>
    <d v="2023-03-11T00:00:00"/>
    <x v="83"/>
    <x v="4"/>
    <x v="1"/>
    <s v="Outlier"/>
  </r>
  <r>
    <n v="453732"/>
    <n v="1623"/>
    <x v="4"/>
    <d v="2023-06-14T23:09:00"/>
    <s v="App"/>
    <s v="Rosa Hernandez"/>
    <n v="8537"/>
    <d v="2023-06-14T00:00:00"/>
    <x v="175"/>
    <x v="7"/>
    <x v="4"/>
    <s v="Outlier"/>
  </r>
  <r>
    <n v="454137"/>
    <n v="1687"/>
    <x v="6"/>
    <d v="2023-01-15T00:20:00"/>
    <s v="Whatsapp"/>
    <s v="Peter Ferguson"/>
    <n v="2431"/>
    <d v="2023-01-15T00:00:00"/>
    <x v="68"/>
    <x v="9"/>
    <x v="6"/>
    <s v="Outlier"/>
  </r>
  <r>
    <n v="455153"/>
    <n v="1431"/>
    <x v="0"/>
    <d v="2023-05-26T00:37:00"/>
    <s v="Whatsapp"/>
    <s v="Daniel Da Cunha"/>
    <n v="4088"/>
    <d v="2023-05-26T00:00:00"/>
    <x v="201"/>
    <x v="11"/>
    <x v="0"/>
    <s v="Outlier"/>
  </r>
  <r>
    <n v="456612"/>
    <n v="1240"/>
    <x v="7"/>
    <d v="2023-02-28T00:33:00"/>
    <s v="Whatsapp"/>
    <s v="Pascale Cartrain"/>
    <n v="1900"/>
    <d v="2023-02-28T00:00:00"/>
    <x v="53"/>
    <x v="5"/>
    <x v="2"/>
    <s v="Outlier"/>
  </r>
  <r>
    <n v="457087"/>
    <n v="66"/>
    <x v="6"/>
    <d v="2023-02-22T23:18:00"/>
    <s v="Website"/>
    <s v="Matti Karttunen"/>
    <n v="1838"/>
    <d v="2023-02-22T00:00:00"/>
    <x v="140"/>
    <x v="5"/>
    <x v="4"/>
    <s v="Outlier"/>
  </r>
  <r>
    <n v="457874"/>
    <n v="1467"/>
    <x v="0"/>
    <d v="2023-02-16T01:04:00"/>
    <s v="Whatsapp"/>
    <s v="Valarie Nelson"/>
    <n v="3337"/>
    <d v="2023-02-16T00:00:00"/>
    <x v="121"/>
    <x v="5"/>
    <x v="3"/>
    <s v="Outlier"/>
  </r>
  <r>
    <n v="457958"/>
    <n v="690"/>
    <x v="7"/>
    <d v="2023-01-03T00:44:00"/>
    <s v="Other"/>
    <s v="Jytte Petersen"/>
    <n v="2923"/>
    <d v="2023-01-03T00:00:00"/>
    <x v="85"/>
    <x v="9"/>
    <x v="2"/>
    <s v="Outlier"/>
  </r>
  <r>
    <n v="458560"/>
    <n v="210"/>
    <x v="0"/>
    <d v="2023-08-31T00:00:00"/>
    <s v="Other"/>
    <s v="Georg Pipps"/>
    <n v="9234"/>
    <d v="2023-08-31T00:00:00"/>
    <x v="126"/>
    <x v="8"/>
    <x v="3"/>
    <s v="Outlier"/>
  </r>
  <r>
    <n v="459426"/>
    <n v="1783"/>
    <x v="0"/>
    <d v="2023-11-04T00:58:00"/>
    <s v="Other"/>
    <s v="Diego Freyre"/>
    <n v="936"/>
    <d v="2023-11-04T00:00:00"/>
    <x v="28"/>
    <x v="2"/>
    <x v="1"/>
    <s v="Outlier"/>
  </r>
  <r>
    <n v="461110"/>
    <n v="1549"/>
    <x v="0"/>
    <d v="2023-08-08T02:09:00"/>
    <s v="Other"/>
    <s v="Maria Hernandez"/>
    <n v="4341"/>
    <d v="2023-08-08T00:00:00"/>
    <x v="202"/>
    <x v="8"/>
    <x v="2"/>
    <s v="Outlier"/>
  </r>
  <r>
    <n v="461537"/>
    <n v="1833"/>
    <x v="5"/>
    <d v="2023-02-17T01:44:00"/>
    <s v="Whatsapp"/>
    <s v="Jeff Young"/>
    <n v="8344"/>
    <d v="2023-02-17T00:00:00"/>
    <x v="203"/>
    <x v="5"/>
    <x v="0"/>
    <s v="Outlier"/>
  </r>
  <r>
    <n v="461731"/>
    <n v="685"/>
    <x v="6"/>
    <d v="2023-11-09T01:39:00"/>
    <s v="Website"/>
    <s v="Kalle Suominen"/>
    <n v="5092"/>
    <d v="2023-11-09T00:00:00"/>
    <x v="152"/>
    <x v="2"/>
    <x v="3"/>
    <s v="Outlier"/>
  </r>
  <r>
    <n v="462593"/>
    <n v="1971"/>
    <x v="4"/>
    <d v="2023-08-05T01:29:00"/>
    <s v="App"/>
    <s v="Pirkko Koskitalo"/>
    <n v="5397"/>
    <d v="2023-08-05T00:00:00"/>
    <x v="103"/>
    <x v="8"/>
    <x v="1"/>
    <s v="Outlier"/>
  </r>
  <r>
    <n v="463922"/>
    <n v="172"/>
    <x v="0"/>
    <d v="2023-09-23T01:05:00"/>
    <s v="Website"/>
    <s v="Eric Natividad"/>
    <n v="484"/>
    <d v="2023-09-23T00:00:00"/>
    <x v="12"/>
    <x v="10"/>
    <x v="1"/>
    <s v="Outlier"/>
  </r>
  <r>
    <n v="464531"/>
    <n v="1153"/>
    <x v="2"/>
    <d v="2023-02-14T00:30:00"/>
    <s v="Other"/>
    <s v="Maurizio Moroni"/>
    <n v="4951"/>
    <d v="2023-02-14T00:00:00"/>
    <x v="111"/>
    <x v="5"/>
    <x v="2"/>
    <s v="Outlier"/>
  </r>
  <r>
    <n v="464722"/>
    <n v="1215"/>
    <x v="0"/>
    <d v="2023-01-03T01:01:00"/>
    <s v="Whatsapp"/>
    <s v="Jose Pedro Roel"/>
    <n v="7137"/>
    <d v="2023-01-03T00:00:00"/>
    <x v="16"/>
    <x v="9"/>
    <x v="2"/>
    <s v="Outlier"/>
  </r>
  <r>
    <n v="464859"/>
    <n v="683"/>
    <x v="6"/>
    <d v="2023-01-14T23:38:00"/>
    <s v="Other"/>
    <s v="Steve Frick"/>
    <n v="6431"/>
    <d v="2023-01-14T00:00:00"/>
    <x v="80"/>
    <x v="9"/>
    <x v="1"/>
    <s v="Outlier"/>
  </r>
  <r>
    <n v="466869"/>
    <n v="1984"/>
    <x v="6"/>
    <d v="2023-02-14T14:20:00"/>
    <s v="Other"/>
    <s v="Valarie Franco"/>
    <n v="660"/>
    <d v="2023-02-14T00:00:00"/>
    <x v="204"/>
    <x v="5"/>
    <x v="2"/>
    <s v="Outlier"/>
  </r>
  <r>
    <n v="467965"/>
    <n v="550"/>
    <x v="0"/>
    <d v="2023-10-02T23:43:00"/>
    <s v="Whatsapp"/>
    <s v="Sue Taylor"/>
    <n v="8296"/>
    <d v="2023-10-02T00:00:00"/>
    <x v="169"/>
    <x v="3"/>
    <x v="5"/>
    <s v="Outlier"/>
  </r>
  <r>
    <n v="468652"/>
    <n v="106"/>
    <x v="6"/>
    <d v="2023-07-01T00:27:00"/>
    <s v="Whatsapp"/>
    <s v="Roland Keitel"/>
    <n v="1982"/>
    <d v="2023-07-01T00:00:00"/>
    <x v="108"/>
    <x v="6"/>
    <x v="1"/>
    <s v="Outlier"/>
  </r>
  <r>
    <n v="471520"/>
    <n v="188"/>
    <x v="1"/>
    <d v="2023-09-13T00:39:00"/>
    <s v="Website"/>
    <s v="Diego Freyre"/>
    <n v="8652"/>
    <d v="2023-09-13T00:00:00"/>
    <x v="11"/>
    <x v="10"/>
    <x v="4"/>
    <s v="Outlier"/>
  </r>
  <r>
    <n v="471691"/>
    <n v="1279"/>
    <x v="0"/>
    <d v="2023-04-10T01:45:00"/>
    <s v="Website"/>
    <s v="Wendy Victorino"/>
    <n v="1314"/>
    <d v="2023-04-10T00:00:00"/>
    <x v="59"/>
    <x v="1"/>
    <x v="5"/>
    <s v="Outlier"/>
  </r>
  <r>
    <n v="471801"/>
    <n v="878"/>
    <x v="1"/>
    <d v="2023-01-19T01:26:00"/>
    <s v="Website"/>
    <s v="Valarie Nelson"/>
    <n v="1740"/>
    <d v="2023-01-19T00:00:00"/>
    <x v="65"/>
    <x v="9"/>
    <x v="3"/>
    <s v="Outlier"/>
  </r>
  <r>
    <n v="471886"/>
    <n v="1583"/>
    <x v="5"/>
    <d v="2023-01-02T23:40:00"/>
    <s v="Whatsapp"/>
    <s v="Valarie Nelson"/>
    <n v="4072"/>
    <d v="2023-01-02T00:00:00"/>
    <x v="1"/>
    <x v="9"/>
    <x v="5"/>
    <s v="Outlier"/>
  </r>
  <r>
    <n v="472645"/>
    <n v="1290"/>
    <x v="0"/>
    <d v="2023-11-13T01:24:00"/>
    <s v="Other"/>
    <s v="Kwai Yu"/>
    <n v="3018"/>
    <d v="2023-11-13T00:00:00"/>
    <x v="124"/>
    <x v="2"/>
    <x v="5"/>
    <s v="Outlier"/>
  </r>
  <r>
    <n v="473503"/>
    <n v="1682"/>
    <x v="3"/>
    <d v="2023-08-08T23:26:00"/>
    <s v="Whatsapp"/>
    <s v="Marta Hernandez"/>
    <n v="1565"/>
    <d v="2023-08-08T00:00:00"/>
    <x v="191"/>
    <x v="8"/>
    <x v="2"/>
    <s v="Outlier"/>
  </r>
  <r>
    <n v="474022"/>
    <n v="1063"/>
    <x v="1"/>
    <d v="2023-03-08T22:52:00"/>
    <s v="Other"/>
    <s v="Palle Ibsen"/>
    <n v="2476"/>
    <d v="2023-03-08T00:00:00"/>
    <x v="5"/>
    <x v="4"/>
    <x v="4"/>
    <s v="Outlier"/>
  </r>
  <r>
    <n v="474847"/>
    <n v="1316"/>
    <x v="6"/>
    <d v="2023-10-03T00:25:00"/>
    <s v="Website"/>
    <s v="Michael Frick"/>
    <n v="4155"/>
    <d v="2023-10-03T00:00:00"/>
    <x v="148"/>
    <x v="3"/>
    <x v="2"/>
    <s v="Outlier"/>
  </r>
  <r>
    <n v="476585"/>
    <n v="645"/>
    <x v="13"/>
    <d v="2023-04-21T00:30:00"/>
    <s v="App"/>
    <s v="Marie Bertrand"/>
    <n v="7949"/>
    <d v="2023-04-21T00:00:00"/>
    <x v="111"/>
    <x v="1"/>
    <x v="0"/>
    <s v="Outlier"/>
  </r>
  <r>
    <n v="477068"/>
    <n v="396"/>
    <x v="4"/>
    <d v="2023-09-19T01:12:00"/>
    <s v="App"/>
    <s v="Jeff Young"/>
    <n v="6110"/>
    <d v="2023-09-19T00:00:00"/>
    <x v="52"/>
    <x v="10"/>
    <x v="2"/>
    <s v="Outlier"/>
  </r>
  <r>
    <n v="477337"/>
    <n v="178"/>
    <x v="1"/>
    <d v="2023-01-24T22:55:00"/>
    <s v="App"/>
    <s v="Diego Freyre"/>
    <n v="8277"/>
    <d v="2023-01-24T00:00:00"/>
    <x v="125"/>
    <x v="9"/>
    <x v="2"/>
    <s v="Outlier"/>
  </r>
  <r>
    <n v="477809"/>
    <n v="292"/>
    <x v="1"/>
    <d v="2023-08-12T23:36:00"/>
    <s v="App"/>
    <s v="Valarie Nelson"/>
    <n v="802"/>
    <d v="2023-08-12T00:00:00"/>
    <x v="135"/>
    <x v="8"/>
    <x v="1"/>
    <s v="Outlier"/>
  </r>
  <r>
    <n v="477915"/>
    <n v="965"/>
    <x v="6"/>
    <d v="2023-05-21T00:27:00"/>
    <s v="App"/>
    <s v="Valarie Nelson"/>
    <n v="5391"/>
    <d v="2023-05-21T00:00:00"/>
    <x v="108"/>
    <x v="11"/>
    <x v="6"/>
    <s v="Outlier"/>
  </r>
  <r>
    <n v="478198"/>
    <n v="214"/>
    <x v="0"/>
    <d v="2023-10-21T00:56:00"/>
    <s v="Other"/>
    <s v="Diego Freyre"/>
    <n v="9837"/>
    <d v="2023-10-21T00:00:00"/>
    <x v="150"/>
    <x v="3"/>
    <x v="1"/>
    <s v="Outlier"/>
  </r>
  <r>
    <n v="479363"/>
    <n v="1343"/>
    <x v="0"/>
    <d v="2023-07-08T00:02:00"/>
    <s v="Other"/>
    <s v="Janine Labrune"/>
    <n v="1941"/>
    <d v="2023-07-08T00:00:00"/>
    <x v="89"/>
    <x v="6"/>
    <x v="1"/>
    <s v="Outlier"/>
  </r>
  <r>
    <n v="479407"/>
    <n v="1399"/>
    <x v="6"/>
    <d v="2023-12-03T22:39:00"/>
    <s v="App"/>
    <s v="Valarie Young"/>
    <n v="1351"/>
    <d v="2023-12-03T00:00:00"/>
    <x v="90"/>
    <x v="0"/>
    <x v="6"/>
    <s v="Outlier"/>
  </r>
  <r>
    <n v="479589"/>
    <n v="180"/>
    <x v="0"/>
    <d v="2023-03-26T23:48:00"/>
    <s v="Other"/>
    <s v="Victoria Ashworth"/>
    <n v="9486"/>
    <d v="2023-03-26T00:00:00"/>
    <x v="153"/>
    <x v="4"/>
    <x v="6"/>
    <s v="Outlier"/>
  </r>
  <r>
    <n v="480827"/>
    <n v="1498"/>
    <x v="7"/>
    <d v="2023-01-14T00:06:00"/>
    <s v="Website"/>
    <s v="Sue King"/>
    <n v="3032"/>
    <d v="2023-01-14T00:00:00"/>
    <x v="22"/>
    <x v="9"/>
    <x v="1"/>
    <s v="Outlier"/>
  </r>
  <r>
    <n v="480878"/>
    <n v="1229"/>
    <x v="6"/>
    <d v="2023-05-26T01:37:00"/>
    <s v="Whatsapp"/>
    <s v="Sue Taylor"/>
    <n v="9502"/>
    <d v="2023-05-26T00:00:00"/>
    <x v="109"/>
    <x v="11"/>
    <x v="0"/>
    <s v="Outlier"/>
  </r>
  <r>
    <n v="482210"/>
    <n v="1507"/>
    <x v="0"/>
    <d v="2023-09-15T01:25:00"/>
    <s v="Other"/>
    <s v="Julie Brown"/>
    <n v="4514"/>
    <d v="2023-09-15T00:00:00"/>
    <x v="195"/>
    <x v="10"/>
    <x v="0"/>
    <s v="Outlier"/>
  </r>
  <r>
    <n v="482277"/>
    <n v="1808"/>
    <x v="2"/>
    <d v="2023-11-27T23:08:00"/>
    <s v="Website"/>
    <s v="Giovanni Rovelli"/>
    <n v="5415"/>
    <d v="2023-11-27T00:00:00"/>
    <x v="66"/>
    <x v="2"/>
    <x v="5"/>
    <s v="Outlier"/>
  </r>
  <r>
    <n v="482282"/>
    <n v="852"/>
    <x v="0"/>
    <d v="2023-08-16T01:02:00"/>
    <s v="Other"/>
    <s v="Valarie Nelson"/>
    <n v="348"/>
    <d v="2023-08-16T00:00:00"/>
    <x v="186"/>
    <x v="8"/>
    <x v="4"/>
    <s v="Outlier"/>
  </r>
  <r>
    <n v="482555"/>
    <n v="506"/>
    <x v="0"/>
    <d v="2023-01-25T16:44:00"/>
    <s v="App"/>
    <s v="Sean Connery"/>
    <n v="6355"/>
    <d v="2023-01-25T00:00:00"/>
    <x v="205"/>
    <x v="9"/>
    <x v="4"/>
    <s v="Outlier"/>
  </r>
  <r>
    <n v="483229"/>
    <n v="577"/>
    <x v="3"/>
    <d v="2023-02-13T01:07:00"/>
    <s v="App"/>
    <s v="Jeff Young"/>
    <n v="1958"/>
    <d v="2023-02-13T00:00:00"/>
    <x v="31"/>
    <x v="5"/>
    <x v="5"/>
    <s v="Outlier"/>
  </r>
  <r>
    <n v="484489"/>
    <n v="439"/>
    <x v="4"/>
    <d v="2023-11-26T00:24:00"/>
    <s v="Whatsapp"/>
    <s v="Mart¡n Sommer"/>
    <n v="6346"/>
    <d v="2023-11-26T00:00:00"/>
    <x v="115"/>
    <x v="2"/>
    <x v="6"/>
    <s v="Outlier"/>
  </r>
  <r>
    <n v="484525"/>
    <n v="961"/>
    <x v="0"/>
    <d v="2023-12-10T23:55:00"/>
    <s v="Whatsapp"/>
    <s v="Mary Saveley"/>
    <n v="3218"/>
    <d v="2023-12-10T00:00:00"/>
    <x v="166"/>
    <x v="0"/>
    <x v="6"/>
    <s v="Outlier"/>
  </r>
  <r>
    <n v="484688"/>
    <n v="841"/>
    <x v="0"/>
    <d v="2023-05-22T00:08:00"/>
    <s v="App"/>
    <s v="Frederique Citeaux"/>
    <n v="5991"/>
    <d v="2023-05-22T00:00:00"/>
    <x v="149"/>
    <x v="11"/>
    <x v="5"/>
    <s v="Outlier"/>
  </r>
  <r>
    <n v="485583"/>
    <n v="399"/>
    <x v="1"/>
    <d v="2023-03-15T01:33:00"/>
    <s v="Website"/>
    <s v="Paolo Accorti"/>
    <n v="5485"/>
    <d v="2023-03-15T00:00:00"/>
    <x v="47"/>
    <x v="4"/>
    <x v="4"/>
    <s v="Outlier"/>
  </r>
  <r>
    <n v="485658"/>
    <n v="1222"/>
    <x v="4"/>
    <d v="2023-03-03T00:04:00"/>
    <s v="Whatsapp"/>
    <s v="Wendy Victorino"/>
    <n v="6370"/>
    <d v="2023-03-03T00:00:00"/>
    <x v="64"/>
    <x v="4"/>
    <x v="0"/>
    <s v="Outlier"/>
  </r>
  <r>
    <n v="487191"/>
    <n v="404"/>
    <x v="7"/>
    <d v="2023-02-07T00:58:00"/>
    <s v="Whatsapp"/>
    <s v="Jose Pedro Roel"/>
    <n v="4492"/>
    <d v="2023-02-07T00:00:00"/>
    <x v="28"/>
    <x v="5"/>
    <x v="2"/>
    <s v="Outlier"/>
  </r>
  <r>
    <n v="488698"/>
    <n v="1714"/>
    <x v="4"/>
    <d v="2023-03-11T01:15:00"/>
    <s v="Website"/>
    <s v="Valarie Nelson"/>
    <n v="5107"/>
    <d v="2023-03-11T00:00:00"/>
    <x v="127"/>
    <x v="4"/>
    <x v="1"/>
    <s v="Outlier"/>
  </r>
  <r>
    <n v="489692"/>
    <n v="1249"/>
    <x v="0"/>
    <d v="2023-09-23T00:23:00"/>
    <s v="Whatsapp"/>
    <s v="Victoria Ashworth"/>
    <n v="9580"/>
    <d v="2023-09-23T00:00:00"/>
    <x v="6"/>
    <x v="10"/>
    <x v="1"/>
    <s v="Outlier"/>
  </r>
  <r>
    <n v="489835"/>
    <n v="974"/>
    <x v="3"/>
    <d v="2023-10-09T01:26:00"/>
    <s v="Other"/>
    <s v="Laurence Lebihan"/>
    <n v="6589"/>
    <d v="2023-10-09T00:00:00"/>
    <x v="65"/>
    <x v="3"/>
    <x v="5"/>
    <s v="Outlier"/>
  </r>
  <r>
    <n v="490691"/>
    <n v="1658"/>
    <x v="0"/>
    <d v="2023-12-30T01:16:00"/>
    <s v="App"/>
    <s v="Julie Young"/>
    <n v="6947"/>
    <d v="2023-12-30T00:00:00"/>
    <x v="84"/>
    <x v="0"/>
    <x v="1"/>
    <s v="Outlier"/>
  </r>
  <r>
    <n v="491960"/>
    <n v="564"/>
    <x v="0"/>
    <d v="2023-07-10T00:08:00"/>
    <s v="Other"/>
    <s v="Diego Freyre"/>
    <n v="1650"/>
    <d v="2023-07-10T00:00:00"/>
    <x v="149"/>
    <x v="6"/>
    <x v="5"/>
    <s v="Outlier"/>
  </r>
  <r>
    <n v="492855"/>
    <n v="1294"/>
    <x v="3"/>
    <d v="2023-12-25T23:02:00"/>
    <s v="App"/>
    <s v="Sue Frick"/>
    <n v="9532"/>
    <d v="2023-12-25T00:00:00"/>
    <x v="114"/>
    <x v="0"/>
    <x v="5"/>
    <s v="Outlier"/>
  </r>
  <r>
    <n v="492948"/>
    <n v="1109"/>
    <x v="1"/>
    <d v="2023-08-22T00:53:00"/>
    <s v="Website"/>
    <s v="Adrian Huxley"/>
    <n v="709"/>
    <d v="2023-08-22T00:00:00"/>
    <x v="36"/>
    <x v="8"/>
    <x v="2"/>
    <s v="Outlier"/>
  </r>
  <r>
    <n v="493043"/>
    <n v="1357"/>
    <x v="12"/>
    <d v="2023-09-12T22:55:00"/>
    <s v="Other"/>
    <s v="Diego Freyre"/>
    <n v="852"/>
    <d v="2023-09-12T00:00:00"/>
    <x v="125"/>
    <x v="10"/>
    <x v="2"/>
    <s v="Outlier"/>
  </r>
  <r>
    <n v="493111"/>
    <n v="1962"/>
    <x v="0"/>
    <d v="2023-01-09T23:08:00"/>
    <s v="App"/>
    <s v="Marie Bertrand"/>
    <n v="6279"/>
    <d v="2023-01-09T00:00:00"/>
    <x v="66"/>
    <x v="9"/>
    <x v="5"/>
    <s v="Outlier"/>
  </r>
  <r>
    <n v="493809"/>
    <n v="799"/>
    <x v="0"/>
    <d v="2023-02-12T02:00:00"/>
    <s v="Whatsapp"/>
    <s v="Jeff Young"/>
    <n v="8809"/>
    <d v="2023-02-12T00:00:00"/>
    <x v="23"/>
    <x v="5"/>
    <x v="6"/>
    <s v="Outlier"/>
  </r>
  <r>
    <n v="493810"/>
    <n v="1040"/>
    <x v="1"/>
    <d v="2023-07-15T23:00:00"/>
    <s v="App"/>
    <s v="Kalle Suominen"/>
    <n v="1550"/>
    <d v="2023-07-15T00:00:00"/>
    <x v="171"/>
    <x v="6"/>
    <x v="1"/>
    <s v="Outlier"/>
  </r>
  <r>
    <n v="495154"/>
    <n v="1911"/>
    <x v="6"/>
    <d v="2023-03-06T23:55:00"/>
    <s v="App"/>
    <s v="Pirkko Koskitalo"/>
    <n v="5800"/>
    <d v="2023-03-06T00:00:00"/>
    <x v="166"/>
    <x v="4"/>
    <x v="5"/>
    <s v="Outlier"/>
  </r>
  <r>
    <n v="495680"/>
    <n v="276"/>
    <x v="1"/>
    <d v="2023-06-26T00:49:00"/>
    <s v="App"/>
    <s v="Eric Natividad"/>
    <n v="2665"/>
    <d v="2023-06-26T00:00:00"/>
    <x v="35"/>
    <x v="7"/>
    <x v="5"/>
    <s v="Outlier"/>
  </r>
  <r>
    <n v="497302"/>
    <n v="1539"/>
    <x v="0"/>
    <d v="2023-09-08T23:29:00"/>
    <s v="Website"/>
    <s v="Ann Brown"/>
    <n v="7579"/>
    <d v="2023-09-08T00:00:00"/>
    <x v="71"/>
    <x v="10"/>
    <x v="0"/>
    <s v="Outlier"/>
  </r>
  <r>
    <n v="497663"/>
    <n v="596"/>
    <x v="10"/>
    <d v="2023-11-06T00:03:00"/>
    <s v="Other"/>
    <s v="Jose Pedro Roel"/>
    <n v="6580"/>
    <d v="2023-11-06T00:00:00"/>
    <x v="72"/>
    <x v="2"/>
    <x v="5"/>
    <s v="Outlier"/>
  </r>
  <r>
    <n v="498278"/>
    <n v="540"/>
    <x v="6"/>
    <d v="2023-06-13T01:07:00"/>
    <s v="Other"/>
    <s v="Steve Frick"/>
    <n v="4974"/>
    <d v="2023-06-13T00:00:00"/>
    <x v="31"/>
    <x v="7"/>
    <x v="2"/>
    <s v="Outlier"/>
  </r>
  <r>
    <n v="498746"/>
    <n v="1475"/>
    <x v="4"/>
    <d v="2023-06-03T00:09:00"/>
    <s v="App"/>
    <s v="Valarie Franco"/>
    <n v="6335"/>
    <d v="2023-06-03T00:00:00"/>
    <x v="81"/>
    <x v="7"/>
    <x v="1"/>
    <s v="Outlier"/>
  </r>
  <r>
    <n v="499145"/>
    <n v="61"/>
    <x v="4"/>
    <d v="2023-08-30T22:54:00"/>
    <s v="Website"/>
    <s v="Valarie Nelson"/>
    <n v="165"/>
    <d v="2023-08-30T00:00:00"/>
    <x v="105"/>
    <x v="8"/>
    <x v="4"/>
    <s v="Outlier"/>
  </r>
  <r>
    <n v="499301"/>
    <n v="125"/>
    <x v="4"/>
    <d v="2023-10-16T01:28:00"/>
    <s v="Website"/>
    <s v="Diego Freyre"/>
    <n v="8557"/>
    <d v="2023-10-16T00:00:00"/>
    <x v="49"/>
    <x v="3"/>
    <x v="5"/>
    <s v="Outlier"/>
  </r>
  <r>
    <n v="499444"/>
    <n v="122"/>
    <x v="4"/>
    <d v="2023-07-24T00:03:00"/>
    <s v="Website"/>
    <s v="Wendy Victorino"/>
    <n v="9615"/>
    <d v="2023-07-24T00:00:00"/>
    <x v="72"/>
    <x v="6"/>
    <x v="5"/>
    <s v="Outlier"/>
  </r>
  <r>
    <n v="500116"/>
    <n v="1317"/>
    <x v="3"/>
    <d v="2023-05-26T01:04:00"/>
    <s v="Other"/>
    <s v="Valarie Nelson"/>
    <n v="4269"/>
    <d v="2023-05-26T00:00:00"/>
    <x v="121"/>
    <x v="11"/>
    <x v="0"/>
    <s v="Outlier"/>
  </r>
  <r>
    <n v="500630"/>
    <n v="548"/>
    <x v="0"/>
    <d v="2023-06-14T00:29:00"/>
    <s v="Other"/>
    <s v="Kyung Yu"/>
    <n v="3906"/>
    <d v="2023-06-14T00:00:00"/>
    <x v="50"/>
    <x v="7"/>
    <x v="4"/>
    <s v="Outlier"/>
  </r>
  <r>
    <n v="501314"/>
    <n v="319"/>
    <x v="1"/>
    <d v="2023-02-06T22:49:00"/>
    <s v="Website"/>
    <s v="Kwai Yu"/>
    <n v="2512"/>
    <d v="2023-02-06T00:00:00"/>
    <x v="206"/>
    <x v="5"/>
    <x v="5"/>
    <s v="Outlier"/>
  </r>
  <r>
    <n v="502404"/>
    <n v="62"/>
    <x v="0"/>
    <d v="2023-02-16T23:51:00"/>
    <s v="App"/>
    <s v="Marta Hernandez"/>
    <n v="3368"/>
    <d v="2023-02-16T00:00:00"/>
    <x v="87"/>
    <x v="5"/>
    <x v="3"/>
    <s v="Outlier"/>
  </r>
  <r>
    <n v="503957"/>
    <n v="1442"/>
    <x v="0"/>
    <d v="2023-09-18T01:06:00"/>
    <s v="App"/>
    <s v="Yoshi Tannamuri"/>
    <n v="2938"/>
    <d v="2023-09-18T00:00:00"/>
    <x v="207"/>
    <x v="10"/>
    <x v="5"/>
    <s v="Outlier"/>
  </r>
  <r>
    <n v="504071"/>
    <n v="1811"/>
    <x v="0"/>
    <d v="2023-08-14T00:32:00"/>
    <s v="Whatsapp"/>
    <s v="Michael Frick"/>
    <n v="2261"/>
    <d v="2023-08-14T00:00:00"/>
    <x v="58"/>
    <x v="8"/>
    <x v="5"/>
    <s v="Outlier"/>
  </r>
  <r>
    <n v="504938"/>
    <n v="84"/>
    <x v="0"/>
    <d v="2023-07-10T23:36:00"/>
    <s v="Website"/>
    <s v="Christina Berglund"/>
    <n v="6541"/>
    <d v="2023-07-10T00:00:00"/>
    <x v="135"/>
    <x v="6"/>
    <x v="5"/>
    <s v="Outlier"/>
  </r>
  <r>
    <n v="505298"/>
    <n v="1854"/>
    <x v="0"/>
    <d v="2023-07-04T00:34:00"/>
    <s v="Other"/>
    <s v="Jeff Young"/>
    <n v="7393"/>
    <d v="2023-07-04T00:00:00"/>
    <x v="21"/>
    <x v="6"/>
    <x v="2"/>
    <s v="Outlier"/>
  </r>
  <r>
    <n v="506188"/>
    <n v="515"/>
    <x v="4"/>
    <d v="2023-02-13T00:36:00"/>
    <s v="Other"/>
    <s v="Diego Freyre"/>
    <n v="2177"/>
    <d v="2023-02-13T00:00:00"/>
    <x v="120"/>
    <x v="5"/>
    <x v="5"/>
    <s v="Outlier"/>
  </r>
  <r>
    <n v="506560"/>
    <n v="301"/>
    <x v="1"/>
    <d v="2023-01-26T00:20:00"/>
    <s v="App"/>
    <s v="Anna O'Hara"/>
    <n v="2071"/>
    <d v="2023-01-26T00:00:00"/>
    <x v="68"/>
    <x v="9"/>
    <x v="3"/>
    <s v="Outlier"/>
  </r>
  <r>
    <n v="506882"/>
    <n v="197"/>
    <x v="0"/>
    <d v="2023-11-02T01:26:00"/>
    <s v="Website"/>
    <s v="Diego Freyre"/>
    <n v="3087"/>
    <d v="2023-11-02T00:00:00"/>
    <x v="65"/>
    <x v="2"/>
    <x v="3"/>
    <s v="Outlier"/>
  </r>
  <r>
    <n v="507043"/>
    <n v="933"/>
    <x v="0"/>
    <d v="2023-07-19T01:46:00"/>
    <s v="Whatsapp"/>
    <s v="Diego Freyre"/>
    <n v="6796"/>
    <d v="2023-07-19T00:00:00"/>
    <x v="129"/>
    <x v="6"/>
    <x v="4"/>
    <s v="Outlier"/>
  </r>
  <r>
    <n v="508458"/>
    <n v="864"/>
    <x v="0"/>
    <d v="2023-06-09T01:23:00"/>
    <s v="Website"/>
    <s v="Janine Labrune"/>
    <n v="1522"/>
    <d v="2023-06-09T00:00:00"/>
    <x v="83"/>
    <x v="7"/>
    <x v="0"/>
    <s v="Outlier"/>
  </r>
  <r>
    <n v="508989"/>
    <n v="1307"/>
    <x v="3"/>
    <d v="2023-03-03T01:06:00"/>
    <s v="Other"/>
    <s v="Roland Keitel"/>
    <n v="3733"/>
    <d v="2023-03-03T00:00:00"/>
    <x v="207"/>
    <x v="4"/>
    <x v="0"/>
    <s v="Outlier"/>
  </r>
  <r>
    <n v="509663"/>
    <n v="1437"/>
    <x v="0"/>
    <d v="2023-06-25T00:03:00"/>
    <s v="App"/>
    <s v="Victoria Ashworth"/>
    <n v="6211"/>
    <d v="2023-06-25T00:00:00"/>
    <x v="72"/>
    <x v="7"/>
    <x v="6"/>
    <s v="Outlier"/>
  </r>
  <r>
    <n v="510478"/>
    <n v="12"/>
    <x v="4"/>
    <d v="2023-03-13T23:14:00"/>
    <s v="App"/>
    <s v="Sue King"/>
    <n v="4788"/>
    <d v="2023-03-13T00:00:00"/>
    <x v="70"/>
    <x v="4"/>
    <x v="5"/>
    <s v="Outlier"/>
  </r>
  <r>
    <n v="510541"/>
    <n v="1007"/>
    <x v="0"/>
    <d v="2023-03-03T00:11:00"/>
    <s v="Whatsapp"/>
    <s v="Sue Taylor"/>
    <n v="8601"/>
    <d v="2023-03-03T00:00:00"/>
    <x v="10"/>
    <x v="4"/>
    <x v="0"/>
    <s v="Outlier"/>
  </r>
  <r>
    <n v="510910"/>
    <n v="1461"/>
    <x v="0"/>
    <d v="2023-01-03T23:34:00"/>
    <s v="Whatsapp"/>
    <s v="Julie Brown"/>
    <n v="1323"/>
    <d v="2023-01-03T00:00:00"/>
    <x v="99"/>
    <x v="9"/>
    <x v="2"/>
    <s v="Outlier"/>
  </r>
  <r>
    <n v="510973"/>
    <n v="679"/>
    <x v="5"/>
    <d v="2023-02-19T01:04:00"/>
    <s v="Other"/>
    <s v="Giovanni Rovelli"/>
    <n v="7192"/>
    <d v="2023-02-19T00:00:00"/>
    <x v="121"/>
    <x v="5"/>
    <x v="6"/>
    <s v="Outlier"/>
  </r>
  <r>
    <n v="511431"/>
    <n v="1125"/>
    <x v="5"/>
    <d v="2023-08-07T01:35:00"/>
    <s v="App"/>
    <s v="Valarie Nelson"/>
    <n v="1624"/>
    <d v="2023-08-07T00:00:00"/>
    <x v="200"/>
    <x v="8"/>
    <x v="5"/>
    <s v="Outlier"/>
  </r>
  <r>
    <n v="512440"/>
    <n v="99"/>
    <x v="6"/>
    <d v="2023-06-07T00:45:00"/>
    <s v="App"/>
    <s v="Sean Connery"/>
    <n v="4280"/>
    <d v="2023-06-07T00:00:00"/>
    <x v="29"/>
    <x v="7"/>
    <x v="4"/>
    <s v="Outlier"/>
  </r>
  <r>
    <n v="513417"/>
    <n v="1836"/>
    <x v="3"/>
    <d v="2023-09-21T00:48:00"/>
    <s v="Other"/>
    <s v="Jeff Young"/>
    <n v="2613"/>
    <d v="2023-09-21T00:00:00"/>
    <x v="88"/>
    <x v="10"/>
    <x v="3"/>
    <s v="Outlier"/>
  </r>
  <r>
    <n v="513459"/>
    <n v="961"/>
    <x v="0"/>
    <d v="2023-02-09T00:06:00"/>
    <s v="Other"/>
    <s v="Mart¡n Sommer"/>
    <n v="9907"/>
    <d v="2023-02-09T00:00:00"/>
    <x v="22"/>
    <x v="5"/>
    <x v="3"/>
    <s v="Outlier"/>
  </r>
  <r>
    <n v="514198"/>
    <n v="1617"/>
    <x v="9"/>
    <d v="2023-11-23T01:14:00"/>
    <s v="Other"/>
    <s v="Mary Saveley"/>
    <n v="9711"/>
    <d v="2023-11-23T00:00:00"/>
    <x v="156"/>
    <x v="2"/>
    <x v="3"/>
    <s v="Outlier"/>
  </r>
  <r>
    <n v="514550"/>
    <n v="178"/>
    <x v="1"/>
    <d v="2023-06-01T01:37:00"/>
    <s v="App"/>
    <s v="Valarie Franco"/>
    <n v="9871"/>
    <d v="2023-06-01T00:00:00"/>
    <x v="109"/>
    <x v="7"/>
    <x v="3"/>
    <s v="Outlier"/>
  </r>
  <r>
    <n v="515145"/>
    <n v="667"/>
    <x v="3"/>
    <d v="2023-11-21T22:31:00"/>
    <s v="Other"/>
    <s v="Paolo Accorti"/>
    <n v="6458"/>
    <d v="2023-11-21T00:00:00"/>
    <x v="208"/>
    <x v="2"/>
    <x v="2"/>
    <s v="Outlier"/>
  </r>
  <r>
    <n v="515694"/>
    <n v="1034"/>
    <x v="2"/>
    <d v="2023-12-02T01:30:00"/>
    <s v="Other"/>
    <s v="Wendy Victorino"/>
    <n v="462"/>
    <d v="2023-12-02T00:00:00"/>
    <x v="209"/>
    <x v="0"/>
    <x v="1"/>
    <s v="Outlier"/>
  </r>
  <r>
    <n v="517514"/>
    <n v="459"/>
    <x v="2"/>
    <d v="2023-04-13T22:55:00"/>
    <s v="Other"/>
    <s v="Daniel Tonini"/>
    <n v="1379"/>
    <d v="2023-04-13T00:00:00"/>
    <x v="125"/>
    <x v="1"/>
    <x v="3"/>
    <s v="Outlier"/>
  </r>
  <r>
    <n v="517568"/>
    <n v="1475"/>
    <x v="4"/>
    <d v="2023-10-01T00:30:00"/>
    <s v="Other"/>
    <s v="Valarie Nelson"/>
    <n v="794"/>
    <d v="2023-10-01T00:00:00"/>
    <x v="111"/>
    <x v="3"/>
    <x v="6"/>
    <s v="Outlier"/>
  </r>
  <r>
    <n v="517712"/>
    <n v="817"/>
    <x v="0"/>
    <d v="2023-08-20T00:57:00"/>
    <s v="Other"/>
    <s v="Valarie Young"/>
    <n v="8560"/>
    <d v="2023-08-20T00:00:00"/>
    <x v="42"/>
    <x v="8"/>
    <x v="6"/>
    <s v="Outlier"/>
  </r>
  <r>
    <n v="519130"/>
    <n v="1036"/>
    <x v="1"/>
    <d v="2023-09-28T00:35:00"/>
    <s v="Website"/>
    <s v="Victoria Ashworth"/>
    <n v="6750"/>
    <d v="2023-09-28T00:00:00"/>
    <x v="67"/>
    <x v="10"/>
    <x v="3"/>
    <s v="Outlier"/>
  </r>
  <r>
    <n v="520080"/>
    <n v="922"/>
    <x v="11"/>
    <d v="2023-10-18T01:34:00"/>
    <s v="Whatsapp"/>
    <s v="Laurence Lebihan"/>
    <n v="917"/>
    <d v="2023-10-18T00:00:00"/>
    <x v="161"/>
    <x v="3"/>
    <x v="4"/>
    <s v="Outlier"/>
  </r>
  <r>
    <n v="520860"/>
    <n v="848"/>
    <x v="0"/>
    <d v="2023-01-23T22:39:00"/>
    <s v="App"/>
    <s v="Daniel Da Cunha"/>
    <n v="7161"/>
    <d v="2023-01-23T00:00:00"/>
    <x v="90"/>
    <x v="9"/>
    <x v="5"/>
    <s v="Outlier"/>
  </r>
  <r>
    <n v="520868"/>
    <n v="1941"/>
    <x v="4"/>
    <d v="2023-11-24T00:43:00"/>
    <s v="Other"/>
    <s v="Julie Young"/>
    <n v="870"/>
    <d v="2023-11-24T00:00:00"/>
    <x v="112"/>
    <x v="2"/>
    <x v="0"/>
    <s v="Outlier"/>
  </r>
  <r>
    <n v="521015"/>
    <n v="1351"/>
    <x v="4"/>
    <d v="2023-04-04T01:09:00"/>
    <s v="Website"/>
    <s v="Diego Freyre"/>
    <n v="9200"/>
    <d v="2023-04-04T00:00:00"/>
    <x v="92"/>
    <x v="1"/>
    <x v="2"/>
    <s v="Outlier"/>
  </r>
  <r>
    <n v="521330"/>
    <n v="1714"/>
    <x v="4"/>
    <d v="2023-08-06T23:19:00"/>
    <s v="Website"/>
    <s v="Valarie Nelson"/>
    <n v="9321"/>
    <d v="2023-08-06T00:00:00"/>
    <x v="24"/>
    <x v="8"/>
    <x v="6"/>
    <s v="Outlier"/>
  </r>
  <r>
    <n v="521761"/>
    <n v="1504"/>
    <x v="3"/>
    <d v="2023-07-06T23:25:00"/>
    <s v="Whatsapp"/>
    <s v="Wendy Victorino"/>
    <n v="4462"/>
    <d v="2023-07-06T00:00:00"/>
    <x v="141"/>
    <x v="6"/>
    <x v="3"/>
    <s v="Outlier"/>
  </r>
  <r>
    <n v="522201"/>
    <n v="760"/>
    <x v="1"/>
    <d v="2023-11-10T23:46:00"/>
    <s v="Other"/>
    <s v="Adrian Huxley"/>
    <n v="9296"/>
    <d v="2023-11-10T00:00:00"/>
    <x v="9"/>
    <x v="2"/>
    <x v="0"/>
    <s v="Outlier"/>
  </r>
  <r>
    <n v="525192"/>
    <n v="1484"/>
    <x v="0"/>
    <d v="2023-01-26T00:09:00"/>
    <s v="Other"/>
    <s v="Jonas Bergulfsen"/>
    <n v="2431"/>
    <d v="2023-01-26T00:00:00"/>
    <x v="81"/>
    <x v="9"/>
    <x v="3"/>
    <s v="Outlier"/>
  </r>
  <r>
    <n v="525405"/>
    <n v="796"/>
    <x v="10"/>
    <d v="2023-01-17T00:15:00"/>
    <s v="Website"/>
    <s v="Marie Bertrand"/>
    <n v="6640"/>
    <d v="2023-01-17T00:00:00"/>
    <x v="123"/>
    <x v="9"/>
    <x v="2"/>
    <s v="Outlier"/>
  </r>
  <r>
    <n v="525500"/>
    <n v="299"/>
    <x v="1"/>
    <d v="2023-07-04T01:12:00"/>
    <s v="Other"/>
    <s v="Mart¡n Sommer"/>
    <n v="9056"/>
    <d v="2023-07-04T00:00:00"/>
    <x v="52"/>
    <x v="6"/>
    <x v="2"/>
    <s v="Outlier"/>
  </r>
  <r>
    <n v="525782"/>
    <n v="833"/>
    <x v="11"/>
    <d v="2023-06-02T00:24:00"/>
    <s v="Other"/>
    <s v="Juri Hirano"/>
    <n v="257"/>
    <d v="2023-06-02T00:00:00"/>
    <x v="115"/>
    <x v="7"/>
    <x v="0"/>
    <s v="Outlier"/>
  </r>
  <r>
    <n v="528569"/>
    <n v="1993"/>
    <x v="0"/>
    <d v="2023-06-26T01:42:00"/>
    <s v="App"/>
    <s v="Pirkko Koskitalo"/>
    <n v="613"/>
    <d v="2023-06-26T00:00:00"/>
    <x v="14"/>
    <x v="7"/>
    <x v="5"/>
    <s v="Outlier"/>
  </r>
  <r>
    <n v="529245"/>
    <n v="650"/>
    <x v="3"/>
    <d v="2023-02-16T00:23:00"/>
    <s v="Whatsapp"/>
    <s v="Eric Natividad"/>
    <n v="1465"/>
    <d v="2023-02-16T00:00:00"/>
    <x v="6"/>
    <x v="5"/>
    <x v="3"/>
    <s v="Outlier"/>
  </r>
  <r>
    <n v="529816"/>
    <n v="424"/>
    <x v="4"/>
    <d v="2023-09-04T23:49:00"/>
    <s v="Website"/>
    <s v="Ann Brown"/>
    <n v="4135"/>
    <d v="2023-09-04T00:00:00"/>
    <x v="43"/>
    <x v="10"/>
    <x v="5"/>
    <s v="Outlier"/>
  </r>
  <r>
    <n v="530067"/>
    <n v="1126"/>
    <x v="3"/>
    <d v="2023-08-17T01:17:00"/>
    <s v="Other"/>
    <s v="Jose Pedro Roel"/>
    <n v="8259"/>
    <d v="2023-08-17T00:00:00"/>
    <x v="210"/>
    <x v="8"/>
    <x v="3"/>
    <s v="Outlier"/>
  </r>
  <r>
    <n v="531173"/>
    <n v="27"/>
    <x v="0"/>
    <d v="2023-08-08T02:00:00"/>
    <s v="App"/>
    <s v="Mary Saveley"/>
    <n v="9787"/>
    <d v="2023-08-08T00:00:00"/>
    <x v="23"/>
    <x v="8"/>
    <x v="2"/>
    <s v="Outlier"/>
  </r>
  <r>
    <n v="531700"/>
    <n v="925"/>
    <x v="0"/>
    <d v="2023-06-05T00:51:00"/>
    <s v="App"/>
    <s v="Valarie Franco"/>
    <n v="8597"/>
    <d v="2023-06-05T00:00:00"/>
    <x v="93"/>
    <x v="7"/>
    <x v="5"/>
    <s v="Outlier"/>
  </r>
  <r>
    <n v="532196"/>
    <n v="1019"/>
    <x v="2"/>
    <d v="2023-10-08T00:48:00"/>
    <s v="Other"/>
    <s v="Wendy Victorino"/>
    <n v="3019"/>
    <d v="2023-10-08T00:00:00"/>
    <x v="88"/>
    <x v="3"/>
    <x v="6"/>
    <s v="Outlier"/>
  </r>
  <r>
    <n v="532654"/>
    <n v="1948"/>
    <x v="0"/>
    <d v="2023-11-09T01:38:00"/>
    <s v="Website"/>
    <s v="Valarie Nelson"/>
    <n v="3310"/>
    <d v="2023-11-09T00:00:00"/>
    <x v="211"/>
    <x v="2"/>
    <x v="3"/>
    <s v="Outlier"/>
  </r>
  <r>
    <n v="533187"/>
    <n v="1510"/>
    <x v="8"/>
    <d v="2023-03-13T01:04:00"/>
    <s v="Other"/>
    <s v="Diego Freyre"/>
    <n v="825"/>
    <d v="2023-03-13T00:00:00"/>
    <x v="121"/>
    <x v="4"/>
    <x v="5"/>
    <s v="Outlier"/>
  </r>
  <r>
    <n v="533511"/>
    <n v="615"/>
    <x v="3"/>
    <d v="2023-03-23T00:04:00"/>
    <s v="Website"/>
    <s v="Wendy Victorino"/>
    <n v="4159"/>
    <d v="2023-03-23T00:00:00"/>
    <x v="64"/>
    <x v="4"/>
    <x v="3"/>
    <s v="Outlier"/>
  </r>
  <r>
    <n v="533763"/>
    <n v="1008"/>
    <x v="5"/>
    <d v="2023-06-26T00:29:00"/>
    <s v="App"/>
    <s v="Valarie Nelson"/>
    <n v="4873"/>
    <d v="2023-06-26T00:00:00"/>
    <x v="50"/>
    <x v="7"/>
    <x v="5"/>
    <s v="Outlier"/>
  </r>
  <r>
    <n v="533914"/>
    <n v="1884"/>
    <x v="0"/>
    <d v="2023-05-30T22:56:00"/>
    <s v="Other"/>
    <s v="Kyung Yu"/>
    <n v="5436"/>
    <d v="2023-05-30T00:00:00"/>
    <x v="26"/>
    <x v="11"/>
    <x v="2"/>
    <s v="Outlier"/>
  </r>
  <r>
    <n v="534259"/>
    <n v="249"/>
    <x v="0"/>
    <d v="2023-05-03T23:15:00"/>
    <s v="Other"/>
    <s v="Maria Larsson"/>
    <n v="3939"/>
    <d v="2023-05-03T00:00:00"/>
    <x v="136"/>
    <x v="11"/>
    <x v="4"/>
    <s v="Outlier"/>
  </r>
  <r>
    <n v="534263"/>
    <n v="109"/>
    <x v="0"/>
    <d v="2023-06-16T00:34:00"/>
    <s v="App"/>
    <s v="Marta Hernandez"/>
    <n v="3129"/>
    <d v="2023-06-16T00:00:00"/>
    <x v="21"/>
    <x v="7"/>
    <x v="0"/>
    <s v="Outlier"/>
  </r>
  <r>
    <n v="534708"/>
    <n v="854"/>
    <x v="0"/>
    <d v="2023-09-10T00:52:00"/>
    <s v="Other"/>
    <s v="Yoshi Tannamuri"/>
    <n v="577"/>
    <d v="2023-09-10T00:00:00"/>
    <x v="30"/>
    <x v="10"/>
    <x v="6"/>
    <s v="Outlier"/>
  </r>
  <r>
    <n v="535104"/>
    <n v="324"/>
    <x v="6"/>
    <d v="2023-10-30T23:13:00"/>
    <s v="Whatsapp"/>
    <s v="Valarie Young"/>
    <n v="7237"/>
    <d v="2023-10-30T00:00:00"/>
    <x v="15"/>
    <x v="3"/>
    <x v="5"/>
    <s v="Outlier"/>
  </r>
  <r>
    <n v="535213"/>
    <n v="998"/>
    <x v="8"/>
    <d v="2023-08-20T01:06:00"/>
    <s v="Website"/>
    <s v="Christina Berglund"/>
    <n v="1196"/>
    <d v="2023-08-20T00:00:00"/>
    <x v="207"/>
    <x v="8"/>
    <x v="6"/>
    <s v="Outlier"/>
  </r>
  <r>
    <n v="535352"/>
    <n v="622"/>
    <x v="1"/>
    <d v="2023-07-23T23:26:00"/>
    <s v="Website"/>
    <s v="Peter Ferguson"/>
    <n v="9155"/>
    <d v="2023-07-23T00:00:00"/>
    <x v="191"/>
    <x v="6"/>
    <x v="6"/>
    <s v="Outlier"/>
  </r>
  <r>
    <n v="536530"/>
    <n v="738"/>
    <x v="3"/>
    <d v="2023-04-27T23:58:00"/>
    <s v="Whatsapp"/>
    <s v="Valarie Nelson"/>
    <n v="891"/>
    <d v="2023-04-27T00:00:00"/>
    <x v="96"/>
    <x v="1"/>
    <x v="3"/>
    <s v="Outlier"/>
  </r>
  <r>
    <n v="537418"/>
    <n v="51"/>
    <x v="0"/>
    <d v="2023-07-21T22:35:00"/>
    <s v="Whatsapp"/>
    <s v="Anna O'Hara"/>
    <n v="7284"/>
    <d v="2023-07-21T00:00:00"/>
    <x v="55"/>
    <x v="6"/>
    <x v="0"/>
    <s v="Outlier"/>
  </r>
  <r>
    <n v="537514"/>
    <n v="12"/>
    <x v="4"/>
    <d v="2023-10-08T00:57:00"/>
    <s v="Website"/>
    <s v="Julie Brown"/>
    <n v="8747"/>
    <d v="2023-10-08T00:00:00"/>
    <x v="42"/>
    <x v="3"/>
    <x v="6"/>
    <s v="Outlier"/>
  </r>
  <r>
    <n v="537900"/>
    <n v="1009"/>
    <x v="0"/>
    <d v="2023-01-10T00:17:00"/>
    <s v="Whatsapp"/>
    <s v="Anna O'Hara"/>
    <n v="3462"/>
    <d v="2023-01-10T00:00:00"/>
    <x v="20"/>
    <x v="9"/>
    <x v="2"/>
    <s v="Outlier"/>
  </r>
  <r>
    <n v="538560"/>
    <n v="31"/>
    <x v="0"/>
    <d v="2023-11-01T00:21:00"/>
    <s v="App"/>
    <s v="Diego Freyre"/>
    <n v="9928"/>
    <d v="2023-11-01T00:00:00"/>
    <x v="2"/>
    <x v="2"/>
    <x v="4"/>
    <s v="Outlier"/>
  </r>
  <r>
    <n v="539212"/>
    <n v="488"/>
    <x v="0"/>
    <d v="2023-11-29T01:52:00"/>
    <s v="Whatsapp"/>
    <s v="Janine Labrune"/>
    <n v="8345"/>
    <d v="2023-11-29T00:00:00"/>
    <x v="179"/>
    <x v="2"/>
    <x v="4"/>
    <s v="Outlier"/>
  </r>
  <r>
    <n v="539679"/>
    <n v="668"/>
    <x v="3"/>
    <d v="2023-05-07T00:28:00"/>
    <s v="Website"/>
    <s v="Giovanni Rovelli"/>
    <n v="24"/>
    <d v="2023-05-07T00:00:00"/>
    <x v="39"/>
    <x v="11"/>
    <x v="6"/>
    <s v="Outlier"/>
  </r>
  <r>
    <n v="540823"/>
    <n v="306"/>
    <x v="1"/>
    <d v="2023-11-30T00:22:00"/>
    <s v="App"/>
    <s v="Peter Ferguson"/>
    <n v="3011"/>
    <d v="2023-11-30T00:00:00"/>
    <x v="54"/>
    <x v="2"/>
    <x v="3"/>
    <s v="Outlier"/>
  </r>
  <r>
    <n v="541612"/>
    <n v="248"/>
    <x v="0"/>
    <d v="2023-11-06T00:26:00"/>
    <s v="App"/>
    <s v="Diego Freyre"/>
    <n v="3155"/>
    <d v="2023-11-06T00:00:00"/>
    <x v="151"/>
    <x v="2"/>
    <x v="5"/>
    <s v="Outlier"/>
  </r>
  <r>
    <n v="541737"/>
    <n v="1365"/>
    <x v="0"/>
    <d v="2023-12-23T00:23:00"/>
    <s v="Whatsapp"/>
    <s v="Julie Young"/>
    <n v="1362"/>
    <d v="2023-12-23T00:00:00"/>
    <x v="6"/>
    <x v="0"/>
    <x v="1"/>
    <s v="Outlier"/>
  </r>
  <r>
    <n v="541762"/>
    <n v="1492"/>
    <x v="0"/>
    <d v="2023-07-28T23:58:00"/>
    <s v="Website"/>
    <s v="Juri Hirano"/>
    <n v="5062"/>
    <d v="2023-07-28T00:00:00"/>
    <x v="96"/>
    <x v="6"/>
    <x v="0"/>
    <s v="Outlier"/>
  </r>
  <r>
    <n v="541964"/>
    <n v="465"/>
    <x v="0"/>
    <d v="2023-10-22T23:56:00"/>
    <s v="Whatsapp"/>
    <s v="Mory Kentary"/>
    <n v="3372"/>
    <d v="2023-10-22T00:00:00"/>
    <x v="138"/>
    <x v="3"/>
    <x v="6"/>
    <s v="Outlier"/>
  </r>
  <r>
    <n v="542381"/>
    <n v="1767"/>
    <x v="3"/>
    <d v="2023-12-26T00:13:00"/>
    <s v="Whatsapp"/>
    <s v="Peter Ferguson"/>
    <n v="6198"/>
    <d v="2023-12-26T00:00:00"/>
    <x v="97"/>
    <x v="0"/>
    <x v="2"/>
    <s v="Outlier"/>
  </r>
  <r>
    <n v="543294"/>
    <n v="1504"/>
    <x v="3"/>
    <d v="2023-09-13T00:27:00"/>
    <s v="Whatsapp"/>
    <s v="Elizabeth Lincoln"/>
    <n v="3639"/>
    <d v="2023-09-13T00:00:00"/>
    <x v="108"/>
    <x v="10"/>
    <x v="4"/>
    <s v="Outlier"/>
  </r>
  <r>
    <n v="543420"/>
    <n v="1942"/>
    <x v="0"/>
    <d v="2023-06-15T23:45:00"/>
    <s v="Website"/>
    <s v="Sue Frick"/>
    <n v="4380"/>
    <d v="2023-06-15T00:00:00"/>
    <x v="164"/>
    <x v="7"/>
    <x v="3"/>
    <s v="Outlier"/>
  </r>
  <r>
    <n v="543688"/>
    <n v="1393"/>
    <x v="2"/>
    <d v="2023-08-08T00:34:00"/>
    <s v="Website"/>
    <s v="Julie King"/>
    <n v="9836"/>
    <d v="2023-08-08T00:00:00"/>
    <x v="21"/>
    <x v="8"/>
    <x v="2"/>
    <s v="Outlier"/>
  </r>
  <r>
    <n v="544608"/>
    <n v="643"/>
    <x v="1"/>
    <d v="2023-09-23T01:56:00"/>
    <s v="App"/>
    <s v="Janine Labrune"/>
    <n v="3678"/>
    <d v="2023-09-23T00:00:00"/>
    <x v="212"/>
    <x v="10"/>
    <x v="1"/>
    <s v="Outlier"/>
  </r>
  <r>
    <n v="544675"/>
    <n v="459"/>
    <x v="2"/>
    <d v="2023-05-13T01:53:00"/>
    <s v="Whatsapp"/>
    <s v="Jan Klaeboe"/>
    <n v="6757"/>
    <d v="2023-05-13T00:00:00"/>
    <x v="102"/>
    <x v="11"/>
    <x v="1"/>
    <s v="Outlier"/>
  </r>
  <r>
    <n v="545696"/>
    <n v="1682"/>
    <x v="3"/>
    <d v="2023-06-08T01:05:00"/>
    <s v="App"/>
    <s v="Dean Cassidy"/>
    <n v="9120"/>
    <d v="2023-06-08T00:00:00"/>
    <x v="12"/>
    <x v="7"/>
    <x v="3"/>
    <s v="Outlier"/>
  </r>
  <r>
    <n v="546278"/>
    <n v="1510"/>
    <x v="8"/>
    <d v="2023-06-04T01:08:00"/>
    <s v="Whatsapp"/>
    <s v="Steve Frick"/>
    <n v="5853"/>
    <d v="2023-06-04T00:00:00"/>
    <x v="37"/>
    <x v="7"/>
    <x v="6"/>
    <s v="Outlier"/>
  </r>
  <r>
    <n v="546758"/>
    <n v="1844"/>
    <x v="5"/>
    <d v="2023-08-02T00:45:00"/>
    <s v="Other"/>
    <s v="Kyung Yu"/>
    <n v="316"/>
    <d v="2023-08-02T00:00:00"/>
    <x v="29"/>
    <x v="8"/>
    <x v="4"/>
    <s v="Outlier"/>
  </r>
  <r>
    <n v="546839"/>
    <n v="1566"/>
    <x v="0"/>
    <d v="2023-12-10T00:57:00"/>
    <s v="Whatsapp"/>
    <s v="Jytte Petersen"/>
    <n v="8639"/>
    <d v="2023-12-10T00:00:00"/>
    <x v="42"/>
    <x v="0"/>
    <x v="6"/>
    <s v="Outlier"/>
  </r>
  <r>
    <n v="547144"/>
    <n v="1666"/>
    <x v="4"/>
    <d v="2023-01-14T01:02:00"/>
    <s v="App"/>
    <s v="Akiko Shimamura"/>
    <n v="5455"/>
    <d v="2023-01-14T00:00:00"/>
    <x v="186"/>
    <x v="9"/>
    <x v="1"/>
    <s v="Outlier"/>
  </r>
  <r>
    <n v="547283"/>
    <n v="1363"/>
    <x v="3"/>
    <d v="2023-04-24T00:04:00"/>
    <s v="Whatsapp"/>
    <s v="Dan Lewis"/>
    <n v="2149"/>
    <d v="2023-04-24T00:00:00"/>
    <x v="64"/>
    <x v="1"/>
    <x v="5"/>
    <s v="Outlier"/>
  </r>
  <r>
    <n v="548423"/>
    <n v="1109"/>
    <x v="1"/>
    <d v="2023-09-21T01:16:00"/>
    <s v="Other"/>
    <s v="Tony Calaghan"/>
    <n v="3958"/>
    <d v="2023-09-21T00:00:00"/>
    <x v="84"/>
    <x v="10"/>
    <x v="3"/>
    <s v="Outlier"/>
  </r>
  <r>
    <n v="548714"/>
    <n v="1156"/>
    <x v="8"/>
    <d v="2023-06-22T00:31:00"/>
    <s v="App"/>
    <s v="Diego Freyre"/>
    <n v="6145"/>
    <d v="2023-06-22T00:00:00"/>
    <x v="3"/>
    <x v="7"/>
    <x v="3"/>
    <s v="Outlier"/>
  </r>
  <r>
    <n v="549930"/>
    <n v="685"/>
    <x v="6"/>
    <d v="2023-06-26T23:54:00"/>
    <s v="App"/>
    <s v="Paul Henriot"/>
    <n v="8311"/>
    <d v="2023-06-26T00:00:00"/>
    <x v="174"/>
    <x v="7"/>
    <x v="5"/>
    <s v="Outlier"/>
  </r>
  <r>
    <n v="550510"/>
    <n v="536"/>
    <x v="7"/>
    <d v="2023-04-20T23:35:00"/>
    <s v="Whatsapp"/>
    <s v="William Brown"/>
    <n v="4540"/>
    <d v="2023-04-20T00:00:00"/>
    <x v="74"/>
    <x v="1"/>
    <x v="3"/>
    <s v="Outlier"/>
  </r>
  <r>
    <n v="551810"/>
    <n v="477"/>
    <x v="6"/>
    <d v="2023-06-08T00:35:00"/>
    <s v="App"/>
    <s v="Maurizio Moroni"/>
    <n v="8174"/>
    <d v="2023-06-08T00:00:00"/>
    <x v="67"/>
    <x v="7"/>
    <x v="3"/>
    <s v="Outlier"/>
  </r>
  <r>
    <n v="551997"/>
    <n v="1620"/>
    <x v="0"/>
    <d v="2023-09-26T23:22:00"/>
    <s v="Whatsapp"/>
    <s v="Kwai Yu"/>
    <n v="5017"/>
    <d v="2023-09-26T00:00:00"/>
    <x v="137"/>
    <x v="10"/>
    <x v="2"/>
    <s v="Outlier"/>
  </r>
  <r>
    <n v="552382"/>
    <n v="375"/>
    <x v="6"/>
    <d v="2023-05-02T00:29:00"/>
    <s v="Website"/>
    <s v="Peter Ferguson"/>
    <n v="626"/>
    <d v="2023-05-02T00:00:00"/>
    <x v="50"/>
    <x v="11"/>
    <x v="2"/>
    <s v="Outlier"/>
  </r>
  <r>
    <n v="552420"/>
    <n v="31"/>
    <x v="0"/>
    <d v="2023-07-24T23:33:00"/>
    <s v="Other"/>
    <s v="Daniel Da Cunha"/>
    <n v="3937"/>
    <d v="2023-07-24T00:00:00"/>
    <x v="62"/>
    <x v="6"/>
    <x v="5"/>
    <s v="Outlier"/>
  </r>
  <r>
    <n v="552683"/>
    <n v="131"/>
    <x v="2"/>
    <d v="2023-05-08T01:26:00"/>
    <s v="Other"/>
    <s v="Julie Young"/>
    <n v="6578"/>
    <d v="2023-05-08T00:00:00"/>
    <x v="65"/>
    <x v="11"/>
    <x v="5"/>
    <s v="Outlier"/>
  </r>
  <r>
    <n v="554150"/>
    <n v="343"/>
    <x v="1"/>
    <d v="2023-05-05T00:03:00"/>
    <s v="Website"/>
    <s v="Julie Brown"/>
    <n v="1090"/>
    <d v="2023-05-05T00:00:00"/>
    <x v="72"/>
    <x v="11"/>
    <x v="0"/>
    <s v="Outlier"/>
  </r>
  <r>
    <n v="556001"/>
    <n v="395"/>
    <x v="1"/>
    <d v="2023-01-28T00:18:00"/>
    <s v="Other"/>
    <s v="Juri Hirano"/>
    <n v="8901"/>
    <d v="2023-01-28T00:00:00"/>
    <x v="139"/>
    <x v="9"/>
    <x v="1"/>
    <s v="Outlier"/>
  </r>
  <r>
    <n v="556930"/>
    <n v="1847"/>
    <x v="3"/>
    <d v="2023-01-14T00:23:00"/>
    <s v="Website"/>
    <s v="Martine Rance"/>
    <n v="1675"/>
    <d v="2023-01-14T00:00:00"/>
    <x v="6"/>
    <x v="9"/>
    <x v="1"/>
    <s v="Outlier"/>
  </r>
  <r>
    <n v="557919"/>
    <n v="736"/>
    <x v="0"/>
    <d v="2023-11-07T01:51:00"/>
    <s v="Whatsapp"/>
    <s v="Veysel Oeztan"/>
    <n v="1848"/>
    <d v="2023-11-07T00:00:00"/>
    <x v="104"/>
    <x v="2"/>
    <x v="2"/>
    <s v="Outlier"/>
  </r>
  <r>
    <n v="558573"/>
    <n v="342"/>
    <x v="1"/>
    <d v="2023-09-23T00:35:00"/>
    <s v="Other"/>
    <s v="Julie Murphy"/>
    <n v="2278"/>
    <d v="2023-09-23T00:00:00"/>
    <x v="67"/>
    <x v="10"/>
    <x v="1"/>
    <s v="Outlier"/>
  </r>
  <r>
    <n v="559015"/>
    <n v="785"/>
    <x v="12"/>
    <d v="2023-05-13T00:46:00"/>
    <s v="Other"/>
    <s v="Mory Kentary"/>
    <n v="9196"/>
    <d v="2023-05-13T00:00:00"/>
    <x v="77"/>
    <x v="11"/>
    <x v="1"/>
    <s v="Outlier"/>
  </r>
  <r>
    <n v="559948"/>
    <n v="1548"/>
    <x v="3"/>
    <d v="2023-09-08T23:30:00"/>
    <s v="Whatsapp"/>
    <s v="Peter Ferguson"/>
    <n v="1404"/>
    <d v="2023-09-08T00:00:00"/>
    <x v="213"/>
    <x v="10"/>
    <x v="0"/>
    <s v="Outlier"/>
  </r>
  <r>
    <n v="560179"/>
    <n v="1615"/>
    <x v="4"/>
    <d v="2023-07-05T01:04:00"/>
    <s v="Whatsapp"/>
    <s v="Rosa Hernandez"/>
    <n v="227"/>
    <d v="2023-07-05T00:00:00"/>
    <x v="121"/>
    <x v="6"/>
    <x v="4"/>
    <s v="Outlier"/>
  </r>
  <r>
    <n v="560929"/>
    <n v="995"/>
    <x v="3"/>
    <d v="2023-01-21T00:03:00"/>
    <s v="Other"/>
    <s v="William Brown"/>
    <n v="2792"/>
    <d v="2023-01-21T00:00:00"/>
    <x v="72"/>
    <x v="9"/>
    <x v="1"/>
    <s v="Outlier"/>
  </r>
  <r>
    <n v="561027"/>
    <n v="185"/>
    <x v="9"/>
    <d v="2023-11-25T01:20:00"/>
    <s v="Whatsapp"/>
    <s v="Julie King"/>
    <n v="9534"/>
    <d v="2023-11-25T00:00:00"/>
    <x v="8"/>
    <x v="2"/>
    <x v="1"/>
    <s v="Outlier"/>
  </r>
  <r>
    <n v="561399"/>
    <n v="761"/>
    <x v="13"/>
    <d v="2023-10-26T00:48:00"/>
    <s v="Other"/>
    <s v="Janine Labrune"/>
    <n v="6729"/>
    <d v="2023-10-26T00:00:00"/>
    <x v="88"/>
    <x v="3"/>
    <x v="3"/>
    <s v="Outlier"/>
  </r>
  <r>
    <n v="561511"/>
    <n v="690"/>
    <x v="7"/>
    <d v="2023-12-01T01:15:00"/>
    <s v="Other"/>
    <s v="Marta Hernandez"/>
    <n v="6808"/>
    <d v="2023-12-01T00:00:00"/>
    <x v="127"/>
    <x v="0"/>
    <x v="0"/>
    <s v="Outlier"/>
  </r>
  <r>
    <n v="561728"/>
    <n v="1193"/>
    <x v="2"/>
    <d v="2023-03-26T23:02:00"/>
    <s v="Website"/>
    <s v="Carine Schmitt"/>
    <n v="9790"/>
    <d v="2023-03-26T00:00:00"/>
    <x v="114"/>
    <x v="4"/>
    <x v="6"/>
    <s v="Outlier"/>
  </r>
  <r>
    <n v="561976"/>
    <n v="286"/>
    <x v="0"/>
    <d v="2023-04-04T00:15:00"/>
    <s v="Other"/>
    <s v="Steve Frick"/>
    <n v="3146"/>
    <d v="2023-04-04T00:00:00"/>
    <x v="123"/>
    <x v="1"/>
    <x v="2"/>
    <s v="Outlier"/>
  </r>
  <r>
    <n v="562295"/>
    <n v="853"/>
    <x v="0"/>
    <d v="2023-07-21T00:02:00"/>
    <s v="Whatsapp"/>
    <s v="Kyung Yu"/>
    <n v="3046"/>
    <d v="2023-07-21T00:00:00"/>
    <x v="89"/>
    <x v="6"/>
    <x v="0"/>
    <s v="Outlier"/>
  </r>
  <r>
    <n v="563443"/>
    <n v="173"/>
    <x v="1"/>
    <d v="2023-10-29T00:36:00"/>
    <s v="Other"/>
    <s v="Kwai Yu"/>
    <n v="8023"/>
    <d v="2023-10-29T00:00:00"/>
    <x v="120"/>
    <x v="3"/>
    <x v="6"/>
    <s v="Outlier"/>
  </r>
  <r>
    <n v="563575"/>
    <n v="947"/>
    <x v="6"/>
    <d v="2023-04-05T23:41:00"/>
    <s v="App"/>
    <s v="Akiko Shimamura"/>
    <n v="2260"/>
    <d v="2023-04-05T00:00:00"/>
    <x v="155"/>
    <x v="1"/>
    <x v="4"/>
    <s v="Outlier"/>
  </r>
  <r>
    <n v="564076"/>
    <n v="1862"/>
    <x v="6"/>
    <d v="2023-05-30T23:51:00"/>
    <s v="App"/>
    <s v="Juri Hirano"/>
    <n v="7241"/>
    <d v="2023-05-30T00:00:00"/>
    <x v="87"/>
    <x v="11"/>
    <x v="2"/>
    <s v="Outlier"/>
  </r>
  <r>
    <n v="564478"/>
    <n v="1827"/>
    <x v="0"/>
    <d v="2023-02-10T00:29:00"/>
    <s v="Other"/>
    <s v="Tony Calaghan"/>
    <n v="4891"/>
    <d v="2023-02-10T00:00:00"/>
    <x v="50"/>
    <x v="5"/>
    <x v="0"/>
    <s v="Outlier"/>
  </r>
  <r>
    <n v="565068"/>
    <n v="1689"/>
    <x v="6"/>
    <d v="2023-06-10T23:21:00"/>
    <s v="Whatsapp"/>
    <s v="Maria Larsson"/>
    <n v="1282"/>
    <d v="2023-06-10T00:00:00"/>
    <x v="69"/>
    <x v="7"/>
    <x v="1"/>
    <s v="Outlier"/>
  </r>
  <r>
    <n v="565931"/>
    <n v="256"/>
    <x v="6"/>
    <d v="2023-07-22T00:20:00"/>
    <s v="Whatsapp"/>
    <s v="Dominique Perrier"/>
    <n v="9251"/>
    <d v="2023-07-22T00:00:00"/>
    <x v="68"/>
    <x v="6"/>
    <x v="1"/>
    <s v="Outlier"/>
  </r>
  <r>
    <n v="566436"/>
    <n v="1406"/>
    <x v="6"/>
    <d v="2023-12-17T22:32:00"/>
    <s v="Other"/>
    <s v="Diego Freyre"/>
    <n v="806"/>
    <d v="2023-12-17T00:00:00"/>
    <x v="170"/>
    <x v="0"/>
    <x v="6"/>
    <s v="Outlier"/>
  </r>
  <r>
    <n v="566985"/>
    <n v="146"/>
    <x v="8"/>
    <d v="2023-06-27T00:48:00"/>
    <s v="Other"/>
    <s v="Roland Keitel"/>
    <n v="3344"/>
    <d v="2023-06-27T00:00:00"/>
    <x v="88"/>
    <x v="7"/>
    <x v="2"/>
    <s v="Outlier"/>
  </r>
  <r>
    <n v="568627"/>
    <n v="428"/>
    <x v="6"/>
    <d v="2023-02-08T23:01:00"/>
    <s v="Whatsapp"/>
    <s v="Victoria Ashworth"/>
    <n v="8884"/>
    <d v="2023-02-08T00:00:00"/>
    <x v="144"/>
    <x v="5"/>
    <x v="4"/>
    <s v="Outlier"/>
  </r>
  <r>
    <n v="568799"/>
    <n v="1429"/>
    <x v="9"/>
    <d v="2023-10-11T23:51:00"/>
    <s v="Other"/>
    <s v="Peter Ferguson"/>
    <n v="9085"/>
    <d v="2023-10-11T00:00:00"/>
    <x v="87"/>
    <x v="3"/>
    <x v="4"/>
    <s v="Outlier"/>
  </r>
  <r>
    <n v="568873"/>
    <n v="435"/>
    <x v="1"/>
    <d v="2023-04-15T22:41:00"/>
    <s v="Other"/>
    <s v="Adrian Huxley"/>
    <n v="8247"/>
    <d v="2023-04-15T00:00:00"/>
    <x v="119"/>
    <x v="1"/>
    <x v="1"/>
    <s v="Outlier"/>
  </r>
  <r>
    <n v="568908"/>
    <n v="1297"/>
    <x v="0"/>
    <d v="2023-05-27T22:52:00"/>
    <s v="Other"/>
    <s v="Sue Taylor"/>
    <n v="3377"/>
    <d v="2023-05-27T00:00:00"/>
    <x v="5"/>
    <x v="11"/>
    <x v="1"/>
    <s v="Outlier"/>
  </r>
  <r>
    <n v="569033"/>
    <n v="674"/>
    <x v="0"/>
    <d v="2023-10-31T23:56:00"/>
    <s v="Website"/>
    <s v="Julie Brown"/>
    <n v="8931"/>
    <d v="2023-10-31T00:00:00"/>
    <x v="138"/>
    <x v="3"/>
    <x v="2"/>
    <s v="Outlier"/>
  </r>
  <r>
    <n v="569318"/>
    <n v="30"/>
    <x v="3"/>
    <d v="2023-02-15T01:30:00"/>
    <s v="Other"/>
    <s v="Giovanni Rovelli"/>
    <n v="3887"/>
    <d v="2023-02-15T00:00:00"/>
    <x v="209"/>
    <x v="5"/>
    <x v="4"/>
    <s v="Outlier"/>
  </r>
  <r>
    <n v="569689"/>
    <n v="1492"/>
    <x v="0"/>
    <d v="2023-10-28T01:45:00"/>
    <s v="Website"/>
    <s v="Valarie Nelson"/>
    <n v="2171"/>
    <d v="2023-10-28T00:00:00"/>
    <x v="59"/>
    <x v="3"/>
    <x v="1"/>
    <s v="Outlier"/>
  </r>
  <r>
    <n v="570816"/>
    <n v="1266"/>
    <x v="0"/>
    <d v="2023-01-01T02:58:00"/>
    <s v="Website"/>
    <s v="Sean Connery"/>
    <n v="1195"/>
    <d v="2023-01-01T00:00:00"/>
    <x v="214"/>
    <x v="9"/>
    <x v="6"/>
    <s v="Outlier"/>
  </r>
  <r>
    <n v="571316"/>
    <n v="1052"/>
    <x v="7"/>
    <d v="2023-05-18T01:59:00"/>
    <s v="Website"/>
    <s v="Diego Freyre"/>
    <n v="1658"/>
    <d v="2023-05-18T00:00:00"/>
    <x v="132"/>
    <x v="11"/>
    <x v="3"/>
    <s v="Outlier"/>
  </r>
  <r>
    <n v="571695"/>
    <n v="53"/>
    <x v="0"/>
    <d v="2023-08-02T00:39:00"/>
    <s v="App"/>
    <s v="Mart¡n Sommer"/>
    <n v="832"/>
    <d v="2023-08-02T00:00:00"/>
    <x v="11"/>
    <x v="8"/>
    <x v="4"/>
    <s v="Outlier"/>
  </r>
  <r>
    <n v="571764"/>
    <n v="568"/>
    <x v="3"/>
    <d v="2023-08-08T00:12:00"/>
    <s v="Other"/>
    <s v="Mary Saveley"/>
    <n v="1895"/>
    <d v="2023-08-08T00:00:00"/>
    <x v="19"/>
    <x v="8"/>
    <x v="2"/>
    <s v="Outlier"/>
  </r>
  <r>
    <n v="572221"/>
    <n v="1253"/>
    <x v="0"/>
    <d v="2023-07-25T23:27:00"/>
    <s v="Whatsapp"/>
    <s v="Diego Freyre"/>
    <n v="9800"/>
    <d v="2023-07-25T00:00:00"/>
    <x v="79"/>
    <x v="6"/>
    <x v="2"/>
    <s v="Outlier"/>
  </r>
  <r>
    <n v="572449"/>
    <n v="43"/>
    <x v="5"/>
    <d v="2023-05-01T23:54:00"/>
    <s v="Website"/>
    <s v="Frederique Citeaux"/>
    <n v="2289"/>
    <d v="2023-05-01T00:00:00"/>
    <x v="174"/>
    <x v="11"/>
    <x v="5"/>
    <s v="Outlier"/>
  </r>
  <r>
    <n v="573127"/>
    <n v="1960"/>
    <x v="12"/>
    <d v="2023-12-17T22:31:00"/>
    <s v="Other"/>
    <s v="Paolo Accorti"/>
    <n v="7588"/>
    <d v="2023-12-17T00:00:00"/>
    <x v="208"/>
    <x v="0"/>
    <x v="6"/>
    <s v="Outlier"/>
  </r>
  <r>
    <n v="573331"/>
    <n v="1045"/>
    <x v="4"/>
    <d v="2023-10-02T01:19:00"/>
    <s v="Website"/>
    <s v="Veysel Oeztan"/>
    <n v="8506"/>
    <d v="2023-10-02T00:00:00"/>
    <x v="95"/>
    <x v="3"/>
    <x v="5"/>
    <s v="Outlier"/>
  </r>
  <r>
    <n v="573406"/>
    <n v="695"/>
    <x v="3"/>
    <d v="2023-09-19T23:58:00"/>
    <s v="Other"/>
    <s v="Daniel Tonini"/>
    <n v="989"/>
    <d v="2023-09-19T00:00:00"/>
    <x v="96"/>
    <x v="10"/>
    <x v="2"/>
    <s v="Outlier"/>
  </r>
  <r>
    <n v="573466"/>
    <n v="1010"/>
    <x v="4"/>
    <d v="2023-08-15T00:24:00"/>
    <s v="Website"/>
    <s v="Valarie Nelson"/>
    <n v="8552"/>
    <d v="2023-08-15T00:00:00"/>
    <x v="115"/>
    <x v="8"/>
    <x v="2"/>
    <s v="Outlier"/>
  </r>
  <r>
    <n v="573585"/>
    <n v="97"/>
    <x v="0"/>
    <d v="2023-05-19T23:41:00"/>
    <s v="Whatsapp"/>
    <s v="Valarie Young"/>
    <n v="3551"/>
    <d v="2023-05-19T00:00:00"/>
    <x v="155"/>
    <x v="11"/>
    <x v="0"/>
    <s v="Outlier"/>
  </r>
  <r>
    <n v="573613"/>
    <n v="1477"/>
    <x v="4"/>
    <d v="2023-08-18T01:17:00"/>
    <s v="App"/>
    <s v="Victoria Ashworth"/>
    <n v="7954"/>
    <d v="2023-08-18T00:00:00"/>
    <x v="210"/>
    <x v="8"/>
    <x v="0"/>
    <s v="Outlier"/>
  </r>
  <r>
    <n v="573756"/>
    <n v="1900"/>
    <x v="5"/>
    <d v="2023-09-10T01:15:00"/>
    <s v="Whatsapp"/>
    <s v="Peter Ferguson"/>
    <n v="7244"/>
    <d v="2023-09-10T00:00:00"/>
    <x v="127"/>
    <x v="10"/>
    <x v="6"/>
    <s v="Outlier"/>
  </r>
  <r>
    <n v="574480"/>
    <n v="1907"/>
    <x v="6"/>
    <d v="2023-09-28T00:23:00"/>
    <s v="Whatsapp"/>
    <s v="Daniel Da Cunha"/>
    <n v="6577"/>
    <d v="2023-09-28T00:00:00"/>
    <x v="6"/>
    <x v="10"/>
    <x v="3"/>
    <s v="Outlier"/>
  </r>
  <r>
    <n v="574845"/>
    <n v="357"/>
    <x v="8"/>
    <d v="2023-12-06T23:40:00"/>
    <s v="Other"/>
    <s v="Julie Young"/>
    <n v="1101"/>
    <d v="2023-12-06T00:00:00"/>
    <x v="1"/>
    <x v="0"/>
    <x v="4"/>
    <s v="Outlier"/>
  </r>
  <r>
    <n v="575162"/>
    <n v="1040"/>
    <x v="1"/>
    <d v="2023-11-21T23:15:00"/>
    <s v="Website"/>
    <s v="Diego Freyre"/>
    <n v="1854"/>
    <d v="2023-11-21T00:00:00"/>
    <x v="136"/>
    <x v="2"/>
    <x v="2"/>
    <s v="Outlier"/>
  </r>
  <r>
    <n v="576171"/>
    <n v="707"/>
    <x v="3"/>
    <d v="2023-11-01T23:36:00"/>
    <s v="Whatsapp"/>
    <s v="Valarie Nelson"/>
    <n v="9989"/>
    <d v="2023-11-01T00:00:00"/>
    <x v="135"/>
    <x v="2"/>
    <x v="4"/>
    <s v="Outlier"/>
  </r>
  <r>
    <n v="576486"/>
    <n v="842"/>
    <x v="3"/>
    <d v="2023-06-20T01:39:00"/>
    <s v="Other"/>
    <s v="Valarie Nelson"/>
    <n v="2847"/>
    <d v="2023-06-20T00:00:00"/>
    <x v="152"/>
    <x v="7"/>
    <x v="2"/>
    <s v="Outlier"/>
  </r>
  <r>
    <n v="577243"/>
    <n v="1283"/>
    <x v="0"/>
    <d v="2023-01-31T01:24:00"/>
    <s v="Other"/>
    <s v="Rosa Hernandez"/>
    <n v="4138"/>
    <d v="2023-01-31T00:00:00"/>
    <x v="124"/>
    <x v="9"/>
    <x v="2"/>
    <s v="Outlier"/>
  </r>
  <r>
    <n v="581118"/>
    <n v="1199"/>
    <x v="2"/>
    <d v="2023-11-27T00:22:00"/>
    <s v="Website"/>
    <s v="Carine Schmitt"/>
    <n v="3254"/>
    <d v="2023-11-27T00:00:00"/>
    <x v="54"/>
    <x v="2"/>
    <x v="5"/>
    <s v="Outlier"/>
  </r>
  <r>
    <n v="581573"/>
    <n v="1670"/>
    <x v="0"/>
    <d v="2023-08-08T01:06:00"/>
    <s v="App"/>
    <s v="Paul Henriot"/>
    <n v="8547"/>
    <d v="2023-08-08T00:00:00"/>
    <x v="207"/>
    <x v="8"/>
    <x v="2"/>
    <s v="Outlier"/>
  </r>
  <r>
    <n v="581918"/>
    <n v="1617"/>
    <x v="9"/>
    <d v="2023-11-01T00:48:00"/>
    <s v="Other"/>
    <s v="Anna O'Hara"/>
    <n v="6030"/>
    <d v="2023-11-01T00:00:00"/>
    <x v="88"/>
    <x v="2"/>
    <x v="4"/>
    <s v="Outlier"/>
  </r>
  <r>
    <n v="582139"/>
    <n v="170"/>
    <x v="2"/>
    <d v="2023-09-26T02:09:00"/>
    <s v="App"/>
    <s v="Palle Ibsen"/>
    <n v="2002"/>
    <d v="2023-09-26T00:00:00"/>
    <x v="202"/>
    <x v="10"/>
    <x v="2"/>
    <s v="Outlier"/>
  </r>
  <r>
    <n v="583059"/>
    <n v="786"/>
    <x v="13"/>
    <d v="2023-11-10T22:52:00"/>
    <s v="Website"/>
    <s v="Julie King"/>
    <n v="6333"/>
    <d v="2023-11-10T00:00:00"/>
    <x v="5"/>
    <x v="2"/>
    <x v="0"/>
    <s v="Outlier"/>
  </r>
  <r>
    <n v="583129"/>
    <n v="575"/>
    <x v="1"/>
    <d v="2023-11-18T22:53:00"/>
    <s v="Whatsapp"/>
    <s v="Veysel Oeztan"/>
    <n v="7035"/>
    <d v="2023-11-18T00:00:00"/>
    <x v="178"/>
    <x v="2"/>
    <x v="1"/>
    <s v="Outlier"/>
  </r>
  <r>
    <n v="584321"/>
    <n v="1108"/>
    <x v="1"/>
    <d v="2023-03-01T23:28:00"/>
    <s v="App"/>
    <s v="Valarie Young"/>
    <n v="6956"/>
    <d v="2023-03-01T00:00:00"/>
    <x v="134"/>
    <x v="4"/>
    <x v="4"/>
    <s v="Outlier"/>
  </r>
  <r>
    <n v="585445"/>
    <n v="1665"/>
    <x v="11"/>
    <d v="2023-07-06T23:49:00"/>
    <s v="Whatsapp"/>
    <s v="Jeff Young"/>
    <n v="7479"/>
    <d v="2023-07-06T00:00:00"/>
    <x v="43"/>
    <x v="6"/>
    <x v="3"/>
    <s v="Outlier"/>
  </r>
  <r>
    <n v="585596"/>
    <n v="1447"/>
    <x v="5"/>
    <d v="2023-10-06T00:36:00"/>
    <s v="Whatsapp"/>
    <s v="Diego Freyre"/>
    <n v="8848"/>
    <d v="2023-10-06T00:00:00"/>
    <x v="120"/>
    <x v="3"/>
    <x v="0"/>
    <s v="Outlier"/>
  </r>
  <r>
    <n v="585616"/>
    <n v="318"/>
    <x v="1"/>
    <d v="2023-02-09T00:24:00"/>
    <s v="Other"/>
    <s v="Valarie Thompson"/>
    <n v="7526"/>
    <d v="2023-02-09T00:00:00"/>
    <x v="115"/>
    <x v="5"/>
    <x v="3"/>
    <s v="Outlier"/>
  </r>
  <r>
    <n v="585826"/>
    <n v="988"/>
    <x v="0"/>
    <d v="2023-12-25T01:35:00"/>
    <s v="Other"/>
    <s v="Frederique Citeaux"/>
    <n v="6591"/>
    <d v="2023-12-25T00:00:00"/>
    <x v="200"/>
    <x v="0"/>
    <x v="5"/>
    <s v="Outlier"/>
  </r>
  <r>
    <n v="585827"/>
    <n v="156"/>
    <x v="3"/>
    <d v="2023-01-18T23:38:00"/>
    <s v="Website"/>
    <s v="Elizabeth Devon"/>
    <n v="3966"/>
    <d v="2023-01-18T00:00:00"/>
    <x v="80"/>
    <x v="9"/>
    <x v="4"/>
    <s v="Outlier"/>
  </r>
  <r>
    <n v="587346"/>
    <n v="1703"/>
    <x v="3"/>
    <d v="2023-08-16T01:41:00"/>
    <s v="Other"/>
    <s v="Maurizio Moroni"/>
    <n v="6858"/>
    <d v="2023-08-16T00:00:00"/>
    <x v="86"/>
    <x v="8"/>
    <x v="4"/>
    <s v="Outlier"/>
  </r>
  <r>
    <n v="587721"/>
    <n v="417"/>
    <x v="3"/>
    <d v="2023-02-09T01:38:00"/>
    <s v="Other"/>
    <s v="Sue King"/>
    <n v="1430"/>
    <d v="2023-02-09T00:00:00"/>
    <x v="211"/>
    <x v="5"/>
    <x v="3"/>
    <s v="Outlier"/>
  </r>
  <r>
    <n v="588329"/>
    <n v="1170"/>
    <x v="7"/>
    <d v="2023-09-01T01:50:00"/>
    <s v="Other"/>
    <s v="Michael Holz"/>
    <n v="987"/>
    <d v="2023-09-01T00:00:00"/>
    <x v="45"/>
    <x v="10"/>
    <x v="0"/>
    <s v="Outlier"/>
  </r>
  <r>
    <n v="588451"/>
    <n v="1647"/>
    <x v="0"/>
    <d v="2023-02-06T00:26:00"/>
    <s v="Whatsapp"/>
    <s v="Jan Klaeboe"/>
    <n v="987"/>
    <d v="2023-02-06T00:00:00"/>
    <x v="151"/>
    <x v="5"/>
    <x v="5"/>
    <s v="Outlier"/>
  </r>
  <r>
    <n v="588548"/>
    <n v="442"/>
    <x v="0"/>
    <d v="2023-03-17T00:42:00"/>
    <s v="Whatsapp"/>
    <s v="Diego Freyre"/>
    <n v="4334"/>
    <d v="2023-03-17T00:00:00"/>
    <x v="215"/>
    <x v="4"/>
    <x v="0"/>
    <s v="Outlier"/>
  </r>
  <r>
    <n v="588588"/>
    <n v="548"/>
    <x v="0"/>
    <d v="2023-08-31T00:27:00"/>
    <s v="Whatsapp"/>
    <s v="Violeta Benitez"/>
    <n v="1656"/>
    <d v="2023-08-31T00:00:00"/>
    <x v="108"/>
    <x v="8"/>
    <x v="3"/>
    <s v="Outlier"/>
  </r>
  <r>
    <n v="588686"/>
    <n v="1224"/>
    <x v="3"/>
    <d v="2023-07-17T23:17:00"/>
    <s v="Website"/>
    <s v="Rosa Hernandez"/>
    <n v="9207"/>
    <d v="2023-07-17T00:00:00"/>
    <x v="190"/>
    <x v="6"/>
    <x v="5"/>
    <s v="Outlier"/>
  </r>
  <r>
    <n v="588730"/>
    <n v="40"/>
    <x v="6"/>
    <d v="2023-08-25T00:20:00"/>
    <s v="Other"/>
    <s v="Paul Henriot"/>
    <n v="238"/>
    <d v="2023-08-25T00:00:00"/>
    <x v="68"/>
    <x v="8"/>
    <x v="0"/>
    <s v="Outlier"/>
  </r>
  <r>
    <n v="589161"/>
    <n v="1613"/>
    <x v="0"/>
    <d v="2023-12-30T23:54:00"/>
    <s v="Website"/>
    <s v="Pascale Cartrain"/>
    <n v="3750"/>
    <d v="2023-12-30T00:00:00"/>
    <x v="174"/>
    <x v="0"/>
    <x v="1"/>
    <s v="Outlier"/>
  </r>
  <r>
    <n v="590513"/>
    <n v="1139"/>
    <x v="0"/>
    <d v="2023-08-14T23:10:00"/>
    <s v="Whatsapp"/>
    <s v="Diego Freyre"/>
    <n v="4446"/>
    <d v="2023-08-14T00:00:00"/>
    <x v="176"/>
    <x v="8"/>
    <x v="5"/>
    <s v="Outlier"/>
  </r>
  <r>
    <n v="590748"/>
    <n v="1695"/>
    <x v="4"/>
    <d v="2023-01-11T22:40:00"/>
    <s v="Other"/>
    <s v="Sue Frick"/>
    <n v="4390"/>
    <d v="2023-01-11T00:00:00"/>
    <x v="145"/>
    <x v="9"/>
    <x v="4"/>
    <s v="Outlier"/>
  </r>
  <r>
    <n v="590947"/>
    <n v="1745"/>
    <x v="0"/>
    <d v="2023-04-23T00:56:00"/>
    <s v="Website"/>
    <s v="Georg Pipps"/>
    <n v="7772"/>
    <d v="2023-04-23T00:00:00"/>
    <x v="150"/>
    <x v="1"/>
    <x v="6"/>
    <s v="Outlier"/>
  </r>
  <r>
    <n v="591570"/>
    <n v="419"/>
    <x v="3"/>
    <d v="2023-11-30T01:30:00"/>
    <s v="Whatsapp"/>
    <s v="Jonas Bergulfsen"/>
    <n v="8740"/>
    <d v="2023-11-30T00:00:00"/>
    <x v="209"/>
    <x v="2"/>
    <x v="3"/>
    <s v="Outlier"/>
  </r>
  <r>
    <n v="591821"/>
    <n v="359"/>
    <x v="3"/>
    <d v="2023-03-31T00:28:00"/>
    <s v="App"/>
    <s v="Christina Berglund"/>
    <n v="8262"/>
    <d v="2023-03-31T00:00:00"/>
    <x v="39"/>
    <x v="4"/>
    <x v="0"/>
    <s v="Outlier"/>
  </r>
  <r>
    <n v="592435"/>
    <n v="1386"/>
    <x v="9"/>
    <d v="2023-02-06T23:52:00"/>
    <s v="Whatsapp"/>
    <s v="Mart¡n Sommer"/>
    <n v="2381"/>
    <d v="2023-02-06T00:00:00"/>
    <x v="94"/>
    <x v="5"/>
    <x v="5"/>
    <s v="Outlier"/>
  </r>
  <r>
    <n v="592705"/>
    <n v="987"/>
    <x v="0"/>
    <d v="2023-04-24T01:43:00"/>
    <s v="App"/>
    <s v="Adrian Huxley"/>
    <n v="5893"/>
    <d v="2023-04-24T00:00:00"/>
    <x v="118"/>
    <x v="1"/>
    <x v="5"/>
    <s v="Outlier"/>
  </r>
  <r>
    <n v="593188"/>
    <n v="1615"/>
    <x v="4"/>
    <d v="2023-12-08T00:21:00"/>
    <s v="Whatsapp"/>
    <s v="Eric Natividad"/>
    <n v="9830"/>
    <d v="2023-12-08T00:00:00"/>
    <x v="2"/>
    <x v="0"/>
    <x v="0"/>
    <s v="Outlier"/>
  </r>
  <r>
    <n v="593240"/>
    <n v="672"/>
    <x v="0"/>
    <d v="2023-12-05T00:38:00"/>
    <s v="Whatsapp"/>
    <s v="Maria Hernandez"/>
    <n v="7472"/>
    <d v="2023-12-05T00:00:00"/>
    <x v="162"/>
    <x v="0"/>
    <x v="2"/>
    <s v="Outlier"/>
  </r>
  <r>
    <n v="593583"/>
    <n v="513"/>
    <x v="0"/>
    <d v="2023-08-22T01:08:00"/>
    <s v="Other"/>
    <s v="Tony Calaghan"/>
    <n v="9848"/>
    <d v="2023-08-22T00:00:00"/>
    <x v="37"/>
    <x v="8"/>
    <x v="2"/>
    <s v="Outlier"/>
  </r>
  <r>
    <n v="593879"/>
    <n v="907"/>
    <x v="13"/>
    <d v="2023-06-04T01:36:00"/>
    <s v="Other"/>
    <s v="Francisca Cervantes"/>
    <n v="5944"/>
    <d v="2023-06-04T00:00:00"/>
    <x v="173"/>
    <x v="7"/>
    <x v="6"/>
    <s v="Outlier"/>
  </r>
  <r>
    <n v="595005"/>
    <n v="377"/>
    <x v="1"/>
    <d v="2023-10-09T01:49:00"/>
    <s v="Other"/>
    <s v="Sean Connery"/>
    <n v="1845"/>
    <d v="2023-10-09T00:00:00"/>
    <x v="33"/>
    <x v="3"/>
    <x v="5"/>
    <s v="Outlier"/>
  </r>
  <r>
    <n v="595284"/>
    <n v="1391"/>
    <x v="0"/>
    <d v="2023-10-24T00:34:00"/>
    <s v="Website"/>
    <s v="Yoshi Tannamuri"/>
    <n v="8604"/>
    <d v="2023-10-24T00:00:00"/>
    <x v="21"/>
    <x v="3"/>
    <x v="2"/>
    <s v="Outlier"/>
  </r>
  <r>
    <n v="595446"/>
    <n v="1488"/>
    <x v="0"/>
    <d v="2023-05-27T23:14:00"/>
    <s v="Other"/>
    <s v="Steve Thompson"/>
    <n v="3770"/>
    <d v="2023-05-27T00:00:00"/>
    <x v="70"/>
    <x v="11"/>
    <x v="1"/>
    <s v="Outlier"/>
  </r>
  <r>
    <n v="595956"/>
    <n v="1501"/>
    <x v="0"/>
    <d v="2023-01-17T01:40:00"/>
    <s v="App"/>
    <s v="Kyung Tseng"/>
    <n v="3537"/>
    <d v="2023-01-17T00:00:00"/>
    <x v="76"/>
    <x v="9"/>
    <x v="2"/>
    <s v="Outlier"/>
  </r>
  <r>
    <n v="596143"/>
    <n v="1576"/>
    <x v="0"/>
    <d v="2023-06-30T01:50:00"/>
    <s v="App"/>
    <s v="Diego Freyre"/>
    <n v="1558"/>
    <d v="2023-06-30T00:00:00"/>
    <x v="45"/>
    <x v="7"/>
    <x v="0"/>
    <s v="Outlier"/>
  </r>
  <r>
    <n v="596235"/>
    <n v="1857"/>
    <x v="3"/>
    <d v="2023-10-28T00:40:00"/>
    <s v="Website"/>
    <s v="Sue Frick"/>
    <n v="657"/>
    <d v="2023-10-28T00:00:00"/>
    <x v="51"/>
    <x v="3"/>
    <x v="1"/>
    <s v="Outlier"/>
  </r>
  <r>
    <n v="596287"/>
    <n v="516"/>
    <x v="3"/>
    <d v="2023-09-03T00:51:00"/>
    <s v="Website"/>
    <s v="Adrian Huxley"/>
    <n v="5995"/>
    <d v="2023-09-03T00:00:00"/>
    <x v="93"/>
    <x v="10"/>
    <x v="6"/>
    <s v="Outlier"/>
  </r>
  <r>
    <n v="597539"/>
    <n v="31"/>
    <x v="0"/>
    <d v="2023-08-23T01:13:00"/>
    <s v="Whatsapp"/>
    <s v="Paolo Accorti"/>
    <n v="6892"/>
    <d v="2023-08-23T00:00:00"/>
    <x v="32"/>
    <x v="8"/>
    <x v="4"/>
    <s v="Outlier"/>
  </r>
  <r>
    <n v="598766"/>
    <n v="426"/>
    <x v="5"/>
    <d v="2023-03-14T23:25:00"/>
    <s v="Whatsapp"/>
    <s v="Maria Larsson"/>
    <n v="6288"/>
    <d v="2023-03-14T00:00:00"/>
    <x v="141"/>
    <x v="4"/>
    <x v="2"/>
    <s v="Outlier"/>
  </r>
  <r>
    <n v="599162"/>
    <n v="818"/>
    <x v="3"/>
    <d v="2023-03-30T00:07:00"/>
    <s v="Website"/>
    <s v="Daniel Tonini"/>
    <n v="6921"/>
    <d v="2023-03-30T00:00:00"/>
    <x v="34"/>
    <x v="4"/>
    <x v="3"/>
    <s v="Outlier"/>
  </r>
  <r>
    <n v="600465"/>
    <n v="1845"/>
    <x v="10"/>
    <d v="2023-01-14T01:38:00"/>
    <s v="Whatsapp"/>
    <s v="Valarie Nelson"/>
    <n v="4278"/>
    <d v="2023-01-14T00:00:00"/>
    <x v="211"/>
    <x v="9"/>
    <x v="1"/>
    <s v="Outlier"/>
  </r>
  <r>
    <n v="600527"/>
    <n v="278"/>
    <x v="0"/>
    <d v="2023-08-26T23:16:00"/>
    <s v="Whatsapp"/>
    <s v="Valarie Young"/>
    <n v="8597"/>
    <d v="2023-08-26T00:00:00"/>
    <x v="18"/>
    <x v="8"/>
    <x v="1"/>
    <s v="Outlier"/>
  </r>
  <r>
    <n v="602342"/>
    <n v="1391"/>
    <x v="0"/>
    <d v="2023-12-14T23:47:00"/>
    <s v="App"/>
    <s v="Julie Murphy"/>
    <n v="4602"/>
    <d v="2023-12-14T00:00:00"/>
    <x v="100"/>
    <x v="0"/>
    <x v="3"/>
    <s v="Outlier"/>
  </r>
  <r>
    <n v="602695"/>
    <n v="773"/>
    <x v="0"/>
    <d v="2023-07-16T23:57:00"/>
    <s v="Other"/>
    <s v="Peter Ferguson"/>
    <n v="469"/>
    <d v="2023-07-16T00:00:00"/>
    <x v="116"/>
    <x v="6"/>
    <x v="6"/>
    <s v="Outlier"/>
  </r>
  <r>
    <n v="602700"/>
    <n v="214"/>
    <x v="0"/>
    <d v="2023-07-08T02:06:00"/>
    <s v="Other"/>
    <s v="Valarie Nelson"/>
    <n v="8209"/>
    <d v="2023-07-08T00:00:00"/>
    <x v="216"/>
    <x v="6"/>
    <x v="1"/>
    <s v="Outlier"/>
  </r>
  <r>
    <n v="603758"/>
    <n v="1940"/>
    <x v="4"/>
    <d v="2023-05-11T01:57:00"/>
    <s v="Other"/>
    <s v="Allen Nelson"/>
    <n v="6181"/>
    <d v="2023-05-11T00:00:00"/>
    <x v="217"/>
    <x v="11"/>
    <x v="3"/>
    <s v="Outlier"/>
  </r>
  <r>
    <n v="603855"/>
    <n v="1895"/>
    <x v="3"/>
    <d v="2023-07-18T22:39:00"/>
    <s v="Website"/>
    <s v="Julie Brown"/>
    <n v="4237"/>
    <d v="2023-07-18T00:00:00"/>
    <x v="90"/>
    <x v="6"/>
    <x v="2"/>
    <s v="Outlier"/>
  </r>
  <r>
    <n v="603880"/>
    <n v="1516"/>
    <x v="8"/>
    <d v="2023-02-05T01:37:00"/>
    <s v="Website"/>
    <s v="Anna O'Hara"/>
    <n v="4019"/>
    <d v="2023-02-05T00:00:00"/>
    <x v="109"/>
    <x v="5"/>
    <x v="6"/>
    <s v="Outlier"/>
  </r>
  <r>
    <n v="604405"/>
    <n v="36"/>
    <x v="0"/>
    <d v="2023-11-08T00:53:00"/>
    <s v="Website"/>
    <s v="Catherine Dewey"/>
    <n v="6944"/>
    <d v="2023-11-08T00:00:00"/>
    <x v="36"/>
    <x v="2"/>
    <x v="4"/>
    <s v="Outlier"/>
  </r>
  <r>
    <n v="604805"/>
    <n v="246"/>
    <x v="3"/>
    <d v="2023-08-12T01:43:00"/>
    <s v="Other"/>
    <s v="Jonas Bergulfsen"/>
    <n v="4349"/>
    <d v="2023-08-12T00:00:00"/>
    <x v="118"/>
    <x v="8"/>
    <x v="1"/>
    <s v="Outlier"/>
  </r>
  <r>
    <n v="606775"/>
    <n v="834"/>
    <x v="10"/>
    <d v="2023-02-25T23:52:00"/>
    <s v="Other"/>
    <s v="Julie Murphy"/>
    <n v="7873"/>
    <d v="2023-02-25T00:00:00"/>
    <x v="94"/>
    <x v="5"/>
    <x v="1"/>
    <s v="Outlier"/>
  </r>
  <r>
    <n v="607197"/>
    <n v="330"/>
    <x v="1"/>
    <d v="2023-12-18T23:26:00"/>
    <s v="Website"/>
    <s v="Mart¡n Sommer"/>
    <n v="793"/>
    <d v="2023-12-18T00:00:00"/>
    <x v="191"/>
    <x v="0"/>
    <x v="5"/>
    <s v="Outlier"/>
  </r>
  <r>
    <n v="608204"/>
    <n v="1791"/>
    <x v="0"/>
    <d v="2023-08-20T01:01:00"/>
    <s v="App"/>
    <s v="Adrian Huxley"/>
    <n v="1936"/>
    <d v="2023-08-20T00:00:00"/>
    <x v="16"/>
    <x v="8"/>
    <x v="6"/>
    <s v="Outlier"/>
  </r>
  <r>
    <n v="608296"/>
    <n v="1745"/>
    <x v="0"/>
    <d v="2023-04-28T01:10:00"/>
    <s v="App"/>
    <s v="Eric Natividad"/>
    <n v="9769"/>
    <d v="2023-04-28T00:00:00"/>
    <x v="7"/>
    <x v="1"/>
    <x v="0"/>
    <s v="Outlier"/>
  </r>
  <r>
    <n v="609243"/>
    <n v="1400"/>
    <x v="0"/>
    <d v="2023-09-14T00:37:00"/>
    <s v="App"/>
    <s v="Maria Hernandez"/>
    <n v="7072"/>
    <d v="2023-09-14T00:00:00"/>
    <x v="201"/>
    <x v="10"/>
    <x v="3"/>
    <s v="Outlier"/>
  </r>
  <r>
    <n v="609375"/>
    <n v="612"/>
    <x v="0"/>
    <d v="2023-04-26T00:11:00"/>
    <s v="Other"/>
    <s v="Giovanni Rovelli"/>
    <n v="9567"/>
    <d v="2023-04-26T00:00:00"/>
    <x v="10"/>
    <x v="1"/>
    <x v="4"/>
    <s v="Outlier"/>
  </r>
  <r>
    <n v="609984"/>
    <n v="1488"/>
    <x v="0"/>
    <d v="2023-05-03T01:09:00"/>
    <s v="Other"/>
    <s v="Francisca Cervantes"/>
    <n v="4417"/>
    <d v="2023-05-03T00:00:00"/>
    <x v="92"/>
    <x v="11"/>
    <x v="4"/>
    <s v="Outlier"/>
  </r>
  <r>
    <n v="610023"/>
    <n v="789"/>
    <x v="3"/>
    <d v="2023-05-28T01:14:00"/>
    <s v="Whatsapp"/>
    <s v="Sean Connery"/>
    <n v="620"/>
    <d v="2023-05-28T00:00:00"/>
    <x v="156"/>
    <x v="11"/>
    <x v="6"/>
    <s v="Outlier"/>
  </r>
  <r>
    <n v="610367"/>
    <n v="1096"/>
    <x v="4"/>
    <d v="2023-01-10T00:01:00"/>
    <s v="App"/>
    <s v="Yoshi Tannamuri"/>
    <n v="5230"/>
    <d v="2023-01-10T00:00:00"/>
    <x v="63"/>
    <x v="9"/>
    <x v="2"/>
    <s v="Outlier"/>
  </r>
  <r>
    <n v="611265"/>
    <n v="396"/>
    <x v="4"/>
    <d v="2023-10-12T00:06:00"/>
    <s v="Other"/>
    <s v="Steve Thompson"/>
    <n v="1305"/>
    <d v="2023-10-12T00:00:00"/>
    <x v="22"/>
    <x v="3"/>
    <x v="3"/>
    <s v="Outlier"/>
  </r>
  <r>
    <n v="611594"/>
    <n v="827"/>
    <x v="5"/>
    <d v="2023-01-07T00:06:00"/>
    <s v="Website"/>
    <s v="Kyung Tseng"/>
    <n v="4635"/>
    <d v="2023-01-07T00:00:00"/>
    <x v="22"/>
    <x v="9"/>
    <x v="1"/>
    <s v="Outlier"/>
  </r>
  <r>
    <n v="611621"/>
    <n v="1357"/>
    <x v="12"/>
    <d v="2023-05-31T00:05:00"/>
    <s v="Website"/>
    <s v="Diego Freyre"/>
    <n v="9926"/>
    <d v="2023-05-31T00:00:00"/>
    <x v="48"/>
    <x v="11"/>
    <x v="4"/>
    <s v="Outlier"/>
  </r>
  <r>
    <n v="611767"/>
    <n v="917"/>
    <x v="8"/>
    <d v="2023-04-28T23:59:00"/>
    <s v="App"/>
    <s v="Sue Frick"/>
    <n v="1716"/>
    <d v="2023-04-28T00:00:00"/>
    <x v="181"/>
    <x v="1"/>
    <x v="0"/>
    <s v="Outlier"/>
  </r>
  <r>
    <n v="611976"/>
    <n v="1269"/>
    <x v="11"/>
    <d v="2023-11-11T23:14:00"/>
    <s v="Whatsapp"/>
    <s v="Georg Pipps"/>
    <n v="3073"/>
    <d v="2023-11-11T00:00:00"/>
    <x v="70"/>
    <x v="2"/>
    <x v="1"/>
    <s v="Outlier"/>
  </r>
  <r>
    <n v="612088"/>
    <n v="1411"/>
    <x v="4"/>
    <d v="2023-10-10T01:41:00"/>
    <s v="Whatsapp"/>
    <s v="Paolo Accorti"/>
    <n v="2946"/>
    <d v="2023-10-10T00:00:00"/>
    <x v="86"/>
    <x v="3"/>
    <x v="2"/>
    <s v="Outlier"/>
  </r>
  <r>
    <n v="613070"/>
    <n v="1755"/>
    <x v="4"/>
    <d v="2023-11-21T00:03:00"/>
    <s v="App"/>
    <s v="Maria Larsson"/>
    <n v="895"/>
    <d v="2023-11-21T00:00:00"/>
    <x v="72"/>
    <x v="2"/>
    <x v="2"/>
    <s v="Outlier"/>
  </r>
  <r>
    <n v="614468"/>
    <n v="801"/>
    <x v="3"/>
    <d v="2023-09-16T01:04:00"/>
    <s v="Website"/>
    <s v="Daniel Tonini"/>
    <n v="1451"/>
    <d v="2023-09-16T00:00:00"/>
    <x v="121"/>
    <x v="10"/>
    <x v="1"/>
    <s v="Outlier"/>
  </r>
  <r>
    <n v="615484"/>
    <n v="1044"/>
    <x v="1"/>
    <d v="2023-04-27T23:54:00"/>
    <s v="App"/>
    <s v="Valarie Nelson"/>
    <n v="8774"/>
    <d v="2023-04-27T00:00:00"/>
    <x v="174"/>
    <x v="1"/>
    <x v="3"/>
    <s v="Outlier"/>
  </r>
  <r>
    <n v="615675"/>
    <n v="1502"/>
    <x v="4"/>
    <d v="2023-05-13T00:26:00"/>
    <s v="Whatsapp"/>
    <s v="Valarie Young"/>
    <n v="3875"/>
    <d v="2023-05-13T00:00:00"/>
    <x v="151"/>
    <x v="11"/>
    <x v="1"/>
    <s v="Outlier"/>
  </r>
  <r>
    <n v="617035"/>
    <n v="704"/>
    <x v="0"/>
    <d v="2023-07-08T23:25:00"/>
    <s v="App"/>
    <s v="Victoria Ashworth"/>
    <n v="777"/>
    <d v="2023-07-08T00:00:00"/>
    <x v="141"/>
    <x v="6"/>
    <x v="1"/>
    <s v="Outlier"/>
  </r>
  <r>
    <n v="618196"/>
    <n v="780"/>
    <x v="1"/>
    <d v="2023-11-20T01:35:00"/>
    <s v="Whatsapp"/>
    <s v="Peter Ferguson"/>
    <n v="9962"/>
    <d v="2023-11-20T00:00:00"/>
    <x v="200"/>
    <x v="2"/>
    <x v="5"/>
    <s v="Outlier"/>
  </r>
  <r>
    <n v="618986"/>
    <n v="1458"/>
    <x v="3"/>
    <d v="2023-10-30T00:53:00"/>
    <s v="Website"/>
    <s v="Valarie Nelson"/>
    <n v="3216"/>
    <d v="2023-10-30T00:00:00"/>
    <x v="36"/>
    <x v="3"/>
    <x v="5"/>
    <s v="Outlier"/>
  </r>
  <r>
    <n v="619879"/>
    <n v="446"/>
    <x v="0"/>
    <d v="2023-01-11T01:22:00"/>
    <s v="Other"/>
    <s v="Allen Nelson"/>
    <n v="2645"/>
    <d v="2023-01-11T00:00:00"/>
    <x v="142"/>
    <x v="9"/>
    <x v="4"/>
    <s v="Outlier"/>
  </r>
  <r>
    <n v="619949"/>
    <n v="1002"/>
    <x v="1"/>
    <d v="2023-03-16T01:14:00"/>
    <s v="App"/>
    <s v="Julie Brown"/>
    <n v="1392"/>
    <d v="2023-03-16T00:00:00"/>
    <x v="156"/>
    <x v="4"/>
    <x v="3"/>
    <s v="Outlier"/>
  </r>
  <r>
    <n v="620937"/>
    <n v="1822"/>
    <x v="0"/>
    <d v="2023-06-02T00:36:00"/>
    <s v="App"/>
    <s v="Roland Mendel"/>
    <n v="8767"/>
    <d v="2023-06-02T00:00:00"/>
    <x v="120"/>
    <x v="7"/>
    <x v="0"/>
    <s v="Outlier"/>
  </r>
  <r>
    <n v="621177"/>
    <n v="1452"/>
    <x v="3"/>
    <d v="2023-01-28T00:41:00"/>
    <s v="App"/>
    <s v="Catherine Dewey"/>
    <n v="2907"/>
    <d v="2023-01-28T00:00:00"/>
    <x v="60"/>
    <x v="9"/>
    <x v="1"/>
    <s v="Outlier"/>
  </r>
  <r>
    <n v="621694"/>
    <n v="1769"/>
    <x v="4"/>
    <d v="2023-12-09T01:35:00"/>
    <s v="Other"/>
    <s v="Giovanni Rovelli"/>
    <n v="1826"/>
    <d v="2023-12-09T00:00:00"/>
    <x v="200"/>
    <x v="0"/>
    <x v="1"/>
    <s v="Outlier"/>
  </r>
  <r>
    <n v="622405"/>
    <n v="953"/>
    <x v="0"/>
    <d v="2023-09-24T01:23:00"/>
    <s v="Whatsapp"/>
    <s v="Georg Pipps"/>
    <n v="9431"/>
    <d v="2023-09-24T00:00:00"/>
    <x v="83"/>
    <x v="10"/>
    <x v="6"/>
    <s v="Outlier"/>
  </r>
  <r>
    <n v="622656"/>
    <n v="418"/>
    <x v="5"/>
    <d v="2023-08-19T00:03:00"/>
    <s v="Other"/>
    <s v="Leslie Taylor"/>
    <n v="6905"/>
    <d v="2023-08-19T00:00:00"/>
    <x v="72"/>
    <x v="8"/>
    <x v="1"/>
    <s v="Outlier"/>
  </r>
  <r>
    <n v="622835"/>
    <n v="998"/>
    <x v="8"/>
    <d v="2023-11-28T01:47:00"/>
    <s v="Whatsapp"/>
    <s v="Wing C Tam"/>
    <n v="678"/>
    <d v="2023-11-28T00:00:00"/>
    <x v="189"/>
    <x v="2"/>
    <x v="2"/>
    <s v="Outlier"/>
  </r>
  <r>
    <n v="623784"/>
    <n v="781"/>
    <x v="10"/>
    <d v="2023-11-10T01:46:00"/>
    <s v="App"/>
    <s v="Matti Karttunen"/>
    <n v="6494"/>
    <d v="2023-11-10T00:00:00"/>
    <x v="129"/>
    <x v="2"/>
    <x v="0"/>
    <s v="Outlier"/>
  </r>
  <r>
    <n v="623935"/>
    <n v="1278"/>
    <x v="0"/>
    <d v="2023-04-11T01:24:00"/>
    <s v="Other"/>
    <s v="Maria Larsson"/>
    <n v="7665"/>
    <d v="2023-04-11T00:00:00"/>
    <x v="124"/>
    <x v="1"/>
    <x v="2"/>
    <s v="Outlier"/>
  </r>
  <r>
    <n v="624499"/>
    <n v="1290"/>
    <x v="0"/>
    <d v="2023-01-06T00:40:00"/>
    <s v="Other"/>
    <s v="Annette Roulet"/>
    <n v="4403"/>
    <d v="2023-01-06T00:00:00"/>
    <x v="51"/>
    <x v="9"/>
    <x v="0"/>
    <s v="Outlier"/>
  </r>
  <r>
    <n v="624700"/>
    <n v="1948"/>
    <x v="0"/>
    <d v="2023-12-16T23:19:00"/>
    <s v="Website"/>
    <s v="Thomas Hardy"/>
    <n v="5277"/>
    <d v="2023-12-16T00:00:00"/>
    <x v="24"/>
    <x v="0"/>
    <x v="1"/>
    <s v="Outlier"/>
  </r>
  <r>
    <n v="624736"/>
    <n v="633"/>
    <x v="3"/>
    <d v="2023-05-21T01:42:00"/>
    <s v="Website"/>
    <s v="Eduardo Saavedra"/>
    <n v="486"/>
    <d v="2023-05-21T00:00:00"/>
    <x v="14"/>
    <x v="11"/>
    <x v="6"/>
    <s v="Outlier"/>
  </r>
  <r>
    <n v="625994"/>
    <n v="476"/>
    <x v="0"/>
    <d v="2023-05-21T23:11:00"/>
    <s v="Website"/>
    <s v="Michael Chandler"/>
    <n v="7369"/>
    <d v="2023-05-21T00:00:00"/>
    <x v="4"/>
    <x v="11"/>
    <x v="6"/>
    <s v="Outlier"/>
  </r>
  <r>
    <n v="626705"/>
    <n v="868"/>
    <x v="11"/>
    <d v="2023-09-23T01:31:00"/>
    <s v="App"/>
    <s v="Valarie Thompson"/>
    <n v="2713"/>
    <d v="2023-09-23T00:00:00"/>
    <x v="177"/>
    <x v="10"/>
    <x v="1"/>
    <s v="Outlier"/>
  </r>
  <r>
    <n v="626849"/>
    <n v="1679"/>
    <x v="6"/>
    <d v="2023-05-03T00:16:00"/>
    <s v="Website"/>
    <s v="Kwai Yu"/>
    <n v="3639"/>
    <d v="2023-05-03T00:00:00"/>
    <x v="61"/>
    <x v="11"/>
    <x v="4"/>
    <s v="Outlier"/>
  </r>
  <r>
    <n v="627473"/>
    <n v="1766"/>
    <x v="4"/>
    <d v="2023-03-27T00:56:00"/>
    <s v="Whatsapp"/>
    <s v="Diego Freyre"/>
    <n v="5427"/>
    <d v="2023-03-27T00:00:00"/>
    <x v="150"/>
    <x v="4"/>
    <x v="5"/>
    <s v="Outlier"/>
  </r>
  <r>
    <n v="627652"/>
    <n v="330"/>
    <x v="1"/>
    <d v="2023-12-25T00:42:00"/>
    <s v="Other"/>
    <s v="Catherine Dewey"/>
    <n v="4651"/>
    <d v="2023-12-25T00:00:00"/>
    <x v="215"/>
    <x v="0"/>
    <x v="5"/>
    <s v="Outlier"/>
  </r>
  <r>
    <n v="628471"/>
    <n v="240"/>
    <x v="0"/>
    <d v="2023-04-17T23:59:00"/>
    <s v="Whatsapp"/>
    <s v="Elizabeth Lincoln"/>
    <n v="9883"/>
    <d v="2023-04-17T00:00:00"/>
    <x v="181"/>
    <x v="1"/>
    <x v="5"/>
    <s v="Outlier"/>
  </r>
  <r>
    <n v="628608"/>
    <n v="1060"/>
    <x v="1"/>
    <d v="2023-01-01T00:44:00"/>
    <s v="App"/>
    <s v="Michael Donnermeyer"/>
    <n v="89"/>
    <d v="2023-01-01T00:00:00"/>
    <x v="85"/>
    <x v="9"/>
    <x v="6"/>
    <s v="Outlier"/>
  </r>
  <r>
    <n v="628945"/>
    <n v="329"/>
    <x v="4"/>
    <d v="2023-06-20T01:20:00"/>
    <s v="Website"/>
    <s v="Francisca Cervantes"/>
    <n v="7750"/>
    <d v="2023-06-20T00:00:00"/>
    <x v="8"/>
    <x v="7"/>
    <x v="2"/>
    <s v="Outlier"/>
  </r>
  <r>
    <n v="629227"/>
    <n v="1665"/>
    <x v="11"/>
    <d v="2023-11-27T23:34:00"/>
    <s v="Other"/>
    <s v="Helen Bennett"/>
    <n v="2109"/>
    <d v="2023-11-27T00:00:00"/>
    <x v="99"/>
    <x v="2"/>
    <x v="5"/>
    <s v="Outlier"/>
  </r>
  <r>
    <n v="629953"/>
    <n v="787"/>
    <x v="9"/>
    <d v="2023-04-29T00:45:00"/>
    <s v="Website"/>
    <s v="Jytte Petersen"/>
    <n v="9460"/>
    <d v="2023-04-29T00:00:00"/>
    <x v="29"/>
    <x v="1"/>
    <x v="1"/>
    <s v="Outlier"/>
  </r>
  <r>
    <n v="630561"/>
    <n v="1201"/>
    <x v="3"/>
    <d v="2023-08-28T01:11:00"/>
    <s v="Whatsapp"/>
    <s v="Pascale Cartrain"/>
    <n v="6934"/>
    <d v="2023-08-28T00:00:00"/>
    <x v="122"/>
    <x v="8"/>
    <x v="5"/>
    <s v="Outlier"/>
  </r>
  <r>
    <n v="630634"/>
    <n v="723"/>
    <x v="13"/>
    <d v="2023-09-13T23:47:00"/>
    <s v="Other"/>
    <s v="Diego Freyre"/>
    <n v="2225"/>
    <d v="2023-09-13T00:00:00"/>
    <x v="100"/>
    <x v="10"/>
    <x v="4"/>
    <s v="Outlier"/>
  </r>
  <r>
    <n v="631266"/>
    <n v="94"/>
    <x v="13"/>
    <d v="2023-06-04T00:20:00"/>
    <s v="Website"/>
    <s v="Pirkko Koskitalo"/>
    <n v="985"/>
    <d v="2023-06-04T00:00:00"/>
    <x v="68"/>
    <x v="7"/>
    <x v="6"/>
    <s v="Outlier"/>
  </r>
  <r>
    <n v="631384"/>
    <n v="1975"/>
    <x v="0"/>
    <d v="2023-02-06T01:19:00"/>
    <s v="App"/>
    <s v="Diego Freyre"/>
    <n v="5484"/>
    <d v="2023-02-06T00:00:00"/>
    <x v="95"/>
    <x v="5"/>
    <x v="5"/>
    <s v="Outlier"/>
  </r>
  <r>
    <n v="631614"/>
    <n v="1395"/>
    <x v="0"/>
    <d v="2023-11-08T23:45:00"/>
    <s v="Whatsapp"/>
    <s v="Paul Henriot"/>
    <n v="4587"/>
    <d v="2023-11-08T00:00:00"/>
    <x v="164"/>
    <x v="2"/>
    <x v="4"/>
    <s v="Outlier"/>
  </r>
  <r>
    <n v="631808"/>
    <n v="1219"/>
    <x v="0"/>
    <d v="2023-11-04T01:06:00"/>
    <s v="Other"/>
    <s v="Sue Frick"/>
    <n v="9502"/>
    <d v="2023-11-04T00:00:00"/>
    <x v="207"/>
    <x v="2"/>
    <x v="1"/>
    <s v="Outlier"/>
  </r>
  <r>
    <n v="633156"/>
    <n v="990"/>
    <x v="7"/>
    <d v="2023-02-09T00:04:00"/>
    <s v="App"/>
    <s v="Juri Yoshido"/>
    <n v="9361"/>
    <d v="2023-02-09T00:00:00"/>
    <x v="64"/>
    <x v="5"/>
    <x v="3"/>
    <s v="Outlier"/>
  </r>
  <r>
    <n v="635137"/>
    <n v="795"/>
    <x v="10"/>
    <d v="2023-07-07T00:26:00"/>
    <s v="App"/>
    <s v="Jonas Bergulfsen"/>
    <n v="7566"/>
    <d v="2023-07-07T00:00:00"/>
    <x v="151"/>
    <x v="6"/>
    <x v="0"/>
    <s v="Outlier"/>
  </r>
  <r>
    <n v="635304"/>
    <n v="95"/>
    <x v="1"/>
    <d v="2023-10-08T01:28:00"/>
    <s v="App"/>
    <s v="Julie Murphy"/>
    <n v="201"/>
    <d v="2023-10-08T00:00:00"/>
    <x v="49"/>
    <x v="3"/>
    <x v="6"/>
    <s v="Outlier"/>
  </r>
  <r>
    <n v="635743"/>
    <n v="1239"/>
    <x v="4"/>
    <d v="2023-12-06T22:37:00"/>
    <s v="App"/>
    <s v="Mart¡n Sommer"/>
    <n v="782"/>
    <d v="2023-12-06T00:00:00"/>
    <x v="218"/>
    <x v="0"/>
    <x v="4"/>
    <s v="Outlier"/>
  </r>
  <r>
    <n v="636616"/>
    <n v="51"/>
    <x v="0"/>
    <d v="2023-01-28T23:33:00"/>
    <s v="Website"/>
    <s v="Adrian Huxley"/>
    <n v="5103"/>
    <d v="2023-01-28T00:00:00"/>
    <x v="62"/>
    <x v="9"/>
    <x v="1"/>
    <s v="Outlier"/>
  </r>
  <r>
    <n v="636888"/>
    <n v="770"/>
    <x v="1"/>
    <d v="2023-11-26T01:27:00"/>
    <s v="Website"/>
    <s v="Eric Natividad"/>
    <n v="3115"/>
    <d v="2023-11-26T00:00:00"/>
    <x v="219"/>
    <x v="2"/>
    <x v="6"/>
    <s v="Outlier"/>
  </r>
  <r>
    <n v="637916"/>
    <n v="853"/>
    <x v="0"/>
    <d v="2023-07-30T00:24:00"/>
    <s v="Other"/>
    <s v="Maria Hernandez"/>
    <n v="613"/>
    <d v="2023-07-30T00:00:00"/>
    <x v="115"/>
    <x v="6"/>
    <x v="6"/>
    <s v="Outlier"/>
  </r>
  <r>
    <n v="638044"/>
    <n v="255"/>
    <x v="2"/>
    <d v="2023-01-29T23:33:00"/>
    <s v="Other"/>
    <s v="Giovanni Rovelli"/>
    <n v="8196"/>
    <d v="2023-01-29T00:00:00"/>
    <x v="62"/>
    <x v="9"/>
    <x v="6"/>
    <s v="Outlier"/>
  </r>
  <r>
    <n v="638603"/>
    <n v="876"/>
    <x v="0"/>
    <d v="2023-05-28T01:55:00"/>
    <s v="App"/>
    <s v="Francisca Cervantes"/>
    <n v="4319"/>
    <d v="2023-05-28T00:00:00"/>
    <x v="220"/>
    <x v="11"/>
    <x v="6"/>
    <s v="Outlier"/>
  </r>
  <r>
    <n v="639027"/>
    <n v="390"/>
    <x v="1"/>
    <d v="2023-07-24T23:45:00"/>
    <s v="Other"/>
    <s v="Sean Connery"/>
    <n v="2403"/>
    <d v="2023-07-24T00:00:00"/>
    <x v="164"/>
    <x v="6"/>
    <x v="5"/>
    <s v="Outlier"/>
  </r>
  <r>
    <n v="640940"/>
    <n v="1725"/>
    <x v="0"/>
    <d v="2023-03-01T23:36:00"/>
    <s v="Whatsapp"/>
    <s v="Yoshi Tannamuri"/>
    <n v="3582"/>
    <d v="2023-03-01T00:00:00"/>
    <x v="135"/>
    <x v="4"/>
    <x v="4"/>
    <s v="Outlier"/>
  </r>
  <r>
    <n v="640945"/>
    <n v="174"/>
    <x v="2"/>
    <d v="2023-05-16T00:09:00"/>
    <s v="Whatsapp"/>
    <s v="Steve Thompson"/>
    <n v="5492"/>
    <d v="2023-05-16T00:00:00"/>
    <x v="81"/>
    <x v="11"/>
    <x v="2"/>
    <s v="Outlier"/>
  </r>
  <r>
    <n v="641229"/>
    <n v="781"/>
    <x v="10"/>
    <d v="2023-01-10T23:46:00"/>
    <s v="Whatsapp"/>
    <s v="Kyung Tseng"/>
    <n v="5740"/>
    <d v="2023-01-10T00:00:00"/>
    <x v="9"/>
    <x v="9"/>
    <x v="2"/>
    <s v="Outlier"/>
  </r>
  <r>
    <n v="641966"/>
    <n v="1767"/>
    <x v="3"/>
    <d v="2023-02-08T01:37:00"/>
    <s v="Whatsapp"/>
    <s v="Diego Freyre"/>
    <n v="3140"/>
    <d v="2023-02-08T00:00:00"/>
    <x v="109"/>
    <x v="5"/>
    <x v="4"/>
    <s v="Outlier"/>
  </r>
  <r>
    <n v="642754"/>
    <n v="542"/>
    <x v="6"/>
    <d v="2023-02-06T00:40:00"/>
    <s v="Whatsapp"/>
    <s v="Sue Frick"/>
    <n v="4849"/>
    <d v="2023-02-06T00:00:00"/>
    <x v="51"/>
    <x v="5"/>
    <x v="5"/>
    <s v="Outlier"/>
  </r>
  <r>
    <n v="642874"/>
    <n v="901"/>
    <x v="0"/>
    <d v="2023-10-07T00:54:00"/>
    <s v="Website"/>
    <s v="Adrian Huxley"/>
    <n v="1789"/>
    <d v="2023-10-07T00:00:00"/>
    <x v="73"/>
    <x v="3"/>
    <x v="1"/>
    <s v="Outlier"/>
  </r>
  <r>
    <n v="645557"/>
    <n v="1114"/>
    <x v="1"/>
    <d v="2023-09-16T23:33:00"/>
    <s v="Whatsapp"/>
    <s v="Paolo Accorti"/>
    <n v="1567"/>
    <d v="2023-09-16T00:00:00"/>
    <x v="62"/>
    <x v="10"/>
    <x v="1"/>
    <s v="Outlier"/>
  </r>
  <r>
    <n v="646139"/>
    <n v="1792"/>
    <x v="13"/>
    <d v="2023-08-21T23:33:00"/>
    <s v="App"/>
    <s v="Maria Larsson"/>
    <n v="5161"/>
    <d v="2023-08-21T00:00:00"/>
    <x v="62"/>
    <x v="8"/>
    <x v="5"/>
    <s v="Outlier"/>
  </r>
  <r>
    <n v="647292"/>
    <n v="1553"/>
    <x v="3"/>
    <d v="2023-01-04T00:48:00"/>
    <s v="Whatsapp"/>
    <s v="Daniel Tonini"/>
    <n v="8207"/>
    <d v="2023-01-04T00:00:00"/>
    <x v="88"/>
    <x v="9"/>
    <x v="4"/>
    <s v="Outlier"/>
  </r>
  <r>
    <n v="649627"/>
    <n v="159"/>
    <x v="0"/>
    <d v="2023-11-19T00:38:00"/>
    <s v="Other"/>
    <s v="Valarie Nelson"/>
    <n v="5618"/>
    <d v="2023-11-19T00:00:00"/>
    <x v="162"/>
    <x v="2"/>
    <x v="6"/>
    <s v="Outlier"/>
  </r>
  <r>
    <n v="649787"/>
    <n v="132"/>
    <x v="4"/>
    <d v="2023-03-16T00:42:00"/>
    <s v="Website"/>
    <s v="Valarie Young"/>
    <n v="8578"/>
    <d v="2023-03-16T00:00:00"/>
    <x v="215"/>
    <x v="4"/>
    <x v="3"/>
    <s v="Outlier"/>
  </r>
  <r>
    <n v="650459"/>
    <n v="928"/>
    <x v="9"/>
    <d v="2023-05-09T00:37:00"/>
    <s v="App"/>
    <s v="Victoria Ashworth"/>
    <n v="6510"/>
    <d v="2023-05-09T00:00:00"/>
    <x v="201"/>
    <x v="11"/>
    <x v="2"/>
    <s v="Outlier"/>
  </r>
  <r>
    <n v="652344"/>
    <n v="1854"/>
    <x v="0"/>
    <d v="2023-09-25T00:54:00"/>
    <s v="Other"/>
    <s v="Peter Ferguson"/>
    <n v="1170"/>
    <d v="2023-09-25T00:00:00"/>
    <x v="73"/>
    <x v="10"/>
    <x v="5"/>
    <s v="Outlier"/>
  </r>
  <r>
    <n v="653986"/>
    <n v="1079"/>
    <x v="1"/>
    <d v="2023-10-03T23:26:00"/>
    <s v="Other"/>
    <s v="Valarie Nelson"/>
    <n v="6834"/>
    <d v="2023-10-03T00:00:00"/>
    <x v="191"/>
    <x v="3"/>
    <x v="2"/>
    <s v="Outlier"/>
  </r>
  <r>
    <n v="654071"/>
    <n v="1039"/>
    <x v="4"/>
    <d v="2023-11-28T00:26:00"/>
    <s v="App"/>
    <s v="Allen Nelson"/>
    <n v="5670"/>
    <d v="2023-11-28T00:00:00"/>
    <x v="151"/>
    <x v="2"/>
    <x v="2"/>
    <s v="Outlier"/>
  </r>
  <r>
    <n v="655800"/>
    <n v="672"/>
    <x v="0"/>
    <d v="2023-01-18T23:39:00"/>
    <s v="Whatsapp"/>
    <s v="Julie Brown"/>
    <n v="6855"/>
    <d v="2023-01-18T00:00:00"/>
    <x v="101"/>
    <x v="9"/>
    <x v="4"/>
    <s v="Outlier"/>
  </r>
  <r>
    <n v="656865"/>
    <n v="1462"/>
    <x v="0"/>
    <d v="2023-06-02T00:18:00"/>
    <s v="Whatsapp"/>
    <s v="Roland Mendel"/>
    <n v="7427"/>
    <d v="2023-06-02T00:00:00"/>
    <x v="139"/>
    <x v="7"/>
    <x v="0"/>
    <s v="Outlier"/>
  </r>
  <r>
    <n v="656929"/>
    <n v="1773"/>
    <x v="0"/>
    <d v="2023-12-18T23:41:00"/>
    <s v="App"/>
    <s v="Catherine Dewey"/>
    <n v="2228"/>
    <d v="2023-12-18T00:00:00"/>
    <x v="155"/>
    <x v="0"/>
    <x v="5"/>
    <s v="Outlier"/>
  </r>
  <r>
    <n v="658249"/>
    <n v="1588"/>
    <x v="3"/>
    <d v="2023-08-22T23:10:00"/>
    <s v="Whatsapp"/>
    <s v="Jytte Petersen"/>
    <n v="6820"/>
    <d v="2023-08-22T00:00:00"/>
    <x v="176"/>
    <x v="8"/>
    <x v="2"/>
    <s v="Outlier"/>
  </r>
  <r>
    <n v="658815"/>
    <n v="1190"/>
    <x v="8"/>
    <d v="2023-11-25T00:15:00"/>
    <s v="Whatsapp"/>
    <s v="Eric Natividad"/>
    <n v="5243"/>
    <d v="2023-11-25T00:00:00"/>
    <x v="123"/>
    <x v="2"/>
    <x v="1"/>
    <s v="Outlier"/>
  </r>
  <r>
    <n v="659390"/>
    <n v="159"/>
    <x v="0"/>
    <d v="2023-12-16T00:15:00"/>
    <s v="App"/>
    <s v="Diego Freyre"/>
    <n v="2372"/>
    <d v="2023-12-16T00:00:00"/>
    <x v="123"/>
    <x v="0"/>
    <x v="1"/>
    <s v="Outlier"/>
  </r>
  <r>
    <n v="659698"/>
    <n v="767"/>
    <x v="0"/>
    <d v="2023-08-30T01:20:00"/>
    <s v="Website"/>
    <s v="Valarie Nelson"/>
    <n v="6482"/>
    <d v="2023-08-30T00:00:00"/>
    <x v="8"/>
    <x v="8"/>
    <x v="4"/>
    <s v="Outlier"/>
  </r>
  <r>
    <n v="659911"/>
    <n v="983"/>
    <x v="0"/>
    <d v="2023-08-06T01:17:00"/>
    <s v="Other"/>
    <s v="Diego Freyre"/>
    <n v="1431"/>
    <d v="2023-08-06T00:00:00"/>
    <x v="210"/>
    <x v="8"/>
    <x v="6"/>
    <s v="Outlier"/>
  </r>
  <r>
    <n v="660187"/>
    <n v="1374"/>
    <x v="3"/>
    <d v="2023-07-23T23:02:00"/>
    <s v="Other"/>
    <s v="Violeta Benitez"/>
    <n v="6369"/>
    <d v="2023-07-23T00:00:00"/>
    <x v="114"/>
    <x v="6"/>
    <x v="6"/>
    <s v="Outlier"/>
  </r>
  <r>
    <n v="660830"/>
    <n v="1404"/>
    <x v="0"/>
    <d v="2023-01-06T00:01:00"/>
    <s v="Whatsapp"/>
    <s v="Jesus Fernandez"/>
    <n v="7643"/>
    <d v="2023-01-06T00:00:00"/>
    <x v="63"/>
    <x v="9"/>
    <x v="0"/>
    <s v="Outlier"/>
  </r>
  <r>
    <n v="661163"/>
    <n v="1426"/>
    <x v="0"/>
    <d v="2023-03-16T00:50:00"/>
    <s v="Whatsapp"/>
    <s v="Wing C Tam"/>
    <n v="5069"/>
    <d v="2023-03-16T00:00:00"/>
    <x v="0"/>
    <x v="4"/>
    <x v="3"/>
    <s v="Outlier"/>
  </r>
  <r>
    <n v="661382"/>
    <n v="1488"/>
    <x v="0"/>
    <d v="2023-01-23T23:14:00"/>
    <s v="Whatsapp"/>
    <s v="Leslie Murphy"/>
    <n v="970"/>
    <d v="2023-01-23T00:00:00"/>
    <x v="70"/>
    <x v="9"/>
    <x v="5"/>
    <s v="Outlier"/>
  </r>
  <r>
    <n v="661822"/>
    <n v="177"/>
    <x v="1"/>
    <d v="2023-10-15T23:37:00"/>
    <s v="Whatsapp"/>
    <s v="Mary Saveley"/>
    <n v="2352"/>
    <d v="2023-10-15T00:00:00"/>
    <x v="78"/>
    <x v="3"/>
    <x v="6"/>
    <s v="Outlier"/>
  </r>
  <r>
    <n v="662950"/>
    <n v="1320"/>
    <x v="7"/>
    <d v="2023-06-21T23:34:00"/>
    <s v="App"/>
    <s v="Catherine Dewey"/>
    <n v="8477"/>
    <d v="2023-06-21T00:00:00"/>
    <x v="99"/>
    <x v="7"/>
    <x v="4"/>
    <s v="Outlier"/>
  </r>
  <r>
    <n v="663055"/>
    <n v="626"/>
    <x v="0"/>
    <d v="2023-06-19T23:25:00"/>
    <s v="App"/>
    <s v="Helen Bennett"/>
    <n v="6976"/>
    <d v="2023-06-19T00:00:00"/>
    <x v="141"/>
    <x v="7"/>
    <x v="5"/>
    <s v="Outlier"/>
  </r>
  <r>
    <n v="664585"/>
    <n v="1236"/>
    <x v="0"/>
    <d v="2023-06-10T00:50:00"/>
    <s v="Whatsapp"/>
    <s v="Kwai Yu"/>
    <n v="9357"/>
    <d v="2023-06-10T00:00:00"/>
    <x v="0"/>
    <x v="7"/>
    <x v="1"/>
    <s v="Outlier"/>
  </r>
  <r>
    <n v="664724"/>
    <n v="29"/>
    <x v="4"/>
    <d v="2023-09-07T23:40:00"/>
    <s v="App"/>
    <s v="Catherine Dewey"/>
    <n v="6535"/>
    <d v="2023-09-07T00:00:00"/>
    <x v="1"/>
    <x v="10"/>
    <x v="3"/>
    <s v="Outlier"/>
  </r>
  <r>
    <n v="666564"/>
    <n v="1217"/>
    <x v="0"/>
    <d v="2023-01-22T00:21:00"/>
    <s v="Other"/>
    <s v="Valarie Nelson"/>
    <n v="5348"/>
    <d v="2023-01-22T00:00:00"/>
    <x v="2"/>
    <x v="9"/>
    <x v="6"/>
    <s v="Outlier"/>
  </r>
  <r>
    <n v="666686"/>
    <n v="1580"/>
    <x v="6"/>
    <d v="2023-12-09T00:31:00"/>
    <s v="Whatsapp"/>
    <s v="Paolo Accorti"/>
    <n v="3933"/>
    <d v="2023-12-09T00:00:00"/>
    <x v="3"/>
    <x v="0"/>
    <x v="1"/>
    <s v="Outlier"/>
  </r>
  <r>
    <n v="668693"/>
    <n v="27"/>
    <x v="0"/>
    <d v="2023-01-10T23:11:00"/>
    <s v="Whatsapp"/>
    <s v="Victoria Ashworth"/>
    <n v="3654"/>
    <d v="2023-01-10T00:00:00"/>
    <x v="4"/>
    <x v="9"/>
    <x v="2"/>
    <s v="Outlier"/>
  </r>
  <r>
    <n v="670170"/>
    <n v="1773"/>
    <x v="0"/>
    <d v="2023-03-24T22:52:00"/>
    <s v="Whatsapp"/>
    <s v="Palle Ibsen"/>
    <n v="877"/>
    <d v="2023-03-24T00:00:00"/>
    <x v="5"/>
    <x v="4"/>
    <x v="0"/>
    <s v="Outlier"/>
  </r>
  <r>
    <n v="670697"/>
    <n v="171"/>
    <x v="0"/>
    <d v="2023-05-16T00:23:00"/>
    <s v="Whatsapp"/>
    <s v="Jonas Bergulfsen"/>
    <n v="4251"/>
    <d v="2023-05-16T00:00:00"/>
    <x v="6"/>
    <x v="11"/>
    <x v="2"/>
    <s v="Outlier"/>
  </r>
  <r>
    <n v="670916"/>
    <n v="1977"/>
    <x v="0"/>
    <d v="2023-04-01T01:10:00"/>
    <s v="Website"/>
    <s v="Marie Bertrand"/>
    <n v="9847"/>
    <d v="2023-04-01T00:00:00"/>
    <x v="7"/>
    <x v="1"/>
    <x v="1"/>
    <s v="Outlier"/>
  </r>
  <r>
    <n v="671201"/>
    <n v="456"/>
    <x v="6"/>
    <d v="2023-05-29T01:20:00"/>
    <s v="Whatsapp"/>
    <s v="Diego Freyre"/>
    <n v="9565"/>
    <d v="2023-05-29T00:00:00"/>
    <x v="8"/>
    <x v="11"/>
    <x v="5"/>
    <s v="Outlier"/>
  </r>
  <r>
    <n v="671270"/>
    <n v="1084"/>
    <x v="1"/>
    <d v="2023-12-09T23:46:00"/>
    <s v="Other"/>
    <s v="Akiko Shimamura"/>
    <n v="258"/>
    <d v="2023-12-09T00:00:00"/>
    <x v="9"/>
    <x v="0"/>
    <x v="1"/>
    <s v="Outlier"/>
  </r>
  <r>
    <n v="671412"/>
    <n v="356"/>
    <x v="1"/>
    <d v="2023-10-16T00:11:00"/>
    <s v="Whatsapp"/>
    <s v="Diego Freyre"/>
    <n v="1921"/>
    <d v="2023-10-16T00:00:00"/>
    <x v="10"/>
    <x v="3"/>
    <x v="5"/>
    <s v="Outlier"/>
  </r>
  <r>
    <n v="671598"/>
    <n v="342"/>
    <x v="0"/>
    <d v="2023-02-12T00:39:00"/>
    <s v="Website"/>
    <s v="Valarie Nelson"/>
    <n v="8711"/>
    <d v="2023-02-12T00:00:00"/>
    <x v="11"/>
    <x v="5"/>
    <x v="6"/>
    <s v="Outlier"/>
  </r>
  <r>
    <n v="671670"/>
    <n v="523"/>
    <x v="0"/>
    <d v="2023-08-17T01:05:00"/>
    <s v="Whatsapp"/>
    <s v="Juri Yoshido"/>
    <n v="6441"/>
    <d v="2023-08-17T00:00:00"/>
    <x v="12"/>
    <x v="8"/>
    <x v="3"/>
    <s v="Outlier"/>
  </r>
  <r>
    <n v="672076"/>
    <n v="27"/>
    <x v="0"/>
    <d v="2023-01-07T22:29:00"/>
    <s v="Other"/>
    <s v="Diego Freyre"/>
    <n v="9162"/>
    <d v="2023-01-07T00:00:00"/>
    <x v="13"/>
    <x v="9"/>
    <x v="1"/>
    <s v="Outlier"/>
  </r>
  <r>
    <n v="672686"/>
    <n v="1985"/>
    <x v="3"/>
    <d v="2023-11-29T01:42:00"/>
    <s v="Whatsapp"/>
    <s v="Rosa Hernandez"/>
    <n v="2269"/>
    <d v="2023-11-29T00:00:00"/>
    <x v="14"/>
    <x v="2"/>
    <x v="4"/>
    <s v="Outlier"/>
  </r>
  <r>
    <n v="673115"/>
    <n v="1619"/>
    <x v="0"/>
    <d v="2023-02-03T23:13:00"/>
    <s v="Whatsapp"/>
    <s v="Marie Bertrand"/>
    <n v="3556"/>
    <d v="2023-02-03T00:00:00"/>
    <x v="15"/>
    <x v="5"/>
    <x v="0"/>
    <s v="Outlier"/>
  </r>
  <r>
    <n v="673915"/>
    <n v="1426"/>
    <x v="0"/>
    <d v="2023-11-20T22:52:00"/>
    <s v="Website"/>
    <s v="Laurence Lebihan"/>
    <n v="1043"/>
    <d v="2023-11-20T00:00:00"/>
    <x v="5"/>
    <x v="2"/>
    <x v="5"/>
    <s v="Outlier"/>
  </r>
  <r>
    <n v="674745"/>
    <n v="613"/>
    <x v="1"/>
    <d v="2023-02-21T01:01:00"/>
    <s v="Whatsapp"/>
    <s v="Jeff Young"/>
    <n v="4027"/>
    <d v="2023-02-21T00:00:00"/>
    <x v="16"/>
    <x v="5"/>
    <x v="2"/>
    <s v="Outlier"/>
  </r>
  <r>
    <n v="675163"/>
    <n v="26"/>
    <x v="3"/>
    <d v="2023-06-23T22:33:00"/>
    <s v="Whatsapp"/>
    <s v="Annette Roulet"/>
    <n v="8499"/>
    <d v="2023-06-23T00:00:00"/>
    <x v="17"/>
    <x v="7"/>
    <x v="0"/>
    <s v="Outlier"/>
  </r>
  <r>
    <n v="675362"/>
    <n v="851"/>
    <x v="5"/>
    <d v="2023-05-15T23:16:00"/>
    <s v="Other"/>
    <s v="Kalle Suominen"/>
    <n v="6791"/>
    <d v="2023-05-15T00:00:00"/>
    <x v="18"/>
    <x v="11"/>
    <x v="5"/>
    <s v="Outlier"/>
  </r>
  <r>
    <n v="675864"/>
    <n v="15"/>
    <x v="7"/>
    <d v="2023-08-21T00:12:00"/>
    <s v="Website"/>
    <s v="Anna O'Hara"/>
    <n v="9493"/>
    <d v="2023-08-21T00:00:00"/>
    <x v="19"/>
    <x v="8"/>
    <x v="5"/>
    <s v="Outlier"/>
  </r>
  <r>
    <n v="677135"/>
    <n v="413"/>
    <x v="4"/>
    <d v="2023-05-03T00:17:00"/>
    <s v="Whatsapp"/>
    <s v="Pirkko Koskitalo"/>
    <n v="4602"/>
    <d v="2023-05-03T00:00:00"/>
    <x v="20"/>
    <x v="11"/>
    <x v="4"/>
    <s v="Outlier"/>
  </r>
  <r>
    <n v="679362"/>
    <n v="955"/>
    <x v="1"/>
    <d v="2023-03-22T00:34:00"/>
    <s v="App"/>
    <s v="Michael Chandler"/>
    <n v="1750"/>
    <d v="2023-03-22T00:00:00"/>
    <x v="21"/>
    <x v="4"/>
    <x v="4"/>
    <s v="Outlier"/>
  </r>
  <r>
    <n v="679845"/>
    <n v="95"/>
    <x v="1"/>
    <d v="2023-02-24T00:06:00"/>
    <s v="Other"/>
    <s v="Eric Natividad"/>
    <n v="8415"/>
    <d v="2023-02-24T00:00:00"/>
    <x v="22"/>
    <x v="5"/>
    <x v="0"/>
    <s v="Outlier"/>
  </r>
  <r>
    <n v="680722"/>
    <n v="1278"/>
    <x v="0"/>
    <d v="2023-04-16T02:00:00"/>
    <s v="Website"/>
    <s v="Jean Fresnisre"/>
    <n v="421"/>
    <d v="2023-04-16T00:00:00"/>
    <x v="23"/>
    <x v="1"/>
    <x v="6"/>
    <s v="Outlier"/>
  </r>
  <r>
    <n v="682438"/>
    <n v="361"/>
    <x v="2"/>
    <d v="2023-12-11T01:01:00"/>
    <s v="Whatsapp"/>
    <s v="Ann Brown"/>
    <n v="1181"/>
    <d v="2023-12-11T00:00:00"/>
    <x v="16"/>
    <x v="0"/>
    <x v="5"/>
    <s v="Outlier"/>
  </r>
  <r>
    <n v="683069"/>
    <n v="1757"/>
    <x v="4"/>
    <d v="2023-10-20T23:19:00"/>
    <s v="Other"/>
    <s v="Veysel Oeztan"/>
    <n v="8159"/>
    <d v="2023-10-20T00:00:00"/>
    <x v="24"/>
    <x v="3"/>
    <x v="0"/>
    <s v="Outlier"/>
  </r>
  <r>
    <n v="683536"/>
    <n v="1986"/>
    <x v="3"/>
    <d v="2023-12-18T22:59:00"/>
    <s v="App"/>
    <s v="Jose Pedro Roel"/>
    <n v="4037"/>
    <d v="2023-12-18T00:00:00"/>
    <x v="25"/>
    <x v="0"/>
    <x v="5"/>
    <s v="Outlier"/>
  </r>
  <r>
    <n v="685513"/>
    <n v="252"/>
    <x v="0"/>
    <d v="2023-03-13T00:17:00"/>
    <s v="Other"/>
    <s v="Valarie Young"/>
    <n v="7916"/>
    <d v="2023-03-13T00:00:00"/>
    <x v="20"/>
    <x v="4"/>
    <x v="5"/>
    <s v="Outlier"/>
  </r>
  <r>
    <n v="685841"/>
    <n v="446"/>
    <x v="0"/>
    <d v="2023-10-02T22:56:00"/>
    <s v="App"/>
    <s v="Steve Frick"/>
    <n v="7514"/>
    <d v="2023-10-02T00:00:00"/>
    <x v="26"/>
    <x v="3"/>
    <x v="5"/>
    <s v="Outlier"/>
  </r>
  <r>
    <n v="686575"/>
    <n v="184"/>
    <x v="5"/>
    <d v="2023-07-05T23:20:00"/>
    <s v="Website"/>
    <s v="Diego Freyre"/>
    <n v="5597"/>
    <d v="2023-07-05T00:00:00"/>
    <x v="27"/>
    <x v="6"/>
    <x v="4"/>
    <s v="Outlier"/>
  </r>
  <r>
    <n v="686952"/>
    <n v="1685"/>
    <x v="0"/>
    <d v="2023-04-13T00:58:00"/>
    <s v="App"/>
    <s v="Valarie Franco"/>
    <n v="6047"/>
    <d v="2023-04-13T00:00:00"/>
    <x v="28"/>
    <x v="1"/>
    <x v="3"/>
    <s v="Outlier"/>
  </r>
  <r>
    <n v="687364"/>
    <n v="444"/>
    <x v="4"/>
    <d v="2023-08-15T23:40:00"/>
    <s v="Website"/>
    <s v="Diego Freyre"/>
    <n v="4487"/>
    <d v="2023-08-15T00:00:00"/>
    <x v="1"/>
    <x v="8"/>
    <x v="2"/>
    <s v="Outlier"/>
  </r>
  <r>
    <n v="687698"/>
    <n v="814"/>
    <x v="0"/>
    <d v="2023-01-16T00:45:00"/>
    <s v="App"/>
    <s v="Michael Holz"/>
    <n v="4616"/>
    <d v="2023-01-16T00:00:00"/>
    <x v="29"/>
    <x v="9"/>
    <x v="5"/>
    <s v="Outlier"/>
  </r>
  <r>
    <n v="688175"/>
    <n v="642"/>
    <x v="3"/>
    <d v="2023-11-08T00:52:00"/>
    <s v="App"/>
    <s v="Valarie Nelson"/>
    <n v="1612"/>
    <d v="2023-11-08T00:00:00"/>
    <x v="30"/>
    <x v="2"/>
    <x v="4"/>
    <s v="Outlier"/>
  </r>
  <r>
    <n v="688366"/>
    <n v="268"/>
    <x v="1"/>
    <d v="2023-12-12T01:07:00"/>
    <s v="Whatsapp"/>
    <s v="Pirkko Koskitalo"/>
    <n v="345"/>
    <d v="2023-12-12T00:00:00"/>
    <x v="31"/>
    <x v="0"/>
    <x v="2"/>
    <s v="Outlier"/>
  </r>
  <r>
    <n v="688473"/>
    <n v="829"/>
    <x v="0"/>
    <d v="2023-09-25T01:13:00"/>
    <s v="App"/>
    <s v="Diego Freyre"/>
    <n v="2835"/>
    <d v="2023-09-25T00:00:00"/>
    <x v="32"/>
    <x v="10"/>
    <x v="5"/>
    <s v="Outlier"/>
  </r>
  <r>
    <n v="689972"/>
    <n v="916"/>
    <x v="0"/>
    <d v="2023-02-08T01:49:00"/>
    <s v="Other"/>
    <s v="Elizabeth Devon"/>
    <n v="2682"/>
    <d v="2023-02-08T00:00:00"/>
    <x v="33"/>
    <x v="5"/>
    <x v="4"/>
    <s v="Outlier"/>
  </r>
  <r>
    <n v="690697"/>
    <n v="1330"/>
    <x v="6"/>
    <d v="2023-03-02T00:12:00"/>
    <s v="Website"/>
    <s v="Wendy Victorino"/>
    <n v="2726"/>
    <d v="2023-03-02T00:00:00"/>
    <x v="19"/>
    <x v="4"/>
    <x v="3"/>
    <s v="Outlier"/>
  </r>
  <r>
    <n v="690812"/>
    <n v="985"/>
    <x v="0"/>
    <d v="2023-08-29T00:07:00"/>
    <s v="App"/>
    <s v="Maurizio Moroni"/>
    <n v="3887"/>
    <d v="2023-08-29T00:00:00"/>
    <x v="34"/>
    <x v="8"/>
    <x v="2"/>
    <s v="Outlier"/>
  </r>
  <r>
    <n v="691227"/>
    <n v="955"/>
    <x v="1"/>
    <d v="2023-07-09T00:49:00"/>
    <s v="Whatsapp"/>
    <s v="Valarie Nelson"/>
    <n v="5936"/>
    <d v="2023-07-09T00:00:00"/>
    <x v="35"/>
    <x v="6"/>
    <x v="6"/>
    <s v="Outlier"/>
  </r>
  <r>
    <n v="691268"/>
    <n v="809"/>
    <x v="0"/>
    <d v="2023-05-22T00:53:00"/>
    <s v="Website"/>
    <s v="Sue King"/>
    <n v="9498"/>
    <d v="2023-05-22T00:00:00"/>
    <x v="36"/>
    <x v="11"/>
    <x v="5"/>
    <s v="Outlier"/>
  </r>
  <r>
    <n v="691913"/>
    <n v="1566"/>
    <x v="0"/>
    <d v="2023-02-12T01:08:00"/>
    <s v="Whatsapp"/>
    <s v="Kyung Yu"/>
    <n v="6689"/>
    <d v="2023-02-12T00:00:00"/>
    <x v="37"/>
    <x v="5"/>
    <x v="6"/>
    <s v="Outlier"/>
  </r>
  <r>
    <n v="691946"/>
    <n v="455"/>
    <x v="7"/>
    <d v="2023-02-03T23:46:00"/>
    <s v="Whatsapp"/>
    <s v="Michael Holz"/>
    <n v="1893"/>
    <d v="2023-02-03T00:00:00"/>
    <x v="9"/>
    <x v="5"/>
    <x v="0"/>
    <s v="Outlier"/>
  </r>
  <r>
    <n v="692440"/>
    <n v="159"/>
    <x v="0"/>
    <d v="2023-07-19T23:42:00"/>
    <s v="Other"/>
    <s v="Kwai Yu"/>
    <n v="7041"/>
    <d v="2023-07-19T00:00:00"/>
    <x v="38"/>
    <x v="6"/>
    <x v="4"/>
    <s v="Outlier"/>
  </r>
  <r>
    <n v="692808"/>
    <n v="1797"/>
    <x v="0"/>
    <d v="2023-08-08T00:28:00"/>
    <s v="Other"/>
    <s v="Jan Klaeboe"/>
    <n v="7362"/>
    <d v="2023-08-08T00:00:00"/>
    <x v="39"/>
    <x v="8"/>
    <x v="2"/>
    <s v="Outlier"/>
  </r>
  <r>
    <n v="692957"/>
    <n v="941"/>
    <x v="0"/>
    <d v="2023-12-02T23:46:00"/>
    <s v="Website"/>
    <s v="Marta Hernandez"/>
    <n v="8917"/>
    <d v="2023-12-02T00:00:00"/>
    <x v="9"/>
    <x v="0"/>
    <x v="1"/>
    <s v="Outlier"/>
  </r>
  <r>
    <n v="692962"/>
    <n v="442"/>
    <x v="0"/>
    <d v="2023-07-17T00:31:00"/>
    <s v="Website"/>
    <s v="Henriette Pfalzheim"/>
    <n v="1328"/>
    <d v="2023-07-17T00:00:00"/>
    <x v="3"/>
    <x v="6"/>
    <x v="5"/>
    <s v="Outlier"/>
  </r>
  <r>
    <n v="694715"/>
    <n v="519"/>
    <x v="3"/>
    <d v="2023-08-01T23:07:00"/>
    <s v="Other"/>
    <s v="Yoshi Tannamuri"/>
    <n v="6870"/>
    <d v="2023-08-01T00:00:00"/>
    <x v="40"/>
    <x v="8"/>
    <x v="2"/>
    <s v="Outlier"/>
  </r>
  <r>
    <n v="695237"/>
    <n v="520"/>
    <x v="4"/>
    <d v="2023-01-11T23:40:00"/>
    <s v="Website"/>
    <s v="Violeta Benitez"/>
    <n v="1232"/>
    <d v="2023-01-11T00:00:00"/>
    <x v="1"/>
    <x v="9"/>
    <x v="4"/>
    <s v="Outlier"/>
  </r>
  <r>
    <n v="695670"/>
    <n v="58"/>
    <x v="7"/>
    <d v="2023-06-13T02:22:00"/>
    <s v="Whatsapp"/>
    <s v="Michael Frick"/>
    <n v="8331"/>
    <d v="2023-06-13T00:00:00"/>
    <x v="41"/>
    <x v="7"/>
    <x v="2"/>
    <s v="Outlier"/>
  </r>
  <r>
    <n v="696736"/>
    <n v="899"/>
    <x v="0"/>
    <d v="2023-11-19T00:57:00"/>
    <s v="App"/>
    <s v="Rosa Hernandez"/>
    <n v="2627"/>
    <d v="2023-11-19T00:00:00"/>
    <x v="42"/>
    <x v="2"/>
    <x v="6"/>
    <s v="Outlier"/>
  </r>
  <r>
    <n v="696792"/>
    <n v="1651"/>
    <x v="6"/>
    <d v="2023-06-06T23:49:00"/>
    <s v="Website"/>
    <s v="Christina Berglund"/>
    <n v="9568"/>
    <d v="2023-06-06T00:00:00"/>
    <x v="43"/>
    <x v="7"/>
    <x v="2"/>
    <s v="Outlier"/>
  </r>
  <r>
    <n v="696860"/>
    <n v="270"/>
    <x v="6"/>
    <d v="2023-03-11T00:55:00"/>
    <s v="Other"/>
    <s v="Peter Ferguson"/>
    <n v="4174"/>
    <d v="2023-03-11T00:00:00"/>
    <x v="44"/>
    <x v="4"/>
    <x v="1"/>
    <s v="Outlier"/>
  </r>
  <r>
    <n v="697123"/>
    <n v="1959"/>
    <x v="7"/>
    <d v="2023-11-11T01:50:00"/>
    <s v="App"/>
    <s v="Jeff Young"/>
    <n v="6636"/>
    <d v="2023-11-11T00:00:00"/>
    <x v="45"/>
    <x v="2"/>
    <x v="1"/>
    <s v="Outlier"/>
  </r>
  <r>
    <n v="698048"/>
    <n v="175"/>
    <x v="0"/>
    <d v="2023-11-04T01:48:00"/>
    <s v="Other"/>
    <s v="Diego Freyre"/>
    <n v="731"/>
    <d v="2023-11-04T00:00:00"/>
    <x v="46"/>
    <x v="2"/>
    <x v="1"/>
    <s v="Outlier"/>
  </r>
  <r>
    <n v="698175"/>
    <n v="1372"/>
    <x v="3"/>
    <d v="2023-06-17T01:33:00"/>
    <s v="Website"/>
    <s v="Pascale Cartrain"/>
    <n v="6322"/>
    <d v="2023-06-17T00:00:00"/>
    <x v="47"/>
    <x v="7"/>
    <x v="1"/>
    <s v="Outlier"/>
  </r>
  <r>
    <n v="698222"/>
    <n v="1836"/>
    <x v="3"/>
    <d v="2023-03-22T00:05:00"/>
    <s v="Website"/>
    <s v="Anna O'Hara"/>
    <n v="1804"/>
    <d v="2023-03-22T00:00:00"/>
    <x v="48"/>
    <x v="4"/>
    <x v="4"/>
    <s v="Outlier"/>
  </r>
  <r>
    <n v="699766"/>
    <n v="202"/>
    <x v="0"/>
    <d v="2023-12-29T01:28:00"/>
    <s v="App"/>
    <s v="Matti Karttunen"/>
    <n v="2379"/>
    <d v="2023-12-29T00:00:00"/>
    <x v="49"/>
    <x v="0"/>
    <x v="0"/>
    <s v="Outlier"/>
  </r>
  <r>
    <n v="700751"/>
    <n v="1082"/>
    <x v="1"/>
    <d v="2023-04-07T00:29:00"/>
    <s v="Whatsapp"/>
    <s v="Diego Freyre"/>
    <n v="1547"/>
    <d v="2023-04-07T00:00:00"/>
    <x v="50"/>
    <x v="1"/>
    <x v="0"/>
    <s v="Outlier"/>
  </r>
  <r>
    <n v="701790"/>
    <n v="1704"/>
    <x v="0"/>
    <d v="2023-02-22T00:40:00"/>
    <s v="Whatsapp"/>
    <s v="Diego Freyre"/>
    <n v="4202"/>
    <d v="2023-02-22T00:00:00"/>
    <x v="51"/>
    <x v="5"/>
    <x v="4"/>
    <s v="Outlier"/>
  </r>
  <r>
    <n v="701802"/>
    <n v="151"/>
    <x v="7"/>
    <d v="2023-04-04T01:12:00"/>
    <s v="Other"/>
    <s v="Frederique Citeaux"/>
    <n v="927"/>
    <d v="2023-04-04T00:00:00"/>
    <x v="52"/>
    <x v="1"/>
    <x v="2"/>
    <s v="Outlier"/>
  </r>
  <r>
    <n v="702331"/>
    <n v="1848"/>
    <x v="0"/>
    <d v="2023-08-28T00:33:00"/>
    <s v="App"/>
    <s v="Diego Freyre"/>
    <n v="5015"/>
    <d v="2023-08-28T00:00:00"/>
    <x v="53"/>
    <x v="8"/>
    <x v="5"/>
    <s v="Outlier"/>
  </r>
  <r>
    <n v="703166"/>
    <n v="1228"/>
    <x v="0"/>
    <d v="2023-11-03T00:22:00"/>
    <s v="Whatsapp"/>
    <s v="Georg Pipps"/>
    <n v="2916"/>
    <d v="2023-11-03T00:00:00"/>
    <x v="54"/>
    <x v="2"/>
    <x v="0"/>
    <s v="Outlier"/>
  </r>
  <r>
    <n v="704734"/>
    <n v="1243"/>
    <x v="4"/>
    <d v="2023-09-25T22:35:00"/>
    <s v="Website"/>
    <s v="Janine Labrune"/>
    <n v="9313"/>
    <d v="2023-09-25T00:00:00"/>
    <x v="55"/>
    <x v="10"/>
    <x v="5"/>
    <s v="Outlier"/>
  </r>
  <r>
    <n v="705322"/>
    <n v="1718"/>
    <x v="0"/>
    <d v="2023-05-03T23:24:00"/>
    <s v="Whatsapp"/>
    <s v="Jytte Petersen"/>
    <n v="1519"/>
    <d v="2023-05-03T00:00:00"/>
    <x v="56"/>
    <x v="11"/>
    <x v="4"/>
    <s v="Outlier"/>
  </r>
  <r>
    <n v="705612"/>
    <n v="1886"/>
    <x v="6"/>
    <d v="2023-04-29T23:31:00"/>
    <s v="Whatsapp"/>
    <s v="Eric Natividad"/>
    <n v="2657"/>
    <d v="2023-04-29T00:00:00"/>
    <x v="57"/>
    <x v="1"/>
    <x v="1"/>
    <s v="Outlier"/>
  </r>
  <r>
    <n v="706153"/>
    <n v="1053"/>
    <x v="1"/>
    <d v="2023-03-22T00:32:00"/>
    <s v="App"/>
    <s v="Diego Freyre"/>
    <n v="777"/>
    <d v="2023-03-22T00:00:00"/>
    <x v="58"/>
    <x v="4"/>
    <x v="4"/>
    <s v="Outlier"/>
  </r>
  <r>
    <n v="706669"/>
    <n v="1153"/>
    <x v="2"/>
    <d v="2023-05-06T01:45:00"/>
    <s v="Website"/>
    <s v="Valarie Nelson"/>
    <n v="4666"/>
    <d v="2023-05-06T00:00:00"/>
    <x v="59"/>
    <x v="11"/>
    <x v="1"/>
    <s v="Outlier"/>
  </r>
  <r>
    <n v="706696"/>
    <n v="606"/>
    <x v="0"/>
    <d v="2023-07-09T00:41:00"/>
    <s v="Other"/>
    <s v="Diego Freyre"/>
    <n v="3500"/>
    <d v="2023-07-09T00:00:00"/>
    <x v="60"/>
    <x v="6"/>
    <x v="6"/>
    <s v="Outlier"/>
  </r>
  <r>
    <n v="706725"/>
    <n v="1812"/>
    <x v="4"/>
    <d v="2023-02-25T00:16:00"/>
    <s v="Website"/>
    <s v="Eric Natividad"/>
    <n v="7569"/>
    <d v="2023-02-25T00:00:00"/>
    <x v="61"/>
    <x v="5"/>
    <x v="1"/>
    <s v="Outlier"/>
  </r>
  <r>
    <n v="708480"/>
    <n v="1060"/>
    <x v="1"/>
    <d v="2023-10-19T23:33:00"/>
    <s v="App"/>
    <s v="Jesus Fernandez"/>
    <n v="2493"/>
    <d v="2023-10-19T00:00:00"/>
    <x v="62"/>
    <x v="3"/>
    <x v="3"/>
    <s v="Outlier"/>
  </r>
  <r>
    <n v="708846"/>
    <n v="1644"/>
    <x v="6"/>
    <d v="2023-10-07T00:33:00"/>
    <s v="App"/>
    <s v="Wing C Tam"/>
    <n v="3069"/>
    <d v="2023-10-07T00:00:00"/>
    <x v="53"/>
    <x v="3"/>
    <x v="1"/>
    <s v="Outlier"/>
  </r>
  <r>
    <n v="709317"/>
    <n v="253"/>
    <x v="3"/>
    <d v="2023-09-06T00:01:00"/>
    <s v="Whatsapp"/>
    <s v="Leslie Murphy"/>
    <n v="9441"/>
    <d v="2023-09-06T00:00:00"/>
    <x v="63"/>
    <x v="10"/>
    <x v="4"/>
    <s v="Outlier"/>
  </r>
  <r>
    <n v="710669"/>
    <n v="1366"/>
    <x v="0"/>
    <d v="2023-12-15T00:04:00"/>
    <s v="Website"/>
    <s v="Mary Saveley"/>
    <n v="5405"/>
    <d v="2023-12-15T00:00:00"/>
    <x v="64"/>
    <x v="0"/>
    <x v="0"/>
    <s v="Outlier"/>
  </r>
  <r>
    <n v="710673"/>
    <n v="1229"/>
    <x v="6"/>
    <d v="2023-06-13T01:26:00"/>
    <s v="App"/>
    <s v="Catherine Dewey"/>
    <n v="6405"/>
    <d v="2023-06-13T00:00:00"/>
    <x v="65"/>
    <x v="7"/>
    <x v="2"/>
    <s v="Outlier"/>
  </r>
  <r>
    <n v="711277"/>
    <n v="933"/>
    <x v="0"/>
    <d v="2023-08-11T23:08:00"/>
    <s v="Whatsapp"/>
    <s v="Helen Bennett"/>
    <n v="2857"/>
    <d v="2023-08-11T00:00:00"/>
    <x v="66"/>
    <x v="8"/>
    <x v="0"/>
    <s v="Outlier"/>
  </r>
  <r>
    <n v="711681"/>
    <n v="1344"/>
    <x v="4"/>
    <d v="2023-05-22T00:35:00"/>
    <s v="Website"/>
    <s v="Kwai Yu"/>
    <n v="3885"/>
    <d v="2023-05-22T00:00:00"/>
    <x v="67"/>
    <x v="11"/>
    <x v="5"/>
    <s v="Outlier"/>
  </r>
  <r>
    <n v="712741"/>
    <n v="1001"/>
    <x v="0"/>
    <d v="2023-12-20T00:20:00"/>
    <s v="Other"/>
    <s v="Catherine Dewey"/>
    <n v="1475"/>
    <d v="2023-12-20T00:00:00"/>
    <x v="68"/>
    <x v="0"/>
    <x v="4"/>
    <s v="Outlier"/>
  </r>
  <r>
    <n v="713425"/>
    <n v="1254"/>
    <x v="3"/>
    <d v="2023-11-28T00:55:00"/>
    <s v="Other"/>
    <s v="Valarie Nelson"/>
    <n v="918"/>
    <d v="2023-11-28T00:00:00"/>
    <x v="44"/>
    <x v="2"/>
    <x v="2"/>
    <s v="Outlier"/>
  </r>
  <r>
    <n v="716091"/>
    <n v="1691"/>
    <x v="0"/>
    <d v="2023-06-12T01:28:00"/>
    <s v="App"/>
    <s v="Paolo Accorti"/>
    <n v="6454"/>
    <d v="2023-06-12T00:00:00"/>
    <x v="49"/>
    <x v="7"/>
    <x v="5"/>
    <s v="Outlier"/>
  </r>
  <r>
    <n v="717493"/>
    <n v="180"/>
    <x v="0"/>
    <d v="2023-02-21T00:53:00"/>
    <s v="Other"/>
    <s v="Victoria Ashworth"/>
    <n v="1788"/>
    <d v="2023-02-21T00:00:00"/>
    <x v="36"/>
    <x v="5"/>
    <x v="2"/>
    <s v="Outlier"/>
  </r>
  <r>
    <n v="718344"/>
    <n v="375"/>
    <x v="6"/>
    <d v="2023-03-30T23:21:00"/>
    <s v="Whatsapp"/>
    <s v="Palle Ibsen"/>
    <n v="1580"/>
    <d v="2023-03-30T00:00:00"/>
    <x v="69"/>
    <x v="4"/>
    <x v="3"/>
    <s v="Outlier"/>
  </r>
  <r>
    <n v="719496"/>
    <n v="958"/>
    <x v="0"/>
    <d v="2023-04-05T23:14:00"/>
    <s v="App"/>
    <s v="Christina Berglund"/>
    <n v="8062"/>
    <d v="2023-04-05T00:00:00"/>
    <x v="70"/>
    <x v="1"/>
    <x v="4"/>
    <s v="Outlier"/>
  </r>
  <r>
    <n v="719899"/>
    <n v="748"/>
    <x v="0"/>
    <d v="2023-03-08T23:29:00"/>
    <s v="App"/>
    <s v="Marie Bertrand"/>
    <n v="2445"/>
    <d v="2023-03-08T00:00:00"/>
    <x v="71"/>
    <x v="4"/>
    <x v="4"/>
    <s v="Outlier"/>
  </r>
  <r>
    <n v="720311"/>
    <n v="425"/>
    <x v="1"/>
    <d v="2023-02-27T00:22:00"/>
    <s v="Website"/>
    <s v="Diego Freyre"/>
    <n v="4868"/>
    <d v="2023-02-27T00:00:00"/>
    <x v="54"/>
    <x v="5"/>
    <x v="5"/>
    <s v="Outlier"/>
  </r>
  <r>
    <n v="721053"/>
    <n v="579"/>
    <x v="0"/>
    <d v="2023-04-23T00:03:00"/>
    <s v="Other"/>
    <s v="Akiko Shimamura"/>
    <n v="5093"/>
    <d v="2023-04-23T00:00:00"/>
    <x v="72"/>
    <x v="1"/>
    <x v="6"/>
    <s v="Outlier"/>
  </r>
  <r>
    <n v="721298"/>
    <n v="1717"/>
    <x v="6"/>
    <d v="2023-03-28T00:54:00"/>
    <s v="Whatsapp"/>
    <s v="Diego Freyre"/>
    <n v="3875"/>
    <d v="2023-03-28T00:00:00"/>
    <x v="73"/>
    <x v="4"/>
    <x v="2"/>
    <s v="Outlier"/>
  </r>
  <r>
    <n v="721384"/>
    <n v="922"/>
    <x v="11"/>
    <d v="2023-03-17T00:04:00"/>
    <s v="Whatsapp"/>
    <s v="Valarie Nelson"/>
    <n v="1833"/>
    <d v="2023-03-17T00:00:00"/>
    <x v="64"/>
    <x v="4"/>
    <x v="0"/>
    <s v="Outlier"/>
  </r>
  <r>
    <n v="722572"/>
    <n v="1948"/>
    <x v="0"/>
    <d v="2023-01-28T23:35:00"/>
    <s v="Other"/>
    <s v="Juri Yoshido"/>
    <n v="1207"/>
    <d v="2023-01-28T00:00:00"/>
    <x v="74"/>
    <x v="9"/>
    <x v="1"/>
    <s v="Outlier"/>
  </r>
  <r>
    <n v="723244"/>
    <n v="1347"/>
    <x v="3"/>
    <d v="2023-08-23T00:11:00"/>
    <s v="Whatsapp"/>
    <s v="Arnold Cruz"/>
    <n v="6759"/>
    <d v="2023-08-23T00:00:00"/>
    <x v="10"/>
    <x v="8"/>
    <x v="4"/>
    <s v="Outlier"/>
  </r>
  <r>
    <n v="723357"/>
    <n v="1297"/>
    <x v="0"/>
    <d v="2023-03-04T01:05:00"/>
    <s v="Website"/>
    <s v="Laurence Lebihan"/>
    <n v="4674"/>
    <d v="2023-03-04T00:00:00"/>
    <x v="12"/>
    <x v="4"/>
    <x v="1"/>
    <s v="Outlier"/>
  </r>
  <r>
    <n v="723458"/>
    <n v="1716"/>
    <x v="0"/>
    <d v="2023-04-13T00:07:00"/>
    <s v="Whatsapp"/>
    <s v="Valarie Nelson"/>
    <n v="946"/>
    <d v="2023-04-13T00:00:00"/>
    <x v="34"/>
    <x v="1"/>
    <x v="3"/>
    <s v="Outlier"/>
  </r>
  <r>
    <n v="723480"/>
    <n v="1961"/>
    <x v="7"/>
    <d v="2023-02-24T00:47:00"/>
    <s v="App"/>
    <s v="Allen Nelson"/>
    <n v="8332"/>
    <d v="2023-02-24T00:00:00"/>
    <x v="75"/>
    <x v="5"/>
    <x v="0"/>
    <s v="Outlier"/>
  </r>
  <r>
    <n v="723551"/>
    <n v="1849"/>
    <x v="13"/>
    <d v="2023-04-23T01:40:00"/>
    <s v="App"/>
    <s v="Julie Brown"/>
    <n v="6416"/>
    <d v="2023-04-23T00:00:00"/>
    <x v="76"/>
    <x v="1"/>
    <x v="6"/>
    <s v="Outlier"/>
  </r>
  <r>
    <n v="723623"/>
    <n v="1818"/>
    <x v="0"/>
    <d v="2023-07-03T00:46:00"/>
    <s v="Whatsapp"/>
    <s v="Anna O'Hara"/>
    <n v="9468"/>
    <d v="2023-07-03T00:00:00"/>
    <x v="77"/>
    <x v="6"/>
    <x v="5"/>
    <s v="Outlier"/>
  </r>
  <r>
    <n v="725071"/>
    <n v="1825"/>
    <x v="6"/>
    <d v="2023-02-15T00:32:00"/>
    <s v="Whatsapp"/>
    <s v="Veysel Oeztan"/>
    <n v="8859"/>
    <d v="2023-02-15T00:00:00"/>
    <x v="58"/>
    <x v="5"/>
    <x v="4"/>
    <s v="Outlier"/>
  </r>
  <r>
    <n v="725371"/>
    <n v="634"/>
    <x v="0"/>
    <d v="2023-01-02T23:37:00"/>
    <s v="Website"/>
    <s v="Henriette Pfalzheim"/>
    <n v="7071"/>
    <d v="2023-01-02T00:00:00"/>
    <x v="78"/>
    <x v="9"/>
    <x v="5"/>
    <s v="Outlier"/>
  </r>
  <r>
    <n v="725482"/>
    <n v="1874"/>
    <x v="0"/>
    <d v="2023-07-11T23:27:00"/>
    <s v="Website"/>
    <s v="Diego Freyre"/>
    <n v="6488"/>
    <d v="2023-07-11T00:00:00"/>
    <x v="79"/>
    <x v="6"/>
    <x v="2"/>
    <s v="Outlier"/>
  </r>
  <r>
    <n v="726616"/>
    <n v="1290"/>
    <x v="0"/>
    <d v="2023-08-06T23:38:00"/>
    <s v="Whatsapp"/>
    <s v="Dominique Perrier"/>
    <n v="6697"/>
    <d v="2023-08-06T00:00:00"/>
    <x v="80"/>
    <x v="8"/>
    <x v="6"/>
    <s v="Outlier"/>
  </r>
  <r>
    <n v="728697"/>
    <n v="1913"/>
    <x v="2"/>
    <d v="2023-08-25T00:11:00"/>
    <s v="App"/>
    <s v="Michael Holz"/>
    <n v="6226"/>
    <d v="2023-08-25T00:00:00"/>
    <x v="10"/>
    <x v="8"/>
    <x v="0"/>
    <s v="Outlier"/>
  </r>
  <r>
    <n v="730295"/>
    <n v="134"/>
    <x v="6"/>
    <d v="2023-08-06T00:04:00"/>
    <s v="Whatsapp"/>
    <s v="Jytte Petersen"/>
    <n v="4721"/>
    <d v="2023-08-06T00:00:00"/>
    <x v="64"/>
    <x v="8"/>
    <x v="6"/>
    <s v="Outlier"/>
  </r>
  <r>
    <n v="730976"/>
    <n v="1908"/>
    <x v="0"/>
    <d v="2023-11-01T00:58:00"/>
    <s v="App"/>
    <s v="Dominique Perrier"/>
    <n v="4073"/>
    <d v="2023-11-01T00:00:00"/>
    <x v="28"/>
    <x v="2"/>
    <x v="4"/>
    <s v="Outlier"/>
  </r>
  <r>
    <n v="731161"/>
    <n v="1367"/>
    <x v="2"/>
    <d v="2023-06-02T00:09:00"/>
    <s v="Other"/>
    <s v="Sean Connery"/>
    <n v="3548"/>
    <d v="2023-06-02T00:00:00"/>
    <x v="81"/>
    <x v="7"/>
    <x v="0"/>
    <s v="Outlier"/>
  </r>
  <r>
    <n v="731345"/>
    <n v="1365"/>
    <x v="0"/>
    <d v="2023-03-28T22:59:00"/>
    <s v="Website"/>
    <s v="Miguel Barajas"/>
    <n v="5198"/>
    <d v="2023-03-28T00:00:00"/>
    <x v="25"/>
    <x v="4"/>
    <x v="2"/>
    <s v="Outlier"/>
  </r>
  <r>
    <n v="732301"/>
    <n v="250"/>
    <x v="1"/>
    <d v="2023-11-01T00:05:00"/>
    <s v="Whatsapp"/>
    <s v="Michael Holz"/>
    <n v="4048"/>
    <d v="2023-11-01T00:00:00"/>
    <x v="48"/>
    <x v="2"/>
    <x v="4"/>
    <s v="Outlier"/>
  </r>
  <r>
    <n v="732319"/>
    <n v="1802"/>
    <x v="3"/>
    <d v="2023-04-24T00:07:00"/>
    <s v="Other"/>
    <s v="Roland Keitel"/>
    <n v="3911"/>
    <d v="2023-04-24T00:00:00"/>
    <x v="34"/>
    <x v="1"/>
    <x v="5"/>
    <s v="Outlier"/>
  </r>
  <r>
    <n v="733263"/>
    <n v="881"/>
    <x v="3"/>
    <d v="2023-10-25T00:34:00"/>
    <s v="Whatsapp"/>
    <s v="Henriette Pfalzheim"/>
    <n v="9697"/>
    <d v="2023-10-25T00:00:00"/>
    <x v="21"/>
    <x v="3"/>
    <x v="4"/>
    <s v="Outlier"/>
  </r>
  <r>
    <n v="734449"/>
    <n v="1061"/>
    <x v="10"/>
    <d v="2023-10-26T02:12:00"/>
    <s v="Whatsapp"/>
    <s v="Kee Kuo"/>
    <n v="8005"/>
    <d v="2023-10-26T00:00:00"/>
    <x v="82"/>
    <x v="3"/>
    <x v="3"/>
    <s v="Outlier"/>
  </r>
  <r>
    <n v="734468"/>
    <n v="83"/>
    <x v="2"/>
    <d v="2023-02-15T00:55:00"/>
    <s v="Website"/>
    <s v="Kwai Yu"/>
    <n v="5705"/>
    <d v="2023-02-15T00:00:00"/>
    <x v="44"/>
    <x v="5"/>
    <x v="4"/>
    <s v="Outlier"/>
  </r>
  <r>
    <n v="734939"/>
    <n v="1797"/>
    <x v="0"/>
    <d v="2023-02-27T01:23:00"/>
    <s v="Website"/>
    <s v="Peter Ferguson"/>
    <n v="5602"/>
    <d v="2023-02-27T00:00:00"/>
    <x v="83"/>
    <x v="5"/>
    <x v="5"/>
    <s v="Outlier"/>
  </r>
  <r>
    <n v="735675"/>
    <n v="412"/>
    <x v="1"/>
    <d v="2023-11-21T01:16:00"/>
    <s v="Other"/>
    <s v="Kalle Suominen"/>
    <n v="2472"/>
    <d v="2023-11-21T00:00:00"/>
    <x v="84"/>
    <x v="2"/>
    <x v="2"/>
    <s v="Outlier"/>
  </r>
  <r>
    <n v="737059"/>
    <n v="849"/>
    <x v="3"/>
    <d v="2023-10-08T00:44:00"/>
    <s v="App"/>
    <s v="Diego Freyre"/>
    <n v="8652"/>
    <d v="2023-10-08T00:00:00"/>
    <x v="85"/>
    <x v="3"/>
    <x v="6"/>
    <s v="Outlier"/>
  </r>
  <r>
    <n v="737066"/>
    <n v="744"/>
    <x v="10"/>
    <d v="2023-02-21T00:20:00"/>
    <s v="Other"/>
    <s v="Valarie Nelson"/>
    <n v="9597"/>
    <d v="2023-02-21T00:00:00"/>
    <x v="68"/>
    <x v="5"/>
    <x v="2"/>
    <s v="Outlier"/>
  </r>
  <r>
    <n v="737790"/>
    <n v="1646"/>
    <x v="4"/>
    <d v="2023-06-10T01:41:00"/>
    <s v="App"/>
    <s v="Jonas Bergulfsen"/>
    <n v="7589"/>
    <d v="2023-06-10T00:00:00"/>
    <x v="86"/>
    <x v="7"/>
    <x v="1"/>
    <s v="Outlier"/>
  </r>
  <r>
    <n v="739012"/>
    <n v="1708"/>
    <x v="3"/>
    <d v="2023-12-18T00:47:00"/>
    <s v="Other"/>
    <s v="Julie Murphy"/>
    <n v="265"/>
    <d v="2023-12-18T00:00:00"/>
    <x v="75"/>
    <x v="0"/>
    <x v="5"/>
    <s v="Outlier"/>
  </r>
  <r>
    <n v="740082"/>
    <n v="736"/>
    <x v="0"/>
    <d v="2023-04-10T23:51:00"/>
    <s v="App"/>
    <s v="Mart¡n Sommer"/>
    <n v="2994"/>
    <d v="2023-04-10T00:00:00"/>
    <x v="87"/>
    <x v="1"/>
    <x v="5"/>
    <s v="Outlier"/>
  </r>
  <r>
    <n v="740564"/>
    <n v="569"/>
    <x v="0"/>
    <d v="2023-02-13T00:48:00"/>
    <s v="Whatsapp"/>
    <s v="Adrian Huxley"/>
    <n v="1398"/>
    <d v="2023-02-13T00:00:00"/>
    <x v="88"/>
    <x v="5"/>
    <x v="5"/>
    <s v="Outlier"/>
  </r>
  <r>
    <n v="741193"/>
    <n v="879"/>
    <x v="0"/>
    <d v="2023-06-20T00:02:00"/>
    <s v="App"/>
    <s v="Sue Taylor"/>
    <n v="4307"/>
    <d v="2023-06-20T00:00:00"/>
    <x v="89"/>
    <x v="7"/>
    <x v="2"/>
    <s v="Outlier"/>
  </r>
  <r>
    <n v="742561"/>
    <n v="1509"/>
    <x v="0"/>
    <d v="2023-01-20T22:39:00"/>
    <s v="Whatsapp"/>
    <s v="Maria Hernandez"/>
    <n v="1879"/>
    <d v="2023-01-20T00:00:00"/>
    <x v="90"/>
    <x v="9"/>
    <x v="0"/>
    <s v="Outlier"/>
  </r>
  <r>
    <n v="742778"/>
    <n v="982"/>
    <x v="0"/>
    <d v="2023-07-14T23:32:00"/>
    <s v="Whatsapp"/>
    <s v="Giovanni Rovelli"/>
    <n v="8688"/>
    <d v="2023-07-14T00:00:00"/>
    <x v="91"/>
    <x v="6"/>
    <x v="0"/>
    <s v="Outlier"/>
  </r>
  <r>
    <n v="743589"/>
    <n v="1559"/>
    <x v="4"/>
    <d v="2023-12-26T01:09:00"/>
    <s v="Whatsapp"/>
    <s v="Valarie Nelson"/>
    <n v="2636"/>
    <d v="2023-12-26T00:00:00"/>
    <x v="92"/>
    <x v="0"/>
    <x v="2"/>
    <s v="Outlier"/>
  </r>
  <r>
    <n v="743932"/>
    <n v="543"/>
    <x v="3"/>
    <d v="2023-08-26T00:28:00"/>
    <s v="Other"/>
    <s v="Sean Connery"/>
    <n v="5966"/>
    <d v="2023-08-26T00:00:00"/>
    <x v="39"/>
    <x v="8"/>
    <x v="1"/>
    <s v="Outlier"/>
  </r>
  <r>
    <n v="743961"/>
    <n v="98"/>
    <x v="13"/>
    <d v="2023-09-07T00:39:00"/>
    <s v="Other"/>
    <s v="Yoshi Tannamuri"/>
    <n v="2467"/>
    <d v="2023-09-07T00:00:00"/>
    <x v="11"/>
    <x v="10"/>
    <x v="3"/>
    <s v="Outlier"/>
  </r>
  <r>
    <n v="745795"/>
    <n v="919"/>
    <x v="13"/>
    <d v="2023-03-01T00:51:00"/>
    <s v="Other"/>
    <s v="Steve Thompson"/>
    <n v="8983"/>
    <d v="2023-03-01T00:00:00"/>
    <x v="93"/>
    <x v="4"/>
    <x v="4"/>
    <s v="Outlier"/>
  </r>
  <r>
    <n v="746060"/>
    <n v="1477"/>
    <x v="4"/>
    <d v="2023-03-31T23:52:00"/>
    <s v="App"/>
    <s v="Mary Saveley"/>
    <n v="1387"/>
    <d v="2023-03-31T00:00:00"/>
    <x v="94"/>
    <x v="4"/>
    <x v="0"/>
    <s v="Outlier"/>
  </r>
  <r>
    <n v="746275"/>
    <n v="1020"/>
    <x v="6"/>
    <d v="2023-05-13T01:19:00"/>
    <s v="App"/>
    <s v="Diego Freyre"/>
    <n v="3551"/>
    <d v="2023-05-13T00:00:00"/>
    <x v="95"/>
    <x v="11"/>
    <x v="1"/>
    <s v="Outlier"/>
  </r>
  <r>
    <n v="748106"/>
    <n v="1295"/>
    <x v="10"/>
    <d v="2023-10-27T23:58:00"/>
    <s v="Website"/>
    <s v="Sue Frick"/>
    <n v="5025"/>
    <d v="2023-10-27T00:00:00"/>
    <x v="96"/>
    <x v="3"/>
    <x v="0"/>
    <s v="Outlier"/>
  </r>
  <r>
    <n v="748762"/>
    <n v="946"/>
    <x v="1"/>
    <d v="2023-09-11T00:40:00"/>
    <s v="Website"/>
    <s v="Paolo Accorti"/>
    <n v="9843"/>
    <d v="2023-09-11T00:00:00"/>
    <x v="51"/>
    <x v="10"/>
    <x v="5"/>
    <s v="Outlier"/>
  </r>
  <r>
    <n v="748997"/>
    <n v="1277"/>
    <x v="11"/>
    <d v="2023-06-14T00:13:00"/>
    <s v="Other"/>
    <s v="Leslie Taylor"/>
    <n v="9873"/>
    <d v="2023-06-14T00:00:00"/>
    <x v="97"/>
    <x v="7"/>
    <x v="4"/>
    <s v="Outlier"/>
  </r>
  <r>
    <n v="749692"/>
    <n v="184"/>
    <x v="5"/>
    <d v="2023-03-27T01:08:00"/>
    <s v="Website"/>
    <s v="Daniel Tonini"/>
    <n v="6601"/>
    <d v="2023-03-27T00:00:00"/>
    <x v="37"/>
    <x v="4"/>
    <x v="5"/>
    <s v="Outlier"/>
  </r>
  <r>
    <n v="749782"/>
    <n v="1506"/>
    <x v="0"/>
    <d v="2023-06-18T02:16:00"/>
    <s v="App"/>
    <s v="Valarie Nelson"/>
    <n v="8021"/>
    <d v="2023-06-18T00:00:00"/>
    <x v="98"/>
    <x v="7"/>
    <x v="6"/>
    <s v="Outlier"/>
  </r>
  <r>
    <n v="750732"/>
    <n v="194"/>
    <x v="1"/>
    <d v="2023-11-17T23:34:00"/>
    <s v="App"/>
    <s v="Roland Keitel"/>
    <n v="8355"/>
    <d v="2023-11-17T00:00:00"/>
    <x v="99"/>
    <x v="2"/>
    <x v="0"/>
    <s v="Outlier"/>
  </r>
  <r>
    <n v="750814"/>
    <n v="862"/>
    <x v="0"/>
    <d v="2023-04-23T23:47:00"/>
    <s v="Other"/>
    <s v="Julie Murphy"/>
    <n v="1843"/>
    <d v="2023-04-23T00:00:00"/>
    <x v="100"/>
    <x v="1"/>
    <x v="6"/>
    <s v="Outlier"/>
  </r>
  <r>
    <n v="750826"/>
    <n v="451"/>
    <x v="8"/>
    <d v="2023-04-13T23:39:00"/>
    <s v="Website"/>
    <s v="Peter Ferguson"/>
    <n v="9467"/>
    <d v="2023-04-13T00:00:00"/>
    <x v="101"/>
    <x v="1"/>
    <x v="3"/>
    <s v="Outlier"/>
  </r>
  <r>
    <n v="751811"/>
    <n v="1745"/>
    <x v="0"/>
    <d v="2023-11-27T01:53:00"/>
    <s v="Whatsapp"/>
    <s v="Valarie Nelson"/>
    <n v="2348"/>
    <d v="2023-11-27T00:00:00"/>
    <x v="102"/>
    <x v="2"/>
    <x v="5"/>
    <s v="Outlier"/>
  </r>
  <r>
    <n v="751921"/>
    <n v="928"/>
    <x v="9"/>
    <d v="2023-06-22T01:29:00"/>
    <s v="Website"/>
    <s v="Allen Nelson"/>
    <n v="9633"/>
    <d v="2023-06-22T00:00:00"/>
    <x v="103"/>
    <x v="7"/>
    <x v="3"/>
    <s v="Outlier"/>
  </r>
  <r>
    <n v="752092"/>
    <n v="62"/>
    <x v="0"/>
    <d v="2023-01-23T01:07:00"/>
    <s v="App"/>
    <s v="Valarie Nelson"/>
    <n v="9268"/>
    <d v="2023-01-23T00:00:00"/>
    <x v="31"/>
    <x v="9"/>
    <x v="5"/>
    <s v="Outlier"/>
  </r>
  <r>
    <n v="752814"/>
    <n v="1661"/>
    <x v="3"/>
    <d v="2023-11-23T23:40:00"/>
    <s v="Whatsapp"/>
    <s v="Roland Mendel"/>
    <n v="7540"/>
    <d v="2023-11-23T00:00:00"/>
    <x v="1"/>
    <x v="2"/>
    <x v="3"/>
    <s v="Outlier"/>
  </r>
  <r>
    <n v="754290"/>
    <n v="977"/>
    <x v="1"/>
    <d v="2023-03-05T01:51:00"/>
    <s v="App"/>
    <s v="Catherine Dewey"/>
    <n v="7063"/>
    <d v="2023-03-05T00:00:00"/>
    <x v="104"/>
    <x v="4"/>
    <x v="6"/>
    <s v="Outlier"/>
  </r>
  <r>
    <n v="754402"/>
    <n v="164"/>
    <x v="0"/>
    <d v="2023-06-26T01:26:00"/>
    <s v="Whatsapp"/>
    <s v="Arnold Cruz"/>
    <n v="136"/>
    <d v="2023-06-26T00:00:00"/>
    <x v="65"/>
    <x v="7"/>
    <x v="5"/>
    <s v="Outlier"/>
  </r>
  <r>
    <n v="754474"/>
    <n v="48"/>
    <x v="0"/>
    <d v="2023-03-19T22:54:00"/>
    <s v="Whatsapp"/>
    <s v="Laurence Lebihan"/>
    <n v="5288"/>
    <d v="2023-03-19T00:00:00"/>
    <x v="105"/>
    <x v="4"/>
    <x v="6"/>
    <s v="Outlier"/>
  </r>
  <r>
    <n v="756887"/>
    <n v="1676"/>
    <x v="9"/>
    <d v="2023-04-20T00:49:00"/>
    <s v="Whatsapp"/>
    <s v="Valarie Nelson"/>
    <n v="5656"/>
    <d v="2023-04-20T00:00:00"/>
    <x v="35"/>
    <x v="1"/>
    <x v="3"/>
    <s v="Outlier"/>
  </r>
  <r>
    <n v="757855"/>
    <n v="1479"/>
    <x v="0"/>
    <d v="2023-11-12T22:36:00"/>
    <s v="Other"/>
    <s v="Allen Nelson"/>
    <n v="5528"/>
    <d v="2023-11-12T00:00:00"/>
    <x v="106"/>
    <x v="2"/>
    <x v="6"/>
    <s v="Outlier"/>
  </r>
  <r>
    <n v="758496"/>
    <n v="1974"/>
    <x v="0"/>
    <d v="2023-10-09T00:40:00"/>
    <s v="Website"/>
    <s v="Julie Brown"/>
    <n v="2202"/>
    <d v="2023-10-09T00:00:00"/>
    <x v="51"/>
    <x v="3"/>
    <x v="5"/>
    <s v="Outlier"/>
  </r>
  <r>
    <n v="758962"/>
    <n v="1988"/>
    <x v="0"/>
    <d v="2023-05-12T00:51:00"/>
    <s v="Website"/>
    <s v="Anna O'Hara"/>
    <n v="6385"/>
    <d v="2023-05-12T00:00:00"/>
    <x v="93"/>
    <x v="11"/>
    <x v="0"/>
    <s v="Outlier"/>
  </r>
  <r>
    <n v="759664"/>
    <n v="494"/>
    <x v="3"/>
    <d v="2023-07-18T23:40:00"/>
    <s v="Whatsapp"/>
    <s v="Veysel Oeztan"/>
    <n v="8605"/>
    <d v="2023-07-18T00:00:00"/>
    <x v="1"/>
    <x v="6"/>
    <x v="2"/>
    <s v="Outlier"/>
  </r>
  <r>
    <n v="759796"/>
    <n v="92"/>
    <x v="13"/>
    <d v="2023-10-28T00:10:00"/>
    <s v="Other"/>
    <s v="Henriette Pfalzheim"/>
    <n v="545"/>
    <d v="2023-10-28T00:00:00"/>
    <x v="107"/>
    <x v="3"/>
    <x v="1"/>
    <s v="Outlier"/>
  </r>
  <r>
    <n v="760774"/>
    <n v="63"/>
    <x v="8"/>
    <d v="2023-04-03T00:10:00"/>
    <s v="Website"/>
    <s v="Diego Freyre"/>
    <n v="2846"/>
    <d v="2023-04-03T00:00:00"/>
    <x v="107"/>
    <x v="1"/>
    <x v="5"/>
    <s v="Outlier"/>
  </r>
  <r>
    <n v="761079"/>
    <n v="1813"/>
    <x v="0"/>
    <d v="2023-08-11T00:13:00"/>
    <s v="Website"/>
    <s v="Dominique Perrier"/>
    <n v="8446"/>
    <d v="2023-08-11T00:00:00"/>
    <x v="97"/>
    <x v="8"/>
    <x v="0"/>
    <s v="Outlier"/>
  </r>
  <r>
    <n v="761261"/>
    <n v="930"/>
    <x v="6"/>
    <d v="2023-06-18T23:31:00"/>
    <s v="Other"/>
    <s v="Michael Holz"/>
    <n v="2321"/>
    <d v="2023-06-18T00:00:00"/>
    <x v="57"/>
    <x v="7"/>
    <x v="6"/>
    <s v="Outlier"/>
  </r>
  <r>
    <n v="762584"/>
    <n v="226"/>
    <x v="0"/>
    <d v="2023-04-02T01:12:00"/>
    <s v="Whatsapp"/>
    <s v="Jytte Petersen"/>
    <n v="6342"/>
    <d v="2023-04-02T00:00:00"/>
    <x v="52"/>
    <x v="1"/>
    <x v="6"/>
    <s v="Outlier"/>
  </r>
  <r>
    <n v="763962"/>
    <n v="1590"/>
    <x v="5"/>
    <d v="2023-01-16T00:27:00"/>
    <s v="Website"/>
    <s v="Dominique Perrier"/>
    <n v="4623"/>
    <d v="2023-01-16T00:00:00"/>
    <x v="108"/>
    <x v="9"/>
    <x v="5"/>
    <s v="Outlier"/>
  </r>
  <r>
    <n v="764467"/>
    <n v="1998"/>
    <x v="6"/>
    <d v="2023-03-16T01:37:00"/>
    <s v="Whatsapp"/>
    <s v="Sean Connery"/>
    <n v="7362"/>
    <d v="2023-03-16T00:00:00"/>
    <x v="109"/>
    <x v="4"/>
    <x v="3"/>
    <s v="Outlier"/>
  </r>
  <r>
    <n v="765043"/>
    <n v="273"/>
    <x v="0"/>
    <d v="2023-10-23T23:19:00"/>
    <s v="Whatsapp"/>
    <s v="Miguel Barajas"/>
    <n v="7579"/>
    <d v="2023-10-23T00:00:00"/>
    <x v="24"/>
    <x v="3"/>
    <x v="5"/>
    <s v="Outlier"/>
  </r>
  <r>
    <n v="765994"/>
    <n v="220"/>
    <x v="6"/>
    <d v="2023-05-10T00:23:00"/>
    <s v="Website"/>
    <s v="Michael Holz"/>
    <n v="5250"/>
    <d v="2023-05-10T00:00:00"/>
    <x v="6"/>
    <x v="11"/>
    <x v="4"/>
    <s v="Outlier"/>
  </r>
  <r>
    <n v="767130"/>
    <n v="1627"/>
    <x v="6"/>
    <d v="2023-06-19T22:57:00"/>
    <s v="Whatsapp"/>
    <s v="Roland Keitel"/>
    <n v="4936"/>
    <d v="2023-06-19T00:00:00"/>
    <x v="110"/>
    <x v="7"/>
    <x v="5"/>
    <s v="Outlier"/>
  </r>
  <r>
    <n v="767512"/>
    <n v="1219"/>
    <x v="0"/>
    <d v="2023-12-30T00:35:00"/>
    <s v="App"/>
    <s v="Henriette Pfalzheim"/>
    <n v="4002"/>
    <d v="2023-12-30T00:00:00"/>
    <x v="67"/>
    <x v="0"/>
    <x v="1"/>
    <s v="Outlier"/>
  </r>
  <r>
    <n v="767976"/>
    <n v="1079"/>
    <x v="1"/>
    <d v="2023-10-14T00:45:00"/>
    <s v="App"/>
    <s v="Christina Berglund"/>
    <n v="4080"/>
    <d v="2023-10-14T00:00:00"/>
    <x v="29"/>
    <x v="3"/>
    <x v="1"/>
    <s v="Outlier"/>
  </r>
  <r>
    <n v="768093"/>
    <n v="680"/>
    <x v="0"/>
    <d v="2023-03-01T00:30:00"/>
    <s v="Other"/>
    <s v="Arnold Cruz"/>
    <n v="8126"/>
    <d v="2023-03-01T00:00:00"/>
    <x v="111"/>
    <x v="4"/>
    <x v="4"/>
    <s v="Outlier"/>
  </r>
  <r>
    <n v="768435"/>
    <n v="1878"/>
    <x v="4"/>
    <d v="2023-06-15T00:43:00"/>
    <s v="Website"/>
    <s v="Peter Ferguson"/>
    <n v="1281"/>
    <d v="2023-06-15T00:00:00"/>
    <x v="112"/>
    <x v="7"/>
    <x v="3"/>
    <s v="Outlier"/>
  </r>
  <r>
    <n v="769005"/>
    <n v="1308"/>
    <x v="4"/>
    <d v="2023-12-31T01:51:00"/>
    <s v="Other"/>
    <s v="Diego Freyre"/>
    <n v="6183"/>
    <d v="2023-12-31T00:00:00"/>
    <x v="104"/>
    <x v="0"/>
    <x v="6"/>
    <s v="Outlier"/>
  </r>
  <r>
    <n v="769009"/>
    <n v="541"/>
    <x v="0"/>
    <d v="2023-10-07T22:59:00"/>
    <s v="Whatsapp"/>
    <s v="Kalle Suominen"/>
    <n v="2143"/>
    <d v="2023-10-07T00:00:00"/>
    <x v="25"/>
    <x v="3"/>
    <x v="1"/>
    <s v="Outlier"/>
  </r>
  <r>
    <n v="769050"/>
    <n v="1934"/>
    <x v="4"/>
    <d v="2023-03-25T00:01:00"/>
    <s v="App"/>
    <s v="Diego Freyre"/>
    <n v="1290"/>
    <d v="2023-03-25T00:00:00"/>
    <x v="63"/>
    <x v="4"/>
    <x v="1"/>
    <s v="Outlier"/>
  </r>
  <r>
    <n v="770892"/>
    <n v="824"/>
    <x v="0"/>
    <d v="2023-08-02T02:26:00"/>
    <s v="Website"/>
    <s v="Valarie Nelson"/>
    <n v="8032"/>
    <d v="2023-08-02T00:00:00"/>
    <x v="113"/>
    <x v="8"/>
    <x v="4"/>
    <s v="Outlier"/>
  </r>
  <r>
    <n v="772693"/>
    <n v="1191"/>
    <x v="6"/>
    <d v="2023-05-01T23:29:00"/>
    <s v="App"/>
    <s v="Rosa Hernandez"/>
    <n v="8999"/>
    <d v="2023-05-01T00:00:00"/>
    <x v="71"/>
    <x v="11"/>
    <x v="5"/>
    <s v="Outlier"/>
  </r>
  <r>
    <n v="772763"/>
    <n v="452"/>
    <x v="4"/>
    <d v="2023-03-22T00:10:00"/>
    <s v="Whatsapp"/>
    <s v="Carine Schmitt"/>
    <n v="5141"/>
    <d v="2023-03-22T00:00:00"/>
    <x v="107"/>
    <x v="4"/>
    <x v="4"/>
    <s v="Outlier"/>
  </r>
  <r>
    <n v="774603"/>
    <n v="101"/>
    <x v="0"/>
    <d v="2023-05-03T00:55:00"/>
    <s v="Other"/>
    <s v="Paul Henriot"/>
    <n v="1913"/>
    <d v="2023-05-03T00:00:00"/>
    <x v="44"/>
    <x v="11"/>
    <x v="4"/>
    <s v="Outlier"/>
  </r>
  <r>
    <n v="775306"/>
    <n v="655"/>
    <x v="0"/>
    <d v="2023-06-24T23:02:00"/>
    <s v="Website"/>
    <s v="Anna O'Hara"/>
    <n v="7346"/>
    <d v="2023-06-24T00:00:00"/>
    <x v="114"/>
    <x v="7"/>
    <x v="1"/>
    <s v="Outlier"/>
  </r>
  <r>
    <n v="775387"/>
    <n v="945"/>
    <x v="3"/>
    <d v="2023-09-16T23:07:00"/>
    <s v="Whatsapp"/>
    <s v="Palle Ibsen"/>
    <n v="8620"/>
    <d v="2023-09-16T00:00:00"/>
    <x v="40"/>
    <x v="10"/>
    <x v="1"/>
    <s v="Outlier"/>
  </r>
  <r>
    <n v="775856"/>
    <n v="146"/>
    <x v="8"/>
    <d v="2023-10-15T00:24:00"/>
    <s v="App"/>
    <s v="Julie King"/>
    <n v="5780"/>
    <d v="2023-10-15T00:00:00"/>
    <x v="115"/>
    <x v="3"/>
    <x v="6"/>
    <s v="Outlier"/>
  </r>
  <r>
    <n v="778907"/>
    <n v="915"/>
    <x v="3"/>
    <d v="2023-11-08T00:09:00"/>
    <s v="Other"/>
    <s v="Veysel Oeztan"/>
    <n v="8273"/>
    <d v="2023-11-08T00:00:00"/>
    <x v="81"/>
    <x v="2"/>
    <x v="4"/>
    <s v="Outlier"/>
  </r>
  <r>
    <n v="779276"/>
    <n v="1162"/>
    <x v="0"/>
    <d v="2023-06-10T23:57:00"/>
    <s v="Website"/>
    <s v="Valarie Young"/>
    <n v="4738"/>
    <d v="2023-06-10T00:00:00"/>
    <x v="116"/>
    <x v="7"/>
    <x v="1"/>
    <s v="Outlier"/>
  </r>
  <r>
    <n v="780193"/>
    <n v="1979"/>
    <x v="10"/>
    <d v="2023-08-05T01:48:00"/>
    <s v="Other"/>
    <s v="Jeff Young"/>
    <n v="1562"/>
    <d v="2023-08-05T00:00:00"/>
    <x v="46"/>
    <x v="8"/>
    <x v="1"/>
    <s v="Outlier"/>
  </r>
  <r>
    <n v="780651"/>
    <n v="1630"/>
    <x v="3"/>
    <d v="2023-07-23T01:42:00"/>
    <s v="Other"/>
    <s v="Diego Freyre"/>
    <n v="2596"/>
    <d v="2023-07-23T00:00:00"/>
    <x v="14"/>
    <x v="6"/>
    <x v="6"/>
    <s v="Outlier"/>
  </r>
  <r>
    <n v="780700"/>
    <n v="1677"/>
    <x v="2"/>
    <d v="2023-05-09T23:51:00"/>
    <s v="Other"/>
    <s v="Valarie Thompson"/>
    <n v="9948"/>
    <d v="2023-05-09T00:00:00"/>
    <x v="87"/>
    <x v="11"/>
    <x v="2"/>
    <s v="Outlier"/>
  </r>
  <r>
    <n v="780895"/>
    <n v="1569"/>
    <x v="4"/>
    <d v="2023-04-30T23:52:00"/>
    <s v="Website"/>
    <s v="Mory Kentary"/>
    <n v="5917"/>
    <d v="2023-04-30T00:00:00"/>
    <x v="94"/>
    <x v="1"/>
    <x v="6"/>
    <s v="Outlier"/>
  </r>
  <r>
    <n v="781125"/>
    <n v="1723"/>
    <x v="4"/>
    <d v="2023-01-24T00:58:00"/>
    <s v="Other"/>
    <s v="Elizabeth Devon"/>
    <n v="3855"/>
    <d v="2023-01-24T00:00:00"/>
    <x v="28"/>
    <x v="9"/>
    <x v="2"/>
    <s v="Outlier"/>
  </r>
  <r>
    <n v="781195"/>
    <n v="184"/>
    <x v="5"/>
    <d v="2023-11-02T00:11:00"/>
    <s v="App"/>
    <s v="Maurizio Moroni"/>
    <n v="5349"/>
    <d v="2023-11-02T00:00:00"/>
    <x v="10"/>
    <x v="2"/>
    <x v="3"/>
    <s v="Outlier"/>
  </r>
  <r>
    <n v="781771"/>
    <n v="1377"/>
    <x v="7"/>
    <d v="2023-02-12T00:10:00"/>
    <s v="Other"/>
    <s v="Sue King"/>
    <n v="9605"/>
    <d v="2023-02-12T00:00:00"/>
    <x v="107"/>
    <x v="5"/>
    <x v="6"/>
    <s v="Outlier"/>
  </r>
  <r>
    <n v="782836"/>
    <n v="1896"/>
    <x v="3"/>
    <d v="2023-08-03T00:27:00"/>
    <s v="Whatsapp"/>
    <s v="Michael Holz"/>
    <n v="8153"/>
    <d v="2023-08-03T00:00:00"/>
    <x v="108"/>
    <x v="8"/>
    <x v="3"/>
    <s v="Outlier"/>
  </r>
  <r>
    <n v="783763"/>
    <n v="447"/>
    <x v="0"/>
    <d v="2023-07-20T01:32:00"/>
    <s v="App"/>
    <s v="Jan Klaeboe"/>
    <n v="3794"/>
    <d v="2023-07-20T00:00:00"/>
    <x v="117"/>
    <x v="6"/>
    <x v="3"/>
    <s v="Outlier"/>
  </r>
  <r>
    <n v="783822"/>
    <n v="221"/>
    <x v="6"/>
    <d v="2023-11-23T23:33:00"/>
    <s v="App"/>
    <s v="Diego Freyre"/>
    <n v="5404"/>
    <d v="2023-11-23T00:00:00"/>
    <x v="62"/>
    <x v="2"/>
    <x v="3"/>
    <s v="Outlier"/>
  </r>
  <r>
    <n v="784475"/>
    <n v="109"/>
    <x v="0"/>
    <d v="2023-12-24T01:43:00"/>
    <s v="App"/>
    <s v="Violeta Benitez"/>
    <n v="505"/>
    <d v="2023-12-24T00:00:00"/>
    <x v="118"/>
    <x v="0"/>
    <x v="6"/>
    <s v="Outlier"/>
  </r>
  <r>
    <n v="784839"/>
    <n v="222"/>
    <x v="8"/>
    <d v="2023-10-27T22:41:00"/>
    <s v="Whatsapp"/>
    <s v="Rosa Hernandez"/>
    <n v="6391"/>
    <d v="2023-10-27T00:00:00"/>
    <x v="119"/>
    <x v="3"/>
    <x v="0"/>
    <s v="Outlier"/>
  </r>
  <r>
    <n v="786170"/>
    <n v="1676"/>
    <x v="9"/>
    <d v="2023-09-13T00:44:00"/>
    <s v="Website"/>
    <s v="Paul Henriot"/>
    <n v="5008"/>
    <d v="2023-09-13T00:00:00"/>
    <x v="85"/>
    <x v="10"/>
    <x v="4"/>
    <s v="Outlier"/>
  </r>
  <r>
    <n v="787058"/>
    <n v="1587"/>
    <x v="0"/>
    <d v="2023-05-17T00:53:00"/>
    <s v="App"/>
    <s v="Julie Young"/>
    <n v="7663"/>
    <d v="2023-05-17T00:00:00"/>
    <x v="36"/>
    <x v="11"/>
    <x v="4"/>
    <s v="Outlier"/>
  </r>
  <r>
    <n v="787848"/>
    <n v="1855"/>
    <x v="13"/>
    <d v="2023-06-14T23:57:00"/>
    <s v="Whatsapp"/>
    <s v="Diego Freyre"/>
    <n v="7298"/>
    <d v="2023-06-14T00:00:00"/>
    <x v="116"/>
    <x v="7"/>
    <x v="4"/>
    <s v="Outlier"/>
  </r>
  <r>
    <n v="788037"/>
    <n v="284"/>
    <x v="0"/>
    <d v="2023-05-20T00:36:00"/>
    <s v="Whatsapp"/>
    <s v="Jytte Petersen"/>
    <n v="4007"/>
    <d v="2023-05-20T00:00:00"/>
    <x v="120"/>
    <x v="11"/>
    <x v="1"/>
    <s v="Outlier"/>
  </r>
  <r>
    <n v="788243"/>
    <n v="1856"/>
    <x v="0"/>
    <d v="2023-10-19T00:12:00"/>
    <s v="App"/>
    <s v="Georg Pipps"/>
    <n v="1117"/>
    <d v="2023-10-19T00:00:00"/>
    <x v="19"/>
    <x v="3"/>
    <x v="3"/>
    <s v="Outlier"/>
  </r>
  <r>
    <n v="788263"/>
    <n v="759"/>
    <x v="0"/>
    <d v="2023-01-08T01:04:00"/>
    <s v="App"/>
    <s v="Arnold Cruz"/>
    <n v="8883"/>
    <d v="2023-01-08T00:00:00"/>
    <x v="121"/>
    <x v="9"/>
    <x v="6"/>
    <s v="Outlier"/>
  </r>
  <r>
    <n v="788290"/>
    <n v="29"/>
    <x v="4"/>
    <d v="2023-08-29T01:11:00"/>
    <s v="App"/>
    <s v="Laurence Lebihan"/>
    <n v="9872"/>
    <d v="2023-08-29T00:00:00"/>
    <x v="122"/>
    <x v="8"/>
    <x v="2"/>
    <s v="Outlier"/>
  </r>
  <r>
    <n v="789675"/>
    <n v="817"/>
    <x v="0"/>
    <d v="2023-10-12T00:15:00"/>
    <s v="Website"/>
    <s v="Valarie Nelson"/>
    <n v="627"/>
    <d v="2023-10-12T00:00:00"/>
    <x v="123"/>
    <x v="3"/>
    <x v="3"/>
    <s v="Outlier"/>
  </r>
  <r>
    <n v="794197"/>
    <n v="313"/>
    <x v="1"/>
    <d v="2023-09-01T23:47:00"/>
    <s v="Other"/>
    <s v="Dan Lewis"/>
    <n v="4130"/>
    <d v="2023-09-01T00:00:00"/>
    <x v="100"/>
    <x v="10"/>
    <x v="0"/>
    <s v="Outlier"/>
  </r>
  <r>
    <n v="794297"/>
    <n v="221"/>
    <x v="6"/>
    <d v="2023-07-04T00:50:00"/>
    <s v="Other"/>
    <s v="Julie Brown"/>
    <n v="7199"/>
    <d v="2023-07-04T00:00:00"/>
    <x v="0"/>
    <x v="6"/>
    <x v="2"/>
    <s v="Outlier"/>
  </r>
  <r>
    <n v="794975"/>
    <n v="738"/>
    <x v="3"/>
    <d v="2023-02-22T01:24:00"/>
    <s v="App"/>
    <s v="Anna O'Hara"/>
    <n v="1230"/>
    <d v="2023-02-22T00:00:00"/>
    <x v="124"/>
    <x v="5"/>
    <x v="4"/>
    <s v="Outlier"/>
  </r>
  <r>
    <n v="795216"/>
    <n v="1588"/>
    <x v="3"/>
    <d v="2023-12-08T00:09:00"/>
    <s v="Whatsapp"/>
    <s v="Martine Rance"/>
    <n v="1033"/>
    <d v="2023-12-08T00:00:00"/>
    <x v="81"/>
    <x v="0"/>
    <x v="0"/>
    <s v="Outlier"/>
  </r>
  <r>
    <n v="795276"/>
    <n v="836"/>
    <x v="1"/>
    <d v="2023-04-18T22:55:00"/>
    <s v="Whatsapp"/>
    <s v="Henriette Pfalzheim"/>
    <n v="1032"/>
    <d v="2023-04-18T00:00:00"/>
    <x v="125"/>
    <x v="1"/>
    <x v="2"/>
    <s v="Outlier"/>
  </r>
  <r>
    <n v="797415"/>
    <n v="842"/>
    <x v="3"/>
    <d v="2023-12-09T00:00:00"/>
    <s v="Website"/>
    <s v="Dominique Perrier"/>
    <n v="7700"/>
    <d v="2023-12-09T00:00:00"/>
    <x v="126"/>
    <x v="0"/>
    <x v="1"/>
    <s v="Outlier"/>
  </r>
  <r>
    <n v="797735"/>
    <n v="1192"/>
    <x v="0"/>
    <d v="2023-12-16T01:10:00"/>
    <s v="Website"/>
    <s v="Martine Rance"/>
    <n v="322"/>
    <d v="2023-12-16T00:00:00"/>
    <x v="7"/>
    <x v="0"/>
    <x v="1"/>
    <s v="Outlier"/>
  </r>
  <r>
    <n v="797824"/>
    <n v="931"/>
    <x v="0"/>
    <d v="2023-08-26T23:38:00"/>
    <s v="Other"/>
    <s v="Michael Frick"/>
    <n v="7354"/>
    <d v="2023-08-26T00:00:00"/>
    <x v="80"/>
    <x v="8"/>
    <x v="1"/>
    <s v="Outlier"/>
  </r>
  <r>
    <n v="798176"/>
    <n v="1070"/>
    <x v="5"/>
    <d v="2023-12-23T01:15:00"/>
    <s v="Whatsapp"/>
    <s v="Dominique Perrier"/>
    <n v="311"/>
    <d v="2023-12-23T00:00:00"/>
    <x v="127"/>
    <x v="0"/>
    <x v="1"/>
    <s v="Outlier"/>
  </r>
  <r>
    <n v="799277"/>
    <n v="1432"/>
    <x v="0"/>
    <d v="2023-11-28T23:31:00"/>
    <s v="App"/>
    <s v="Juri Yoshido"/>
    <n v="9518"/>
    <d v="2023-11-28T00:00:00"/>
    <x v="57"/>
    <x v="2"/>
    <x v="2"/>
    <s v="Outlier"/>
  </r>
  <r>
    <n v="800145"/>
    <n v="653"/>
    <x v="3"/>
    <d v="2023-04-01T00:49:00"/>
    <s v="Website"/>
    <s v="Miguel Barajas"/>
    <n v="2086"/>
    <d v="2023-04-01T00:00:00"/>
    <x v="35"/>
    <x v="1"/>
    <x v="1"/>
    <s v="Outlier"/>
  </r>
  <r>
    <n v="800248"/>
    <n v="1360"/>
    <x v="4"/>
    <d v="2023-07-23T01:21:00"/>
    <s v="Website"/>
    <s v="Marie Bertrand"/>
    <n v="4265"/>
    <d v="2023-07-23T00:00:00"/>
    <x v="128"/>
    <x v="6"/>
    <x v="6"/>
    <s v="Outlier"/>
  </r>
  <r>
    <n v="800421"/>
    <n v="736"/>
    <x v="0"/>
    <d v="2023-07-26T02:00:00"/>
    <s v="App"/>
    <s v="Matti Karttunen"/>
    <n v="3687"/>
    <d v="2023-07-26T00:00:00"/>
    <x v="23"/>
    <x v="6"/>
    <x v="4"/>
    <s v="Outlier"/>
  </r>
  <r>
    <n v="801394"/>
    <n v="1922"/>
    <x v="4"/>
    <d v="2023-04-01T01:46:00"/>
    <s v="Website"/>
    <s v="Henriette Pfalzheim"/>
    <n v="5526"/>
    <d v="2023-04-01T00:00:00"/>
    <x v="129"/>
    <x v="1"/>
    <x v="1"/>
    <s v="Outlier"/>
  </r>
  <r>
    <n v="802352"/>
    <n v="1838"/>
    <x v="0"/>
    <d v="2023-06-09T01:03:00"/>
    <s v="Website"/>
    <s v="Kee Kuo"/>
    <n v="7995"/>
    <d v="2023-06-09T00:00:00"/>
    <x v="130"/>
    <x v="7"/>
    <x v="0"/>
    <s v="Outlier"/>
  </r>
  <r>
    <n v="804031"/>
    <n v="1267"/>
    <x v="2"/>
    <d v="2023-01-02T01:19:00"/>
    <s v="Other"/>
    <s v="Arnold Cruz"/>
    <n v="9935"/>
    <d v="2023-01-02T00:00:00"/>
    <x v="95"/>
    <x v="9"/>
    <x v="5"/>
    <s v="Outlier"/>
  </r>
  <r>
    <n v="804076"/>
    <n v="279"/>
    <x v="1"/>
    <d v="2023-08-13T00:13:00"/>
    <s v="Other"/>
    <s v="Peter Ferguson"/>
    <n v="4684"/>
    <d v="2023-08-13T00:00:00"/>
    <x v="97"/>
    <x v="8"/>
    <x v="6"/>
    <s v="Outlier"/>
  </r>
  <r>
    <n v="804356"/>
    <n v="1586"/>
    <x v="3"/>
    <d v="2023-09-05T02:07:00"/>
    <s v="Whatsapp"/>
    <s v="Diego Freyre"/>
    <n v="9054"/>
    <d v="2023-09-05T00:00:00"/>
    <x v="131"/>
    <x v="10"/>
    <x v="2"/>
    <s v="Outlier"/>
  </r>
  <r>
    <n v="805121"/>
    <n v="704"/>
    <x v="0"/>
    <d v="2023-09-05T01:46:00"/>
    <s v="Website"/>
    <s v="Kalle Suominen"/>
    <n v="6764"/>
    <d v="2023-09-05T00:00:00"/>
    <x v="129"/>
    <x v="10"/>
    <x v="2"/>
    <s v="Outlier"/>
  </r>
  <r>
    <n v="805282"/>
    <n v="935"/>
    <x v="3"/>
    <d v="2023-08-10T00:22:00"/>
    <s v="Whatsapp"/>
    <s v="Diego Freyre"/>
    <n v="7748"/>
    <d v="2023-08-10T00:00:00"/>
    <x v="54"/>
    <x v="8"/>
    <x v="3"/>
    <s v="Outlier"/>
  </r>
  <r>
    <n v="806906"/>
    <n v="1603"/>
    <x v="0"/>
    <d v="2023-05-12T23:20:00"/>
    <s v="Website"/>
    <s v="Valarie Nelson"/>
    <n v="585"/>
    <d v="2023-05-12T00:00:00"/>
    <x v="27"/>
    <x v="11"/>
    <x v="0"/>
    <s v="Outlier"/>
  </r>
  <r>
    <n v="807901"/>
    <n v="768"/>
    <x v="0"/>
    <d v="2023-02-14T01:37:00"/>
    <s v="Other"/>
    <s v="Elizabeth Devon"/>
    <n v="1538"/>
    <d v="2023-02-14T00:00:00"/>
    <x v="109"/>
    <x v="5"/>
    <x v="2"/>
    <s v="Outlier"/>
  </r>
  <r>
    <n v="808278"/>
    <n v="1796"/>
    <x v="13"/>
    <d v="2023-09-25T23:39:00"/>
    <s v="Website"/>
    <s v="Giovanni Rovelli"/>
    <n v="1968"/>
    <d v="2023-09-25T00:00:00"/>
    <x v="101"/>
    <x v="10"/>
    <x v="5"/>
    <s v="Outlier"/>
  </r>
  <r>
    <n v="808789"/>
    <n v="1538"/>
    <x v="0"/>
    <d v="2023-07-16T23:29:00"/>
    <s v="Whatsapp"/>
    <s v="Georg Pipps"/>
    <n v="5681"/>
    <d v="2023-07-16T00:00:00"/>
    <x v="71"/>
    <x v="6"/>
    <x v="6"/>
    <s v="Outlier"/>
  </r>
  <r>
    <n v="810114"/>
    <n v="62"/>
    <x v="0"/>
    <d v="2023-06-04T01:59:00"/>
    <s v="App"/>
    <s v="Leslie Taylor"/>
    <n v="2084"/>
    <d v="2023-06-04T00:00:00"/>
    <x v="132"/>
    <x v="7"/>
    <x v="6"/>
    <s v="Outlier"/>
  </r>
  <r>
    <n v="812395"/>
    <n v="717"/>
    <x v="6"/>
    <d v="2023-08-01T23:24:00"/>
    <s v="Other"/>
    <s v="Wing C Tam"/>
    <n v="9421"/>
    <d v="2023-08-01T00:00:00"/>
    <x v="56"/>
    <x v="8"/>
    <x v="2"/>
    <s v="Outlier"/>
  </r>
  <r>
    <n v="812558"/>
    <n v="1160"/>
    <x v="6"/>
    <d v="2023-06-23T01:03:00"/>
    <s v="App"/>
    <s v="Matti Karttunen"/>
    <n v="4185"/>
    <d v="2023-06-23T00:00:00"/>
    <x v="130"/>
    <x v="7"/>
    <x v="0"/>
    <s v="Outlier"/>
  </r>
  <r>
    <n v="812612"/>
    <n v="509"/>
    <x v="3"/>
    <d v="2023-11-26T01:29:00"/>
    <s v="Whatsapp"/>
    <s v="Maria Larsson"/>
    <n v="3471"/>
    <d v="2023-11-26T00:00:00"/>
    <x v="103"/>
    <x v="2"/>
    <x v="6"/>
    <s v="Outlier"/>
  </r>
  <r>
    <n v="812864"/>
    <n v="1007"/>
    <x v="0"/>
    <d v="2023-08-11T00:11:00"/>
    <s v="Website"/>
    <s v="Annette Roulet"/>
    <n v="9730"/>
    <d v="2023-08-11T00:00:00"/>
    <x v="10"/>
    <x v="8"/>
    <x v="0"/>
    <s v="Outlier"/>
  </r>
  <r>
    <n v="813036"/>
    <n v="22"/>
    <x v="4"/>
    <d v="2023-11-18T22:41:00"/>
    <s v="App"/>
    <s v="Thomas Hardy"/>
    <n v="5132"/>
    <d v="2023-11-18T00:00:00"/>
    <x v="119"/>
    <x v="2"/>
    <x v="1"/>
    <s v="Outlier"/>
  </r>
  <r>
    <n v="813819"/>
    <n v="437"/>
    <x v="0"/>
    <d v="2023-02-24T23:21:00"/>
    <s v="App"/>
    <s v="Eduardo Saavedra"/>
    <n v="8001"/>
    <d v="2023-02-24T00:00:00"/>
    <x v="69"/>
    <x v="5"/>
    <x v="0"/>
    <s v="Outlier"/>
  </r>
  <r>
    <n v="813822"/>
    <n v="894"/>
    <x v="6"/>
    <d v="2023-04-14T22:50:00"/>
    <s v="Whatsapp"/>
    <s v="Michael Chandler"/>
    <n v="3283"/>
    <d v="2023-04-14T00:00:00"/>
    <x v="133"/>
    <x v="1"/>
    <x v="0"/>
    <s v="Outlier"/>
  </r>
  <r>
    <n v="814175"/>
    <n v="836"/>
    <x v="1"/>
    <d v="2023-03-30T00:55:00"/>
    <s v="Website"/>
    <s v="Valarie Thompson"/>
    <n v="7467"/>
    <d v="2023-03-30T00:00:00"/>
    <x v="44"/>
    <x v="4"/>
    <x v="3"/>
    <s v="Outlier"/>
  </r>
  <r>
    <n v="814705"/>
    <n v="1590"/>
    <x v="5"/>
    <d v="2023-04-08T00:27:00"/>
    <s v="Whatsapp"/>
    <s v="Kyung Tseng"/>
    <n v="6227"/>
    <d v="2023-04-08T00:00:00"/>
    <x v="108"/>
    <x v="1"/>
    <x v="1"/>
    <s v="Outlier"/>
  </r>
  <r>
    <n v="816536"/>
    <n v="1147"/>
    <x v="3"/>
    <d v="2023-09-11T23:28:00"/>
    <s v="Whatsapp"/>
    <s v="Diego Freyre"/>
    <n v="5485"/>
    <d v="2023-09-11T00:00:00"/>
    <x v="134"/>
    <x v="10"/>
    <x v="5"/>
    <s v="Outlier"/>
  </r>
  <r>
    <n v="817610"/>
    <n v="493"/>
    <x v="0"/>
    <d v="2023-01-04T23:36:00"/>
    <s v="Website"/>
    <s v="Catherine Dewey"/>
    <n v="4047"/>
    <d v="2023-01-04T00:00:00"/>
    <x v="135"/>
    <x v="9"/>
    <x v="4"/>
    <s v="Outlier"/>
  </r>
  <r>
    <n v="818956"/>
    <n v="857"/>
    <x v="0"/>
    <d v="2023-07-05T00:34:00"/>
    <s v="Whatsapp"/>
    <s v="Elizabeth Lincoln"/>
    <n v="1268"/>
    <d v="2023-07-05T00:00:00"/>
    <x v="21"/>
    <x v="6"/>
    <x v="4"/>
    <s v="Outlier"/>
  </r>
  <r>
    <n v="821575"/>
    <n v="1215"/>
    <x v="0"/>
    <d v="2023-01-11T00:54:00"/>
    <s v="Website"/>
    <s v="Michael Donnermeyer"/>
    <n v="4655"/>
    <d v="2023-01-11T00:00:00"/>
    <x v="73"/>
    <x v="9"/>
    <x v="4"/>
    <s v="Outlier"/>
  </r>
  <r>
    <n v="822544"/>
    <n v="1930"/>
    <x v="0"/>
    <d v="2023-09-04T02:00:00"/>
    <s v="Website"/>
    <s v="Francisca Cervantes"/>
    <n v="708"/>
    <d v="2023-09-04T00:00:00"/>
    <x v="23"/>
    <x v="10"/>
    <x v="5"/>
    <s v="Outlier"/>
  </r>
  <r>
    <n v="822906"/>
    <n v="882"/>
    <x v="5"/>
    <d v="2023-10-02T00:29:00"/>
    <s v="App"/>
    <s v="Helen Bennett"/>
    <n v="8093"/>
    <d v="2023-10-02T00:00:00"/>
    <x v="50"/>
    <x v="3"/>
    <x v="5"/>
    <s v="Outlier"/>
  </r>
  <r>
    <n v="823294"/>
    <n v="1466"/>
    <x v="12"/>
    <d v="2023-12-01T23:15:00"/>
    <s v="App"/>
    <s v="Giovanni Rovelli"/>
    <n v="255"/>
    <d v="2023-12-01T00:00:00"/>
    <x v="136"/>
    <x v="0"/>
    <x v="0"/>
    <s v="Outlier"/>
  </r>
  <r>
    <n v="823885"/>
    <n v="687"/>
    <x v="3"/>
    <d v="2023-05-08T01:04:00"/>
    <s v="Whatsapp"/>
    <s v="Pascale Cartrain"/>
    <n v="5519"/>
    <d v="2023-05-08T00:00:00"/>
    <x v="121"/>
    <x v="11"/>
    <x v="5"/>
    <s v="Outlier"/>
  </r>
  <r>
    <n v="823894"/>
    <n v="700"/>
    <x v="0"/>
    <d v="2023-04-17T00:58:00"/>
    <s v="Website"/>
    <s v="Ann Brown"/>
    <n v="1666"/>
    <d v="2023-04-17T00:00:00"/>
    <x v="28"/>
    <x v="1"/>
    <x v="5"/>
    <s v="Outlier"/>
  </r>
  <r>
    <n v="824383"/>
    <n v="1728"/>
    <x v="3"/>
    <d v="2023-01-02T00:48:00"/>
    <s v="Website"/>
    <s v="Pirkko Koskitalo"/>
    <n v="66"/>
    <d v="2023-01-02T00:00:00"/>
    <x v="88"/>
    <x v="9"/>
    <x v="5"/>
    <s v="Outlier"/>
  </r>
  <r>
    <n v="824598"/>
    <n v="189"/>
    <x v="0"/>
    <d v="2023-11-23T00:49:00"/>
    <s v="Other"/>
    <s v="Diego Freyre"/>
    <n v="5989"/>
    <d v="2023-11-23T00:00:00"/>
    <x v="35"/>
    <x v="2"/>
    <x v="3"/>
    <s v="Outlier"/>
  </r>
  <r>
    <n v="825270"/>
    <n v="926"/>
    <x v="0"/>
    <d v="2023-01-13T23:22:00"/>
    <s v="App"/>
    <s v="Paul Henriot"/>
    <n v="9917"/>
    <d v="2023-01-13T00:00:00"/>
    <x v="137"/>
    <x v="9"/>
    <x v="0"/>
    <s v="Outlier"/>
  </r>
  <r>
    <n v="825424"/>
    <n v="916"/>
    <x v="3"/>
    <d v="2023-06-17T00:50:00"/>
    <s v="Whatsapp"/>
    <s v="Sue Frick"/>
    <n v="7143"/>
    <d v="2023-06-17T00:00:00"/>
    <x v="0"/>
    <x v="7"/>
    <x v="1"/>
    <s v="Outlier"/>
  </r>
  <r>
    <n v="829148"/>
    <n v="1294"/>
    <x v="3"/>
    <d v="2023-01-17T00:34:00"/>
    <s v="Whatsapp"/>
    <s v="Sean Connery"/>
    <n v="2908"/>
    <d v="2023-01-17T00:00:00"/>
    <x v="21"/>
    <x v="9"/>
    <x v="2"/>
    <s v="Outlier"/>
  </r>
  <r>
    <n v="829375"/>
    <n v="956"/>
    <x v="3"/>
    <d v="2023-09-14T00:16:00"/>
    <s v="Other"/>
    <s v="Diego Freyre"/>
    <n v="1515"/>
    <d v="2023-09-14T00:00:00"/>
    <x v="61"/>
    <x v="10"/>
    <x v="3"/>
    <s v="Outlier"/>
  </r>
  <r>
    <n v="831130"/>
    <n v="315"/>
    <x v="1"/>
    <d v="2023-09-11T00:35:00"/>
    <s v="Website"/>
    <s v="Eric Natividad"/>
    <n v="7205"/>
    <d v="2023-09-11T00:00:00"/>
    <x v="67"/>
    <x v="10"/>
    <x v="5"/>
    <s v="Outlier"/>
  </r>
  <r>
    <n v="831821"/>
    <n v="609"/>
    <x v="0"/>
    <d v="2023-05-23T00:35:00"/>
    <s v="App"/>
    <s v="Jeff Young"/>
    <n v="1827"/>
    <d v="2023-05-23T00:00:00"/>
    <x v="67"/>
    <x v="11"/>
    <x v="2"/>
    <s v="Outlier"/>
  </r>
  <r>
    <n v="831974"/>
    <n v="548"/>
    <x v="0"/>
    <d v="2023-12-26T00:54:00"/>
    <s v="Website"/>
    <s v="Valarie Nelson"/>
    <n v="6182"/>
    <d v="2023-12-26T00:00:00"/>
    <x v="73"/>
    <x v="0"/>
    <x v="2"/>
    <s v="Outlier"/>
  </r>
  <r>
    <n v="832154"/>
    <n v="1586"/>
    <x v="3"/>
    <d v="2023-05-15T00:57:00"/>
    <s v="Other"/>
    <s v="Tony Calaghan"/>
    <n v="1928"/>
    <d v="2023-05-15T00:00:00"/>
    <x v="42"/>
    <x v="11"/>
    <x v="5"/>
    <s v="Outlier"/>
  </r>
  <r>
    <n v="832361"/>
    <n v="1891"/>
    <x v="5"/>
    <d v="2023-02-25T00:50:00"/>
    <s v="Other"/>
    <s v="Eric Natividad"/>
    <n v="6245"/>
    <d v="2023-02-25T00:00:00"/>
    <x v="0"/>
    <x v="5"/>
    <x v="1"/>
    <s v="Outlier"/>
  </r>
  <r>
    <n v="832627"/>
    <n v="1634"/>
    <x v="4"/>
    <d v="2023-06-18T23:56:00"/>
    <s v="Other"/>
    <s v="Maurizio Moroni"/>
    <n v="1375"/>
    <d v="2023-06-18T00:00:00"/>
    <x v="138"/>
    <x v="7"/>
    <x v="6"/>
    <s v="Outlier"/>
  </r>
  <r>
    <n v="833286"/>
    <n v="1797"/>
    <x v="0"/>
    <d v="2023-12-16T23:42:00"/>
    <s v="Whatsapp"/>
    <s v="Wing C Tam"/>
    <n v="1274"/>
    <d v="2023-12-16T00:00:00"/>
    <x v="38"/>
    <x v="0"/>
    <x v="1"/>
    <s v="Outlier"/>
  </r>
  <r>
    <n v="833957"/>
    <n v="1398"/>
    <x v="13"/>
    <d v="2023-12-24T00:18:00"/>
    <s v="Website"/>
    <s v="Leslie Murphy"/>
    <n v="4953"/>
    <d v="2023-12-24T00:00:00"/>
    <x v="139"/>
    <x v="0"/>
    <x v="6"/>
    <s v="Outlier"/>
  </r>
  <r>
    <n v="834746"/>
    <n v="1204"/>
    <x v="0"/>
    <d v="2023-03-14T00:51:00"/>
    <s v="Whatsapp"/>
    <s v="Valarie Franco"/>
    <n v="3237"/>
    <d v="2023-03-14T00:00:00"/>
    <x v="93"/>
    <x v="4"/>
    <x v="2"/>
    <s v="Outlier"/>
  </r>
  <r>
    <n v="835376"/>
    <n v="1936"/>
    <x v="6"/>
    <d v="2023-03-23T00:22:00"/>
    <s v="App"/>
    <s v="Dean Cassidy"/>
    <n v="6418"/>
    <d v="2023-03-23T00:00:00"/>
    <x v="54"/>
    <x v="4"/>
    <x v="3"/>
    <s v="Outlier"/>
  </r>
  <r>
    <n v="837272"/>
    <n v="924"/>
    <x v="1"/>
    <d v="2023-04-07T00:55:00"/>
    <s v="App"/>
    <s v="Roland Keitel"/>
    <n v="3774"/>
    <d v="2023-04-07T00:00:00"/>
    <x v="44"/>
    <x v="1"/>
    <x v="0"/>
    <s v="Outlier"/>
  </r>
  <r>
    <n v="837273"/>
    <n v="226"/>
    <x v="0"/>
    <d v="2023-12-13T23:28:00"/>
    <s v="Other"/>
    <s v="Kalle Suominen"/>
    <n v="2647"/>
    <d v="2023-12-13T00:00:00"/>
    <x v="134"/>
    <x v="0"/>
    <x v="4"/>
    <s v="Outlier"/>
  </r>
  <r>
    <n v="837435"/>
    <n v="670"/>
    <x v="6"/>
    <d v="2023-09-04T23:52:00"/>
    <s v="Whatsapp"/>
    <s v="Kyung Yu"/>
    <n v="4671"/>
    <d v="2023-09-04T00:00:00"/>
    <x v="94"/>
    <x v="10"/>
    <x v="5"/>
    <s v="Outlier"/>
  </r>
  <r>
    <n v="837592"/>
    <n v="1839"/>
    <x v="7"/>
    <d v="2023-01-06T01:53:00"/>
    <s v="App"/>
    <s v="Valarie Nelson"/>
    <n v="4917"/>
    <d v="2023-01-06T00:00:00"/>
    <x v="102"/>
    <x v="9"/>
    <x v="0"/>
    <s v="Outlier"/>
  </r>
  <r>
    <n v="837731"/>
    <n v="783"/>
    <x v="0"/>
    <d v="2023-08-28T23:18:00"/>
    <s v="Other"/>
    <s v="Kwai Yu"/>
    <n v="3632"/>
    <d v="2023-08-28T00:00:00"/>
    <x v="140"/>
    <x v="8"/>
    <x v="5"/>
    <s v="Outlier"/>
  </r>
  <r>
    <n v="839161"/>
    <n v="1055"/>
    <x v="1"/>
    <d v="2023-08-22T00:44:00"/>
    <s v="App"/>
    <s v="Victoria Ashworth"/>
    <n v="9736"/>
    <d v="2023-08-22T00:00:00"/>
    <x v="85"/>
    <x v="8"/>
    <x v="2"/>
    <s v="Outlier"/>
  </r>
  <r>
    <n v="840518"/>
    <n v="1150"/>
    <x v="0"/>
    <d v="2023-09-25T23:20:00"/>
    <s v="Other"/>
    <s v="Palle Ibsen"/>
    <n v="4427"/>
    <d v="2023-09-25T00:00:00"/>
    <x v="27"/>
    <x v="10"/>
    <x v="5"/>
    <s v="Outlier"/>
  </r>
  <r>
    <n v="840743"/>
    <n v="736"/>
    <x v="0"/>
    <d v="2023-11-01T23:25:00"/>
    <s v="Website"/>
    <s v="Michael Frick"/>
    <n v="3437"/>
    <d v="2023-11-01T00:00:00"/>
    <x v="141"/>
    <x v="2"/>
    <x v="4"/>
    <s v="Outlier"/>
  </r>
  <r>
    <n v="841079"/>
    <n v="1350"/>
    <x v="4"/>
    <d v="2023-07-03T01:22:00"/>
    <s v="Other"/>
    <s v="Maria Hernandez"/>
    <n v="9133"/>
    <d v="2023-07-03T00:00:00"/>
    <x v="142"/>
    <x v="6"/>
    <x v="5"/>
    <s v="Outlier"/>
  </r>
  <r>
    <n v="841572"/>
    <n v="622"/>
    <x v="1"/>
    <d v="2023-02-28T22:36:00"/>
    <s v="App"/>
    <s v="Jeff Young"/>
    <n v="7748"/>
    <d v="2023-02-28T00:00:00"/>
    <x v="106"/>
    <x v="5"/>
    <x v="2"/>
    <s v="Outlier"/>
  </r>
  <r>
    <n v="844238"/>
    <n v="16"/>
    <x v="8"/>
    <d v="2023-07-24T00:40:00"/>
    <s v="App"/>
    <s v="Diego Freyre"/>
    <n v="4887"/>
    <d v="2023-07-24T00:00:00"/>
    <x v="51"/>
    <x v="6"/>
    <x v="5"/>
    <s v="Outlier"/>
  </r>
  <r>
    <n v="844243"/>
    <n v="1897"/>
    <x v="0"/>
    <d v="2023-08-18T22:35:00"/>
    <s v="Website"/>
    <s v="Akiko Shimamura"/>
    <n v="911"/>
    <d v="2023-08-18T00:00:00"/>
    <x v="55"/>
    <x v="8"/>
    <x v="0"/>
    <s v="Outlier"/>
  </r>
  <r>
    <n v="844669"/>
    <n v="1599"/>
    <x v="0"/>
    <d v="2023-10-03T00:05:00"/>
    <s v="Website"/>
    <s v="Diego Freyre"/>
    <n v="3252"/>
    <d v="2023-10-03T00:00:00"/>
    <x v="48"/>
    <x v="3"/>
    <x v="2"/>
    <s v="Outlier"/>
  </r>
  <r>
    <n v="844797"/>
    <n v="1785"/>
    <x v="5"/>
    <d v="2023-11-01T01:54:00"/>
    <s v="Whatsapp"/>
    <s v="Diego Freyre"/>
    <n v="4452"/>
    <d v="2023-11-01T00:00:00"/>
    <x v="143"/>
    <x v="2"/>
    <x v="4"/>
    <s v="Outlier"/>
  </r>
  <r>
    <n v="844829"/>
    <n v="1597"/>
    <x v="13"/>
    <d v="2023-02-06T00:33:00"/>
    <s v="Website"/>
    <s v="Julie King"/>
    <n v="6954"/>
    <d v="2023-02-06T00:00:00"/>
    <x v="53"/>
    <x v="5"/>
    <x v="5"/>
    <s v="Outlier"/>
  </r>
  <r>
    <n v="845718"/>
    <n v="90"/>
    <x v="0"/>
    <d v="2023-02-15T23:01:00"/>
    <s v="Other"/>
    <s v="Valarie Young"/>
    <n v="1208"/>
    <d v="2023-02-15T00:00:00"/>
    <x v="144"/>
    <x v="5"/>
    <x v="4"/>
    <s v="Outlier"/>
  </r>
  <r>
    <n v="845773"/>
    <n v="509"/>
    <x v="3"/>
    <d v="2023-10-20T00:35:00"/>
    <s v="Other"/>
    <s v="Victoria Ashworth"/>
    <n v="1906"/>
    <d v="2023-10-20T00:00:00"/>
    <x v="67"/>
    <x v="3"/>
    <x v="0"/>
    <s v="Outlier"/>
  </r>
  <r>
    <n v="846161"/>
    <n v="458"/>
    <x v="10"/>
    <d v="2023-07-17T00:03:00"/>
    <s v="Whatsapp"/>
    <s v="Sue King"/>
    <n v="2523"/>
    <d v="2023-07-17T00:00:00"/>
    <x v="72"/>
    <x v="6"/>
    <x v="5"/>
    <s v="Outlier"/>
  </r>
  <r>
    <n v="846198"/>
    <n v="312"/>
    <x v="2"/>
    <d v="2023-11-05T23:02:00"/>
    <s v="Other"/>
    <s v="Anna O'Hara"/>
    <n v="9762"/>
    <d v="2023-11-05T00:00:00"/>
    <x v="114"/>
    <x v="2"/>
    <x v="6"/>
    <s v="Outlier"/>
  </r>
  <r>
    <n v="846209"/>
    <n v="1271"/>
    <x v="3"/>
    <d v="2023-02-20T00:58:00"/>
    <s v="Website"/>
    <s v="Julie Brown"/>
    <n v="9945"/>
    <d v="2023-02-20T00:00:00"/>
    <x v="28"/>
    <x v="5"/>
    <x v="5"/>
    <s v="Outlier"/>
  </r>
  <r>
    <n v="846419"/>
    <n v="1731"/>
    <x v="4"/>
    <d v="2023-06-03T22:40:00"/>
    <s v="App"/>
    <s v="Giovanni Rovelli"/>
    <n v="3664"/>
    <d v="2023-06-03T00:00:00"/>
    <x v="145"/>
    <x v="7"/>
    <x v="1"/>
    <s v="Outlier"/>
  </r>
  <r>
    <n v="846919"/>
    <n v="338"/>
    <x v="1"/>
    <d v="2023-08-20T02:07:00"/>
    <s v="Website"/>
    <s v="Valarie Nelson"/>
    <n v="2100"/>
    <d v="2023-08-20T00:00:00"/>
    <x v="131"/>
    <x v="8"/>
    <x v="6"/>
    <s v="Outlier"/>
  </r>
  <r>
    <n v="847595"/>
    <n v="558"/>
    <x v="1"/>
    <d v="2023-07-08T01:22:00"/>
    <s v="Other"/>
    <s v="Sean Connery"/>
    <n v="7327"/>
    <d v="2023-07-08T00:00:00"/>
    <x v="142"/>
    <x v="6"/>
    <x v="1"/>
    <s v="Outlier"/>
  </r>
  <r>
    <n v="848551"/>
    <n v="330"/>
    <x v="1"/>
    <d v="2023-01-25T00:12:00"/>
    <s v="Whatsapp"/>
    <s v="Jeff Young"/>
    <n v="6624"/>
    <d v="2023-01-25T00:00:00"/>
    <x v="19"/>
    <x v="9"/>
    <x v="4"/>
    <s v="Outlier"/>
  </r>
  <r>
    <n v="848868"/>
    <n v="1010"/>
    <x v="4"/>
    <d v="2023-07-25T23:44:00"/>
    <s v="App"/>
    <s v="Thomas Hardy"/>
    <n v="7710"/>
    <d v="2023-07-25T00:00:00"/>
    <x v="146"/>
    <x v="6"/>
    <x v="2"/>
    <s v="Outlier"/>
  </r>
  <r>
    <n v="849992"/>
    <n v="445"/>
    <x v="0"/>
    <d v="2023-01-14T23:01:00"/>
    <s v="Whatsapp"/>
    <s v="Mary Saveley"/>
    <n v="4522"/>
    <d v="2023-01-14T00:00:00"/>
    <x v="144"/>
    <x v="9"/>
    <x v="1"/>
    <s v="Outlier"/>
  </r>
  <r>
    <n v="850051"/>
    <n v="1914"/>
    <x v="6"/>
    <d v="2023-10-31T23:40:00"/>
    <s v="App"/>
    <s v="Frederique Citeaux"/>
    <n v="6638"/>
    <d v="2023-10-31T00:00:00"/>
    <x v="1"/>
    <x v="3"/>
    <x v="2"/>
    <s v="Outlier"/>
  </r>
  <r>
    <n v="850122"/>
    <n v="1112"/>
    <x v="4"/>
    <d v="2023-06-19T01:43:00"/>
    <s v="Website"/>
    <s v="Paolo Accorti"/>
    <n v="8887"/>
    <d v="2023-06-19T00:00:00"/>
    <x v="118"/>
    <x v="7"/>
    <x v="5"/>
    <s v="Outlier"/>
  </r>
  <r>
    <n v="850897"/>
    <n v="297"/>
    <x v="1"/>
    <d v="2023-05-10T00:40:00"/>
    <s v="Whatsapp"/>
    <s v="Wendy Victorino"/>
    <n v="975"/>
    <d v="2023-05-10T00:00:00"/>
    <x v="51"/>
    <x v="11"/>
    <x v="4"/>
    <s v="Outlier"/>
  </r>
  <r>
    <n v="854481"/>
    <n v="712"/>
    <x v="0"/>
    <d v="2023-12-18T22:44:00"/>
    <s v="Other"/>
    <s v="Elizabeth Devon"/>
    <n v="1745"/>
    <d v="2023-12-18T00:00:00"/>
    <x v="147"/>
    <x v="0"/>
    <x v="5"/>
    <s v="Outlier"/>
  </r>
  <r>
    <n v="857496"/>
    <n v="597"/>
    <x v="3"/>
    <d v="2023-03-12T01:04:00"/>
    <s v="Website"/>
    <s v="Diego Freyre"/>
    <n v="4933"/>
    <d v="2023-03-12T00:00:00"/>
    <x v="121"/>
    <x v="4"/>
    <x v="6"/>
    <s v="Outlier"/>
  </r>
  <r>
    <n v="858083"/>
    <n v="569"/>
    <x v="0"/>
    <d v="2023-03-19T00:25:00"/>
    <s v="Website"/>
    <s v="Victoria Ashworth"/>
    <n v="5575"/>
    <d v="2023-03-19T00:00:00"/>
    <x v="148"/>
    <x v="4"/>
    <x v="6"/>
    <s v="Outlier"/>
  </r>
  <r>
    <n v="858912"/>
    <n v="1105"/>
    <x v="3"/>
    <d v="2023-06-09T00:08:00"/>
    <s v="Other"/>
    <s v="Laurence Lebihan"/>
    <n v="4421"/>
    <d v="2023-06-09T00:00:00"/>
    <x v="149"/>
    <x v="7"/>
    <x v="0"/>
    <s v="Outlier"/>
  </r>
  <r>
    <n v="859166"/>
    <n v="982"/>
    <x v="0"/>
    <d v="2023-06-26T01:09:00"/>
    <s v="App"/>
    <s v="Julie Young"/>
    <n v="34"/>
    <d v="2023-06-26T00:00:00"/>
    <x v="92"/>
    <x v="7"/>
    <x v="5"/>
    <s v="Outlier"/>
  </r>
  <r>
    <n v="860417"/>
    <n v="1546"/>
    <x v="9"/>
    <d v="2023-12-20T01:13:00"/>
    <s v="Website"/>
    <s v="Diego Freyre"/>
    <n v="2332"/>
    <d v="2023-12-20T00:00:00"/>
    <x v="32"/>
    <x v="0"/>
    <x v="4"/>
    <s v="Outlier"/>
  </r>
  <r>
    <n v="860659"/>
    <n v="1635"/>
    <x v="0"/>
    <d v="2023-11-17T00:56:00"/>
    <s v="App"/>
    <s v="Sue Frick"/>
    <n v="9192"/>
    <d v="2023-11-17T00:00:00"/>
    <x v="150"/>
    <x v="2"/>
    <x v="0"/>
    <s v="Outlier"/>
  </r>
  <r>
    <n v="861120"/>
    <n v="1274"/>
    <x v="0"/>
    <d v="2023-06-23T00:26:00"/>
    <s v="Whatsapp"/>
    <s v="Adrian Huxley"/>
    <n v="6826"/>
    <d v="2023-06-23T00:00:00"/>
    <x v="151"/>
    <x v="7"/>
    <x v="0"/>
    <s v="Outlier"/>
  </r>
  <r>
    <n v="861875"/>
    <n v="1398"/>
    <x v="13"/>
    <d v="2023-05-12T00:44:00"/>
    <s v="Whatsapp"/>
    <s v="Jytte Petersen"/>
    <n v="3774"/>
    <d v="2023-05-12T00:00:00"/>
    <x v="85"/>
    <x v="11"/>
    <x v="0"/>
    <s v="Outlier"/>
  </r>
  <r>
    <n v="862127"/>
    <n v="1388"/>
    <x v="5"/>
    <d v="2023-08-02T01:23:00"/>
    <s v="Whatsapp"/>
    <s v="Eric Natividad"/>
    <n v="891"/>
    <d v="2023-08-02T00:00:00"/>
    <x v="83"/>
    <x v="8"/>
    <x v="4"/>
    <s v="Outlier"/>
  </r>
  <r>
    <n v="862595"/>
    <n v="1734"/>
    <x v="0"/>
    <d v="2023-06-24T00:46:00"/>
    <s v="Other"/>
    <s v="Diego Freyre"/>
    <n v="2309"/>
    <d v="2023-06-24T00:00:00"/>
    <x v="77"/>
    <x v="7"/>
    <x v="1"/>
    <s v="Outlier"/>
  </r>
  <r>
    <n v="862868"/>
    <n v="872"/>
    <x v="3"/>
    <d v="2023-06-17T23:20:00"/>
    <s v="App"/>
    <s v="Valarie Nelson"/>
    <n v="735"/>
    <d v="2023-06-17T00:00:00"/>
    <x v="27"/>
    <x v="7"/>
    <x v="1"/>
    <s v="Outlier"/>
  </r>
  <r>
    <n v="863202"/>
    <n v="1103"/>
    <x v="1"/>
    <d v="2023-08-21T01:24:00"/>
    <s v="Whatsapp"/>
    <s v="Diego Freyre"/>
    <n v="5136"/>
    <d v="2023-08-21T00:00:00"/>
    <x v="124"/>
    <x v="8"/>
    <x v="5"/>
    <s v="Outlier"/>
  </r>
  <r>
    <n v="863877"/>
    <n v="1217"/>
    <x v="0"/>
    <d v="2023-12-15T00:55:00"/>
    <s v="Website"/>
    <s v="Violeta Benitez"/>
    <n v="509"/>
    <d v="2023-12-15T00:00:00"/>
    <x v="44"/>
    <x v="0"/>
    <x v="0"/>
    <s v="Outlier"/>
  </r>
  <r>
    <n v="864174"/>
    <n v="1442"/>
    <x v="0"/>
    <d v="2023-04-11T01:45:00"/>
    <s v="Website"/>
    <s v="Jesus Fernandez"/>
    <n v="1523"/>
    <d v="2023-04-11T00:00:00"/>
    <x v="59"/>
    <x v="1"/>
    <x v="2"/>
    <s v="Outlier"/>
  </r>
  <r>
    <n v="864744"/>
    <n v="709"/>
    <x v="3"/>
    <d v="2023-01-29T23:39:00"/>
    <s v="Other"/>
    <s v="Wing C Tam"/>
    <n v="2914"/>
    <d v="2023-01-29T00:00:00"/>
    <x v="101"/>
    <x v="9"/>
    <x v="6"/>
    <s v="Outlier"/>
  </r>
  <r>
    <n v="864760"/>
    <n v="1777"/>
    <x v="0"/>
    <d v="2023-09-26T01:13:00"/>
    <s v="App"/>
    <s v="Eduardo Saavedra"/>
    <n v="1621"/>
    <d v="2023-09-26T00:00:00"/>
    <x v="32"/>
    <x v="10"/>
    <x v="2"/>
    <s v="Outlier"/>
  </r>
  <r>
    <n v="865712"/>
    <n v="599"/>
    <x v="6"/>
    <d v="2023-09-05T01:39:00"/>
    <s v="Website"/>
    <s v="Mary Saveley"/>
    <n v="8680"/>
    <d v="2023-09-05T00:00:00"/>
    <x v="152"/>
    <x v="10"/>
    <x v="2"/>
    <s v="Outlier"/>
  </r>
  <r>
    <n v="866403"/>
    <n v="417"/>
    <x v="3"/>
    <d v="2023-07-02T23:48:00"/>
    <s v="Website"/>
    <s v="Catherine Dewey"/>
    <n v="122"/>
    <d v="2023-07-02T00:00:00"/>
    <x v="153"/>
    <x v="6"/>
    <x v="6"/>
    <s v="Outlier"/>
  </r>
  <r>
    <n v="867012"/>
    <n v="557"/>
    <x v="7"/>
    <d v="2023-02-26T00:16:00"/>
    <s v="App"/>
    <s v="Helen Bennett"/>
    <n v="7900"/>
    <d v="2023-02-26T00:00:00"/>
    <x v="61"/>
    <x v="5"/>
    <x v="6"/>
    <s v="Outlier"/>
  </r>
  <r>
    <n v="867108"/>
    <n v="1310"/>
    <x v="4"/>
    <d v="2023-08-09T01:16:00"/>
    <s v="Other"/>
    <s v="Kwai Yu"/>
    <n v="9531"/>
    <d v="2023-08-09T00:00:00"/>
    <x v="84"/>
    <x v="8"/>
    <x v="4"/>
    <s v="Outlier"/>
  </r>
  <r>
    <n v="867276"/>
    <n v="360"/>
    <x v="1"/>
    <d v="2023-01-12T01:03:00"/>
    <s v="App"/>
    <s v="Jean Fresnisre"/>
    <n v="6820"/>
    <d v="2023-01-12T00:00:00"/>
    <x v="130"/>
    <x v="9"/>
    <x v="3"/>
    <s v="Outlier"/>
  </r>
  <r>
    <n v="867382"/>
    <n v="1007"/>
    <x v="0"/>
    <d v="2023-01-28T00:35:00"/>
    <s v="Website"/>
    <s v="Catherine Dewey"/>
    <n v="2855"/>
    <d v="2023-01-28T00:00:00"/>
    <x v="67"/>
    <x v="9"/>
    <x v="1"/>
    <s v="Outlier"/>
  </r>
  <r>
    <n v="869884"/>
    <n v="1701"/>
    <x v="0"/>
    <d v="2023-11-26T00:49:00"/>
    <s v="Whatsapp"/>
    <s v="Elizabeth Lincoln"/>
    <n v="4256"/>
    <d v="2023-11-26T00:00:00"/>
    <x v="35"/>
    <x v="2"/>
    <x v="6"/>
    <s v="Outlier"/>
  </r>
  <r>
    <n v="869899"/>
    <n v="623"/>
    <x v="1"/>
    <d v="2023-06-20T01:37:00"/>
    <s v="App"/>
    <s v="Paolo Accorti"/>
    <n v="7143"/>
    <d v="2023-06-20T00:00:00"/>
    <x v="109"/>
    <x v="7"/>
    <x v="2"/>
    <s v="Outlier"/>
  </r>
  <r>
    <n v="870081"/>
    <n v="1667"/>
    <x v="3"/>
    <d v="2023-06-22T00:57:00"/>
    <s v="Website"/>
    <s v="Victoria Ashworth"/>
    <n v="1176"/>
    <d v="2023-06-22T00:00:00"/>
    <x v="42"/>
    <x v="7"/>
    <x v="3"/>
    <s v="Outlier"/>
  </r>
  <r>
    <n v="870973"/>
    <n v="429"/>
    <x v="7"/>
    <d v="2023-10-26T23:23:00"/>
    <s v="App"/>
    <s v="Janine Labrune"/>
    <n v="2728"/>
    <d v="2023-10-26T00:00:00"/>
    <x v="154"/>
    <x v="3"/>
    <x v="3"/>
    <s v="Outlier"/>
  </r>
  <r>
    <n v="871057"/>
    <n v="52"/>
    <x v="0"/>
    <d v="2023-11-10T00:28:00"/>
    <s v="Website"/>
    <s v="Christina Berglund"/>
    <n v="6246"/>
    <d v="2023-11-10T00:00:00"/>
    <x v="39"/>
    <x v="2"/>
    <x v="0"/>
    <s v="Outlier"/>
  </r>
  <r>
    <n v="871258"/>
    <n v="461"/>
    <x v="6"/>
    <d v="2023-05-26T00:34:00"/>
    <s v="App"/>
    <s v="Maria Hernandez"/>
    <n v="2564"/>
    <d v="2023-05-26T00:00:00"/>
    <x v="21"/>
    <x v="11"/>
    <x v="0"/>
    <s v="Outlier"/>
  </r>
  <r>
    <n v="872066"/>
    <n v="510"/>
    <x v="0"/>
    <d v="2023-10-04T23:49:00"/>
    <s v="App"/>
    <s v="Diego Freyre"/>
    <n v="7354"/>
    <d v="2023-10-04T00:00:00"/>
    <x v="43"/>
    <x v="3"/>
    <x v="4"/>
    <s v="Outlier"/>
  </r>
  <r>
    <n v="874091"/>
    <n v="1236"/>
    <x v="0"/>
    <d v="2023-07-14T23:18:00"/>
    <s v="Website"/>
    <s v="Akiko Shimamura"/>
    <n v="54"/>
    <d v="2023-07-14T00:00:00"/>
    <x v="140"/>
    <x v="6"/>
    <x v="0"/>
    <s v="Outlier"/>
  </r>
  <r>
    <n v="875005"/>
    <n v="1859"/>
    <x v="4"/>
    <d v="2023-06-23T23:41:00"/>
    <s v="Website"/>
    <s v="Diego Freyre"/>
    <n v="538"/>
    <d v="2023-06-23T00:00:00"/>
    <x v="155"/>
    <x v="7"/>
    <x v="0"/>
    <s v="Outlier"/>
  </r>
  <r>
    <n v="875015"/>
    <n v="849"/>
    <x v="3"/>
    <d v="2023-08-24T00:25:00"/>
    <s v="Whatsapp"/>
    <s v="Valarie Nelson"/>
    <n v="235"/>
    <d v="2023-08-24T00:00:00"/>
    <x v="148"/>
    <x v="8"/>
    <x v="3"/>
    <s v="Outlier"/>
  </r>
  <r>
    <n v="875813"/>
    <n v="1088"/>
    <x v="1"/>
    <d v="2023-04-30T00:11:00"/>
    <s v="Whatsapp"/>
    <s v="Juri Yoshido"/>
    <n v="1198"/>
    <d v="2023-04-30T00:00:00"/>
    <x v="10"/>
    <x v="1"/>
    <x v="6"/>
    <s v="Outlier"/>
  </r>
  <r>
    <n v="875981"/>
    <n v="991"/>
    <x v="0"/>
    <d v="2023-09-05T01:14:00"/>
    <s v="Website"/>
    <s v="Jonas Bergulfsen"/>
    <n v="6567"/>
    <d v="2023-09-05T00:00:00"/>
    <x v="156"/>
    <x v="10"/>
    <x v="2"/>
    <s v="Outlier"/>
  </r>
  <r>
    <n v="876685"/>
    <n v="1061"/>
    <x v="10"/>
    <d v="2023-01-24T23:39:00"/>
    <s v="Website"/>
    <s v="Marie Bertrand"/>
    <n v="3507"/>
    <d v="2023-01-24T00:00:00"/>
    <x v="101"/>
    <x v="9"/>
    <x v="2"/>
    <s v="Outlier"/>
  </r>
  <r>
    <n v="877616"/>
    <n v="1685"/>
    <x v="0"/>
    <d v="2023-12-19T00:00:00"/>
    <s v="App"/>
    <s v="Mart¡n Sommer"/>
    <n v="6662"/>
    <d v="2023-12-19T00:00:00"/>
    <x v="126"/>
    <x v="0"/>
    <x v="2"/>
    <s v="Outlier"/>
  </r>
  <r>
    <n v="877681"/>
    <n v="166"/>
    <x v="3"/>
    <d v="2023-12-24T01:53:00"/>
    <s v="Other"/>
    <s v="Juri Hirano"/>
    <n v="2796"/>
    <d v="2023-12-24T00:00:00"/>
    <x v="102"/>
    <x v="0"/>
    <x v="6"/>
    <s v="Outlier"/>
  </r>
  <r>
    <n v="877784"/>
    <n v="422"/>
    <x v="1"/>
    <d v="2023-02-27T22:50:00"/>
    <s v="Other"/>
    <s v="Eric Natividad"/>
    <n v="9049"/>
    <d v="2023-02-27T00:00:00"/>
    <x v="133"/>
    <x v="5"/>
    <x v="5"/>
    <s v="Outlier"/>
  </r>
  <r>
    <n v="878611"/>
    <n v="1668"/>
    <x v="0"/>
    <d v="2023-11-24T00:53:00"/>
    <s v="Whatsapp"/>
    <s v="Roland Mendel"/>
    <n v="3591"/>
    <d v="2023-11-24T00:00:00"/>
    <x v="36"/>
    <x v="2"/>
    <x v="0"/>
    <s v="Outlier"/>
  </r>
  <r>
    <n v="878658"/>
    <n v="780"/>
    <x v="1"/>
    <d v="2023-10-18T01:28:00"/>
    <s v="Other"/>
    <s v="Ann Brown"/>
    <n v="3114"/>
    <d v="2023-10-18T00:00:00"/>
    <x v="49"/>
    <x v="3"/>
    <x v="4"/>
    <s v="Outlier"/>
  </r>
  <r>
    <n v="878771"/>
    <n v="194"/>
    <x v="1"/>
    <d v="2023-07-21T01:58:00"/>
    <s v="Whatsapp"/>
    <s v="Francisca Cervantes"/>
    <n v="7705"/>
    <d v="2023-07-21T00:00:00"/>
    <x v="157"/>
    <x v="6"/>
    <x v="0"/>
    <s v="Outlier"/>
  </r>
  <r>
    <n v="879541"/>
    <n v="907"/>
    <x v="13"/>
    <d v="2023-08-26T22:58:00"/>
    <s v="Whatsapp"/>
    <s v="Mary Saveley"/>
    <n v="1465"/>
    <d v="2023-08-26T00:00:00"/>
    <x v="158"/>
    <x v="8"/>
    <x v="1"/>
    <s v="Outlier"/>
  </r>
  <r>
    <n v="879819"/>
    <n v="286"/>
    <x v="0"/>
    <d v="2023-06-08T00:51:00"/>
    <s v="Other"/>
    <s v="Valarie Franco"/>
    <n v="6894"/>
    <d v="2023-06-08T00:00:00"/>
    <x v="93"/>
    <x v="7"/>
    <x v="3"/>
    <s v="Outlier"/>
  </r>
  <r>
    <n v="881346"/>
    <n v="327"/>
    <x v="1"/>
    <d v="2023-12-19T23:40:00"/>
    <s v="Other"/>
    <s v="Wendy Victorino"/>
    <n v="8816"/>
    <d v="2023-12-19T00:00:00"/>
    <x v="1"/>
    <x v="0"/>
    <x v="2"/>
    <s v="Outlier"/>
  </r>
  <r>
    <n v="882347"/>
    <n v="1938"/>
    <x v="0"/>
    <d v="2023-09-18T22:35:00"/>
    <s v="App"/>
    <s v="Valarie Nelson"/>
    <n v="3811"/>
    <d v="2023-09-18T00:00:00"/>
    <x v="55"/>
    <x v="10"/>
    <x v="5"/>
    <s v="Outlier"/>
  </r>
  <r>
    <n v="883228"/>
    <n v="1251"/>
    <x v="0"/>
    <d v="2023-04-19T01:24:00"/>
    <s v="Other"/>
    <s v="Leslie Murphy"/>
    <n v="381"/>
    <d v="2023-04-19T00:00:00"/>
    <x v="124"/>
    <x v="1"/>
    <x v="4"/>
    <s v="Outlier"/>
  </r>
  <r>
    <n v="883461"/>
    <n v="1023"/>
    <x v="7"/>
    <d v="2023-11-05T23:05:00"/>
    <s v="Whatsapp"/>
    <s v="Wendy Victorino"/>
    <n v="7192"/>
    <d v="2023-11-05T00:00:00"/>
    <x v="159"/>
    <x v="2"/>
    <x v="6"/>
    <s v="Outlier"/>
  </r>
  <r>
    <n v="883497"/>
    <n v="954"/>
    <x v="1"/>
    <d v="2023-08-03T00:58:00"/>
    <s v="Website"/>
    <s v="Adrian Huxley"/>
    <n v="1216"/>
    <d v="2023-08-03T00:00:00"/>
    <x v="28"/>
    <x v="8"/>
    <x v="3"/>
    <s v="Outlier"/>
  </r>
  <r>
    <n v="884628"/>
    <n v="464"/>
    <x v="2"/>
    <d v="2023-12-06T00:01:00"/>
    <s v="Website"/>
    <s v="Kyung Yu"/>
    <n v="7177"/>
    <d v="2023-12-06T00:00:00"/>
    <x v="63"/>
    <x v="0"/>
    <x v="4"/>
    <s v="Outlier"/>
  </r>
  <r>
    <n v="885377"/>
    <n v="1622"/>
    <x v="3"/>
    <d v="2023-02-11T00:54:00"/>
    <s v="Other"/>
    <s v="Maria Larsson"/>
    <n v="7139"/>
    <d v="2023-02-11T00:00:00"/>
    <x v="73"/>
    <x v="5"/>
    <x v="1"/>
    <s v="Outlier"/>
  </r>
  <r>
    <n v="885750"/>
    <n v="1837"/>
    <x v="11"/>
    <d v="2023-12-07T00:57:00"/>
    <s v="App"/>
    <s v="Marta Hernandez"/>
    <n v="1520"/>
    <d v="2023-12-07T00:00:00"/>
    <x v="42"/>
    <x v="0"/>
    <x v="3"/>
    <s v="Outlier"/>
  </r>
  <r>
    <n v="885987"/>
    <n v="1601"/>
    <x v="3"/>
    <d v="2023-10-27T00:23:00"/>
    <s v="App"/>
    <s v="Yoshi Tannamuri"/>
    <n v="8973"/>
    <d v="2023-10-27T00:00:00"/>
    <x v="6"/>
    <x v="3"/>
    <x v="0"/>
    <s v="Outlier"/>
  </r>
  <r>
    <n v="886188"/>
    <n v="581"/>
    <x v="0"/>
    <d v="2023-10-03T01:12:00"/>
    <s v="Website"/>
    <s v="Roland Keitel"/>
    <n v="5000"/>
    <d v="2023-10-03T00:00:00"/>
    <x v="52"/>
    <x v="3"/>
    <x v="2"/>
    <s v="Outlier"/>
  </r>
  <r>
    <n v="887239"/>
    <n v="1157"/>
    <x v="5"/>
    <d v="2023-06-24T02:05:00"/>
    <s v="Website"/>
    <s v="Christina Berglund"/>
    <n v="9005"/>
    <d v="2023-06-24T00:00:00"/>
    <x v="160"/>
    <x v="7"/>
    <x v="1"/>
    <s v="Outlier"/>
  </r>
  <r>
    <n v="888702"/>
    <n v="746"/>
    <x v="0"/>
    <d v="2023-09-19T00:52:00"/>
    <s v="App"/>
    <s v="Peter Ferguson"/>
    <n v="98"/>
    <d v="2023-09-19T00:00:00"/>
    <x v="30"/>
    <x v="10"/>
    <x v="2"/>
    <s v="Outlier"/>
  </r>
  <r>
    <n v="888938"/>
    <n v="1606"/>
    <x v="3"/>
    <d v="2023-09-01T01:34:00"/>
    <s v="Other"/>
    <s v="Valarie Nelson"/>
    <n v="1061"/>
    <d v="2023-09-01T00:00:00"/>
    <x v="161"/>
    <x v="10"/>
    <x v="0"/>
    <s v="Outlier"/>
  </r>
  <r>
    <n v="889356"/>
    <n v="1246"/>
    <x v="3"/>
    <d v="2023-03-17T00:39:00"/>
    <s v="Other"/>
    <s v="Anna O'Hara"/>
    <n v="2670"/>
    <d v="2023-03-17T00:00:00"/>
    <x v="11"/>
    <x v="4"/>
    <x v="0"/>
    <s v="Outlier"/>
  </r>
  <r>
    <n v="890131"/>
    <n v="879"/>
    <x v="0"/>
    <d v="2023-09-28T01:51:00"/>
    <s v="Website"/>
    <s v="Valarie Nelson"/>
    <n v="3832"/>
    <d v="2023-09-28T00:00:00"/>
    <x v="104"/>
    <x v="10"/>
    <x v="3"/>
    <s v="Outlier"/>
  </r>
  <r>
    <n v="890922"/>
    <n v="1077"/>
    <x v="1"/>
    <d v="2023-08-01T23:22:00"/>
    <s v="Whatsapp"/>
    <s v="Jean Fresnisre"/>
    <n v="2256"/>
    <d v="2023-08-01T00:00:00"/>
    <x v="137"/>
    <x v="8"/>
    <x v="2"/>
    <s v="Outlier"/>
  </r>
  <r>
    <n v="892608"/>
    <n v="417"/>
    <x v="3"/>
    <d v="2023-12-10T00:16:00"/>
    <s v="Other"/>
    <s v="Janine Labrune"/>
    <n v="9919"/>
    <d v="2023-12-10T00:00:00"/>
    <x v="61"/>
    <x v="0"/>
    <x v="6"/>
    <s v="Outlier"/>
  </r>
  <r>
    <n v="892773"/>
    <n v="1804"/>
    <x v="6"/>
    <d v="2023-12-15T23:13:00"/>
    <s v="Other"/>
    <s v="Jonas Bergulfsen"/>
    <n v="999"/>
    <d v="2023-12-15T00:00:00"/>
    <x v="15"/>
    <x v="0"/>
    <x v="0"/>
    <s v="Outlier"/>
  </r>
  <r>
    <n v="893103"/>
    <n v="1877"/>
    <x v="4"/>
    <d v="2023-02-08T23:33:00"/>
    <s v="Other"/>
    <s v="Valarie Nelson"/>
    <n v="1604"/>
    <d v="2023-02-08T00:00:00"/>
    <x v="62"/>
    <x v="5"/>
    <x v="4"/>
    <s v="Outlier"/>
  </r>
  <r>
    <n v="893771"/>
    <n v="416"/>
    <x v="1"/>
    <d v="2023-09-01T00:34:00"/>
    <s v="Whatsapp"/>
    <s v="Mart¡n Sommer"/>
    <n v="1398"/>
    <d v="2023-09-01T00:00:00"/>
    <x v="21"/>
    <x v="10"/>
    <x v="0"/>
    <s v="Outlier"/>
  </r>
  <r>
    <n v="894762"/>
    <n v="393"/>
    <x v="1"/>
    <d v="2023-08-03T00:40:00"/>
    <s v="App"/>
    <s v="Juri Hirano"/>
    <n v="4907"/>
    <d v="2023-08-03T00:00:00"/>
    <x v="51"/>
    <x v="8"/>
    <x v="3"/>
    <s v="Outlier"/>
  </r>
  <r>
    <n v="894938"/>
    <n v="1376"/>
    <x v="0"/>
    <d v="2023-01-19T23:29:00"/>
    <s v="App"/>
    <s v="Eric Natividad"/>
    <n v="7358"/>
    <d v="2023-01-19T00:00:00"/>
    <x v="71"/>
    <x v="9"/>
    <x v="3"/>
    <s v="Outlier"/>
  </r>
  <r>
    <n v="895383"/>
    <n v="854"/>
    <x v="0"/>
    <d v="2023-06-13T01:42:00"/>
    <s v="Other"/>
    <s v="Roland Mendel"/>
    <n v="7452"/>
    <d v="2023-06-13T00:00:00"/>
    <x v="14"/>
    <x v="7"/>
    <x v="2"/>
    <s v="Outlier"/>
  </r>
  <r>
    <n v="895436"/>
    <n v="346"/>
    <x v="4"/>
    <d v="2023-09-08T00:38:00"/>
    <s v="Other"/>
    <s v="Tony Calaghan"/>
    <n v="6750"/>
    <d v="2023-09-08T00:00:00"/>
    <x v="162"/>
    <x v="10"/>
    <x v="0"/>
    <s v="Outlier"/>
  </r>
  <r>
    <n v="896228"/>
    <n v="741"/>
    <x v="0"/>
    <d v="2023-11-05T00:12:00"/>
    <s v="Whatsapp"/>
    <s v="Francisca Cervantes"/>
    <n v="3208"/>
    <d v="2023-11-05T00:00:00"/>
    <x v="19"/>
    <x v="2"/>
    <x v="6"/>
    <s v="Outlier"/>
  </r>
  <r>
    <n v="897460"/>
    <n v="711"/>
    <x v="0"/>
    <d v="2023-09-24T23:05:00"/>
    <s v="App"/>
    <s v="Mary Saveley"/>
    <n v="3851"/>
    <d v="2023-09-24T00:00:00"/>
    <x v="159"/>
    <x v="10"/>
    <x v="6"/>
    <s v="Outlier"/>
  </r>
  <r>
    <n v="897997"/>
    <n v="1884"/>
    <x v="0"/>
    <d v="2023-04-08T23:06:00"/>
    <s v="App"/>
    <s v="Yoshi Tannamuri"/>
    <n v="1149"/>
    <d v="2023-04-08T00:00:00"/>
    <x v="163"/>
    <x v="1"/>
    <x v="1"/>
    <s v="Outlier"/>
  </r>
  <r>
    <n v="899461"/>
    <n v="1382"/>
    <x v="4"/>
    <d v="2023-03-21T00:18:00"/>
    <s v="App"/>
    <s v="Steve Thompson"/>
    <n v="6071"/>
    <d v="2023-03-21T00:00:00"/>
    <x v="139"/>
    <x v="4"/>
    <x v="2"/>
    <s v="Outlier"/>
  </r>
  <r>
    <n v="899739"/>
    <n v="842"/>
    <x v="3"/>
    <d v="2023-01-06T00:48:00"/>
    <s v="App"/>
    <s v="Valarie Nelson"/>
    <n v="3937"/>
    <d v="2023-01-06T00:00:00"/>
    <x v="88"/>
    <x v="9"/>
    <x v="0"/>
    <s v="Outlier"/>
  </r>
  <r>
    <n v="899991"/>
    <n v="980"/>
    <x v="0"/>
    <d v="2023-01-09T23:45:00"/>
    <s v="App"/>
    <s v="Leslie Murphy"/>
    <n v="4447"/>
    <d v="2023-01-09T00:00:00"/>
    <x v="164"/>
    <x v="9"/>
    <x v="5"/>
    <s v="Outlier"/>
  </r>
  <r>
    <n v="901917"/>
    <n v="195"/>
    <x v="0"/>
    <d v="2023-07-17T01:39:00"/>
    <s v="Other"/>
    <s v="Akiko Shimamura"/>
    <n v="1318"/>
    <d v="2023-07-17T00:00:00"/>
    <x v="152"/>
    <x v="6"/>
    <x v="5"/>
    <s v="Outlier"/>
  </r>
  <r>
    <n v="903650"/>
    <n v="1971"/>
    <x v="4"/>
    <d v="2023-03-14T23:46:00"/>
    <s v="Whatsapp"/>
    <s v="Adrian Huxley"/>
    <n v="8993"/>
    <d v="2023-03-14T00:00:00"/>
    <x v="9"/>
    <x v="4"/>
    <x v="2"/>
    <s v="Outlier"/>
  </r>
  <r>
    <n v="904533"/>
    <n v="223"/>
    <x v="1"/>
    <d v="2023-06-06T01:23:00"/>
    <s v="App"/>
    <s v="Kyung Yu"/>
    <n v="6781"/>
    <d v="2023-06-06T00:00:00"/>
    <x v="83"/>
    <x v="7"/>
    <x v="2"/>
    <s v="Outlier"/>
  </r>
  <r>
    <n v="904997"/>
    <n v="909"/>
    <x v="1"/>
    <d v="2023-11-07T22:47:00"/>
    <s v="Website"/>
    <s v="Maria Larsson"/>
    <n v="9811"/>
    <d v="2023-11-07T00:00:00"/>
    <x v="165"/>
    <x v="2"/>
    <x v="2"/>
    <s v="Outlier"/>
  </r>
  <r>
    <n v="906886"/>
    <n v="373"/>
    <x v="1"/>
    <d v="2023-03-09T00:47:00"/>
    <s v="Other"/>
    <s v="Daniel Tonini"/>
    <n v="7915"/>
    <d v="2023-03-09T00:00:00"/>
    <x v="75"/>
    <x v="4"/>
    <x v="3"/>
    <s v="Outlier"/>
  </r>
  <r>
    <n v="908364"/>
    <n v="617"/>
    <x v="0"/>
    <d v="2023-06-01T23:55:00"/>
    <s v="Other"/>
    <s v="Valarie Nelson"/>
    <n v="5116"/>
    <d v="2023-06-01T00:00:00"/>
    <x v="166"/>
    <x v="7"/>
    <x v="3"/>
    <s v="Outlier"/>
  </r>
  <r>
    <n v="908702"/>
    <n v="1392"/>
    <x v="12"/>
    <d v="2023-09-14T23:18:00"/>
    <s v="Website"/>
    <s v="Michael Frick"/>
    <n v="8379"/>
    <d v="2023-09-14T00:00:00"/>
    <x v="140"/>
    <x v="10"/>
    <x v="3"/>
    <s v="Outlier"/>
  </r>
  <r>
    <n v="909180"/>
    <n v="667"/>
    <x v="3"/>
    <d v="2023-06-01T00:48:00"/>
    <s v="Whatsapp"/>
    <s v="Julie Murphy"/>
    <n v="1650"/>
    <d v="2023-06-01T00:00:00"/>
    <x v="88"/>
    <x v="7"/>
    <x v="3"/>
    <s v="Outlier"/>
  </r>
  <r>
    <n v="910034"/>
    <n v="1798"/>
    <x v="0"/>
    <d v="2023-09-08T23:31:00"/>
    <s v="Website"/>
    <s v="Mart¡n Sommer"/>
    <n v="3805"/>
    <d v="2023-09-08T00:00:00"/>
    <x v="57"/>
    <x v="10"/>
    <x v="0"/>
    <s v="Outlier"/>
  </r>
  <r>
    <n v="910121"/>
    <n v="549"/>
    <x v="0"/>
    <d v="2023-08-16T00:19:00"/>
    <s v="App"/>
    <s v="Diego Freyre"/>
    <n v="767"/>
    <d v="2023-08-16T00:00:00"/>
    <x v="167"/>
    <x v="8"/>
    <x v="4"/>
    <s v="Outlier"/>
  </r>
  <r>
    <n v="911307"/>
    <n v="1606"/>
    <x v="3"/>
    <d v="2023-08-27T23:32:00"/>
    <s v="Whatsapp"/>
    <s v="Anna O'Hara"/>
    <n v="8205"/>
    <d v="2023-08-27T00:00:00"/>
    <x v="91"/>
    <x v="8"/>
    <x v="6"/>
    <s v="Outlier"/>
  </r>
  <r>
    <n v="911597"/>
    <n v="844"/>
    <x v="2"/>
    <d v="2023-01-15T22:54:00"/>
    <s v="Website"/>
    <s v="Valarie Nelson"/>
    <n v="5409"/>
    <d v="2023-01-15T00:00:00"/>
    <x v="105"/>
    <x v="9"/>
    <x v="6"/>
    <s v="Outlier"/>
  </r>
  <r>
    <n v="912904"/>
    <n v="349"/>
    <x v="13"/>
    <d v="2023-12-06T23:51:00"/>
    <s v="Other"/>
    <s v="Jean Fresnisre"/>
    <n v="2520"/>
    <d v="2023-12-06T00:00:00"/>
    <x v="87"/>
    <x v="0"/>
    <x v="4"/>
    <s v="Outlier"/>
  </r>
  <r>
    <n v="912973"/>
    <n v="646"/>
    <x v="5"/>
    <d v="2023-12-20T23:25:00"/>
    <s v="Whatsapp"/>
    <s v="Diego Freyre"/>
    <n v="816"/>
    <d v="2023-12-20T00:00:00"/>
    <x v="141"/>
    <x v="0"/>
    <x v="4"/>
    <s v="Outlier"/>
  </r>
  <r>
    <n v="914101"/>
    <n v="1839"/>
    <x v="7"/>
    <d v="2023-08-14T00:15:00"/>
    <s v="Website"/>
    <s v="Arnold Cruz"/>
    <n v="8372"/>
    <d v="2023-08-14T00:00:00"/>
    <x v="123"/>
    <x v="8"/>
    <x v="5"/>
    <s v="Outlier"/>
  </r>
  <r>
    <n v="914288"/>
    <n v="1090"/>
    <x v="3"/>
    <d v="2023-05-29T00:52:00"/>
    <s v="App"/>
    <s v="Laurence Lebihan"/>
    <n v="1968"/>
    <d v="2023-05-29T00:00:00"/>
    <x v="30"/>
    <x v="11"/>
    <x v="5"/>
    <s v="Outlier"/>
  </r>
  <r>
    <n v="914311"/>
    <n v="1127"/>
    <x v="8"/>
    <d v="2023-04-05T00:17:00"/>
    <s v="Whatsapp"/>
    <s v="Valarie Nelson"/>
    <n v="6090"/>
    <d v="2023-04-05T00:00:00"/>
    <x v="20"/>
    <x v="1"/>
    <x v="4"/>
    <s v="Outlier"/>
  </r>
  <r>
    <n v="914647"/>
    <n v="1671"/>
    <x v="0"/>
    <d v="2023-03-25T01:58:00"/>
    <s v="Website"/>
    <s v="Dan Lewis"/>
    <n v="7025"/>
    <d v="2023-03-25T00:00:00"/>
    <x v="157"/>
    <x v="4"/>
    <x v="1"/>
    <s v="Outlier"/>
  </r>
  <r>
    <n v="914814"/>
    <n v="1729"/>
    <x v="6"/>
    <d v="2023-11-05T23:32:00"/>
    <s v="Whatsapp"/>
    <s v="Julie Brown"/>
    <n v="6744"/>
    <d v="2023-11-05T00:00:00"/>
    <x v="91"/>
    <x v="2"/>
    <x v="6"/>
    <s v="Outlier"/>
  </r>
  <r>
    <n v="915353"/>
    <n v="48"/>
    <x v="0"/>
    <d v="2023-07-24T01:33:00"/>
    <s v="Whatsapp"/>
    <s v="Anna O'Hara"/>
    <n v="2128"/>
    <d v="2023-07-24T00:00:00"/>
    <x v="47"/>
    <x v="6"/>
    <x v="5"/>
    <s v="Outlier"/>
  </r>
  <r>
    <n v="916383"/>
    <n v="1746"/>
    <x v="2"/>
    <d v="2023-12-27T01:00:00"/>
    <s v="Whatsapp"/>
    <s v="Martine Rance"/>
    <n v="3491"/>
    <d v="2023-12-27T00:00:00"/>
    <x v="168"/>
    <x v="0"/>
    <x v="4"/>
    <s v="Outlier"/>
  </r>
  <r>
    <n v="917785"/>
    <n v="789"/>
    <x v="3"/>
    <d v="2023-05-07T00:02:00"/>
    <s v="Whatsapp"/>
    <s v="Henriette Pfalzheim"/>
    <n v="9379"/>
    <d v="2023-05-07T00:00:00"/>
    <x v="89"/>
    <x v="11"/>
    <x v="6"/>
    <s v="Outlier"/>
  </r>
  <r>
    <n v="918151"/>
    <n v="981"/>
    <x v="0"/>
    <d v="2023-04-27T01:16:00"/>
    <s v="App"/>
    <s v="Dominique Perrier"/>
    <n v="1322"/>
    <d v="2023-04-27T00:00:00"/>
    <x v="84"/>
    <x v="1"/>
    <x v="3"/>
    <s v="Outlier"/>
  </r>
  <r>
    <n v="918183"/>
    <n v="1795"/>
    <x v="3"/>
    <d v="2023-09-27T01:08:00"/>
    <s v="Website"/>
    <s v="Michael Holz"/>
    <n v="4196"/>
    <d v="2023-09-27T00:00:00"/>
    <x v="37"/>
    <x v="10"/>
    <x v="4"/>
    <s v="Outlier"/>
  </r>
  <r>
    <n v="918347"/>
    <n v="449"/>
    <x v="0"/>
    <d v="2023-08-02T23:47:00"/>
    <s v="Website"/>
    <s v="Jytte Petersen"/>
    <n v="1241"/>
    <d v="2023-08-02T00:00:00"/>
    <x v="100"/>
    <x v="8"/>
    <x v="4"/>
    <s v="Outlier"/>
  </r>
  <r>
    <n v="919424"/>
    <n v="1079"/>
    <x v="1"/>
    <d v="2023-06-12T23:43:00"/>
    <s v="App"/>
    <s v="Dominique Perrier"/>
    <n v="9932"/>
    <d v="2023-06-12T00:00:00"/>
    <x v="169"/>
    <x v="7"/>
    <x v="5"/>
    <s v="Outlier"/>
  </r>
  <r>
    <n v="920294"/>
    <n v="474"/>
    <x v="10"/>
    <d v="2023-10-05T01:21:00"/>
    <s v="Whatsapp"/>
    <s v="Juri Yoshido"/>
    <n v="6177"/>
    <d v="2023-10-05T00:00:00"/>
    <x v="128"/>
    <x v="3"/>
    <x v="3"/>
    <s v="Outlier"/>
  </r>
  <r>
    <n v="920645"/>
    <n v="1851"/>
    <x v="4"/>
    <d v="2023-03-05T00:58:00"/>
    <s v="Website"/>
    <s v="Miguel Barajas"/>
    <n v="620"/>
    <d v="2023-03-05T00:00:00"/>
    <x v="28"/>
    <x v="4"/>
    <x v="6"/>
    <s v="Outlier"/>
  </r>
  <r>
    <n v="921540"/>
    <n v="499"/>
    <x v="6"/>
    <d v="2023-12-20T23:51:00"/>
    <s v="App"/>
    <s v="Michael Holz"/>
    <n v="2164"/>
    <d v="2023-12-20T00:00:00"/>
    <x v="87"/>
    <x v="0"/>
    <x v="4"/>
    <s v="Outlier"/>
  </r>
  <r>
    <n v="921826"/>
    <n v="1677"/>
    <x v="2"/>
    <d v="2023-04-11T23:58:00"/>
    <s v="Other"/>
    <s v="Matti Karttunen"/>
    <n v="1726"/>
    <d v="2023-04-11T00:00:00"/>
    <x v="96"/>
    <x v="1"/>
    <x v="2"/>
    <s v="Outlier"/>
  </r>
  <r>
    <n v="922883"/>
    <n v="243"/>
    <x v="0"/>
    <d v="2023-12-18T01:29:00"/>
    <s v="Whatsapp"/>
    <s v="Henriette Pfalzheim"/>
    <n v="4141"/>
    <d v="2023-12-18T00:00:00"/>
    <x v="103"/>
    <x v="0"/>
    <x v="5"/>
    <s v="Outlier"/>
  </r>
  <r>
    <n v="923178"/>
    <n v="1561"/>
    <x v="11"/>
    <d v="2023-10-26T23:58:00"/>
    <s v="Other"/>
    <s v="Kee Kuo"/>
    <n v="6590"/>
    <d v="2023-10-26T00:00:00"/>
    <x v="96"/>
    <x v="3"/>
    <x v="3"/>
    <s v="Outlier"/>
  </r>
  <r>
    <n v="924191"/>
    <n v="1970"/>
    <x v="3"/>
    <d v="2023-10-15T01:05:00"/>
    <s v="Other"/>
    <s v="Arnold Cruz"/>
    <n v="925"/>
    <d v="2023-10-15T00:00:00"/>
    <x v="12"/>
    <x v="3"/>
    <x v="6"/>
    <s v="Outlier"/>
  </r>
  <r>
    <n v="924407"/>
    <n v="1824"/>
    <x v="0"/>
    <d v="2023-09-08T22:32:00"/>
    <s v="Website"/>
    <s v="Peter Ferguson"/>
    <n v="2760"/>
    <d v="2023-09-08T00:00:00"/>
    <x v="170"/>
    <x v="10"/>
    <x v="0"/>
    <s v="Outlier"/>
  </r>
  <r>
    <n v="924612"/>
    <n v="549"/>
    <x v="0"/>
    <d v="2023-03-16T00:54:00"/>
    <s v="App"/>
    <s v="Diego Freyre"/>
    <n v="7323"/>
    <d v="2023-03-16T00:00:00"/>
    <x v="73"/>
    <x v="4"/>
    <x v="3"/>
    <s v="Outlier"/>
  </r>
  <r>
    <n v="926206"/>
    <n v="41"/>
    <x v="6"/>
    <d v="2023-02-25T23:00:00"/>
    <s v="App"/>
    <s v="Kalle Suominen"/>
    <n v="3952"/>
    <d v="2023-02-25T00:00:00"/>
    <x v="171"/>
    <x v="5"/>
    <x v="1"/>
    <s v="Outlier"/>
  </r>
  <r>
    <n v="926690"/>
    <n v="1286"/>
    <x v="0"/>
    <d v="2023-05-12T00:04:00"/>
    <s v="Website"/>
    <s v="Diego Freyre"/>
    <n v="197"/>
    <d v="2023-05-12T00:00:00"/>
    <x v="64"/>
    <x v="11"/>
    <x v="0"/>
    <s v="Outlier"/>
  </r>
  <r>
    <n v="929955"/>
    <n v="349"/>
    <x v="13"/>
    <d v="2023-01-21T23:42:00"/>
    <s v="Website"/>
    <s v="Valarie Nelson"/>
    <n v="3242"/>
    <d v="2023-01-21T00:00:00"/>
    <x v="38"/>
    <x v="9"/>
    <x v="1"/>
    <s v="Outlier"/>
  </r>
  <r>
    <n v="930116"/>
    <n v="918"/>
    <x v="6"/>
    <d v="2023-08-18T23:37:00"/>
    <s v="App"/>
    <s v="Victoria Ashworth"/>
    <n v="4873"/>
    <d v="2023-08-18T00:00:00"/>
    <x v="78"/>
    <x v="8"/>
    <x v="0"/>
    <s v="Outlier"/>
  </r>
  <r>
    <n v="930552"/>
    <n v="1605"/>
    <x v="4"/>
    <d v="2023-04-05T00:14:00"/>
    <s v="Other"/>
    <s v="Sue King"/>
    <n v="6840"/>
    <d v="2023-04-05T00:00:00"/>
    <x v="172"/>
    <x v="1"/>
    <x v="4"/>
    <s v="Outlier"/>
  </r>
  <r>
    <n v="930811"/>
    <n v="1778"/>
    <x v="0"/>
    <d v="2023-01-09T23:51:00"/>
    <s v="Other"/>
    <s v="Anna O'Hara"/>
    <n v="3666"/>
    <d v="2023-01-09T00:00:00"/>
    <x v="87"/>
    <x v="9"/>
    <x v="5"/>
    <s v="Outlier"/>
  </r>
  <r>
    <n v="930878"/>
    <n v="1606"/>
    <x v="3"/>
    <d v="2023-07-06T01:58:00"/>
    <s v="Website"/>
    <s v="Palle Ibsen"/>
    <n v="3069"/>
    <d v="2023-07-06T00:00:00"/>
    <x v="157"/>
    <x v="6"/>
    <x v="3"/>
    <s v="Outlier"/>
  </r>
  <r>
    <n v="931367"/>
    <n v="981"/>
    <x v="0"/>
    <d v="2023-06-12T01:53:00"/>
    <s v="Website"/>
    <s v="Giovanni Rovelli"/>
    <n v="2393"/>
    <d v="2023-06-12T00:00:00"/>
    <x v="102"/>
    <x v="7"/>
    <x v="5"/>
    <s v="Outlier"/>
  </r>
  <r>
    <n v="931763"/>
    <n v="1355"/>
    <x v="4"/>
    <d v="2023-05-26T00:12:00"/>
    <s v="Other"/>
    <s v="Valarie Nelson"/>
    <n v="2372"/>
    <d v="2023-05-26T00:00:00"/>
    <x v="19"/>
    <x v="11"/>
    <x v="0"/>
    <s v="Outlier"/>
  </r>
  <r>
    <n v="933463"/>
    <n v="1401"/>
    <x v="10"/>
    <d v="2023-07-08T23:52:00"/>
    <s v="Website"/>
    <s v="Sean Connery"/>
    <n v="7754"/>
    <d v="2023-07-08T00:00:00"/>
    <x v="94"/>
    <x v="6"/>
    <x v="1"/>
    <s v="Outlier"/>
  </r>
  <r>
    <n v="935343"/>
    <n v="1143"/>
    <x v="2"/>
    <d v="2023-09-27T23:28:00"/>
    <s v="Website"/>
    <s v="Jeff Young"/>
    <n v="1325"/>
    <d v="2023-09-27T00:00:00"/>
    <x v="134"/>
    <x v="10"/>
    <x v="4"/>
    <s v="Outlier"/>
  </r>
  <r>
    <n v="935551"/>
    <n v="712"/>
    <x v="0"/>
    <d v="2023-12-14T01:36:00"/>
    <s v="Whatsapp"/>
    <s v="Thomas Hardy"/>
    <n v="6779"/>
    <d v="2023-12-14T00:00:00"/>
    <x v="173"/>
    <x v="0"/>
    <x v="3"/>
    <s v="Outlier"/>
  </r>
  <r>
    <n v="935674"/>
    <n v="442"/>
    <x v="0"/>
    <d v="2023-08-04T00:54:00"/>
    <s v="Other"/>
    <s v="Mary Saveley"/>
    <n v="5395"/>
    <d v="2023-08-04T00:00:00"/>
    <x v="73"/>
    <x v="8"/>
    <x v="0"/>
    <s v="Outlier"/>
  </r>
  <r>
    <n v="935947"/>
    <n v="1267"/>
    <x v="2"/>
    <d v="2023-07-09T01:19:00"/>
    <s v="App"/>
    <s v="Frederique Citeaux"/>
    <n v="5054"/>
    <d v="2023-07-09T00:00:00"/>
    <x v="95"/>
    <x v="6"/>
    <x v="6"/>
    <s v="Outlier"/>
  </r>
  <r>
    <n v="935965"/>
    <n v="1578"/>
    <x v="2"/>
    <d v="2023-07-30T23:57:00"/>
    <s v="App"/>
    <s v="Jeff Young"/>
    <n v="4078"/>
    <d v="2023-07-30T00:00:00"/>
    <x v="116"/>
    <x v="6"/>
    <x v="6"/>
    <s v="Outlier"/>
  </r>
  <r>
    <n v="936199"/>
    <n v="734"/>
    <x v="2"/>
    <d v="2023-06-07T00:23:00"/>
    <s v="Website"/>
    <s v="Diego Freyre"/>
    <n v="6734"/>
    <d v="2023-06-07T00:00:00"/>
    <x v="6"/>
    <x v="7"/>
    <x v="4"/>
    <s v="Outlier"/>
  </r>
  <r>
    <n v="936455"/>
    <n v="452"/>
    <x v="4"/>
    <d v="2023-01-14T00:46:00"/>
    <s v="Whatsapp"/>
    <s v="Wendy Victorino"/>
    <n v="9527"/>
    <d v="2023-01-14T00:00:00"/>
    <x v="77"/>
    <x v="9"/>
    <x v="1"/>
    <s v="Outlier"/>
  </r>
  <r>
    <n v="937222"/>
    <n v="1095"/>
    <x v="1"/>
    <d v="2023-01-27T01:04:00"/>
    <s v="Other"/>
    <s v="Elizabeth Devon"/>
    <n v="2890"/>
    <d v="2023-01-27T00:00:00"/>
    <x v="121"/>
    <x v="9"/>
    <x v="0"/>
    <s v="Outlier"/>
  </r>
  <r>
    <n v="937462"/>
    <n v="1858"/>
    <x v="0"/>
    <d v="2023-10-20T23:54:00"/>
    <s v="App"/>
    <s v="Diego Freyre"/>
    <n v="2327"/>
    <d v="2023-10-20T00:00:00"/>
    <x v="174"/>
    <x v="3"/>
    <x v="0"/>
    <s v="Outlier"/>
  </r>
  <r>
    <n v="938620"/>
    <n v="1556"/>
    <x v="6"/>
    <d v="2023-04-04T01:54:00"/>
    <s v="Website"/>
    <s v="Victoria Ashworth"/>
    <n v="1142"/>
    <d v="2023-04-04T00:00:00"/>
    <x v="143"/>
    <x v="1"/>
    <x v="2"/>
    <s v="Outlier"/>
  </r>
  <r>
    <n v="940084"/>
    <n v="239"/>
    <x v="1"/>
    <d v="2023-09-19T00:05:00"/>
    <s v="Whatsapp"/>
    <s v="Laurence Lebihan"/>
    <n v="2257"/>
    <d v="2023-09-19T00:00:00"/>
    <x v="48"/>
    <x v="10"/>
    <x v="2"/>
    <s v="Outlier"/>
  </r>
  <r>
    <n v="941028"/>
    <n v="1311"/>
    <x v="0"/>
    <d v="2023-09-19T23:27:00"/>
    <s v="App"/>
    <s v="Julie Young"/>
    <n v="9422"/>
    <d v="2023-09-19T00:00:00"/>
    <x v="79"/>
    <x v="10"/>
    <x v="2"/>
    <s v="Outlier"/>
  </r>
  <r>
    <n v="941315"/>
    <n v="1856"/>
    <x v="0"/>
    <d v="2023-04-07T00:11:00"/>
    <s v="App"/>
    <s v="Diego Freyre"/>
    <n v="6848"/>
    <d v="2023-04-07T00:00:00"/>
    <x v="10"/>
    <x v="1"/>
    <x v="0"/>
    <s v="Outlier"/>
  </r>
  <r>
    <n v="942316"/>
    <n v="608"/>
    <x v="13"/>
    <d v="2023-01-04T00:48:00"/>
    <s v="Whatsapp"/>
    <s v="Sue Frick"/>
    <n v="455"/>
    <d v="2023-01-04T00:00:00"/>
    <x v="88"/>
    <x v="9"/>
    <x v="4"/>
    <s v="Outlier"/>
  </r>
  <r>
    <n v="942544"/>
    <n v="233"/>
    <x v="2"/>
    <d v="2023-06-29T23:09:00"/>
    <s v="Other"/>
    <s v="Adrian Huxley"/>
    <n v="5264"/>
    <d v="2023-06-29T00:00:00"/>
    <x v="175"/>
    <x v="7"/>
    <x v="3"/>
    <s v="Outlier"/>
  </r>
  <r>
    <n v="942561"/>
    <n v="1263"/>
    <x v="0"/>
    <d v="2023-10-13T23:52:00"/>
    <s v="Other"/>
    <s v="Victoria Ashworth"/>
    <n v="1046"/>
    <d v="2023-10-13T00:00:00"/>
    <x v="94"/>
    <x v="3"/>
    <x v="0"/>
    <s v="Outlier"/>
  </r>
  <r>
    <n v="943149"/>
    <n v="640"/>
    <x v="3"/>
    <d v="2023-09-24T22:47:00"/>
    <s v="Whatsapp"/>
    <s v="Sue King"/>
    <n v="6730"/>
    <d v="2023-09-24T00:00:00"/>
    <x v="165"/>
    <x v="10"/>
    <x v="6"/>
    <s v="Outlier"/>
  </r>
  <r>
    <n v="943915"/>
    <n v="778"/>
    <x v="3"/>
    <d v="2023-03-04T01:32:00"/>
    <s v="Other"/>
    <s v="Anna O'Hara"/>
    <n v="8064"/>
    <d v="2023-03-04T00:00:00"/>
    <x v="117"/>
    <x v="4"/>
    <x v="1"/>
    <s v="Outlier"/>
  </r>
  <r>
    <n v="944561"/>
    <n v="1343"/>
    <x v="0"/>
    <d v="2023-02-24T23:00:00"/>
    <s v="App"/>
    <s v="Palle Ibsen"/>
    <n v="439"/>
    <d v="2023-02-24T00:00:00"/>
    <x v="171"/>
    <x v="5"/>
    <x v="0"/>
    <s v="Outlier"/>
  </r>
  <r>
    <n v="946141"/>
    <n v="1208"/>
    <x v="0"/>
    <d v="2023-04-20T01:26:00"/>
    <s v="Other"/>
    <s v="Julie King"/>
    <n v="6931"/>
    <d v="2023-04-20T00:00:00"/>
    <x v="65"/>
    <x v="1"/>
    <x v="3"/>
    <s v="Outlier"/>
  </r>
  <r>
    <n v="946167"/>
    <n v="1512"/>
    <x v="13"/>
    <d v="2023-12-04T23:54:00"/>
    <s v="Website"/>
    <s v="Valarie Nelson"/>
    <n v="236"/>
    <d v="2023-12-04T00:00:00"/>
    <x v="174"/>
    <x v="0"/>
    <x v="5"/>
    <s v="Outlier"/>
  </r>
  <r>
    <n v="946580"/>
    <n v="91"/>
    <x v="4"/>
    <d v="2023-11-27T23:02:00"/>
    <s v="App"/>
    <s v="Valarie Young"/>
    <n v="8726"/>
    <d v="2023-11-27T00:00:00"/>
    <x v="114"/>
    <x v="2"/>
    <x v="5"/>
    <s v="Outlier"/>
  </r>
  <r>
    <n v="946964"/>
    <n v="281"/>
    <x v="0"/>
    <d v="2023-02-24T00:44:00"/>
    <s v="Website"/>
    <s v="Jeff Young"/>
    <n v="6535"/>
    <d v="2023-02-24T00:00:00"/>
    <x v="85"/>
    <x v="5"/>
    <x v="0"/>
    <s v="Outlier"/>
  </r>
  <r>
    <n v="947335"/>
    <n v="1539"/>
    <x v="0"/>
    <d v="2023-08-16T00:17:00"/>
    <s v="Website"/>
    <s v="Diego Freyre"/>
    <n v="4146"/>
    <d v="2023-08-16T00:00:00"/>
    <x v="20"/>
    <x v="8"/>
    <x v="4"/>
    <s v="Outlier"/>
  </r>
  <r>
    <n v="947369"/>
    <n v="1510"/>
    <x v="8"/>
    <d v="2023-07-10T00:20:00"/>
    <s v="App"/>
    <s v="Valarie Thompson"/>
    <n v="5208"/>
    <d v="2023-07-10T00:00:00"/>
    <x v="68"/>
    <x v="6"/>
    <x v="5"/>
    <s v="Outlier"/>
  </r>
  <r>
    <n v="950100"/>
    <n v="567"/>
    <x v="6"/>
    <d v="2023-12-07T23:10:00"/>
    <s v="Website"/>
    <s v="Frederique Citeaux"/>
    <n v="4903"/>
    <d v="2023-12-07T00:00:00"/>
    <x v="176"/>
    <x v="0"/>
    <x v="3"/>
    <s v="Outlier"/>
  </r>
  <r>
    <n v="950345"/>
    <n v="608"/>
    <x v="13"/>
    <d v="2023-02-13T02:00:00"/>
    <s v="Other"/>
    <s v="Jeff Young"/>
    <n v="4841"/>
    <d v="2023-02-13T00:00:00"/>
    <x v="23"/>
    <x v="5"/>
    <x v="5"/>
    <s v="Outlier"/>
  </r>
  <r>
    <n v="951047"/>
    <n v="753"/>
    <x v="0"/>
    <d v="2023-01-12T23:45:00"/>
    <s v="Whatsapp"/>
    <s v="Diego Freyre"/>
    <n v="1714"/>
    <d v="2023-01-12T00:00:00"/>
    <x v="164"/>
    <x v="9"/>
    <x v="3"/>
    <s v="Outlier"/>
  </r>
  <r>
    <n v="951353"/>
    <n v="1243"/>
    <x v="4"/>
    <d v="2023-07-10T00:29:00"/>
    <s v="App"/>
    <s v="Wendy Victorino"/>
    <n v="9524"/>
    <d v="2023-07-10T00:00:00"/>
    <x v="50"/>
    <x v="6"/>
    <x v="5"/>
    <s v="Outlier"/>
  </r>
  <r>
    <n v="951780"/>
    <n v="1945"/>
    <x v="0"/>
    <d v="2023-07-24T00:35:00"/>
    <s v="Whatsapp"/>
    <s v="Jan Klaeboe"/>
    <n v="6963"/>
    <d v="2023-07-24T00:00:00"/>
    <x v="67"/>
    <x v="6"/>
    <x v="5"/>
    <s v="Outlier"/>
  </r>
  <r>
    <n v="952497"/>
    <n v="1649"/>
    <x v="0"/>
    <d v="2023-10-16T23:33:00"/>
    <s v="Other"/>
    <s v="Diego Freyre"/>
    <n v="1132"/>
    <d v="2023-10-16T00:00:00"/>
    <x v="62"/>
    <x v="3"/>
    <x v="5"/>
    <s v="Outlier"/>
  </r>
  <r>
    <n v="952618"/>
    <n v="1539"/>
    <x v="0"/>
    <d v="2023-04-07T01:09:00"/>
    <s v="Other"/>
    <s v="Violeta Benitez"/>
    <n v="1048"/>
    <d v="2023-04-07T00:00:00"/>
    <x v="92"/>
    <x v="1"/>
    <x v="0"/>
    <s v="Outlier"/>
  </r>
  <r>
    <n v="953006"/>
    <n v="1500"/>
    <x v="0"/>
    <d v="2023-11-16T00:34:00"/>
    <s v="Website"/>
    <s v="Victoria Ashworth"/>
    <n v="9376"/>
    <d v="2023-11-16T00:00:00"/>
    <x v="21"/>
    <x v="2"/>
    <x v="3"/>
    <s v="Outlier"/>
  </r>
  <r>
    <n v="953922"/>
    <n v="1112"/>
    <x v="4"/>
    <d v="2023-10-07T00:04:00"/>
    <s v="Website"/>
    <s v="Laurence Lebihan"/>
    <n v="4161"/>
    <d v="2023-10-07T00:00:00"/>
    <x v="64"/>
    <x v="3"/>
    <x v="1"/>
    <s v="Outlier"/>
  </r>
  <r>
    <n v="953981"/>
    <n v="1513"/>
    <x v="0"/>
    <d v="2023-10-05T00:28:00"/>
    <s v="Other"/>
    <s v="Julie Young"/>
    <n v="9670"/>
    <d v="2023-10-05T00:00:00"/>
    <x v="39"/>
    <x v="3"/>
    <x v="3"/>
    <s v="Outlier"/>
  </r>
  <r>
    <n v="954429"/>
    <n v="1544"/>
    <x v="0"/>
    <d v="2023-11-24T23:47:00"/>
    <s v="App"/>
    <s v="Diego Freyre"/>
    <n v="4753"/>
    <d v="2023-11-24T00:00:00"/>
    <x v="100"/>
    <x v="2"/>
    <x v="0"/>
    <s v="Outlier"/>
  </r>
  <r>
    <n v="954631"/>
    <n v="1868"/>
    <x v="3"/>
    <d v="2023-03-03T00:28:00"/>
    <s v="Other"/>
    <s v="Sue Frick"/>
    <n v="8020"/>
    <d v="2023-03-03T00:00:00"/>
    <x v="39"/>
    <x v="4"/>
    <x v="0"/>
    <s v="Outlier"/>
  </r>
  <r>
    <n v="957373"/>
    <n v="580"/>
    <x v="0"/>
    <d v="2023-06-16T23:05:00"/>
    <s v="Other"/>
    <s v="Adrian Huxley"/>
    <n v="4659"/>
    <d v="2023-06-16T00:00:00"/>
    <x v="159"/>
    <x v="7"/>
    <x v="0"/>
    <s v="Outlier"/>
  </r>
  <r>
    <n v="957446"/>
    <n v="49"/>
    <x v="3"/>
    <d v="2023-09-18T00:17:00"/>
    <s v="Other"/>
    <s v="Diego Freyre"/>
    <n v="5585"/>
    <d v="2023-09-18T00:00:00"/>
    <x v="20"/>
    <x v="10"/>
    <x v="5"/>
    <s v="Outlier"/>
  </r>
  <r>
    <n v="958196"/>
    <n v="1922"/>
    <x v="4"/>
    <d v="2023-01-08T00:48:00"/>
    <s v="Other"/>
    <s v="Maria Hernandez"/>
    <n v="3813"/>
    <d v="2023-01-08T00:00:00"/>
    <x v="88"/>
    <x v="9"/>
    <x v="6"/>
    <s v="Outlier"/>
  </r>
  <r>
    <n v="959426"/>
    <n v="801"/>
    <x v="3"/>
    <d v="2023-11-06T00:09:00"/>
    <s v="App"/>
    <s v="Jeff Young"/>
    <n v="6481"/>
    <d v="2023-11-06T00:00:00"/>
    <x v="81"/>
    <x v="2"/>
    <x v="5"/>
    <s v="Outlier"/>
  </r>
  <r>
    <n v="959447"/>
    <n v="336"/>
    <x v="4"/>
    <d v="2023-04-10T01:31:00"/>
    <s v="Whatsapp"/>
    <s v="Kalle Suominen"/>
    <n v="7839"/>
    <d v="2023-04-10T00:00:00"/>
    <x v="177"/>
    <x v="1"/>
    <x v="5"/>
    <s v="Outlier"/>
  </r>
  <r>
    <n v="960053"/>
    <n v="651"/>
    <x v="0"/>
    <d v="2023-08-01T00:20:00"/>
    <s v="Website"/>
    <s v="Tony Calaghan"/>
    <n v="3417"/>
    <d v="2023-08-01T00:00:00"/>
    <x v="68"/>
    <x v="8"/>
    <x v="2"/>
    <s v="Outlier"/>
  </r>
  <r>
    <n v="960685"/>
    <n v="522"/>
    <x v="0"/>
    <d v="2023-11-24T00:50:00"/>
    <s v="Whatsapp"/>
    <s v="Eric Natividad"/>
    <n v="9772"/>
    <d v="2023-11-24T00:00:00"/>
    <x v="0"/>
    <x v="2"/>
    <x v="0"/>
    <s v="Outlier"/>
  </r>
  <r>
    <n v="961277"/>
    <n v="1721"/>
    <x v="7"/>
    <d v="2023-04-30T23:39:00"/>
    <s v="Website"/>
    <s v="Maurizio Moroni"/>
    <n v="8615"/>
    <d v="2023-04-30T00:00:00"/>
    <x v="101"/>
    <x v="1"/>
    <x v="6"/>
    <s v="Outlier"/>
  </r>
  <r>
    <n v="961533"/>
    <n v="424"/>
    <x v="4"/>
    <d v="2023-03-28T00:56:00"/>
    <s v="Website"/>
    <s v="Jose Pedro Roel"/>
    <n v="1084"/>
    <d v="2023-03-28T00:00:00"/>
    <x v="150"/>
    <x v="4"/>
    <x v="2"/>
    <s v="Outlier"/>
  </r>
  <r>
    <n v="961949"/>
    <n v="1076"/>
    <x v="1"/>
    <d v="2023-10-05T00:01:00"/>
    <s v="Website"/>
    <s v="Steve Frick"/>
    <n v="2153"/>
    <d v="2023-10-05T00:00:00"/>
    <x v="63"/>
    <x v="3"/>
    <x v="3"/>
    <s v="Outlier"/>
  </r>
  <r>
    <n v="962603"/>
    <n v="1743"/>
    <x v="0"/>
    <d v="2023-05-07T00:20:00"/>
    <s v="Website"/>
    <s v="Valarie Franco"/>
    <n v="6171"/>
    <d v="2023-05-07T00:00:00"/>
    <x v="68"/>
    <x v="11"/>
    <x v="6"/>
    <s v="Outlier"/>
  </r>
  <r>
    <n v="962712"/>
    <n v="340"/>
    <x v="3"/>
    <d v="2023-03-08T00:19:00"/>
    <s v="Website"/>
    <s v="Dean Cassidy"/>
    <n v="1633"/>
    <d v="2023-03-08T00:00:00"/>
    <x v="167"/>
    <x v="4"/>
    <x v="4"/>
    <s v="Outlier"/>
  </r>
  <r>
    <n v="963906"/>
    <n v="1098"/>
    <x v="5"/>
    <d v="2023-05-19T00:39:00"/>
    <s v="Website"/>
    <s v="Roland Keitel"/>
    <n v="3431"/>
    <d v="2023-05-19T00:00:00"/>
    <x v="11"/>
    <x v="11"/>
    <x v="0"/>
    <s v="Outlier"/>
  </r>
  <r>
    <n v="964075"/>
    <n v="162"/>
    <x v="0"/>
    <d v="2023-04-17T23:22:00"/>
    <s v="Other"/>
    <s v="Diego Freyre"/>
    <n v="1275"/>
    <d v="2023-04-17T00:00:00"/>
    <x v="137"/>
    <x v="1"/>
    <x v="5"/>
    <s v="Outlier"/>
  </r>
  <r>
    <n v="964231"/>
    <n v="759"/>
    <x v="0"/>
    <d v="2023-10-27T01:14:00"/>
    <s v="Website"/>
    <s v="Wendy Victorino"/>
    <n v="6583"/>
    <d v="2023-10-27T00:00:00"/>
    <x v="156"/>
    <x v="3"/>
    <x v="0"/>
    <s v="Outlier"/>
  </r>
  <r>
    <n v="964791"/>
    <n v="1085"/>
    <x v="4"/>
    <d v="2023-10-27T00:04:00"/>
    <s v="Whatsapp"/>
    <s v="Valarie Nelson"/>
    <n v="4514"/>
    <d v="2023-10-27T00:00:00"/>
    <x v="64"/>
    <x v="3"/>
    <x v="0"/>
    <s v="Outlier"/>
  </r>
  <r>
    <n v="965923"/>
    <n v="1883"/>
    <x v="0"/>
    <d v="2023-03-27T01:40:00"/>
    <s v="Other"/>
    <s v="Valarie Nelson"/>
    <n v="1548"/>
    <d v="2023-03-27T00:00:00"/>
    <x v="76"/>
    <x v="4"/>
    <x v="5"/>
    <s v="Outlier"/>
  </r>
  <r>
    <n v="966739"/>
    <n v="881"/>
    <x v="3"/>
    <d v="2023-08-20T00:41:00"/>
    <s v="Other"/>
    <s v="Kwai Yu"/>
    <n v="4693"/>
    <d v="2023-08-20T00:00:00"/>
    <x v="60"/>
    <x v="8"/>
    <x v="6"/>
    <s v="Outlier"/>
  </r>
  <r>
    <n v="967619"/>
    <n v="897"/>
    <x v="0"/>
    <d v="2023-06-27T23:21:00"/>
    <s v="App"/>
    <s v="Marta Hernandez"/>
    <n v="3504"/>
    <d v="2023-06-27T00:00:00"/>
    <x v="69"/>
    <x v="7"/>
    <x v="2"/>
    <s v="Outlier"/>
  </r>
  <r>
    <n v="968469"/>
    <n v="711"/>
    <x v="0"/>
    <d v="2023-09-17T00:15:00"/>
    <s v="App"/>
    <s v="Palle Ibsen"/>
    <n v="187"/>
    <d v="2023-09-17T00:00:00"/>
    <x v="123"/>
    <x v="10"/>
    <x v="6"/>
    <s v="Outlier"/>
  </r>
  <r>
    <n v="968501"/>
    <n v="534"/>
    <x v="1"/>
    <d v="2023-09-26T00:47:00"/>
    <s v="Whatsapp"/>
    <s v="Michael Frick"/>
    <n v="98"/>
    <d v="2023-09-26T00:00:00"/>
    <x v="75"/>
    <x v="10"/>
    <x v="2"/>
    <s v="Outlier"/>
  </r>
  <r>
    <n v="968680"/>
    <n v="362"/>
    <x v="1"/>
    <d v="2023-04-04T22:53:00"/>
    <s v="Other"/>
    <s v="Marie Bertrand"/>
    <n v="4761"/>
    <d v="2023-04-04T00:00:00"/>
    <x v="178"/>
    <x v="1"/>
    <x v="2"/>
    <s v="Outlier"/>
  </r>
  <r>
    <n v="968730"/>
    <n v="407"/>
    <x v="3"/>
    <d v="2023-05-24T00:54:00"/>
    <s v="Whatsapp"/>
    <s v="Jeff Young"/>
    <n v="6326"/>
    <d v="2023-05-24T00:00:00"/>
    <x v="73"/>
    <x v="11"/>
    <x v="4"/>
    <s v="Outlier"/>
  </r>
  <r>
    <n v="969517"/>
    <n v="1794"/>
    <x v="6"/>
    <d v="2023-12-28T01:14:00"/>
    <s v="Website"/>
    <s v="Diego Freyre"/>
    <n v="7435"/>
    <d v="2023-12-28T00:00:00"/>
    <x v="156"/>
    <x v="0"/>
    <x v="3"/>
    <s v="Outlier"/>
  </r>
  <r>
    <n v="969765"/>
    <n v="850"/>
    <x v="0"/>
    <d v="2023-02-16T01:46:00"/>
    <s v="App"/>
    <s v="Valarie Nelson"/>
    <n v="3206"/>
    <d v="2023-02-16T00:00:00"/>
    <x v="129"/>
    <x v="5"/>
    <x v="3"/>
    <s v="Outlier"/>
  </r>
  <r>
    <n v="971123"/>
    <n v="197"/>
    <x v="0"/>
    <d v="2023-02-02T00:32:00"/>
    <s v="Whatsapp"/>
    <s v="Diego Freyre"/>
    <n v="4194"/>
    <d v="2023-02-02T00:00:00"/>
    <x v="58"/>
    <x v="5"/>
    <x v="3"/>
    <s v="Outlier"/>
  </r>
  <r>
    <n v="971900"/>
    <n v="1424"/>
    <x v="4"/>
    <d v="2023-03-19T00:16:00"/>
    <s v="Whatsapp"/>
    <s v="Diego Freyre"/>
    <n v="4454"/>
    <d v="2023-03-19T00:00:00"/>
    <x v="61"/>
    <x v="4"/>
    <x v="6"/>
    <s v="Outlier"/>
  </r>
  <r>
    <n v="972030"/>
    <n v="854"/>
    <x v="0"/>
    <d v="2023-03-31T01:46:00"/>
    <s v="Whatsapp"/>
    <s v="Diego Freyre"/>
    <n v="6426"/>
    <d v="2023-03-31T00:00:00"/>
    <x v="129"/>
    <x v="4"/>
    <x v="0"/>
    <s v="Outlier"/>
  </r>
  <r>
    <n v="973367"/>
    <n v="1170"/>
    <x v="7"/>
    <d v="2023-09-01T01:16:00"/>
    <s v="App"/>
    <s v="Janine Labrune"/>
    <n v="8512"/>
    <d v="2023-09-01T00:00:00"/>
    <x v="84"/>
    <x v="10"/>
    <x v="0"/>
    <s v="Outlier"/>
  </r>
  <r>
    <n v="974557"/>
    <n v="1874"/>
    <x v="0"/>
    <d v="2023-01-15T01:08:00"/>
    <s v="Whatsapp"/>
    <s v="Kwai Yu"/>
    <n v="2721"/>
    <d v="2023-01-15T00:00:00"/>
    <x v="37"/>
    <x v="9"/>
    <x v="6"/>
    <s v="Outlier"/>
  </r>
  <r>
    <n v="975249"/>
    <n v="1044"/>
    <x v="1"/>
    <d v="2023-12-22T01:21:00"/>
    <s v="Other"/>
    <s v="Peter Ferguson"/>
    <n v="3988"/>
    <d v="2023-12-22T00:00:00"/>
    <x v="128"/>
    <x v="0"/>
    <x v="0"/>
    <s v="Outlier"/>
  </r>
  <r>
    <n v="976000"/>
    <n v="484"/>
    <x v="0"/>
    <d v="2023-06-12T23:43:00"/>
    <s v="App"/>
    <s v="Daniel Da Cunha"/>
    <n v="6536"/>
    <d v="2023-06-12T00:00:00"/>
    <x v="169"/>
    <x v="7"/>
    <x v="5"/>
    <s v="Outlier"/>
  </r>
  <r>
    <n v="976435"/>
    <n v="704"/>
    <x v="0"/>
    <d v="2023-09-26T01:20:00"/>
    <s v="Website"/>
    <s v="Julie Young"/>
    <n v="5887"/>
    <d v="2023-09-26T00:00:00"/>
    <x v="8"/>
    <x v="10"/>
    <x v="2"/>
    <s v="Outlier"/>
  </r>
  <r>
    <n v="976870"/>
    <n v="357"/>
    <x v="8"/>
    <d v="2023-06-28T00:11:00"/>
    <s v="App"/>
    <s v="Julie Brown"/>
    <n v="1226"/>
    <d v="2023-06-28T00:00:00"/>
    <x v="10"/>
    <x v="7"/>
    <x v="4"/>
    <s v="Outlier"/>
  </r>
  <r>
    <n v="978487"/>
    <n v="767"/>
    <x v="0"/>
    <d v="2023-06-20T23:31:00"/>
    <s v="Other"/>
    <s v="Juri Hirano"/>
    <n v="8162"/>
    <d v="2023-06-20T00:00:00"/>
    <x v="57"/>
    <x v="7"/>
    <x v="2"/>
    <s v="Outlier"/>
  </r>
  <r>
    <n v="978518"/>
    <n v="1078"/>
    <x v="6"/>
    <d v="2023-01-01T01:04:00"/>
    <s v="Website"/>
    <s v="Martine Rance"/>
    <n v="448"/>
    <d v="2023-01-01T00:00:00"/>
    <x v="121"/>
    <x v="9"/>
    <x v="6"/>
    <s v="Outlier"/>
  </r>
  <r>
    <n v="978704"/>
    <n v="307"/>
    <x v="3"/>
    <d v="2023-08-18T00:49:00"/>
    <s v="Other"/>
    <s v="Veysel Oeztan"/>
    <n v="5631"/>
    <d v="2023-08-18T00:00:00"/>
    <x v="35"/>
    <x v="8"/>
    <x v="0"/>
    <s v="Outlier"/>
  </r>
  <r>
    <n v="979166"/>
    <n v="995"/>
    <x v="3"/>
    <d v="2023-03-12T23:36:00"/>
    <s v="App"/>
    <s v="Julie Murphy"/>
    <n v="6809"/>
    <d v="2023-03-12T00:00:00"/>
    <x v="135"/>
    <x v="4"/>
    <x v="6"/>
    <s v="Outlier"/>
  </r>
  <r>
    <n v="982672"/>
    <n v="1590"/>
    <x v="5"/>
    <d v="2023-12-21T01:52:00"/>
    <s v="Whatsapp"/>
    <s v="Dominique Perrier"/>
    <n v="7371"/>
    <d v="2023-12-21T00:00:00"/>
    <x v="179"/>
    <x v="0"/>
    <x v="3"/>
    <s v="Outlier"/>
  </r>
  <r>
    <n v="982983"/>
    <n v="1842"/>
    <x v="5"/>
    <d v="2023-01-12T00:34:00"/>
    <s v="App"/>
    <s v="Peter Ferguson"/>
    <n v="6411"/>
    <d v="2023-01-12T00:00:00"/>
    <x v="21"/>
    <x v="9"/>
    <x v="3"/>
    <s v="Outlier"/>
  </r>
  <r>
    <n v="983456"/>
    <n v="177"/>
    <x v="1"/>
    <d v="2023-04-25T01:37:00"/>
    <s v="Other"/>
    <s v="Michael Frick"/>
    <n v="2938"/>
    <d v="2023-04-25T00:00:00"/>
    <x v="109"/>
    <x v="1"/>
    <x v="2"/>
    <s v="Outlier"/>
  </r>
  <r>
    <n v="984155"/>
    <n v="1399"/>
    <x v="6"/>
    <d v="2023-10-25T00:08:00"/>
    <s v="Whatsapp"/>
    <s v="William Brown"/>
    <n v="5521"/>
    <d v="2023-10-25T00:00:00"/>
    <x v="149"/>
    <x v="3"/>
    <x v="4"/>
    <s v="Outlier"/>
  </r>
  <r>
    <n v="985800"/>
    <n v="1225"/>
    <x v="4"/>
    <d v="2023-12-16T00:53:00"/>
    <s v="Website"/>
    <s v="Julie King"/>
    <n v="3508"/>
    <d v="2023-12-16T00:00:00"/>
    <x v="36"/>
    <x v="0"/>
    <x v="1"/>
    <s v="Outlier"/>
  </r>
  <r>
    <n v="986036"/>
    <n v="1064"/>
    <x v="9"/>
    <d v="2023-10-30T22:33:00"/>
    <s v="App"/>
    <s v="Janine Labrune"/>
    <n v="855"/>
    <d v="2023-10-30T00:00:00"/>
    <x v="17"/>
    <x v="3"/>
    <x v="5"/>
    <s v="Outlier"/>
  </r>
  <r>
    <n v="988105"/>
    <n v="1877"/>
    <x v="4"/>
    <d v="2023-06-25T01:16:00"/>
    <s v="App"/>
    <s v="Marta Hernandez"/>
    <n v="9254"/>
    <d v="2023-06-25T00:00:00"/>
    <x v="84"/>
    <x v="7"/>
    <x v="6"/>
    <s v="Outlier"/>
  </r>
  <r>
    <n v="988444"/>
    <n v="430"/>
    <x v="1"/>
    <d v="2023-08-04T01:09:00"/>
    <s v="Other"/>
    <s v="Matti Karttunen"/>
    <n v="9958"/>
    <d v="2023-08-04T00:00:00"/>
    <x v="92"/>
    <x v="8"/>
    <x v="0"/>
    <s v="Outlier"/>
  </r>
  <r>
    <n v="990534"/>
    <n v="249"/>
    <x v="0"/>
    <d v="2023-07-15T22:47:00"/>
    <s v="Whatsapp"/>
    <s v="Jonas Bergulfsen"/>
    <n v="3459"/>
    <d v="2023-07-15T00:00:00"/>
    <x v="165"/>
    <x v="6"/>
    <x v="1"/>
    <s v="Outlier"/>
  </r>
  <r>
    <n v="990780"/>
    <n v="1068"/>
    <x v="4"/>
    <d v="2023-11-06T23:47:00"/>
    <s v="Other"/>
    <s v="Kyung Yu"/>
    <n v="6407"/>
    <d v="2023-11-06T00:00:00"/>
    <x v="100"/>
    <x v="2"/>
    <x v="5"/>
    <s v="Outlier"/>
  </r>
  <r>
    <n v="990832"/>
    <n v="9"/>
    <x v="3"/>
    <d v="2023-07-30T00:18:00"/>
    <s v="Other"/>
    <s v="Kwai Yu"/>
    <n v="8202"/>
    <d v="2023-07-30T00:00:00"/>
    <x v="139"/>
    <x v="6"/>
    <x v="6"/>
    <s v="Outlier"/>
  </r>
  <r>
    <n v="990950"/>
    <n v="1948"/>
    <x v="0"/>
    <d v="2023-06-24T00:12:00"/>
    <s v="Whatsapp"/>
    <s v="Akiko Shimamura"/>
    <n v="2414"/>
    <d v="2023-06-24T00:00:00"/>
    <x v="19"/>
    <x v="7"/>
    <x v="1"/>
    <s v="Outlier"/>
  </r>
  <r>
    <n v="991491"/>
    <n v="1789"/>
    <x v="7"/>
    <d v="2023-11-09T23:41:00"/>
    <s v="Website"/>
    <s v="Juri Hirano"/>
    <n v="5990"/>
    <d v="2023-11-09T00:00:00"/>
    <x v="155"/>
    <x v="2"/>
    <x v="3"/>
    <s v="Outlier"/>
  </r>
  <r>
    <n v="991744"/>
    <n v="303"/>
    <x v="1"/>
    <d v="2023-10-17T02:29:00"/>
    <s v="Other"/>
    <s v="Tony Calaghan"/>
    <n v="6212"/>
    <d v="2023-10-17T00:00:00"/>
    <x v="180"/>
    <x v="3"/>
    <x v="2"/>
    <s v="Outlier"/>
  </r>
  <r>
    <n v="992007"/>
    <n v="576"/>
    <x v="0"/>
    <d v="2023-08-02T23:57:00"/>
    <s v="App"/>
    <s v="Maria Larsson"/>
    <n v="839"/>
    <d v="2023-08-02T00:00:00"/>
    <x v="116"/>
    <x v="8"/>
    <x v="4"/>
    <s v="Outlier"/>
  </r>
  <r>
    <n v="992535"/>
    <n v="1239"/>
    <x v="4"/>
    <d v="2023-01-12T22:55:00"/>
    <s v="Other"/>
    <s v="Elizabeth Devon"/>
    <n v="2549"/>
    <d v="2023-01-12T00:00:00"/>
    <x v="125"/>
    <x v="9"/>
    <x v="3"/>
    <s v="Outlier"/>
  </r>
  <r>
    <n v="993121"/>
    <n v="864"/>
    <x v="0"/>
    <d v="2023-05-08T23:56:00"/>
    <s v="Other"/>
    <s v="Diego Freyre"/>
    <n v="4384"/>
    <d v="2023-05-08T00:00:00"/>
    <x v="138"/>
    <x v="11"/>
    <x v="5"/>
    <s v="Outlier"/>
  </r>
  <r>
    <n v="993369"/>
    <n v="1454"/>
    <x v="4"/>
    <d v="2023-08-12T00:46:00"/>
    <s v="Other"/>
    <s v="Victoria Ashworth"/>
    <n v="8577"/>
    <d v="2023-08-12T00:00:00"/>
    <x v="77"/>
    <x v="8"/>
    <x v="1"/>
    <s v="Outlier"/>
  </r>
  <r>
    <n v="993889"/>
    <n v="562"/>
    <x v="5"/>
    <d v="2023-03-21T23:36:00"/>
    <s v="Other"/>
    <s v="Carine Schmitt"/>
    <n v="2862"/>
    <d v="2023-03-21T00:00:00"/>
    <x v="135"/>
    <x v="4"/>
    <x v="2"/>
    <s v="Outlier"/>
  </r>
  <r>
    <n v="993964"/>
    <n v="1143"/>
    <x v="2"/>
    <d v="2023-12-28T23:59:00"/>
    <s v="Whatsapp"/>
    <s v="Paul Henriot"/>
    <n v="8644"/>
    <d v="2023-12-28T00:00:00"/>
    <x v="181"/>
    <x v="0"/>
    <x v="3"/>
    <s v="Outlier"/>
  </r>
  <r>
    <n v="995268"/>
    <n v="1434"/>
    <x v="0"/>
    <d v="2023-06-03T00:29:00"/>
    <s v="Website"/>
    <s v="Anna O'Hara"/>
    <n v="3688"/>
    <d v="2023-06-03T00:00:00"/>
    <x v="50"/>
    <x v="7"/>
    <x v="1"/>
    <s v="Outlier"/>
  </r>
  <r>
    <n v="995410"/>
    <n v="1355"/>
    <x v="4"/>
    <d v="2023-04-29T01:00:00"/>
    <s v="Website"/>
    <s v="Palle Ibsen"/>
    <n v="114"/>
    <d v="2023-04-29T00:00:00"/>
    <x v="168"/>
    <x v="1"/>
    <x v="1"/>
    <s v="Outlier"/>
  </r>
  <r>
    <n v="996729"/>
    <n v="1416"/>
    <x v="0"/>
    <d v="2023-03-30T00:24:00"/>
    <s v="Website"/>
    <s v="Julie King"/>
    <n v="3726"/>
    <d v="2023-03-30T00:00:00"/>
    <x v="115"/>
    <x v="4"/>
    <x v="3"/>
    <s v="Outlier"/>
  </r>
  <r>
    <n v="996929"/>
    <n v="1209"/>
    <x v="10"/>
    <d v="2023-05-27T00:50:00"/>
    <s v="Whatsapp"/>
    <s v="Veysel Oeztan"/>
    <n v="3144"/>
    <d v="2023-05-27T00:00:00"/>
    <x v="0"/>
    <x v="11"/>
    <x v="1"/>
    <s v="Outlier"/>
  </r>
  <r>
    <n v="997669"/>
    <n v="475"/>
    <x v="0"/>
    <d v="2023-01-22T23:19:00"/>
    <s v="App"/>
    <s v="Valarie Young"/>
    <n v="4684"/>
    <d v="2023-01-22T00:00:00"/>
    <x v="24"/>
    <x v="9"/>
    <x v="6"/>
    <s v="Outlier"/>
  </r>
  <r>
    <n v="998784"/>
    <n v="30"/>
    <x v="3"/>
    <d v="2023-05-08T00:36:00"/>
    <s v="Other"/>
    <s v="Jeff Young"/>
    <n v="3801"/>
    <d v="2023-05-08T00:00:00"/>
    <x v="120"/>
    <x v="11"/>
    <x v="5"/>
    <s v="Outlier"/>
  </r>
  <r>
    <n v="998926"/>
    <n v="1677"/>
    <x v="2"/>
    <d v="2023-08-05T01:29:00"/>
    <s v="App"/>
    <s v="Diego Freyre"/>
    <n v="9356"/>
    <d v="2023-08-05T00:00:00"/>
    <x v="103"/>
    <x v="8"/>
    <x v="1"/>
    <s v="Outlier"/>
  </r>
  <r>
    <n v="999060"/>
    <n v="773"/>
    <x v="0"/>
    <d v="2023-05-17T00:56:00"/>
    <s v="Whatsapp"/>
    <s v="Valarie Thompson"/>
    <n v="2259"/>
    <d v="2023-05-17T00:00:00"/>
    <x v="150"/>
    <x v="11"/>
    <x v="4"/>
    <s v="Outlier"/>
  </r>
  <r>
    <n v="999352"/>
    <n v="214"/>
    <x v="0"/>
    <d v="2023-12-07T23:48:00"/>
    <s v="Website"/>
    <s v="Frederique Citeaux"/>
    <n v="8616"/>
    <d v="2023-12-07T00:00:00"/>
    <x v="153"/>
    <x v="0"/>
    <x v="3"/>
    <s v="Outlier"/>
  </r>
  <r>
    <n v="999621"/>
    <n v="1643"/>
    <x v="6"/>
    <d v="2023-07-31T00:23:00"/>
    <s v="Website"/>
    <s v="Maurizio Moroni"/>
    <n v="4264"/>
    <d v="2023-07-31T00:00:00"/>
    <x v="6"/>
    <x v="6"/>
    <x v="5"/>
    <s v="Outlier"/>
  </r>
  <r>
    <n v="1000209"/>
    <n v="240"/>
    <x v="0"/>
    <d v="2023-08-22T01:00:00"/>
    <s v="App"/>
    <s v="Sue King"/>
    <n v="3641"/>
    <d v="2023-08-22T00:00:00"/>
    <x v="168"/>
    <x v="8"/>
    <x v="2"/>
    <s v="Outlier"/>
  </r>
  <r>
    <n v="1000225"/>
    <n v="1329"/>
    <x v="0"/>
    <d v="2023-08-25T23:04:00"/>
    <s v="Website"/>
    <s v="Wendy Victorino"/>
    <n v="3066"/>
    <d v="2023-08-25T00:00:00"/>
    <x v="182"/>
    <x v="8"/>
    <x v="0"/>
    <s v="Outlier"/>
  </r>
  <r>
    <n v="1000578"/>
    <n v="1344"/>
    <x v="4"/>
    <d v="2023-05-24T23:32:00"/>
    <s v="App"/>
    <s v="Jan Klaeboe"/>
    <n v="2515"/>
    <d v="2023-05-24T00:00:00"/>
    <x v="91"/>
    <x v="11"/>
    <x v="4"/>
    <s v="Outlier"/>
  </r>
  <r>
    <n v="1000651"/>
    <n v="1883"/>
    <x v="0"/>
    <d v="2023-03-25T22:47:00"/>
    <s v="Whatsapp"/>
    <s v="Diego Freyre"/>
    <n v="1594"/>
    <d v="2023-03-25T00:00:00"/>
    <x v="165"/>
    <x v="4"/>
    <x v="1"/>
    <s v="Outlier"/>
  </r>
  <r>
    <n v="1001243"/>
    <n v="318"/>
    <x v="1"/>
    <d v="2023-05-16T01:12:00"/>
    <s v="Whatsapp"/>
    <s v="Violeta Benitez"/>
    <n v="3114"/>
    <d v="2023-05-16T00:00:00"/>
    <x v="52"/>
    <x v="11"/>
    <x v="2"/>
    <s v="Outlier"/>
  </r>
  <r>
    <n v="1001621"/>
    <n v="1506"/>
    <x v="0"/>
    <d v="2023-12-08T00:45:00"/>
    <s v="App"/>
    <s v="Victoria Ashworth"/>
    <n v="9768"/>
    <d v="2023-12-08T00:00:00"/>
    <x v="29"/>
    <x v="0"/>
    <x v="0"/>
    <s v="Outlier"/>
  </r>
  <r>
    <n v="1001825"/>
    <n v="1304"/>
    <x v="2"/>
    <d v="2023-06-01T23:03:00"/>
    <s v="Website"/>
    <s v="Paul Henriot"/>
    <n v="7174"/>
    <d v="2023-06-01T00:00:00"/>
    <x v="183"/>
    <x v="7"/>
    <x v="3"/>
    <s v="Outlier"/>
  </r>
  <r>
    <n v="1003235"/>
    <n v="1435"/>
    <x v="3"/>
    <d v="2023-04-05T02:22:00"/>
    <s v="Whatsapp"/>
    <s v="Julie Young"/>
    <n v="9029"/>
    <d v="2023-04-05T00:00:00"/>
    <x v="41"/>
    <x v="1"/>
    <x v="4"/>
    <s v="Outlier"/>
  </r>
  <r>
    <n v="1003833"/>
    <n v="1270"/>
    <x v="0"/>
    <d v="2023-03-14T23:37:00"/>
    <s v="App"/>
    <s v="Diego Freyre"/>
    <n v="5170"/>
    <d v="2023-03-14T00:00:00"/>
    <x v="78"/>
    <x v="4"/>
    <x v="2"/>
    <s v="Outlier"/>
  </r>
  <r>
    <n v="1004136"/>
    <n v="305"/>
    <x v="6"/>
    <d v="2023-04-25T23:44:00"/>
    <s v="Whatsapp"/>
    <s v="Sue Frick"/>
    <n v="4465"/>
    <d v="2023-04-25T00:00:00"/>
    <x v="146"/>
    <x v="1"/>
    <x v="2"/>
    <s v="Outlier"/>
  </r>
  <r>
    <n v="1004148"/>
    <n v="9"/>
    <x v="3"/>
    <d v="2023-10-01T01:03:00"/>
    <s v="Whatsapp"/>
    <s v="Adrian Huxley"/>
    <n v="9670"/>
    <d v="2023-10-01T00:00:00"/>
    <x v="130"/>
    <x v="3"/>
    <x v="6"/>
    <s v="Outlier"/>
  </r>
  <r>
    <n v="1004722"/>
    <n v="1176"/>
    <x v="0"/>
    <d v="2023-06-04T01:21:00"/>
    <s v="Whatsapp"/>
    <s v="Giovanni Rovelli"/>
    <n v="315"/>
    <d v="2023-06-04T00:00:00"/>
    <x v="128"/>
    <x v="7"/>
    <x v="6"/>
    <s v="Outlier"/>
  </r>
  <r>
    <n v="1004737"/>
    <n v="324"/>
    <x v="6"/>
    <d v="2023-08-06T02:00:00"/>
    <s v="Other"/>
    <s v="Peter Ferguson"/>
    <n v="9848"/>
    <d v="2023-08-06T00:00:00"/>
    <x v="23"/>
    <x v="8"/>
    <x v="6"/>
    <s v="Outlier"/>
  </r>
  <r>
    <n v="1005091"/>
    <n v="750"/>
    <x v="10"/>
    <d v="2023-03-29T23:19:00"/>
    <s v="App"/>
    <s v="Diego Freyre"/>
    <n v="6680"/>
    <d v="2023-03-29T00:00:00"/>
    <x v="24"/>
    <x v="4"/>
    <x v="4"/>
    <s v="Outlier"/>
  </r>
  <r>
    <n v="1006791"/>
    <n v="425"/>
    <x v="1"/>
    <d v="2023-07-18T22:51:00"/>
    <s v="Website"/>
    <s v="Julie Young"/>
    <n v="8280"/>
    <d v="2023-07-18T00:00:00"/>
    <x v="184"/>
    <x v="6"/>
    <x v="2"/>
    <s v="Outlier"/>
  </r>
  <r>
    <n v="1007141"/>
    <n v="50"/>
    <x v="8"/>
    <d v="2023-12-12T22:12:00"/>
    <s v="App"/>
    <s v="Juri Hirano"/>
    <n v="2689"/>
    <d v="2023-12-12T00:00:00"/>
    <x v="185"/>
    <x v="0"/>
    <x v="2"/>
    <s v="Outlier"/>
  </r>
  <r>
    <n v="1007700"/>
    <n v="841"/>
    <x v="0"/>
    <d v="2023-09-10T23:34:00"/>
    <s v="Website"/>
    <s v="Mory Kentary"/>
    <n v="7646"/>
    <d v="2023-09-10T00:00:00"/>
    <x v="99"/>
    <x v="10"/>
    <x v="6"/>
    <s v="Outlier"/>
  </r>
  <r>
    <n v="1008914"/>
    <n v="247"/>
    <x v="3"/>
    <d v="2023-03-14T00:38:00"/>
    <s v="Website"/>
    <s v="Peter Ferguson"/>
    <n v="1718"/>
    <d v="2023-03-14T00:00:00"/>
    <x v="162"/>
    <x v="4"/>
    <x v="2"/>
    <s v="Outlier"/>
  </r>
  <r>
    <n v="1011917"/>
    <n v="1586"/>
    <x v="3"/>
    <d v="2023-06-21T01:16:00"/>
    <s v="App"/>
    <s v="Elizabeth Lincoln"/>
    <n v="498"/>
    <d v="2023-06-21T00:00:00"/>
    <x v="84"/>
    <x v="7"/>
    <x v="4"/>
    <s v="Outlier"/>
  </r>
  <r>
    <n v="1012304"/>
    <n v="1253"/>
    <x v="0"/>
    <d v="2023-01-22T00:24:00"/>
    <s v="Website"/>
    <s v="Sue Frick"/>
    <n v="6132"/>
    <d v="2023-01-22T00:00:00"/>
    <x v="115"/>
    <x v="9"/>
    <x v="6"/>
    <s v="Outlier"/>
  </r>
  <r>
    <n v="1013457"/>
    <n v="313"/>
    <x v="1"/>
    <d v="2023-07-17T00:44:00"/>
    <s v="Website"/>
    <s v="Diego Freyre"/>
    <n v="3289"/>
    <d v="2023-07-17T00:00:00"/>
    <x v="85"/>
    <x v="6"/>
    <x v="5"/>
    <s v="Outlier"/>
  </r>
  <r>
    <n v="1013492"/>
    <n v="1294"/>
    <x v="3"/>
    <d v="2023-11-23T23:39:00"/>
    <s v="App"/>
    <s v="Janine Labrune"/>
    <n v="4442"/>
    <d v="2023-11-23T00:00:00"/>
    <x v="101"/>
    <x v="2"/>
    <x v="3"/>
    <s v="Outlier"/>
  </r>
  <r>
    <n v="1014185"/>
    <n v="1359"/>
    <x v="0"/>
    <d v="2023-11-15T00:25:00"/>
    <s v="App"/>
    <s v="Jan Klaeboe"/>
    <n v="2585"/>
    <d v="2023-11-15T00:00:00"/>
    <x v="148"/>
    <x v="2"/>
    <x v="4"/>
    <s v="Outlier"/>
  </r>
  <r>
    <n v="1014215"/>
    <n v="1558"/>
    <x v="10"/>
    <d v="2023-06-10T01:02:00"/>
    <s v="App"/>
    <s v="Dean Cassidy"/>
    <n v="858"/>
    <d v="2023-06-10T00:00:00"/>
    <x v="186"/>
    <x v="7"/>
    <x v="1"/>
    <s v="Outlier"/>
  </r>
  <r>
    <n v="1014724"/>
    <n v="744"/>
    <x v="10"/>
    <d v="2023-12-17T23:53:00"/>
    <s v="Other"/>
    <s v="Steve Frick"/>
    <n v="231"/>
    <d v="2023-12-17T00:00:00"/>
    <x v="187"/>
    <x v="0"/>
    <x v="6"/>
    <s v="Outlier"/>
  </r>
  <r>
    <n v="1015146"/>
    <n v="1469"/>
    <x v="2"/>
    <d v="2023-04-11T01:22:00"/>
    <s v="Website"/>
    <s v="Helen Bennett"/>
    <n v="9395"/>
    <d v="2023-04-11T00:00:00"/>
    <x v="142"/>
    <x v="1"/>
    <x v="2"/>
    <s v="Outlier"/>
  </r>
  <r>
    <n v="1016109"/>
    <n v="1256"/>
    <x v="4"/>
    <d v="2023-12-30T23:14:00"/>
    <s v="Other"/>
    <s v="Giovanni Rovelli"/>
    <n v="8981"/>
    <d v="2023-12-30T00:00:00"/>
    <x v="70"/>
    <x v="0"/>
    <x v="1"/>
    <s v="Outlier"/>
  </r>
  <r>
    <n v="1016456"/>
    <n v="69"/>
    <x v="0"/>
    <d v="2023-09-25T22:43:00"/>
    <s v="Whatsapp"/>
    <s v="Akiko Shimamura"/>
    <n v="1984"/>
    <d v="2023-09-25T00:00:00"/>
    <x v="188"/>
    <x v="10"/>
    <x v="5"/>
    <s v="Outlier"/>
  </r>
  <r>
    <n v="1016563"/>
    <n v="216"/>
    <x v="1"/>
    <d v="2023-11-08T23:53:00"/>
    <s v="App"/>
    <s v="Dan Lewis"/>
    <n v="8735"/>
    <d v="2023-11-08T00:00:00"/>
    <x v="187"/>
    <x v="2"/>
    <x v="4"/>
    <s v="Outlier"/>
  </r>
  <r>
    <n v="1017548"/>
    <n v="187"/>
    <x v="3"/>
    <d v="2023-02-13T01:23:00"/>
    <s v="Website"/>
    <s v="Tony Calaghan"/>
    <n v="7555"/>
    <d v="2023-02-13T00:00:00"/>
    <x v="83"/>
    <x v="5"/>
    <x v="5"/>
    <s v="Outlier"/>
  </r>
  <r>
    <n v="1018145"/>
    <n v="523"/>
    <x v="0"/>
    <d v="2023-11-09T23:20:00"/>
    <s v="Other"/>
    <s v="Diego Freyre"/>
    <n v="9449"/>
    <d v="2023-11-09T00:00:00"/>
    <x v="27"/>
    <x v="2"/>
    <x v="3"/>
    <s v="Outlier"/>
  </r>
  <r>
    <n v="1018282"/>
    <n v="814"/>
    <x v="0"/>
    <d v="2023-12-07T00:33:00"/>
    <s v="App"/>
    <s v="Paul Henriot"/>
    <n v="6590"/>
    <d v="2023-12-07T00:00:00"/>
    <x v="53"/>
    <x v="0"/>
    <x v="3"/>
    <s v="Outlier"/>
  </r>
  <r>
    <n v="1018548"/>
    <n v="442"/>
    <x v="0"/>
    <d v="2023-03-07T23:24:00"/>
    <s v="App"/>
    <s v="William Brown"/>
    <n v="8622"/>
    <d v="2023-03-07T00:00:00"/>
    <x v="56"/>
    <x v="4"/>
    <x v="2"/>
    <s v="Outlier"/>
  </r>
  <r>
    <n v="1019737"/>
    <n v="1970"/>
    <x v="3"/>
    <d v="2023-06-04T23:45:00"/>
    <s v="Whatsapp"/>
    <s v="Maurizio Moroni"/>
    <n v="5789"/>
    <d v="2023-06-04T00:00:00"/>
    <x v="164"/>
    <x v="7"/>
    <x v="6"/>
    <s v="Outlier"/>
  </r>
  <r>
    <n v="1020737"/>
    <n v="575"/>
    <x v="1"/>
    <d v="2023-12-07T01:58:00"/>
    <s v="App"/>
    <s v="Roland Keitel"/>
    <n v="7392"/>
    <d v="2023-12-07T00:00:00"/>
    <x v="157"/>
    <x v="0"/>
    <x v="3"/>
    <s v="Outlier"/>
  </r>
  <r>
    <n v="1021024"/>
    <n v="283"/>
    <x v="0"/>
    <d v="2023-07-05T00:29:00"/>
    <s v="Whatsapp"/>
    <s v="Victoria Ashworth"/>
    <n v="2928"/>
    <d v="2023-07-05T00:00:00"/>
    <x v="50"/>
    <x v="6"/>
    <x v="4"/>
    <s v="Outlier"/>
  </r>
  <r>
    <n v="1023043"/>
    <n v="1237"/>
    <x v="0"/>
    <d v="2023-08-28T00:25:00"/>
    <s v="App"/>
    <s v="Sue King"/>
    <n v="534"/>
    <d v="2023-08-28T00:00:00"/>
    <x v="148"/>
    <x v="8"/>
    <x v="5"/>
    <s v="Outlier"/>
  </r>
  <r>
    <n v="1024120"/>
    <n v="1323"/>
    <x v="11"/>
    <d v="2023-02-07T00:48:00"/>
    <s v="Website"/>
    <s v="Sue Taylor"/>
    <n v="2228"/>
    <d v="2023-02-07T00:00:00"/>
    <x v="88"/>
    <x v="5"/>
    <x v="2"/>
    <s v="Outlier"/>
  </r>
  <r>
    <n v="1024270"/>
    <n v="1292"/>
    <x v="0"/>
    <d v="2023-05-04T01:52:00"/>
    <s v="Whatsapp"/>
    <s v="Julie Brown"/>
    <n v="114"/>
    <d v="2023-05-04T00:00:00"/>
    <x v="179"/>
    <x v="11"/>
    <x v="3"/>
    <s v="Outlier"/>
  </r>
  <r>
    <n v="1025204"/>
    <n v="1504"/>
    <x v="3"/>
    <d v="2023-07-15T00:17:00"/>
    <s v="Website"/>
    <s v="Giovanni Rovelli"/>
    <n v="1043"/>
    <d v="2023-07-15T00:00:00"/>
    <x v="20"/>
    <x v="6"/>
    <x v="1"/>
    <s v="Outlier"/>
  </r>
  <r>
    <n v="1025560"/>
    <n v="1534"/>
    <x v="0"/>
    <d v="2023-04-13T01:47:00"/>
    <s v="Other"/>
    <s v="Valarie Nelson"/>
    <n v="3748"/>
    <d v="2023-04-13T00:00:00"/>
    <x v="189"/>
    <x v="1"/>
    <x v="3"/>
    <s v="Outlier"/>
  </r>
  <r>
    <n v="1026131"/>
    <n v="1642"/>
    <x v="2"/>
    <d v="2023-01-19T00:26:00"/>
    <s v="Website"/>
    <s v="Sean Connery"/>
    <n v="2027"/>
    <d v="2023-01-19T00:00:00"/>
    <x v="151"/>
    <x v="9"/>
    <x v="3"/>
    <s v="Outlier"/>
  </r>
  <r>
    <n v="1026611"/>
    <n v="899"/>
    <x v="0"/>
    <d v="2023-01-31T00:58:00"/>
    <s v="Website"/>
    <s v="Diego Freyre"/>
    <n v="2950"/>
    <d v="2023-01-31T00:00:00"/>
    <x v="28"/>
    <x v="9"/>
    <x v="2"/>
    <s v="Outlier"/>
  </r>
  <r>
    <n v="1028549"/>
    <n v="950"/>
    <x v="3"/>
    <d v="2023-06-05T01:04:00"/>
    <s v="Website"/>
    <s v="Mart¡n Sommer"/>
    <n v="6236"/>
    <d v="2023-06-05T00:00:00"/>
    <x v="121"/>
    <x v="7"/>
    <x v="5"/>
    <s v="Outlier"/>
  </r>
  <r>
    <n v="1028877"/>
    <n v="1695"/>
    <x v="4"/>
    <d v="2023-07-31T23:32:00"/>
    <s v="Website"/>
    <s v="Mary Saveley"/>
    <n v="8062"/>
    <d v="2023-07-31T00:00:00"/>
    <x v="91"/>
    <x v="6"/>
    <x v="5"/>
    <s v="Outlier"/>
  </r>
  <r>
    <n v="1029432"/>
    <n v="169"/>
    <x v="3"/>
    <d v="2023-08-10T23:03:00"/>
    <s v="App"/>
    <s v="Valarie Franco"/>
    <n v="9527"/>
    <d v="2023-08-10T00:00:00"/>
    <x v="183"/>
    <x v="8"/>
    <x v="3"/>
    <s v="Outlier"/>
  </r>
  <r>
    <n v="1031465"/>
    <n v="808"/>
    <x v="0"/>
    <d v="2023-11-22T23:17:00"/>
    <s v="Website"/>
    <s v="Paolo Accorti"/>
    <n v="7817"/>
    <d v="2023-11-22T00:00:00"/>
    <x v="190"/>
    <x v="2"/>
    <x v="4"/>
    <s v="Outlier"/>
  </r>
  <r>
    <n v="1031756"/>
    <n v="1053"/>
    <x v="1"/>
    <d v="2023-04-08T23:56:00"/>
    <s v="Website"/>
    <s v="Wendy Victorino"/>
    <n v="8172"/>
    <d v="2023-04-08T00:00:00"/>
    <x v="138"/>
    <x v="1"/>
    <x v="1"/>
    <s v="Outlier"/>
  </r>
  <r>
    <n v="1032588"/>
    <n v="588"/>
    <x v="2"/>
    <d v="2023-11-11T00:50:00"/>
    <s v="Other"/>
    <s v="Daniel Tonini"/>
    <n v="6085"/>
    <d v="2023-11-11T00:00:00"/>
    <x v="0"/>
    <x v="2"/>
    <x v="1"/>
    <s v="Outlier"/>
  </r>
  <r>
    <n v="1033000"/>
    <n v="327"/>
    <x v="1"/>
    <d v="2023-03-10T23:26:00"/>
    <s v="Whatsapp"/>
    <s v="Valarie Nelson"/>
    <n v="3478"/>
    <d v="2023-03-10T00:00:00"/>
    <x v="191"/>
    <x v="4"/>
    <x v="0"/>
    <s v="Outlier"/>
  </r>
  <r>
    <n v="1033341"/>
    <n v="537"/>
    <x v="6"/>
    <d v="2023-12-06T00:44:00"/>
    <s v="Other"/>
    <s v="Valarie Young"/>
    <n v="1935"/>
    <d v="2023-12-06T00:00:00"/>
    <x v="85"/>
    <x v="0"/>
    <x v="4"/>
    <s v="Outlier"/>
  </r>
  <r>
    <n v="1033877"/>
    <n v="13"/>
    <x v="4"/>
    <d v="2023-02-26T01:42:00"/>
    <s v="Whatsapp"/>
    <s v="Victoria Ashworth"/>
    <n v="4612"/>
    <d v="2023-02-26T00:00:00"/>
    <x v="14"/>
    <x v="5"/>
    <x v="6"/>
    <s v="Outlier"/>
  </r>
  <r>
    <n v="1034415"/>
    <n v="427"/>
    <x v="1"/>
    <d v="2023-04-03T00:59:00"/>
    <s v="Website"/>
    <s v="Laurence Lebihan"/>
    <n v="3464"/>
    <d v="2023-04-03T00:00:00"/>
    <x v="192"/>
    <x v="1"/>
    <x v="5"/>
    <s v="Outlier"/>
  </r>
  <r>
    <n v="1036614"/>
    <n v="898"/>
    <x v="0"/>
    <d v="2023-01-20T00:00:00"/>
    <s v="Whatsapp"/>
    <s v="Daniel Da Cunha"/>
    <n v="4272"/>
    <d v="2023-01-20T00:00:00"/>
    <x v="126"/>
    <x v="9"/>
    <x v="0"/>
    <s v="Outlier"/>
  </r>
  <r>
    <n v="1036624"/>
    <n v="1607"/>
    <x v="6"/>
    <d v="2023-07-22T00:44:00"/>
    <s v="App"/>
    <s v="Julie Young"/>
    <n v="667"/>
    <d v="2023-07-22T00:00:00"/>
    <x v="85"/>
    <x v="6"/>
    <x v="1"/>
    <s v="Outlier"/>
  </r>
  <r>
    <n v="1036642"/>
    <n v="24"/>
    <x v="4"/>
    <d v="2023-05-03T01:23:00"/>
    <s v="Other"/>
    <s v="Diego Freyre"/>
    <n v="9159"/>
    <d v="2023-05-03T00:00:00"/>
    <x v="83"/>
    <x v="11"/>
    <x v="4"/>
    <s v="Outlier"/>
  </r>
  <r>
    <n v="1038558"/>
    <n v="840"/>
    <x v="10"/>
    <d v="2023-07-03T01:46:00"/>
    <s v="App"/>
    <s v="Anna O'Hara"/>
    <n v="5596"/>
    <d v="2023-07-03T00:00:00"/>
    <x v="129"/>
    <x v="6"/>
    <x v="5"/>
    <s v="Outlier"/>
  </r>
  <r>
    <n v="1038672"/>
    <n v="1878"/>
    <x v="4"/>
    <d v="2023-11-03T22:45:00"/>
    <s v="Other"/>
    <s v="Wendy Victorino"/>
    <n v="5918"/>
    <d v="2023-11-03T00:00:00"/>
    <x v="193"/>
    <x v="2"/>
    <x v="0"/>
    <s v="Outlier"/>
  </r>
  <r>
    <n v="1039481"/>
    <n v="194"/>
    <x v="1"/>
    <d v="2023-05-14T23:04:00"/>
    <s v="Whatsapp"/>
    <s v="Adrian Huxley"/>
    <n v="8428"/>
    <d v="2023-05-14T00:00:00"/>
    <x v="182"/>
    <x v="11"/>
    <x v="6"/>
    <s v="Outlier"/>
  </r>
  <r>
    <n v="1039541"/>
    <n v="694"/>
    <x v="10"/>
    <d v="2023-01-23T00:23:00"/>
    <s v="Other"/>
    <s v="Kwai Yu"/>
    <n v="8648"/>
    <d v="2023-01-23T00:00:00"/>
    <x v="6"/>
    <x v="9"/>
    <x v="5"/>
    <s v="Outlier"/>
  </r>
  <r>
    <n v="1041039"/>
    <n v="1826"/>
    <x v="2"/>
    <d v="2023-01-04T23:17:00"/>
    <s v="Whatsapp"/>
    <s v="Peter Ferguson"/>
    <n v="7801"/>
    <d v="2023-01-04T00:00:00"/>
    <x v="190"/>
    <x v="9"/>
    <x v="4"/>
    <s v="Outlier"/>
  </r>
  <r>
    <n v="1041266"/>
    <n v="1598"/>
    <x v="11"/>
    <d v="2023-05-23T00:43:00"/>
    <s v="Other"/>
    <s v="Daniel Da Cunha"/>
    <n v="1369"/>
    <d v="2023-05-23T00:00:00"/>
    <x v="112"/>
    <x v="11"/>
    <x v="2"/>
    <s v="Outlier"/>
  </r>
  <r>
    <n v="1042847"/>
    <n v="1524"/>
    <x v="3"/>
    <d v="2023-02-04T23:32:00"/>
    <s v="Website"/>
    <s v="Julie Young"/>
    <n v="2979"/>
    <d v="2023-02-04T00:00:00"/>
    <x v="91"/>
    <x v="5"/>
    <x v="1"/>
    <s v="Outlier"/>
  </r>
  <r>
    <n v="1043105"/>
    <n v="288"/>
    <x v="0"/>
    <d v="2023-08-08T22:55:00"/>
    <s v="Other"/>
    <s v="Jonas Bergulfsen"/>
    <n v="9185"/>
    <d v="2023-08-08T00:00:00"/>
    <x v="125"/>
    <x v="8"/>
    <x v="2"/>
    <s v="Outlier"/>
  </r>
  <r>
    <n v="1043175"/>
    <n v="644"/>
    <x v="5"/>
    <d v="2023-06-29T23:34:00"/>
    <s v="Website"/>
    <s v="Juri Hirano"/>
    <n v="3317"/>
    <d v="2023-06-29T00:00:00"/>
    <x v="99"/>
    <x v="7"/>
    <x v="3"/>
    <s v="Outlier"/>
  </r>
  <r>
    <n v="1044084"/>
    <n v="1073"/>
    <x v="4"/>
    <d v="2023-04-24T01:12:00"/>
    <s v="Whatsapp"/>
    <s v="Martine Rance"/>
    <n v="1891"/>
    <d v="2023-04-24T00:00:00"/>
    <x v="52"/>
    <x v="1"/>
    <x v="5"/>
    <s v="Outlier"/>
  </r>
  <r>
    <n v="1044744"/>
    <n v="1780"/>
    <x v="5"/>
    <d v="2023-02-11T00:03:00"/>
    <s v="Website"/>
    <s v="Veysel Oeztan"/>
    <n v="5782"/>
    <d v="2023-02-11T00:00:00"/>
    <x v="72"/>
    <x v="5"/>
    <x v="1"/>
    <s v="Outlier"/>
  </r>
  <r>
    <n v="1045182"/>
    <n v="862"/>
    <x v="0"/>
    <d v="2023-02-26T01:40:00"/>
    <s v="Whatsapp"/>
    <s v="Julie Murphy"/>
    <n v="8821"/>
    <d v="2023-02-26T00:00:00"/>
    <x v="76"/>
    <x v="5"/>
    <x v="6"/>
    <s v="Outlier"/>
  </r>
  <r>
    <n v="1045700"/>
    <n v="539"/>
    <x v="1"/>
    <d v="2023-12-02T00:38:00"/>
    <s v="Whatsapp"/>
    <s v="Mory Kentary"/>
    <n v="5012"/>
    <d v="2023-12-02T00:00:00"/>
    <x v="162"/>
    <x v="0"/>
    <x v="1"/>
    <s v="Outlier"/>
  </r>
  <r>
    <n v="1046125"/>
    <n v="1258"/>
    <x v="0"/>
    <d v="2023-04-08T00:29:00"/>
    <s v="Other"/>
    <s v="Peter Ferguson"/>
    <n v="9104"/>
    <d v="2023-04-08T00:00:00"/>
    <x v="50"/>
    <x v="1"/>
    <x v="1"/>
    <s v="Outlier"/>
  </r>
  <r>
    <n v="1046974"/>
    <n v="1060"/>
    <x v="1"/>
    <d v="2023-12-20T22:59:00"/>
    <s v="App"/>
    <s v="Rosa Hernandez"/>
    <n v="2067"/>
    <d v="2023-12-20T00:00:00"/>
    <x v="25"/>
    <x v="0"/>
    <x v="4"/>
    <s v="Outlier"/>
  </r>
  <r>
    <n v="1047821"/>
    <n v="1259"/>
    <x v="0"/>
    <d v="2023-06-27T23:05:00"/>
    <s v="Whatsapp"/>
    <s v="Sue Frick"/>
    <n v="4812"/>
    <d v="2023-06-27T00:00:00"/>
    <x v="159"/>
    <x v="7"/>
    <x v="2"/>
    <s v="Outlier"/>
  </r>
  <r>
    <n v="1047874"/>
    <n v="420"/>
    <x v="4"/>
    <d v="2023-09-12T23:00:00"/>
    <s v="App"/>
    <s v="Julie King"/>
    <n v="4920"/>
    <d v="2023-09-12T00:00:00"/>
    <x v="171"/>
    <x v="10"/>
    <x v="2"/>
    <s v="Outlier"/>
  </r>
  <r>
    <n v="1050256"/>
    <n v="1770"/>
    <x v="9"/>
    <d v="2023-04-25T01:32:00"/>
    <s v="Other"/>
    <s v="Janine Labrune"/>
    <n v="9723"/>
    <d v="2023-04-25T00:00:00"/>
    <x v="117"/>
    <x v="1"/>
    <x v="2"/>
    <s v="Outlier"/>
  </r>
  <r>
    <n v="1050351"/>
    <n v="497"/>
    <x v="0"/>
    <d v="2023-07-14T00:01:00"/>
    <s v="App"/>
    <s v="Marta Hernandez"/>
    <n v="9863"/>
    <d v="2023-07-14T00:00:00"/>
    <x v="63"/>
    <x v="6"/>
    <x v="0"/>
    <s v="Outlier"/>
  </r>
  <r>
    <n v="1050970"/>
    <n v="47"/>
    <x v="4"/>
    <d v="2023-05-09T01:13:00"/>
    <s v="Website"/>
    <s v="Dean Cassidy"/>
    <n v="2859"/>
    <d v="2023-05-09T00:00:00"/>
    <x v="32"/>
    <x v="11"/>
    <x v="2"/>
    <s v="Outlier"/>
  </r>
  <r>
    <n v="1051057"/>
    <n v="482"/>
    <x v="3"/>
    <d v="2023-05-02T23:57:00"/>
    <s v="Other"/>
    <s v="Steve Frick"/>
    <n v="4768"/>
    <d v="2023-05-02T00:00:00"/>
    <x v="116"/>
    <x v="11"/>
    <x v="2"/>
    <s v="Outlier"/>
  </r>
  <r>
    <n v="1051553"/>
    <n v="231"/>
    <x v="0"/>
    <d v="2023-09-29T00:26:00"/>
    <s v="Whatsapp"/>
    <s v="Kyung Yu"/>
    <n v="8153"/>
    <d v="2023-09-29T00:00:00"/>
    <x v="151"/>
    <x v="10"/>
    <x v="0"/>
    <s v="Outlier"/>
  </r>
  <r>
    <n v="1052119"/>
    <n v="634"/>
    <x v="0"/>
    <d v="2023-08-15T00:10:00"/>
    <s v="Whatsapp"/>
    <s v="Kwai Yu"/>
    <n v="4462"/>
    <d v="2023-08-15T00:00:00"/>
    <x v="107"/>
    <x v="8"/>
    <x v="2"/>
    <s v="Outlier"/>
  </r>
  <r>
    <n v="1052606"/>
    <n v="577"/>
    <x v="3"/>
    <d v="2023-11-03T00:10:00"/>
    <s v="App"/>
    <s v="Eduardo Saavedra"/>
    <n v="701"/>
    <d v="2023-11-03T00:00:00"/>
    <x v="107"/>
    <x v="2"/>
    <x v="0"/>
    <s v="Outlier"/>
  </r>
  <r>
    <n v="1053680"/>
    <n v="1618"/>
    <x v="0"/>
    <d v="2023-11-03T01:59:00"/>
    <s v="Other"/>
    <s v="Kalle Suominen"/>
    <n v="6474"/>
    <d v="2023-11-03T00:00:00"/>
    <x v="132"/>
    <x v="2"/>
    <x v="0"/>
    <s v="Outlier"/>
  </r>
  <r>
    <n v="1054349"/>
    <n v="1473"/>
    <x v="0"/>
    <d v="2023-04-10T23:29:00"/>
    <s v="Other"/>
    <s v="Janine Labrune"/>
    <n v="4060"/>
    <d v="2023-04-10T00:00:00"/>
    <x v="71"/>
    <x v="1"/>
    <x v="5"/>
    <s v="Outlier"/>
  </r>
  <r>
    <n v="1054639"/>
    <n v="1865"/>
    <x v="3"/>
    <d v="2023-02-26T00:00:00"/>
    <s v="Whatsapp"/>
    <s v="Maria Larsson"/>
    <n v="4421"/>
    <d v="2023-02-26T00:00:00"/>
    <x v="126"/>
    <x v="5"/>
    <x v="6"/>
    <s v="Outlier"/>
  </r>
  <r>
    <n v="1055786"/>
    <n v="1205"/>
    <x v="4"/>
    <d v="2023-08-05T01:16:00"/>
    <s v="App"/>
    <s v="Dominique Perrier"/>
    <n v="7809"/>
    <d v="2023-08-05T00:00:00"/>
    <x v="84"/>
    <x v="8"/>
    <x v="1"/>
    <s v="Outlier"/>
  </r>
  <r>
    <n v="1055810"/>
    <n v="1362"/>
    <x v="10"/>
    <d v="2023-01-09T23:49:00"/>
    <s v="App"/>
    <s v="Maurizio Moroni"/>
    <n v="563"/>
    <d v="2023-01-09T00:00:00"/>
    <x v="43"/>
    <x v="9"/>
    <x v="5"/>
    <s v="Outlier"/>
  </r>
  <r>
    <n v="1055817"/>
    <n v="1697"/>
    <x v="3"/>
    <d v="2023-06-02T23:00:00"/>
    <s v="Website"/>
    <s v="Jytte Petersen"/>
    <n v="8477"/>
    <d v="2023-06-02T00:00:00"/>
    <x v="171"/>
    <x v="7"/>
    <x v="0"/>
    <s v="Outlier"/>
  </r>
  <r>
    <n v="1056320"/>
    <n v="856"/>
    <x v="0"/>
    <d v="2023-04-08T01:13:00"/>
    <s v="Whatsapp"/>
    <s v="Eric Natividad"/>
    <n v="6535"/>
    <d v="2023-04-08T00:00:00"/>
    <x v="32"/>
    <x v="1"/>
    <x v="1"/>
    <s v="Outlier"/>
  </r>
  <r>
    <n v="1056575"/>
    <n v="1149"/>
    <x v="0"/>
    <d v="2023-04-01T01:23:00"/>
    <s v="Website"/>
    <s v="Ann Brown"/>
    <n v="1439"/>
    <d v="2023-04-01T00:00:00"/>
    <x v="83"/>
    <x v="1"/>
    <x v="1"/>
    <s v="Outlier"/>
  </r>
  <r>
    <n v="1056710"/>
    <n v="1243"/>
    <x v="4"/>
    <d v="2023-07-31T00:40:00"/>
    <s v="Whatsapp"/>
    <s v="Valarie Nelson"/>
    <n v="1855"/>
    <d v="2023-07-31T00:00:00"/>
    <x v="51"/>
    <x v="6"/>
    <x v="5"/>
    <s v="Outlier"/>
  </r>
  <r>
    <n v="1057228"/>
    <n v="1029"/>
    <x v="4"/>
    <d v="2023-09-30T23:50:00"/>
    <s v="Website"/>
    <s v="Diego Freyre"/>
    <n v="9442"/>
    <d v="2023-09-30T00:00:00"/>
    <x v="194"/>
    <x v="10"/>
    <x v="1"/>
    <s v="Outlier"/>
  </r>
  <r>
    <n v="1058164"/>
    <n v="1215"/>
    <x v="0"/>
    <d v="2023-07-22T01:40:00"/>
    <s v="App"/>
    <s v="Maria Larsson"/>
    <n v="4073"/>
    <d v="2023-07-22T00:00:00"/>
    <x v="76"/>
    <x v="6"/>
    <x v="1"/>
    <s v="Outlier"/>
  </r>
  <r>
    <n v="1058847"/>
    <n v="977"/>
    <x v="1"/>
    <d v="2023-09-09T23:10:00"/>
    <s v="Website"/>
    <s v="Jesus Fernandez"/>
    <n v="2786"/>
    <d v="2023-09-09T00:00:00"/>
    <x v="176"/>
    <x v="10"/>
    <x v="1"/>
    <s v="Outlier"/>
  </r>
  <r>
    <n v="1059637"/>
    <n v="463"/>
    <x v="7"/>
    <d v="2023-08-09T01:26:00"/>
    <s v="App"/>
    <s v="Wing C Tam"/>
    <n v="3285"/>
    <d v="2023-08-09T00:00:00"/>
    <x v="65"/>
    <x v="8"/>
    <x v="4"/>
    <s v="Outlier"/>
  </r>
  <r>
    <n v="1059711"/>
    <n v="1479"/>
    <x v="0"/>
    <d v="2023-03-15T01:01:00"/>
    <s v="Other"/>
    <s v="Eduardo Saavedra"/>
    <n v="5593"/>
    <d v="2023-03-15T00:00:00"/>
    <x v="16"/>
    <x v="4"/>
    <x v="4"/>
    <s v="Outlier"/>
  </r>
  <r>
    <n v="1060684"/>
    <n v="1252"/>
    <x v="0"/>
    <d v="2023-04-07T23:50:00"/>
    <s v="Other"/>
    <s v="Mary Saveley"/>
    <n v="4684"/>
    <d v="2023-04-07T00:00:00"/>
    <x v="194"/>
    <x v="1"/>
    <x v="0"/>
    <s v="Outlier"/>
  </r>
  <r>
    <n v="1061016"/>
    <n v="1561"/>
    <x v="11"/>
    <d v="2023-09-10T01:31:00"/>
    <s v="App"/>
    <s v="Catherine Dewey"/>
    <n v="7486"/>
    <d v="2023-09-10T00:00:00"/>
    <x v="177"/>
    <x v="10"/>
    <x v="6"/>
    <s v="Outlier"/>
  </r>
  <r>
    <n v="1061210"/>
    <n v="721"/>
    <x v="1"/>
    <d v="2023-12-07T00:09:00"/>
    <s v="Whatsapp"/>
    <s v="Helen Bennett"/>
    <n v="1496"/>
    <d v="2023-12-07T00:00:00"/>
    <x v="81"/>
    <x v="0"/>
    <x v="3"/>
    <s v="Outlier"/>
  </r>
  <r>
    <n v="1061320"/>
    <n v="1874"/>
    <x v="0"/>
    <d v="2023-06-25T00:38:00"/>
    <s v="Whatsapp"/>
    <s v="Kwai Yu"/>
    <n v="2899"/>
    <d v="2023-06-25T00:00:00"/>
    <x v="162"/>
    <x v="7"/>
    <x v="6"/>
    <s v="Outlier"/>
  </r>
  <r>
    <n v="1061512"/>
    <n v="666"/>
    <x v="3"/>
    <d v="2023-03-02T01:24:00"/>
    <s v="Whatsapp"/>
    <s v="Jean Fresnisre"/>
    <n v="1743"/>
    <d v="2023-03-02T00:00:00"/>
    <x v="124"/>
    <x v="4"/>
    <x v="3"/>
    <s v="Outlier"/>
  </r>
  <r>
    <n v="1062871"/>
    <n v="1248"/>
    <x v="0"/>
    <d v="2023-02-06T01:25:00"/>
    <s v="Website"/>
    <s v="Catherine Dewey"/>
    <n v="6459"/>
    <d v="2023-02-06T00:00:00"/>
    <x v="195"/>
    <x v="5"/>
    <x v="5"/>
    <s v="Outlier"/>
  </r>
  <r>
    <n v="1063239"/>
    <n v="1639"/>
    <x v="6"/>
    <d v="2023-09-25T23:27:00"/>
    <s v="Other"/>
    <s v="Elizabeth Lincoln"/>
    <n v="3101"/>
    <d v="2023-09-25T00:00:00"/>
    <x v="79"/>
    <x v="10"/>
    <x v="5"/>
    <s v="Outlier"/>
  </r>
  <r>
    <n v="1063742"/>
    <n v="212"/>
    <x v="7"/>
    <d v="2023-10-17T00:44:00"/>
    <s v="Whatsapp"/>
    <s v="Paolo Accorti"/>
    <n v="359"/>
    <d v="2023-10-17T00:00:00"/>
    <x v="85"/>
    <x v="3"/>
    <x v="2"/>
    <s v="Outlier"/>
  </r>
  <r>
    <n v="1063767"/>
    <n v="1616"/>
    <x v="0"/>
    <d v="2023-07-26T23:44:00"/>
    <s v="App"/>
    <s v="Victoria Ashworth"/>
    <n v="1893"/>
    <d v="2023-07-26T00:00:00"/>
    <x v="146"/>
    <x v="6"/>
    <x v="4"/>
    <s v="Outlier"/>
  </r>
  <r>
    <n v="1064483"/>
    <n v="1571"/>
    <x v="0"/>
    <d v="2023-06-20T01:50:00"/>
    <s v="Other"/>
    <s v="Janine Labrune"/>
    <n v="6345"/>
    <d v="2023-06-20T00:00:00"/>
    <x v="45"/>
    <x v="7"/>
    <x v="2"/>
    <s v="Outlier"/>
  </r>
  <r>
    <n v="1064762"/>
    <n v="1018"/>
    <x v="3"/>
    <d v="2023-10-25T00:53:00"/>
    <s v="Whatsapp"/>
    <s v="Christina Berglund"/>
    <n v="1726"/>
    <d v="2023-10-25T00:00:00"/>
    <x v="36"/>
    <x v="3"/>
    <x v="4"/>
    <s v="Outlier"/>
  </r>
  <r>
    <n v="1064785"/>
    <n v="1063"/>
    <x v="1"/>
    <d v="2023-03-25T00:58:00"/>
    <s v="Whatsapp"/>
    <s v="Maria Hernandez"/>
    <n v="9830"/>
    <d v="2023-03-25T00:00:00"/>
    <x v="28"/>
    <x v="4"/>
    <x v="1"/>
    <s v="Outlier"/>
  </r>
  <r>
    <n v="1064900"/>
    <n v="1928"/>
    <x v="6"/>
    <d v="2023-10-12T00:44:00"/>
    <s v="Website"/>
    <s v="Diego Freyre"/>
    <n v="7612"/>
    <d v="2023-10-12T00:00:00"/>
    <x v="85"/>
    <x v="3"/>
    <x v="3"/>
    <s v="Outlier"/>
  </r>
  <r>
    <n v="1068168"/>
    <n v="1101"/>
    <x v="1"/>
    <d v="2023-03-08T01:22:00"/>
    <s v="App"/>
    <s v="Akiko Shimamura"/>
    <n v="5967"/>
    <d v="2023-03-08T00:00:00"/>
    <x v="142"/>
    <x v="4"/>
    <x v="4"/>
    <s v="Outlier"/>
  </r>
  <r>
    <n v="1068397"/>
    <n v="3"/>
    <x v="0"/>
    <d v="2023-04-12T01:01:00"/>
    <s v="Other"/>
    <s v="Julie Brown"/>
    <n v="9183"/>
    <d v="2023-04-12T00:00:00"/>
    <x v="16"/>
    <x v="1"/>
    <x v="4"/>
    <s v="Outlier"/>
  </r>
  <r>
    <n v="1069023"/>
    <n v="739"/>
    <x v="1"/>
    <d v="2023-02-14T00:41:00"/>
    <s v="App"/>
    <s v="Valarie Nelson"/>
    <n v="4804"/>
    <d v="2023-02-14T00:00:00"/>
    <x v="60"/>
    <x v="5"/>
    <x v="2"/>
    <s v="Outlier"/>
  </r>
  <r>
    <n v="1069094"/>
    <n v="1854"/>
    <x v="0"/>
    <d v="2023-08-27T01:11:00"/>
    <s v="Other"/>
    <s v="Juri Yoshido"/>
    <n v="8536"/>
    <d v="2023-08-27T00:00:00"/>
    <x v="122"/>
    <x v="8"/>
    <x v="6"/>
    <s v="Outlier"/>
  </r>
  <r>
    <n v="1069668"/>
    <n v="517"/>
    <x v="6"/>
    <d v="2023-04-07T01:00:00"/>
    <s v="Website"/>
    <s v="Roland Keitel"/>
    <n v="8146"/>
    <d v="2023-04-07T00:00:00"/>
    <x v="168"/>
    <x v="1"/>
    <x v="0"/>
    <s v="Outlier"/>
  </r>
  <r>
    <n v="1070209"/>
    <n v="973"/>
    <x v="0"/>
    <d v="2023-08-10T00:32:00"/>
    <s v="Other"/>
    <s v="Victoria Ashworth"/>
    <n v="7741"/>
    <d v="2023-08-10T00:00:00"/>
    <x v="58"/>
    <x v="8"/>
    <x v="3"/>
    <s v="Outlier"/>
  </r>
  <r>
    <n v="1070297"/>
    <n v="1978"/>
    <x v="4"/>
    <d v="2023-03-08T22:34:00"/>
    <s v="Whatsapp"/>
    <s v="Sue King"/>
    <n v="904"/>
    <d v="2023-03-08T00:00:00"/>
    <x v="196"/>
    <x v="4"/>
    <x v="4"/>
    <s v="Outlier"/>
  </r>
  <r>
    <n v="1070438"/>
    <n v="1420"/>
    <x v="0"/>
    <d v="2023-09-27T02:23:00"/>
    <s v="Website"/>
    <s v="Sue Taylor"/>
    <n v="9991"/>
    <d v="2023-09-27T00:00:00"/>
    <x v="197"/>
    <x v="10"/>
    <x v="4"/>
    <s v="Outlier"/>
  </r>
  <r>
    <n v="1071701"/>
    <n v="1367"/>
    <x v="2"/>
    <d v="2023-01-16T00:53:00"/>
    <s v="Website"/>
    <s v="Julie Brown"/>
    <n v="1445"/>
    <d v="2023-01-16T00:00:00"/>
    <x v="36"/>
    <x v="9"/>
    <x v="5"/>
    <s v="Outlier"/>
  </r>
  <r>
    <n v="1074617"/>
    <n v="158"/>
    <x v="0"/>
    <d v="2023-05-04T00:19:00"/>
    <s v="Whatsapp"/>
    <s v="Giovanni Rovelli"/>
    <n v="4729"/>
    <d v="2023-05-04T00:00:00"/>
    <x v="167"/>
    <x v="11"/>
    <x v="3"/>
    <s v="Outlier"/>
  </r>
  <r>
    <n v="1074708"/>
    <n v="647"/>
    <x v="6"/>
    <d v="2023-03-12T23:36:00"/>
    <s v="App"/>
    <s v="Valarie Nelson"/>
    <n v="7648"/>
    <d v="2023-03-12T00:00:00"/>
    <x v="135"/>
    <x v="4"/>
    <x v="6"/>
    <s v="Outlier"/>
  </r>
  <r>
    <n v="1075036"/>
    <n v="587"/>
    <x v="0"/>
    <d v="2023-05-16T23:29:00"/>
    <s v="Whatsapp"/>
    <s v="Sean Connery"/>
    <n v="5378"/>
    <d v="2023-05-16T00:00:00"/>
    <x v="71"/>
    <x v="11"/>
    <x v="2"/>
    <s v="Outlier"/>
  </r>
  <r>
    <n v="1075177"/>
    <n v="161"/>
    <x v="3"/>
    <d v="2023-03-07T22:36:00"/>
    <s v="App"/>
    <s v="Diego Freyre"/>
    <n v="1124"/>
    <d v="2023-03-07T00:00:00"/>
    <x v="106"/>
    <x v="4"/>
    <x v="2"/>
    <s v="Outlier"/>
  </r>
  <r>
    <n v="1075183"/>
    <n v="1971"/>
    <x v="4"/>
    <d v="2023-04-24T22:50:00"/>
    <s v="Whatsapp"/>
    <s v="Mart¡n Sommer"/>
    <n v="3747"/>
    <d v="2023-04-24T00:00:00"/>
    <x v="133"/>
    <x v="1"/>
    <x v="5"/>
    <s v="Outlier"/>
  </r>
  <r>
    <n v="1075762"/>
    <n v="1612"/>
    <x v="4"/>
    <d v="2023-10-02T02:14:00"/>
    <s v="App"/>
    <s v="Mary Saveley"/>
    <n v="3402"/>
    <d v="2023-10-02T00:00:00"/>
    <x v="198"/>
    <x v="3"/>
    <x v="5"/>
    <s v="Outlier"/>
  </r>
  <r>
    <n v="1076092"/>
    <n v="1938"/>
    <x v="0"/>
    <d v="2023-03-01T01:34:00"/>
    <s v="Other"/>
    <s v="Diego Freyre"/>
    <n v="698"/>
    <d v="2023-03-01T00:00:00"/>
    <x v="161"/>
    <x v="4"/>
    <x v="4"/>
    <s v="Outlier"/>
  </r>
  <r>
    <n v="1076764"/>
    <n v="1162"/>
    <x v="0"/>
    <d v="2023-12-04T00:39:00"/>
    <s v="Website"/>
    <s v="Frederique Citeaux"/>
    <n v="1938"/>
    <d v="2023-12-04T00:00:00"/>
    <x v="11"/>
    <x v="0"/>
    <x v="5"/>
    <s v="Outlier"/>
  </r>
  <r>
    <n v="1077723"/>
    <n v="868"/>
    <x v="11"/>
    <d v="2023-01-02T00:24:00"/>
    <s v="Whatsapp"/>
    <s v="Paolo Accorti"/>
    <n v="3711"/>
    <d v="2023-01-02T00:00:00"/>
    <x v="115"/>
    <x v="9"/>
    <x v="5"/>
    <s v="Outlier"/>
  </r>
  <r>
    <n v="1078422"/>
    <n v="1917"/>
    <x v="0"/>
    <d v="2023-12-06T02:10:00"/>
    <s v="Whatsapp"/>
    <s v="Veysel Oeztan"/>
    <n v="3916"/>
    <d v="2023-12-06T00:00:00"/>
    <x v="199"/>
    <x v="0"/>
    <x v="4"/>
    <s v="Outlier"/>
  </r>
  <r>
    <n v="1078820"/>
    <n v="1431"/>
    <x v="0"/>
    <d v="2023-08-09T01:02:00"/>
    <s v="App"/>
    <s v="Daniel Tonini"/>
    <n v="5495"/>
    <d v="2023-08-09T00:00:00"/>
    <x v="186"/>
    <x v="8"/>
    <x v="4"/>
    <s v="Outlier"/>
  </r>
  <r>
    <n v="1079090"/>
    <n v="1368"/>
    <x v="0"/>
    <d v="2023-04-02T00:15:00"/>
    <s v="Website"/>
    <s v="Valarie Nelson"/>
    <n v="6597"/>
    <d v="2023-04-02T00:00:00"/>
    <x v="123"/>
    <x v="1"/>
    <x v="6"/>
    <s v="Outlier"/>
  </r>
  <r>
    <n v="1079225"/>
    <n v="1393"/>
    <x v="2"/>
    <d v="2023-02-24T23:08:00"/>
    <s v="Other"/>
    <s v="Valarie Young"/>
    <n v="3345"/>
    <d v="2023-02-24T00:00:00"/>
    <x v="66"/>
    <x v="5"/>
    <x v="0"/>
    <s v="Outlier"/>
  </r>
  <r>
    <n v="1079355"/>
    <n v="1469"/>
    <x v="2"/>
    <d v="2023-03-19T23:46:00"/>
    <s v="Website"/>
    <s v="Victoria Ashworth"/>
    <n v="3196"/>
    <d v="2023-03-19T00:00:00"/>
    <x v="9"/>
    <x v="4"/>
    <x v="6"/>
    <s v="Outlier"/>
  </r>
  <r>
    <n v="1079761"/>
    <n v="1873"/>
    <x v="6"/>
    <d v="2023-09-18T01:12:00"/>
    <s v="Whatsapp"/>
    <s v="Carine Schmitt"/>
    <n v="9752"/>
    <d v="2023-09-18T00:00:00"/>
    <x v="52"/>
    <x v="10"/>
    <x v="5"/>
    <s v="Outlier"/>
  </r>
  <r>
    <n v="1081409"/>
    <n v="1084"/>
    <x v="1"/>
    <d v="2023-10-01T00:58:00"/>
    <s v="Whatsapp"/>
    <s v="Daniel Da Cunha"/>
    <n v="7433"/>
    <d v="2023-10-01T00:00:00"/>
    <x v="28"/>
    <x v="3"/>
    <x v="6"/>
    <s v="Outlier"/>
  </r>
  <r>
    <n v="1081894"/>
    <n v="787"/>
    <x v="9"/>
    <d v="2023-02-08T01:35:00"/>
    <s v="Other"/>
    <s v="Julie Young"/>
    <n v="5113"/>
    <d v="2023-02-08T00:00:00"/>
    <x v="200"/>
    <x v="5"/>
    <x v="4"/>
    <s v="Outlier"/>
  </r>
  <r>
    <n v="1083336"/>
    <n v="441"/>
    <x v="0"/>
    <d v="2023-02-19T00:07:00"/>
    <s v="Website"/>
    <s v="Diego Freyre"/>
    <n v="5859"/>
    <d v="2023-02-19T00:00:00"/>
    <x v="34"/>
    <x v="5"/>
    <x v="6"/>
    <s v="Outlier"/>
  </r>
  <r>
    <n v="1085382"/>
    <n v="969"/>
    <x v="0"/>
    <d v="2023-03-10T01:10:00"/>
    <s v="Other"/>
    <s v="Anna O'Hara"/>
    <n v="5959"/>
    <d v="2023-03-10T00:00:00"/>
    <x v="7"/>
    <x v="4"/>
    <x v="0"/>
    <s v="Outlier"/>
  </r>
  <r>
    <n v="1085556"/>
    <n v="217"/>
    <x v="0"/>
    <d v="2023-12-29T01:31:00"/>
    <s v="App"/>
    <s v="Valarie Nelson"/>
    <n v="6006"/>
    <d v="2023-12-29T00:00:00"/>
    <x v="177"/>
    <x v="0"/>
    <x v="0"/>
    <s v="Outlier"/>
  </r>
  <r>
    <n v="1086091"/>
    <n v="863"/>
    <x v="12"/>
    <d v="2023-09-10T23:34:00"/>
    <s v="App"/>
    <s v="Jonas Bergulfsen"/>
    <n v="6063"/>
    <d v="2023-09-10T00:00:00"/>
    <x v="99"/>
    <x v="10"/>
    <x v="6"/>
    <s v="Outlier"/>
  </r>
  <r>
    <n v="1086104"/>
    <n v="654"/>
    <x v="3"/>
    <d v="2023-09-22T00:22:00"/>
    <s v="Website"/>
    <s v="Marie Bertrand"/>
    <n v="1737"/>
    <d v="2023-09-22T00:00:00"/>
    <x v="54"/>
    <x v="10"/>
    <x v="0"/>
    <s v="Outlier"/>
  </r>
  <r>
    <n v="1086327"/>
    <n v="62"/>
    <x v="0"/>
    <d v="2023-01-13T01:58:00"/>
    <s v="App"/>
    <s v="Mart¡n Sommer"/>
    <n v="4910"/>
    <d v="2023-01-13T00:00:00"/>
    <x v="157"/>
    <x v="9"/>
    <x v="0"/>
    <s v="Outlier"/>
  </r>
  <r>
    <n v="1086644"/>
    <n v="940"/>
    <x v="0"/>
    <d v="2023-08-21T01:23:00"/>
    <s v="Website"/>
    <s v="Juri Hirano"/>
    <n v="9735"/>
    <d v="2023-08-21T00:00:00"/>
    <x v="83"/>
    <x v="8"/>
    <x v="5"/>
    <s v="Outlier"/>
  </r>
  <r>
    <n v="1087661"/>
    <n v="1776"/>
    <x v="0"/>
    <d v="2023-12-23T23:09:00"/>
    <s v="Whatsapp"/>
    <s v="Pirkko Koskitalo"/>
    <n v="10"/>
    <d v="2023-12-23T00:00:00"/>
    <x v="175"/>
    <x v="0"/>
    <x v="1"/>
    <s v="Outlier"/>
  </r>
  <r>
    <n v="1088292"/>
    <n v="337"/>
    <x v="5"/>
    <d v="2023-01-18T00:20:00"/>
    <s v="Whatsapp"/>
    <s v="Eric Natividad"/>
    <n v="3551"/>
    <d v="2023-01-18T00:00:00"/>
    <x v="68"/>
    <x v="9"/>
    <x v="4"/>
    <s v="Outlier"/>
  </r>
  <r>
    <n v="1088350"/>
    <n v="606"/>
    <x v="0"/>
    <d v="2023-11-26T00:37:00"/>
    <s v="Website"/>
    <s v="Ann Brown"/>
    <n v="3144"/>
    <d v="2023-11-26T00:00:00"/>
    <x v="201"/>
    <x v="2"/>
    <x v="6"/>
    <s v="Outlier"/>
  </r>
  <r>
    <n v="1089032"/>
    <n v="144"/>
    <x v="13"/>
    <d v="2023-06-08T00:33:00"/>
    <s v="Other"/>
    <s v="Jose Pedro Roel"/>
    <n v="9067"/>
    <d v="2023-06-08T00:00:00"/>
    <x v="53"/>
    <x v="7"/>
    <x v="3"/>
    <s v="Outlier"/>
  </r>
  <r>
    <n v="1091560"/>
    <n v="1294"/>
    <x v="3"/>
    <d v="2023-05-24T23:18:00"/>
    <s v="App"/>
    <s v="Mary Saveley"/>
    <n v="8903"/>
    <d v="2023-05-24T00:00:00"/>
    <x v="140"/>
    <x v="11"/>
    <x v="4"/>
    <s v="Outlier"/>
  </r>
  <r>
    <n v="1093212"/>
    <n v="60"/>
    <x v="0"/>
    <d v="2023-07-22T01:04:00"/>
    <s v="Website"/>
    <s v="Valarie Franco"/>
    <n v="799"/>
    <d v="2023-07-22T00:00:00"/>
    <x v="121"/>
    <x v="6"/>
    <x v="1"/>
    <s v="Outlier"/>
  </r>
  <r>
    <n v="1093314"/>
    <n v="1576"/>
    <x v="0"/>
    <d v="2023-04-19T00:44:00"/>
    <s v="Website"/>
    <s v="Wendy Victorino"/>
    <n v="1562"/>
    <d v="2023-04-19T00:00:00"/>
    <x v="85"/>
    <x v="1"/>
    <x v="4"/>
    <s v="Outlier"/>
  </r>
  <r>
    <n v="1093757"/>
    <n v="127"/>
    <x v="13"/>
    <d v="2023-12-04T00:00:00"/>
    <s v="Website"/>
    <s v="Valarie Nelson"/>
    <n v="5671"/>
    <d v="2023-12-04T00:00:00"/>
    <x v="126"/>
    <x v="0"/>
    <x v="5"/>
    <s v="Outlier"/>
  </r>
  <r>
    <n v="1094900"/>
    <n v="1616"/>
    <x v="0"/>
    <d v="2023-04-30T00:58:00"/>
    <s v="Other"/>
    <s v="Diego Freyre"/>
    <n v="2968"/>
    <d v="2023-04-30T00:00:00"/>
    <x v="28"/>
    <x v="1"/>
    <x v="6"/>
    <s v="Outlier"/>
  </r>
  <r>
    <n v="1095387"/>
    <n v="1251"/>
    <x v="0"/>
    <d v="2023-11-16T02:09:00"/>
    <s v="Whatsapp"/>
    <s v="Wendy Victorino"/>
    <n v="2942"/>
    <d v="2023-11-16T00:00:00"/>
    <x v="202"/>
    <x v="2"/>
    <x v="3"/>
    <s v="Outlier"/>
  </r>
  <r>
    <n v="1097967"/>
    <n v="1097"/>
    <x v="1"/>
    <d v="2023-03-11T01:44:00"/>
    <s v="Other"/>
    <s v="Valarie Nelson"/>
    <n v="9517"/>
    <d v="2023-03-11T00:00:00"/>
    <x v="203"/>
    <x v="4"/>
    <x v="1"/>
    <s v="Outlier"/>
  </r>
  <r>
    <n v="1098350"/>
    <n v="1983"/>
    <x v="4"/>
    <d v="2023-02-09T01:39:00"/>
    <s v="Website"/>
    <s v="Kyung Yu"/>
    <n v="7342"/>
    <d v="2023-02-09T00:00:00"/>
    <x v="152"/>
    <x v="5"/>
    <x v="3"/>
    <s v="Outlier"/>
  </r>
  <r>
    <n v="1099712"/>
    <n v="772"/>
    <x v="3"/>
    <d v="2023-09-06T01:29:00"/>
    <s v="App"/>
    <s v="Maria Larsson"/>
    <n v="9284"/>
    <d v="2023-09-06T00:00:00"/>
    <x v="103"/>
    <x v="10"/>
    <x v="4"/>
    <s v="Outlier"/>
  </r>
  <r>
    <n v="1100277"/>
    <n v="1886"/>
    <x v="6"/>
    <d v="2023-09-27T01:05:00"/>
    <s v="Other"/>
    <s v="Marta Hernandez"/>
    <n v="1924"/>
    <d v="2023-09-27T00:00:00"/>
    <x v="12"/>
    <x v="10"/>
    <x v="4"/>
    <s v="Outlier"/>
  </r>
  <r>
    <n v="1101025"/>
    <n v="289"/>
    <x v="3"/>
    <d v="2023-05-02T00:30:00"/>
    <s v="App"/>
    <s v="Yoshi Tannamuri"/>
    <n v="5344"/>
    <d v="2023-05-02T00:00:00"/>
    <x v="111"/>
    <x v="11"/>
    <x v="2"/>
    <s v="Outlier"/>
  </r>
  <r>
    <n v="1101866"/>
    <n v="986"/>
    <x v="6"/>
    <d v="2023-06-17T01:01:00"/>
    <s v="Website"/>
    <s v="Michael Frick"/>
    <n v="9741"/>
    <d v="2023-06-17T00:00:00"/>
    <x v="16"/>
    <x v="7"/>
    <x v="1"/>
    <s v="Outlier"/>
  </r>
  <r>
    <n v="1102470"/>
    <n v="1686"/>
    <x v="3"/>
    <d v="2023-02-16T23:38:00"/>
    <s v="Whatsapp"/>
    <s v="Christina Berglund"/>
    <n v="7654"/>
    <d v="2023-02-16T00:00:00"/>
    <x v="80"/>
    <x v="5"/>
    <x v="3"/>
    <s v="Outlier"/>
  </r>
  <r>
    <n v="1102591"/>
    <n v="874"/>
    <x v="0"/>
    <d v="2023-09-01T14:20:00"/>
    <s v="App"/>
    <s v="Mart¡n Sommer"/>
    <n v="8227"/>
    <d v="2023-09-01T00:00:00"/>
    <x v="204"/>
    <x v="10"/>
    <x v="0"/>
    <s v="Outlier"/>
  </r>
  <r>
    <n v="1102910"/>
    <n v="347"/>
    <x v="13"/>
    <d v="2023-11-02T23:43:00"/>
    <s v="Other"/>
    <s v="Diego Freyre"/>
    <n v="5043"/>
    <d v="2023-11-02T00:00:00"/>
    <x v="169"/>
    <x v="2"/>
    <x v="3"/>
    <s v="Outlier"/>
  </r>
  <r>
    <n v="1103132"/>
    <n v="213"/>
    <x v="0"/>
    <d v="2023-10-28T00:27:00"/>
    <s v="Whatsapp"/>
    <s v="Valarie Nelson"/>
    <n v="2021"/>
    <d v="2023-10-28T00:00:00"/>
    <x v="108"/>
    <x v="3"/>
    <x v="1"/>
    <s v="Outlier"/>
  </r>
  <r>
    <n v="1103298"/>
    <n v="1505"/>
    <x v="0"/>
    <d v="2023-12-31T00:39:00"/>
    <s v="Website"/>
    <s v="Valarie Nelson"/>
    <n v="1147"/>
    <d v="2023-12-31T00:00:00"/>
    <x v="11"/>
    <x v="0"/>
    <x v="6"/>
    <s v="Outlier"/>
  </r>
  <r>
    <n v="1104089"/>
    <n v="1775"/>
    <x v="0"/>
    <d v="2023-07-01T01:45:00"/>
    <s v="Whatsapp"/>
    <s v="Diego Freyre"/>
    <n v="6964"/>
    <d v="2023-07-01T00:00:00"/>
    <x v="59"/>
    <x v="6"/>
    <x v="1"/>
    <s v="Outlier"/>
  </r>
  <r>
    <n v="1104509"/>
    <n v="20"/>
    <x v="0"/>
    <d v="2023-05-27T01:26:00"/>
    <s v="Other"/>
    <s v="Janine Labrune"/>
    <n v="5599"/>
    <d v="2023-05-27T00:00:00"/>
    <x v="65"/>
    <x v="11"/>
    <x v="1"/>
    <s v="Outlier"/>
  </r>
  <r>
    <n v="1104723"/>
    <n v="584"/>
    <x v="0"/>
    <d v="2023-01-26T23:40:00"/>
    <s v="Website"/>
    <s v="Arnold Cruz"/>
    <n v="1066"/>
    <d v="2023-01-26T00:00:00"/>
    <x v="1"/>
    <x v="9"/>
    <x v="3"/>
    <s v="Outlier"/>
  </r>
  <r>
    <n v="1105163"/>
    <n v="1591"/>
    <x v="0"/>
    <d v="2023-04-26T01:24:00"/>
    <s v="Other"/>
    <s v="Paul Henriot"/>
    <n v="9903"/>
    <d v="2023-04-26T00:00:00"/>
    <x v="124"/>
    <x v="1"/>
    <x v="4"/>
    <s v="Outlier"/>
  </r>
  <r>
    <n v="1105875"/>
    <n v="1722"/>
    <x v="0"/>
    <d v="2023-12-15T23:26:00"/>
    <s v="Whatsapp"/>
    <s v="Valarie Nelson"/>
    <n v="4863"/>
    <d v="2023-12-15T00:00:00"/>
    <x v="191"/>
    <x v="0"/>
    <x v="0"/>
    <s v="Outlier"/>
  </r>
  <r>
    <n v="1106456"/>
    <n v="378"/>
    <x v="11"/>
    <d v="2023-08-03T22:52:00"/>
    <s v="Other"/>
    <s v="Julie Young"/>
    <n v="9636"/>
    <d v="2023-08-03T00:00:00"/>
    <x v="5"/>
    <x v="8"/>
    <x v="3"/>
    <s v="Outlier"/>
  </r>
  <r>
    <n v="1107821"/>
    <n v="581"/>
    <x v="0"/>
    <d v="2023-10-18T00:25:00"/>
    <s v="Website"/>
    <s v="Julie Brown"/>
    <n v="3452"/>
    <d v="2023-10-18T00:00:00"/>
    <x v="148"/>
    <x v="3"/>
    <x v="4"/>
    <s v="Outlier"/>
  </r>
  <r>
    <n v="1107986"/>
    <n v="632"/>
    <x v="0"/>
    <d v="2023-09-18T00:30:00"/>
    <s v="Other"/>
    <s v="Anna O'Hara"/>
    <n v="384"/>
    <d v="2023-09-18T00:00:00"/>
    <x v="111"/>
    <x v="10"/>
    <x v="5"/>
    <s v="Outlier"/>
  </r>
  <r>
    <n v="1108968"/>
    <n v="255"/>
    <x v="2"/>
    <d v="2023-11-14T01:12:00"/>
    <s v="App"/>
    <s v="Martine Rance"/>
    <n v="2300"/>
    <d v="2023-11-14T00:00:00"/>
    <x v="52"/>
    <x v="2"/>
    <x v="2"/>
    <s v="Outlier"/>
  </r>
  <r>
    <n v="1110547"/>
    <n v="1438"/>
    <x v="5"/>
    <d v="2023-02-14T22:55:00"/>
    <s v="Whatsapp"/>
    <s v="Diego Freyre"/>
    <n v="8840"/>
    <d v="2023-02-14T00:00:00"/>
    <x v="125"/>
    <x v="5"/>
    <x v="2"/>
    <s v="Outlier"/>
  </r>
  <r>
    <n v="1111675"/>
    <n v="665"/>
    <x v="3"/>
    <d v="2023-02-26T23:36:00"/>
    <s v="Other"/>
    <s v="Dominique Perrier"/>
    <n v="5031"/>
    <d v="2023-02-26T00:00:00"/>
    <x v="135"/>
    <x v="5"/>
    <x v="6"/>
    <s v="Outlier"/>
  </r>
  <r>
    <n v="1112646"/>
    <n v="1355"/>
    <x v="4"/>
    <d v="2023-09-27T00:27:00"/>
    <s v="Whatsapp"/>
    <s v="Martine Rance"/>
    <n v="8949"/>
    <d v="2023-09-27T00:00:00"/>
    <x v="108"/>
    <x v="10"/>
    <x v="4"/>
    <s v="Outlier"/>
  </r>
  <r>
    <n v="1114314"/>
    <n v="1192"/>
    <x v="0"/>
    <d v="2023-04-01T00:56:00"/>
    <s v="Website"/>
    <s v="Michael Frick"/>
    <n v="3962"/>
    <d v="2023-04-01T00:00:00"/>
    <x v="150"/>
    <x v="1"/>
    <x v="1"/>
    <s v="Outlier"/>
  </r>
  <r>
    <n v="1115197"/>
    <n v="1108"/>
    <x v="1"/>
    <d v="2023-07-29T00:02:00"/>
    <s v="Website"/>
    <s v="Dominique Perrier"/>
    <n v="1278"/>
    <d v="2023-07-29T00:00:00"/>
    <x v="89"/>
    <x v="6"/>
    <x v="1"/>
    <s v="Outlier"/>
  </r>
  <r>
    <n v="1115208"/>
    <n v="1777"/>
    <x v="0"/>
    <d v="2023-03-15T22:39:00"/>
    <s v="Whatsapp"/>
    <s v="Juri Yoshido"/>
    <n v="1807"/>
    <d v="2023-03-15T00:00:00"/>
    <x v="90"/>
    <x v="4"/>
    <x v="4"/>
    <s v="Outlier"/>
  </r>
  <r>
    <n v="1115751"/>
    <n v="587"/>
    <x v="0"/>
    <d v="2023-06-06T23:48:00"/>
    <s v="Whatsapp"/>
    <s v="Miguel Barajas"/>
    <n v="3833"/>
    <d v="2023-06-06T00:00:00"/>
    <x v="153"/>
    <x v="7"/>
    <x v="2"/>
    <s v="Outlier"/>
  </r>
  <r>
    <n v="1115759"/>
    <n v="378"/>
    <x v="11"/>
    <d v="2023-02-10T00:06:00"/>
    <s v="Website"/>
    <s v="Marta Hernandez"/>
    <n v="6504"/>
    <d v="2023-02-10T00:00:00"/>
    <x v="22"/>
    <x v="5"/>
    <x v="0"/>
    <s v="Outlier"/>
  </r>
  <r>
    <n v="1118626"/>
    <n v="1552"/>
    <x v="2"/>
    <d v="2023-12-12T01:37:00"/>
    <s v="Website"/>
    <s v="Matti Karttunen"/>
    <n v="1623"/>
    <d v="2023-12-12T00:00:00"/>
    <x v="109"/>
    <x v="0"/>
    <x v="2"/>
    <s v="Outlier"/>
  </r>
  <r>
    <n v="1119156"/>
    <n v="837"/>
    <x v="6"/>
    <d v="2023-12-25T01:25:00"/>
    <s v="App"/>
    <s v="Jonas Bergulfsen"/>
    <n v="2932"/>
    <d v="2023-12-25T00:00:00"/>
    <x v="195"/>
    <x v="0"/>
    <x v="5"/>
    <s v="Outlier"/>
  </r>
  <r>
    <n v="1119400"/>
    <n v="1428"/>
    <x v="3"/>
    <d v="2023-06-07T23:08:00"/>
    <s v="Whatsapp"/>
    <s v="Kee Kuo"/>
    <n v="1558"/>
    <d v="2023-06-07T00:00:00"/>
    <x v="66"/>
    <x v="7"/>
    <x v="4"/>
    <s v="Outlier"/>
  </r>
  <r>
    <n v="1121011"/>
    <n v="1757"/>
    <x v="4"/>
    <d v="2023-10-03T01:02:00"/>
    <s v="Other"/>
    <s v="Arnold Cruz"/>
    <n v="1675"/>
    <d v="2023-10-03T00:00:00"/>
    <x v="186"/>
    <x v="3"/>
    <x v="2"/>
    <s v="Outlier"/>
  </r>
  <r>
    <n v="1122327"/>
    <n v="1295"/>
    <x v="10"/>
    <d v="2023-08-02T16:44:00"/>
    <s v="App"/>
    <s v="Georg Pipps"/>
    <n v="6240"/>
    <d v="2023-08-02T00:00:00"/>
    <x v="205"/>
    <x v="8"/>
    <x v="4"/>
    <s v="Outlier"/>
  </r>
  <r>
    <n v="1123688"/>
    <n v="66"/>
    <x v="6"/>
    <d v="2023-04-25T01:07:00"/>
    <s v="Website"/>
    <s v="Diego Freyre"/>
    <n v="1398"/>
    <d v="2023-04-25T00:00:00"/>
    <x v="31"/>
    <x v="1"/>
    <x v="2"/>
    <s v="Outlier"/>
  </r>
  <r>
    <n v="1124146"/>
    <n v="1501"/>
    <x v="0"/>
    <d v="2023-04-21T00:24:00"/>
    <s v="Website"/>
    <s v="Kalle Suominen"/>
    <n v="3329"/>
    <d v="2023-04-21T00:00:00"/>
    <x v="115"/>
    <x v="1"/>
    <x v="0"/>
    <s v="Outlier"/>
  </r>
  <r>
    <n v="1125245"/>
    <n v="1611"/>
    <x v="3"/>
    <d v="2023-05-28T23:55:00"/>
    <s v="App"/>
    <s v="Janine Labrune"/>
    <n v="4618"/>
    <d v="2023-05-28T00:00:00"/>
    <x v="166"/>
    <x v="11"/>
    <x v="6"/>
    <s v="Outlier"/>
  </r>
  <r>
    <n v="1125247"/>
    <n v="1574"/>
    <x v="9"/>
    <d v="2023-07-21T00:08:00"/>
    <s v="Other"/>
    <s v="Valarie Nelson"/>
    <n v="905"/>
    <d v="2023-07-21T00:00:00"/>
    <x v="149"/>
    <x v="6"/>
    <x v="0"/>
    <s v="Outlier"/>
  </r>
  <r>
    <n v="1125352"/>
    <n v="1633"/>
    <x v="6"/>
    <d v="2023-04-27T01:33:00"/>
    <s v="App"/>
    <s v="Elizabeth Devon"/>
    <n v="4193"/>
    <d v="2023-04-27T00:00:00"/>
    <x v="47"/>
    <x v="1"/>
    <x v="3"/>
    <s v="Outlier"/>
  </r>
  <r>
    <n v="1127154"/>
    <n v="87"/>
    <x v="1"/>
    <d v="2023-06-09T00:04:00"/>
    <s v="Other"/>
    <s v="Victoria Ashworth"/>
    <n v="9219"/>
    <d v="2023-06-09T00:00:00"/>
    <x v="64"/>
    <x v="7"/>
    <x v="0"/>
    <s v="Outlier"/>
  </r>
  <r>
    <n v="1127303"/>
    <n v="1778"/>
    <x v="0"/>
    <d v="2023-02-14T00:58:00"/>
    <s v="Other"/>
    <s v="Sue King"/>
    <n v="866"/>
    <d v="2023-02-14T00:00:00"/>
    <x v="28"/>
    <x v="5"/>
    <x v="2"/>
    <s v="Outlier"/>
  </r>
  <r>
    <n v="1127861"/>
    <n v="1385"/>
    <x v="0"/>
    <d v="2023-07-20T01:15:00"/>
    <s v="App"/>
    <s v="Anna O'Hara"/>
    <n v="8302"/>
    <d v="2023-07-20T00:00:00"/>
    <x v="127"/>
    <x v="6"/>
    <x v="3"/>
    <s v="Outlier"/>
  </r>
  <r>
    <n v="1127964"/>
    <n v="934"/>
    <x v="0"/>
    <d v="2023-11-05T00:23:00"/>
    <s v="App"/>
    <s v="Palle Ibsen"/>
    <n v="927"/>
    <d v="2023-11-05T00:00:00"/>
    <x v="6"/>
    <x v="2"/>
    <x v="6"/>
    <s v="Outlier"/>
  </r>
  <r>
    <n v="1129422"/>
    <n v="327"/>
    <x v="1"/>
    <d v="2023-10-21T01:26:00"/>
    <s v="Website"/>
    <s v="Julie King"/>
    <n v="1595"/>
    <d v="2023-10-21T00:00:00"/>
    <x v="65"/>
    <x v="3"/>
    <x v="1"/>
    <s v="Outlier"/>
  </r>
  <r>
    <n v="1129509"/>
    <n v="1097"/>
    <x v="1"/>
    <d v="2023-06-04T01:16:00"/>
    <s v="Website"/>
    <s v="Valarie Nelson"/>
    <n v="7051"/>
    <d v="2023-06-04T00:00:00"/>
    <x v="84"/>
    <x v="7"/>
    <x v="6"/>
    <s v="Outlier"/>
  </r>
  <r>
    <n v="1129725"/>
    <n v="1250"/>
    <x v="0"/>
    <d v="2023-11-09T00:08:00"/>
    <s v="Whatsapp"/>
    <s v="Valarie Young"/>
    <n v="9660"/>
    <d v="2023-11-09T00:00:00"/>
    <x v="149"/>
    <x v="2"/>
    <x v="3"/>
    <s v="Outlier"/>
  </r>
  <r>
    <n v="1130025"/>
    <n v="5"/>
    <x v="13"/>
    <d v="2023-06-09T23:02:00"/>
    <s v="Other"/>
    <s v="Jeff Young"/>
    <n v="5739"/>
    <d v="2023-06-09T00:00:00"/>
    <x v="114"/>
    <x v="7"/>
    <x v="0"/>
    <s v="Outlier"/>
  </r>
  <r>
    <n v="1130287"/>
    <n v="362"/>
    <x v="1"/>
    <d v="2023-08-30T00:53:00"/>
    <s v="Website"/>
    <s v="Diego Freyre"/>
    <n v="7662"/>
    <d v="2023-08-30T00:00:00"/>
    <x v="36"/>
    <x v="8"/>
    <x v="4"/>
    <s v="Outlier"/>
  </r>
  <r>
    <n v="1130380"/>
    <n v="745"/>
    <x v="6"/>
    <d v="2023-11-20T22:55:00"/>
    <s v="Website"/>
    <s v="Mary Saveley"/>
    <n v="7425"/>
    <d v="2023-11-20T00:00:00"/>
    <x v="125"/>
    <x v="2"/>
    <x v="5"/>
    <s v="Outlier"/>
  </r>
  <r>
    <n v="1131650"/>
    <n v="1676"/>
    <x v="9"/>
    <d v="2023-01-18T23:08:00"/>
    <s v="Whatsapp"/>
    <s v="Frederique Citeaux"/>
    <n v="3121"/>
    <d v="2023-01-18T00:00:00"/>
    <x v="66"/>
    <x v="9"/>
    <x v="4"/>
    <s v="Outlier"/>
  </r>
  <r>
    <n v="1132855"/>
    <n v="16"/>
    <x v="8"/>
    <d v="2023-06-20T02:00:00"/>
    <s v="App"/>
    <s v="Jeff Young"/>
    <n v="4518"/>
    <d v="2023-06-20T00:00:00"/>
    <x v="23"/>
    <x v="7"/>
    <x v="2"/>
    <s v="Outlier"/>
  </r>
  <r>
    <n v="1133062"/>
    <n v="226"/>
    <x v="0"/>
    <d v="2023-10-01T23:00:00"/>
    <s v="Website"/>
    <s v="Diego Freyre"/>
    <n v="3501"/>
    <d v="2023-10-01T00:00:00"/>
    <x v="171"/>
    <x v="3"/>
    <x v="6"/>
    <s v="Outlier"/>
  </r>
  <r>
    <n v="1133882"/>
    <n v="291"/>
    <x v="1"/>
    <d v="2023-08-07T23:55:00"/>
    <s v="Website"/>
    <s v="Wendy Victorino"/>
    <n v="3789"/>
    <d v="2023-08-07T00:00:00"/>
    <x v="166"/>
    <x v="8"/>
    <x v="5"/>
    <s v="Outlier"/>
  </r>
  <r>
    <n v="1134072"/>
    <n v="662"/>
    <x v="0"/>
    <d v="2023-12-06T00:49:00"/>
    <s v="App"/>
    <s v="Elizabeth Devon"/>
    <n v="3885"/>
    <d v="2023-12-06T00:00:00"/>
    <x v="35"/>
    <x v="0"/>
    <x v="4"/>
    <s v="Outlier"/>
  </r>
  <r>
    <n v="1134801"/>
    <n v="430"/>
    <x v="1"/>
    <d v="2023-03-12T23:29:00"/>
    <s v="Website"/>
    <s v="Diego Freyre"/>
    <n v="3505"/>
    <d v="2023-03-12T00:00:00"/>
    <x v="71"/>
    <x v="4"/>
    <x v="6"/>
    <s v="Outlier"/>
  </r>
  <r>
    <n v="1135081"/>
    <n v="48"/>
    <x v="0"/>
    <d v="2023-01-11T00:03:00"/>
    <s v="Whatsapp"/>
    <s v="Violeta Benitez"/>
    <n v="7107"/>
    <d v="2023-01-11T00:00:00"/>
    <x v="72"/>
    <x v="9"/>
    <x v="4"/>
    <s v="Outlier"/>
  </r>
  <r>
    <n v="1136468"/>
    <n v="1179"/>
    <x v="4"/>
    <d v="2023-11-06T01:07:00"/>
    <s v="Other"/>
    <s v="Victoria Ashworth"/>
    <n v="8751"/>
    <d v="2023-11-06T00:00:00"/>
    <x v="31"/>
    <x v="2"/>
    <x v="5"/>
    <s v="Outlier"/>
  </r>
  <r>
    <n v="1137562"/>
    <n v="1456"/>
    <x v="4"/>
    <d v="2023-10-28T00:09:00"/>
    <s v="App"/>
    <s v="Sue King"/>
    <n v="9253"/>
    <d v="2023-10-28T00:00:00"/>
    <x v="81"/>
    <x v="3"/>
    <x v="1"/>
    <s v="Outlier"/>
  </r>
  <r>
    <n v="1137891"/>
    <n v="1447"/>
    <x v="5"/>
    <d v="2023-12-19T22:54:00"/>
    <s v="Whatsapp"/>
    <s v="Valarie Nelson"/>
    <n v="1289"/>
    <d v="2023-12-19T00:00:00"/>
    <x v="105"/>
    <x v="0"/>
    <x v="2"/>
    <s v="Outlier"/>
  </r>
  <r>
    <n v="1138694"/>
    <n v="1525"/>
    <x v="2"/>
    <d v="2023-03-01T01:28:00"/>
    <s v="Website"/>
    <s v="Diego Freyre"/>
    <n v="1217"/>
    <d v="2023-03-01T00:00:00"/>
    <x v="49"/>
    <x v="4"/>
    <x v="4"/>
    <s v="Outlier"/>
  </r>
  <r>
    <n v="1139025"/>
    <n v="1855"/>
    <x v="13"/>
    <d v="2023-08-10T00:03:00"/>
    <s v="Other"/>
    <s v="Sue Frick"/>
    <n v="8569"/>
    <d v="2023-08-10T00:00:00"/>
    <x v="72"/>
    <x v="8"/>
    <x v="3"/>
    <s v="Outlier"/>
  </r>
  <r>
    <n v="1140100"/>
    <n v="759"/>
    <x v="0"/>
    <d v="2023-06-07T01:04:00"/>
    <s v="Website"/>
    <s v="Adrian Huxley"/>
    <n v="6772"/>
    <d v="2023-06-07T00:00:00"/>
    <x v="121"/>
    <x v="7"/>
    <x v="4"/>
    <s v="Outlier"/>
  </r>
  <r>
    <n v="1140822"/>
    <n v="741"/>
    <x v="0"/>
    <d v="2023-11-11T00:29:00"/>
    <s v="App"/>
    <s v="Diego Freyre"/>
    <n v="2833"/>
    <d v="2023-11-11T00:00:00"/>
    <x v="50"/>
    <x v="2"/>
    <x v="1"/>
    <s v="Outlier"/>
  </r>
  <r>
    <n v="1141931"/>
    <n v="1018"/>
    <x v="3"/>
    <d v="2023-07-02T22:49:00"/>
    <s v="Website"/>
    <s v="Marie Bertrand"/>
    <n v="9219"/>
    <d v="2023-07-02T00:00:00"/>
    <x v="206"/>
    <x v="6"/>
    <x v="6"/>
    <s v="Outlier"/>
  </r>
  <r>
    <n v="1143333"/>
    <n v="1998"/>
    <x v="6"/>
    <d v="2023-06-04T23:51:00"/>
    <s v="App"/>
    <s v="Jeff Young"/>
    <n v="9565"/>
    <d v="2023-06-04T00:00:00"/>
    <x v="87"/>
    <x v="7"/>
    <x v="6"/>
    <s v="Outlier"/>
  </r>
  <r>
    <n v="1144813"/>
    <n v="1176"/>
    <x v="0"/>
    <d v="2023-11-09T01:06:00"/>
    <s v="Other"/>
    <s v="Kalle Suominen"/>
    <n v="1665"/>
    <d v="2023-11-09T00:00:00"/>
    <x v="207"/>
    <x v="2"/>
    <x v="3"/>
    <s v="Outlier"/>
  </r>
  <r>
    <n v="1145871"/>
    <n v="1893"/>
    <x v="6"/>
    <d v="2023-10-05T00:32:00"/>
    <s v="Whatsapp"/>
    <s v="Pirkko Koskitalo"/>
    <n v="2301"/>
    <d v="2023-10-05T00:00:00"/>
    <x v="58"/>
    <x v="3"/>
    <x v="3"/>
    <s v="Outlier"/>
  </r>
  <r>
    <n v="1146705"/>
    <n v="1840"/>
    <x v="0"/>
    <d v="2023-07-23T23:36:00"/>
    <s v="Other"/>
    <s v="Eric Natividad"/>
    <n v="6434"/>
    <d v="2023-07-23T00:00:00"/>
    <x v="135"/>
    <x v="6"/>
    <x v="6"/>
    <s v="Outlier"/>
  </r>
  <r>
    <n v="1147846"/>
    <n v="137"/>
    <x v="1"/>
    <d v="2023-10-25T00:34:00"/>
    <s v="Other"/>
    <s v="Ann Brown"/>
    <n v="792"/>
    <d v="2023-10-25T00:00:00"/>
    <x v="21"/>
    <x v="3"/>
    <x v="4"/>
    <s v="Outlier"/>
  </r>
  <r>
    <n v="1149488"/>
    <n v="1235"/>
    <x v="5"/>
    <d v="2023-04-17T00:36:00"/>
    <s v="Website"/>
    <s v="Jose Pedro Roel"/>
    <n v="2062"/>
    <d v="2023-04-17T00:00:00"/>
    <x v="120"/>
    <x v="1"/>
    <x v="5"/>
    <s v="Outlier"/>
  </r>
  <r>
    <n v="1149537"/>
    <n v="158"/>
    <x v="0"/>
    <d v="2023-02-01T00:20:00"/>
    <s v="Website"/>
    <s v="Steve Frick"/>
    <n v="2663"/>
    <d v="2023-02-01T00:00:00"/>
    <x v="68"/>
    <x v="5"/>
    <x v="4"/>
    <s v="Outlier"/>
  </r>
  <r>
    <n v="1150741"/>
    <n v="304"/>
    <x v="1"/>
    <d v="2023-03-09T01:26:00"/>
    <s v="Other"/>
    <s v="Valarie Franco"/>
    <n v="9404"/>
    <d v="2023-03-09T00:00:00"/>
    <x v="65"/>
    <x v="4"/>
    <x v="3"/>
    <s v="Outlier"/>
  </r>
  <r>
    <n v="1151977"/>
    <n v="1190"/>
    <x v="8"/>
    <d v="2023-12-31T01:46:00"/>
    <s v="App"/>
    <s v="Sue Taylor"/>
    <n v="4385"/>
    <d v="2023-12-31T00:00:00"/>
    <x v="129"/>
    <x v="0"/>
    <x v="6"/>
    <s v="Outlier"/>
  </r>
  <r>
    <n v="1152358"/>
    <n v="1098"/>
    <x v="5"/>
    <d v="2023-08-04T01:23:00"/>
    <s v="Other"/>
    <s v="Valarie Nelson"/>
    <n v="596"/>
    <d v="2023-08-04T00:00:00"/>
    <x v="83"/>
    <x v="8"/>
    <x v="0"/>
    <s v="Outlier"/>
  </r>
  <r>
    <n v="1153425"/>
    <n v="1349"/>
    <x v="6"/>
    <d v="2023-07-05T01:06:00"/>
    <s v="Other"/>
    <s v="Diego Freyre"/>
    <n v="4412"/>
    <d v="2023-07-05T00:00:00"/>
    <x v="207"/>
    <x v="6"/>
    <x v="4"/>
    <s v="Outlier"/>
  </r>
  <r>
    <n v="1154586"/>
    <n v="1031"/>
    <x v="6"/>
    <d v="2023-10-08T00:03:00"/>
    <s v="Whatsapp"/>
    <s v="Wendy Victorino"/>
    <n v="5173"/>
    <d v="2023-10-08T00:00:00"/>
    <x v="72"/>
    <x v="3"/>
    <x v="6"/>
    <s v="Outlier"/>
  </r>
  <r>
    <n v="1155724"/>
    <n v="174"/>
    <x v="2"/>
    <d v="2023-06-14T23:14:00"/>
    <s v="Other"/>
    <s v="Valarie Nelson"/>
    <n v="2828"/>
    <d v="2023-06-14T00:00:00"/>
    <x v="70"/>
    <x v="7"/>
    <x v="4"/>
    <s v="Outlier"/>
  </r>
  <r>
    <n v="1156199"/>
    <n v="179"/>
    <x v="3"/>
    <d v="2023-08-09T00:11:00"/>
    <s v="Website"/>
    <s v="Kyung Yu"/>
    <n v="893"/>
    <d v="2023-08-09T00:00:00"/>
    <x v="10"/>
    <x v="8"/>
    <x v="4"/>
    <s v="Outlier"/>
  </r>
  <r>
    <n v="1156227"/>
    <n v="1154"/>
    <x v="4"/>
    <d v="2023-07-21T23:34:00"/>
    <s v="Whatsapp"/>
    <s v="Kwai Yu"/>
    <n v="2490"/>
    <d v="2023-07-21T00:00:00"/>
    <x v="99"/>
    <x v="6"/>
    <x v="0"/>
    <s v="Outlier"/>
  </r>
  <r>
    <n v="1156649"/>
    <n v="1950"/>
    <x v="5"/>
    <d v="2023-08-03T01:04:00"/>
    <s v="Website"/>
    <s v="Marta Hernandez"/>
    <n v="2647"/>
    <d v="2023-08-03T00:00:00"/>
    <x v="121"/>
    <x v="8"/>
    <x v="3"/>
    <s v="Outlier"/>
  </r>
  <r>
    <n v="1157103"/>
    <n v="868"/>
    <x v="11"/>
    <d v="2023-09-27T01:35:00"/>
    <s v="Whatsapp"/>
    <s v="Palle Ibsen"/>
    <n v="6840"/>
    <d v="2023-09-27T00:00:00"/>
    <x v="200"/>
    <x v="10"/>
    <x v="4"/>
    <s v="Outlier"/>
  </r>
  <r>
    <n v="1158886"/>
    <n v="1479"/>
    <x v="0"/>
    <d v="2023-09-02T00:45:00"/>
    <s v="Website"/>
    <s v="Michael Frick"/>
    <n v="3135"/>
    <d v="2023-09-02T00:00:00"/>
    <x v="29"/>
    <x v="10"/>
    <x v="1"/>
    <s v="Outlier"/>
  </r>
  <r>
    <n v="1159317"/>
    <n v="997"/>
    <x v="1"/>
    <d v="2023-12-06T00:48:00"/>
    <s v="Other"/>
    <s v="Valarie Nelson"/>
    <n v="9148"/>
    <d v="2023-12-06T00:00:00"/>
    <x v="88"/>
    <x v="0"/>
    <x v="4"/>
    <s v="Outlier"/>
  </r>
  <r>
    <n v="1160516"/>
    <n v="1958"/>
    <x v="12"/>
    <d v="2023-08-01T00:06:00"/>
    <s v="App"/>
    <s v="Jeff Young"/>
    <n v="3233"/>
    <d v="2023-08-01T00:00:00"/>
    <x v="22"/>
    <x v="8"/>
    <x v="2"/>
    <s v="Outlier"/>
  </r>
  <r>
    <n v="1160613"/>
    <n v="1990"/>
    <x v="0"/>
    <d v="2023-12-22T01:14:00"/>
    <s v="Other"/>
    <s v="Diego Freyre"/>
    <n v="8077"/>
    <d v="2023-12-22T00:00:00"/>
    <x v="156"/>
    <x v="0"/>
    <x v="0"/>
    <s v="Outlier"/>
  </r>
  <r>
    <n v="1162071"/>
    <n v="1920"/>
    <x v="0"/>
    <d v="2023-06-26T01:37:00"/>
    <s v="Whatsapp"/>
    <s v="Valarie Nelson"/>
    <n v="2237"/>
    <d v="2023-06-26T00:00:00"/>
    <x v="109"/>
    <x v="7"/>
    <x v="5"/>
    <s v="Outlier"/>
  </r>
  <r>
    <n v="1162786"/>
    <n v="1923"/>
    <x v="2"/>
    <d v="2023-04-16T22:31:00"/>
    <s v="Website"/>
    <s v="Diego Freyre"/>
    <n v="3405"/>
    <d v="2023-04-16T00:00:00"/>
    <x v="208"/>
    <x v="1"/>
    <x v="6"/>
    <s v="Outlier"/>
  </r>
  <r>
    <n v="1162801"/>
    <n v="1177"/>
    <x v="13"/>
    <d v="2023-05-02T01:30:00"/>
    <s v="Other"/>
    <s v="Diego Freyre"/>
    <n v="8149"/>
    <d v="2023-05-02T00:00:00"/>
    <x v="209"/>
    <x v="11"/>
    <x v="2"/>
    <s v="Outlier"/>
  </r>
  <r>
    <n v="1162874"/>
    <n v="1403"/>
    <x v="0"/>
    <d v="2023-06-08T22:55:00"/>
    <s v="Whatsapp"/>
    <s v="Diego Freyre"/>
    <n v="2610"/>
    <d v="2023-06-08T00:00:00"/>
    <x v="125"/>
    <x v="7"/>
    <x v="3"/>
    <s v="Outlier"/>
  </r>
  <r>
    <n v="1163316"/>
    <n v="863"/>
    <x v="12"/>
    <d v="2023-02-02T00:30:00"/>
    <s v="Website"/>
    <s v="Janine Labrune"/>
    <n v="5671"/>
    <d v="2023-02-02T00:00:00"/>
    <x v="111"/>
    <x v="5"/>
    <x v="3"/>
    <s v="Outlier"/>
  </r>
  <r>
    <n v="1163648"/>
    <n v="958"/>
    <x v="0"/>
    <d v="2023-03-02T00:57:00"/>
    <s v="App"/>
    <s v="Giovanni Rovelli"/>
    <n v="9428"/>
    <d v="2023-03-02T00:00:00"/>
    <x v="42"/>
    <x v="4"/>
    <x v="3"/>
    <s v="Outlier"/>
  </r>
  <r>
    <n v="1163680"/>
    <n v="485"/>
    <x v="3"/>
    <d v="2023-03-26T00:35:00"/>
    <s v="App"/>
    <s v="Georg Pipps"/>
    <n v="890"/>
    <d v="2023-03-26T00:00:00"/>
    <x v="67"/>
    <x v="4"/>
    <x v="6"/>
    <s v="Outlier"/>
  </r>
  <r>
    <n v="1164686"/>
    <n v="393"/>
    <x v="1"/>
    <d v="2023-12-29T01:34:00"/>
    <s v="Other"/>
    <s v="Dan Lewis"/>
    <n v="1148"/>
    <d v="2023-12-29T00:00:00"/>
    <x v="161"/>
    <x v="0"/>
    <x v="0"/>
    <s v="Outlier"/>
  </r>
  <r>
    <n v="1164859"/>
    <n v="1620"/>
    <x v="0"/>
    <d v="2023-04-06T22:39:00"/>
    <s v="Whatsapp"/>
    <s v="Wing C Tam"/>
    <n v="7286"/>
    <d v="2023-04-06T00:00:00"/>
    <x v="90"/>
    <x v="1"/>
    <x v="3"/>
    <s v="Outlier"/>
  </r>
  <r>
    <n v="1165044"/>
    <n v="1562"/>
    <x v="4"/>
    <d v="2023-03-23T00:43:00"/>
    <s v="Whatsapp"/>
    <s v="Matti Karttunen"/>
    <n v="8271"/>
    <d v="2023-03-23T00:00:00"/>
    <x v="112"/>
    <x v="4"/>
    <x v="3"/>
    <s v="Outlier"/>
  </r>
  <r>
    <n v="1165350"/>
    <n v="1526"/>
    <x v="0"/>
    <d v="2023-09-07T01:09:00"/>
    <s v="Website"/>
    <s v="Maria Larsson"/>
    <n v="4870"/>
    <d v="2023-09-07T00:00:00"/>
    <x v="92"/>
    <x v="10"/>
    <x v="3"/>
    <s v="Outlier"/>
  </r>
  <r>
    <n v="1165475"/>
    <n v="713"/>
    <x v="10"/>
    <d v="2023-11-01T23:19:00"/>
    <s v="Website"/>
    <s v="Annette Roulet"/>
    <n v="4856"/>
    <d v="2023-11-01T00:00:00"/>
    <x v="24"/>
    <x v="2"/>
    <x v="4"/>
    <s v="Outlier"/>
  </r>
  <r>
    <n v="1165654"/>
    <n v="454"/>
    <x v="0"/>
    <d v="2023-10-27T23:25:00"/>
    <s v="Website"/>
    <s v="Thomas Hardy"/>
    <n v="7755"/>
    <d v="2023-10-27T00:00:00"/>
    <x v="141"/>
    <x v="3"/>
    <x v="0"/>
    <s v="Outlier"/>
  </r>
  <r>
    <n v="1165962"/>
    <n v="53"/>
    <x v="2"/>
    <d v="2023-12-30T23:46:00"/>
    <s v="Website"/>
    <s v="Arnold Cruz"/>
    <n v="9977"/>
    <d v="2023-12-30T00:00:00"/>
    <x v="9"/>
    <x v="0"/>
    <x v="1"/>
    <s v="Outlier"/>
  </r>
  <r>
    <n v="1166621"/>
    <n v="1789"/>
    <x v="7"/>
    <d v="2023-07-11T00:09:00"/>
    <s v="Other"/>
    <s v="Michael Chandler"/>
    <n v="2664"/>
    <d v="2023-07-11T00:00:00"/>
    <x v="81"/>
    <x v="6"/>
    <x v="2"/>
    <s v="Outlier"/>
  </r>
  <r>
    <n v="1166715"/>
    <n v="337"/>
    <x v="5"/>
    <d v="2023-05-10T00:15:00"/>
    <s v="Website"/>
    <s v="Valarie Thompson"/>
    <n v="8874"/>
    <d v="2023-05-10T00:00:00"/>
    <x v="123"/>
    <x v="11"/>
    <x v="4"/>
    <s v="Outlier"/>
  </r>
  <r>
    <n v="1168908"/>
    <n v="982"/>
    <x v="0"/>
    <d v="2023-10-16T01:12:00"/>
    <s v="Whatsapp"/>
    <s v="Kyung Tseng"/>
    <n v="6598"/>
    <d v="2023-10-16T00:00:00"/>
    <x v="52"/>
    <x v="3"/>
    <x v="5"/>
    <s v="Outlier"/>
  </r>
  <r>
    <n v="1169043"/>
    <n v="189"/>
    <x v="0"/>
    <d v="2023-06-25T00:24:00"/>
    <s v="Whatsapp"/>
    <s v="Diego Freyre"/>
    <n v="6955"/>
    <d v="2023-06-25T00:00:00"/>
    <x v="115"/>
    <x v="7"/>
    <x v="6"/>
    <s v="Outlier"/>
  </r>
  <r>
    <n v="1170043"/>
    <n v="950"/>
    <x v="3"/>
    <d v="2023-11-20T01:42:00"/>
    <s v="Other"/>
    <s v="Allen Nelson"/>
    <n v="6767"/>
    <d v="2023-11-20T00:00:00"/>
    <x v="14"/>
    <x v="2"/>
    <x v="5"/>
    <s v="Outlier"/>
  </r>
  <r>
    <n v="1171504"/>
    <n v="853"/>
    <x v="0"/>
    <d v="2023-05-07T00:23:00"/>
    <s v="Website"/>
    <s v="Jan Klaeboe"/>
    <n v="4396"/>
    <d v="2023-05-07T00:00:00"/>
    <x v="6"/>
    <x v="11"/>
    <x v="6"/>
    <s v="Outlier"/>
  </r>
  <r>
    <n v="1171525"/>
    <n v="602"/>
    <x v="9"/>
    <d v="2023-03-03T23:49:00"/>
    <s v="Other"/>
    <s v="Michael Donnermeyer"/>
    <n v="849"/>
    <d v="2023-03-03T00:00:00"/>
    <x v="43"/>
    <x v="4"/>
    <x v="0"/>
    <s v="Outlier"/>
  </r>
  <r>
    <n v="1173348"/>
    <n v="1068"/>
    <x v="4"/>
    <d v="2023-12-17T01:17:00"/>
    <s v="App"/>
    <s v="Francisca Cervantes"/>
    <n v="8654"/>
    <d v="2023-12-17T00:00:00"/>
    <x v="210"/>
    <x v="0"/>
    <x v="6"/>
    <s v="Outlier"/>
  </r>
  <r>
    <n v="1173471"/>
    <n v="1979"/>
    <x v="10"/>
    <d v="2023-08-20T02:00:00"/>
    <s v="Other"/>
    <s v="Helen Bennett"/>
    <n v="7703"/>
    <d v="2023-08-20T00:00:00"/>
    <x v="23"/>
    <x v="8"/>
    <x v="6"/>
    <s v="Outlier"/>
  </r>
  <r>
    <n v="1175258"/>
    <n v="1643"/>
    <x v="6"/>
    <d v="2023-07-30T00:51:00"/>
    <s v="App"/>
    <s v="Giovanni Rovelli"/>
    <n v="6538"/>
    <d v="2023-07-30T00:00:00"/>
    <x v="93"/>
    <x v="6"/>
    <x v="6"/>
    <s v="Outlier"/>
  </r>
  <r>
    <n v="1175716"/>
    <n v="1442"/>
    <x v="0"/>
    <d v="2023-04-19T00:48:00"/>
    <s v="Website"/>
    <s v="Akiko Shimamura"/>
    <n v="9617"/>
    <d v="2023-04-19T00:00:00"/>
    <x v="88"/>
    <x v="1"/>
    <x v="4"/>
    <s v="Outlier"/>
  </r>
  <r>
    <n v="1177486"/>
    <n v="642"/>
    <x v="3"/>
    <d v="2023-12-18T01:38:00"/>
    <s v="App"/>
    <s v="Ann Brown"/>
    <n v="2740"/>
    <d v="2023-12-18T00:00:00"/>
    <x v="211"/>
    <x v="0"/>
    <x v="5"/>
    <s v="Outlier"/>
  </r>
  <r>
    <n v="1178982"/>
    <n v="687"/>
    <x v="3"/>
    <d v="2023-04-28T01:04:00"/>
    <s v="Whatsapp"/>
    <s v="Pirkko Koskitalo"/>
    <n v="52"/>
    <d v="2023-04-28T00:00:00"/>
    <x v="121"/>
    <x v="1"/>
    <x v="0"/>
    <s v="Outlier"/>
  </r>
  <r>
    <n v="1179872"/>
    <n v="323"/>
    <x v="3"/>
    <d v="2023-07-27T00:04:00"/>
    <s v="App"/>
    <s v="Diego Freyre"/>
    <n v="6228"/>
    <d v="2023-07-27T00:00:00"/>
    <x v="64"/>
    <x v="6"/>
    <x v="3"/>
    <s v="Outlier"/>
  </r>
  <r>
    <n v="1180153"/>
    <n v="873"/>
    <x v="10"/>
    <d v="2023-10-22T00:29:00"/>
    <s v="Other"/>
    <s v="Paul Henriot"/>
    <n v="3374"/>
    <d v="2023-10-22T00:00:00"/>
    <x v="50"/>
    <x v="3"/>
    <x v="6"/>
    <s v="Outlier"/>
  </r>
  <r>
    <n v="1180567"/>
    <n v="898"/>
    <x v="0"/>
    <d v="2023-09-09T22:56:00"/>
    <s v="Other"/>
    <s v="Sue Frick"/>
    <n v="7717"/>
    <d v="2023-09-09T00:00:00"/>
    <x v="26"/>
    <x v="10"/>
    <x v="1"/>
    <s v="Outlier"/>
  </r>
  <r>
    <n v="1180828"/>
    <n v="1063"/>
    <x v="1"/>
    <d v="2023-07-07T23:15:00"/>
    <s v="Whatsapp"/>
    <s v="Sean Connery"/>
    <n v="7190"/>
    <d v="2023-07-07T00:00:00"/>
    <x v="136"/>
    <x v="6"/>
    <x v="0"/>
    <s v="Outlier"/>
  </r>
  <r>
    <n v="1181602"/>
    <n v="683"/>
    <x v="6"/>
    <d v="2023-07-27T00:34:00"/>
    <s v="Website"/>
    <s v="Victoria Ashworth"/>
    <n v="8578"/>
    <d v="2023-07-27T00:00:00"/>
    <x v="21"/>
    <x v="6"/>
    <x v="3"/>
    <s v="Outlier"/>
  </r>
  <r>
    <n v="1182031"/>
    <n v="1569"/>
    <x v="4"/>
    <d v="2023-11-08T00:52:00"/>
    <s v="Whatsapp"/>
    <s v="Sue King"/>
    <n v="3428"/>
    <d v="2023-11-08T00:00:00"/>
    <x v="30"/>
    <x v="2"/>
    <x v="4"/>
    <s v="Outlier"/>
  </r>
  <r>
    <n v="1182341"/>
    <n v="225"/>
    <x v="5"/>
    <d v="2023-12-02T23:13:00"/>
    <s v="Website"/>
    <s v="Anna O'Hara"/>
    <n v="567"/>
    <d v="2023-12-02T00:00:00"/>
    <x v="15"/>
    <x v="0"/>
    <x v="1"/>
    <s v="Outlier"/>
  </r>
  <r>
    <n v="1182759"/>
    <n v="722"/>
    <x v="0"/>
    <d v="2023-01-07T01:06:00"/>
    <s v="Website"/>
    <s v="Palle Ibsen"/>
    <n v="2645"/>
    <d v="2023-01-07T00:00:00"/>
    <x v="207"/>
    <x v="9"/>
    <x v="1"/>
    <s v="Outlier"/>
  </r>
  <r>
    <n v="1182819"/>
    <n v="562"/>
    <x v="5"/>
    <d v="2023-08-23T23:26:00"/>
    <s v="Whatsapp"/>
    <s v="Giovanni Rovelli"/>
    <n v="7031"/>
    <d v="2023-08-23T00:00:00"/>
    <x v="191"/>
    <x v="8"/>
    <x v="4"/>
    <s v="Outlier"/>
  </r>
  <r>
    <n v="1182826"/>
    <n v="1439"/>
    <x v="4"/>
    <d v="2023-11-09T23:58:00"/>
    <s v="Website"/>
    <s v="Valarie Nelson"/>
    <n v="3629"/>
    <d v="2023-11-09T00:00:00"/>
    <x v="96"/>
    <x v="2"/>
    <x v="3"/>
    <s v="Outlier"/>
  </r>
  <r>
    <n v="1183427"/>
    <n v="857"/>
    <x v="0"/>
    <d v="2023-02-05T22:35:00"/>
    <s v="Website"/>
    <s v="Valarie Young"/>
    <n v="3095"/>
    <d v="2023-02-05T00:00:00"/>
    <x v="55"/>
    <x v="5"/>
    <x v="6"/>
    <s v="Outlier"/>
  </r>
  <r>
    <n v="1184082"/>
    <n v="312"/>
    <x v="2"/>
    <d v="2023-02-14T00:57:00"/>
    <s v="Other"/>
    <s v="Jeff Young"/>
    <n v="734"/>
    <d v="2023-02-14T00:00:00"/>
    <x v="42"/>
    <x v="5"/>
    <x v="2"/>
    <s v="Outlier"/>
  </r>
  <r>
    <n v="1185440"/>
    <n v="1509"/>
    <x v="0"/>
    <d v="2023-02-01T00:17:00"/>
    <s v="App"/>
    <s v="Thomas Hardy"/>
    <n v="2567"/>
    <d v="2023-02-01T00:00:00"/>
    <x v="20"/>
    <x v="5"/>
    <x v="4"/>
    <s v="Outlier"/>
  </r>
  <r>
    <n v="1186707"/>
    <n v="1512"/>
    <x v="13"/>
    <d v="2023-02-11T00:21:00"/>
    <s v="Website"/>
    <s v="Mary Saveley"/>
    <n v="2061"/>
    <d v="2023-02-11T00:00:00"/>
    <x v="2"/>
    <x v="5"/>
    <x v="1"/>
    <s v="Outlier"/>
  </r>
  <r>
    <n v="1188487"/>
    <n v="526"/>
    <x v="0"/>
    <d v="2023-12-16T01:52:00"/>
    <s v="Website"/>
    <s v="Frederique Citeaux"/>
    <n v="2527"/>
    <d v="2023-12-16T00:00:00"/>
    <x v="179"/>
    <x v="0"/>
    <x v="1"/>
    <s v="Outlier"/>
  </r>
  <r>
    <n v="1189460"/>
    <n v="1181"/>
    <x v="5"/>
    <d v="2023-07-03T00:28:00"/>
    <s v="App"/>
    <s v="Jeff Young"/>
    <n v="4527"/>
    <d v="2023-07-03T00:00:00"/>
    <x v="39"/>
    <x v="6"/>
    <x v="5"/>
    <s v="Outlier"/>
  </r>
  <r>
    <n v="1189996"/>
    <n v="522"/>
    <x v="0"/>
    <d v="2023-12-04T00:22:00"/>
    <s v="App"/>
    <s v="Diego Freyre"/>
    <n v="4719"/>
    <d v="2023-12-04T00:00:00"/>
    <x v="54"/>
    <x v="0"/>
    <x v="5"/>
    <s v="Outlier"/>
  </r>
  <r>
    <n v="1190330"/>
    <n v="1176"/>
    <x v="0"/>
    <d v="2023-04-17T00:26:00"/>
    <s v="Whatsapp"/>
    <s v="Wendy Victorino"/>
    <n v="5495"/>
    <d v="2023-04-17T00:00:00"/>
    <x v="151"/>
    <x v="1"/>
    <x v="5"/>
    <s v="Outlier"/>
  </r>
  <r>
    <n v="1190887"/>
    <n v="942"/>
    <x v="0"/>
    <d v="2023-02-08T00:23:00"/>
    <s v="Website"/>
    <s v="Elizabeth Devon"/>
    <n v="2060"/>
    <d v="2023-02-08T00:00:00"/>
    <x v="6"/>
    <x v="5"/>
    <x v="4"/>
    <s v="Outlier"/>
  </r>
  <r>
    <n v="1191785"/>
    <n v="1364"/>
    <x v="3"/>
    <d v="2023-11-17T23:58:00"/>
    <s v="Whatsapp"/>
    <s v="Diego Freyre"/>
    <n v="8977"/>
    <d v="2023-11-17T00:00:00"/>
    <x v="96"/>
    <x v="2"/>
    <x v="0"/>
    <s v="Outlier"/>
  </r>
  <r>
    <n v="1192105"/>
    <n v="1143"/>
    <x v="2"/>
    <d v="2023-01-31T23:56:00"/>
    <s v="Whatsapp"/>
    <s v="Victoria Ashworth"/>
    <n v="2021"/>
    <d v="2023-01-31T00:00:00"/>
    <x v="138"/>
    <x v="9"/>
    <x v="2"/>
    <s v="Outlier"/>
  </r>
  <r>
    <n v="1194493"/>
    <n v="600"/>
    <x v="0"/>
    <d v="2023-07-03T00:13:00"/>
    <s v="Other"/>
    <s v="Sue King"/>
    <n v="3567"/>
    <d v="2023-07-03T00:00:00"/>
    <x v="97"/>
    <x v="6"/>
    <x v="5"/>
    <s v="Outlier"/>
  </r>
  <r>
    <n v="1196110"/>
    <n v="1746"/>
    <x v="2"/>
    <d v="2023-03-27T00:27:00"/>
    <s v="Other"/>
    <s v="Valarie Nelson"/>
    <n v="4222"/>
    <d v="2023-03-27T00:00:00"/>
    <x v="108"/>
    <x v="4"/>
    <x v="5"/>
    <s v="Outlier"/>
  </r>
  <r>
    <n v="1197422"/>
    <n v="960"/>
    <x v="0"/>
    <d v="2023-12-24T23:45:00"/>
    <s v="App"/>
    <s v="Diego Freyre"/>
    <n v="6726"/>
    <d v="2023-12-24T00:00:00"/>
    <x v="164"/>
    <x v="0"/>
    <x v="6"/>
    <s v="Outlier"/>
  </r>
  <r>
    <n v="1197876"/>
    <n v="1148"/>
    <x v="10"/>
    <d v="2023-12-03T00:34:00"/>
    <s v="Other"/>
    <s v="Sue Frick"/>
    <n v="6055"/>
    <d v="2023-12-03T00:00:00"/>
    <x v="21"/>
    <x v="0"/>
    <x v="6"/>
    <s v="Outlier"/>
  </r>
  <r>
    <n v="1198103"/>
    <n v="485"/>
    <x v="3"/>
    <d v="2023-03-24T01:56:00"/>
    <s v="App"/>
    <s v="Adrian Huxley"/>
    <n v="1994"/>
    <d v="2023-03-24T00:00:00"/>
    <x v="212"/>
    <x v="4"/>
    <x v="0"/>
    <s v="Outlier"/>
  </r>
  <r>
    <n v="1198240"/>
    <n v="1548"/>
    <x v="3"/>
    <d v="2023-08-23T01:53:00"/>
    <s v="Whatsapp"/>
    <s v="Rosa Hernandez"/>
    <n v="1736"/>
    <d v="2023-08-23T00:00:00"/>
    <x v="102"/>
    <x v="8"/>
    <x v="4"/>
    <s v="Outlier"/>
  </r>
  <r>
    <n v="1198743"/>
    <n v="782"/>
    <x v="0"/>
    <d v="2023-07-01T01:05:00"/>
    <s v="App"/>
    <s v="Laurence Lebihan"/>
    <n v="2152"/>
    <d v="2023-07-01T00:00:00"/>
    <x v="12"/>
    <x v="6"/>
    <x v="1"/>
    <s v="Outlier"/>
  </r>
  <r>
    <n v="1199289"/>
    <n v="228"/>
    <x v="3"/>
    <d v="2023-06-16T01:08:00"/>
    <s v="Website"/>
    <s v="Valarie Nelson"/>
    <n v="1078"/>
    <d v="2023-06-16T00:00:00"/>
    <x v="37"/>
    <x v="7"/>
    <x v="0"/>
    <s v="Outlier"/>
  </r>
  <r>
    <n v="1200718"/>
    <n v="1963"/>
    <x v="6"/>
    <d v="2023-09-26T00:45:00"/>
    <s v="App"/>
    <s v="Allen Nelson"/>
    <n v="8488"/>
    <d v="2023-09-26T00:00:00"/>
    <x v="29"/>
    <x v="10"/>
    <x v="2"/>
    <s v="Outlier"/>
  </r>
  <r>
    <n v="1201138"/>
    <n v="1342"/>
    <x v="0"/>
    <d v="2023-03-14T00:57:00"/>
    <s v="Website"/>
    <s v="Michael Chandler"/>
    <n v="6081"/>
    <d v="2023-03-14T00:00:00"/>
    <x v="42"/>
    <x v="4"/>
    <x v="2"/>
    <s v="Outlier"/>
  </r>
  <r>
    <n v="1201156"/>
    <n v="1931"/>
    <x v="0"/>
    <d v="2023-05-01T01:02:00"/>
    <s v="Website"/>
    <s v="Jean Fresnisre"/>
    <n v="2329"/>
    <d v="2023-05-01T00:00:00"/>
    <x v="186"/>
    <x v="11"/>
    <x v="5"/>
    <s v="Outlier"/>
  </r>
  <r>
    <n v="1202375"/>
    <n v="1662"/>
    <x v="6"/>
    <d v="2023-02-13T01:16:00"/>
    <s v="Whatsapp"/>
    <s v="Valarie Young"/>
    <n v="2832"/>
    <d v="2023-02-13T00:00:00"/>
    <x v="84"/>
    <x v="5"/>
    <x v="5"/>
    <s v="Outlier"/>
  </r>
  <r>
    <n v="1202392"/>
    <n v="344"/>
    <x v="10"/>
    <d v="2023-10-31T00:04:00"/>
    <s v="Website"/>
    <s v="Veysel Oeztan"/>
    <n v="8051"/>
    <d v="2023-10-31T00:00:00"/>
    <x v="64"/>
    <x v="3"/>
    <x v="2"/>
    <s v="Outlier"/>
  </r>
  <r>
    <n v="1203146"/>
    <n v="1172"/>
    <x v="6"/>
    <d v="2023-11-09T00:31:00"/>
    <s v="App"/>
    <s v="Diego Freyre"/>
    <n v="6152"/>
    <d v="2023-11-09T00:00:00"/>
    <x v="3"/>
    <x v="2"/>
    <x v="3"/>
    <s v="Outlier"/>
  </r>
  <r>
    <n v="1203312"/>
    <n v="1047"/>
    <x v="2"/>
    <d v="2023-01-12T23:54:00"/>
    <s v="Website"/>
    <s v="Diego Freyre"/>
    <n v="5488"/>
    <d v="2023-01-12T00:00:00"/>
    <x v="174"/>
    <x v="9"/>
    <x v="3"/>
    <s v="Outlier"/>
  </r>
  <r>
    <n v="1204548"/>
    <n v="1467"/>
    <x v="0"/>
    <d v="2023-07-11T23:35:00"/>
    <s v="Whatsapp"/>
    <s v="Michael Holz"/>
    <n v="5832"/>
    <d v="2023-07-11T00:00:00"/>
    <x v="74"/>
    <x v="6"/>
    <x v="2"/>
    <s v="Outlier"/>
  </r>
  <r>
    <n v="1205050"/>
    <n v="1695"/>
    <x v="4"/>
    <d v="2023-07-12T00:35:00"/>
    <s v="Other"/>
    <s v="Pirkko Koskitalo"/>
    <n v="9562"/>
    <d v="2023-07-12T00:00:00"/>
    <x v="67"/>
    <x v="6"/>
    <x v="4"/>
    <s v="Outlier"/>
  </r>
  <r>
    <n v="1206775"/>
    <n v="728"/>
    <x v="1"/>
    <d v="2023-10-03T23:22:00"/>
    <s v="App"/>
    <s v="Elizabeth Devon"/>
    <n v="967"/>
    <d v="2023-10-03T00:00:00"/>
    <x v="137"/>
    <x v="3"/>
    <x v="2"/>
    <s v="Outlier"/>
  </r>
  <r>
    <n v="1211500"/>
    <n v="1120"/>
    <x v="13"/>
    <d v="2023-10-07T00:29:00"/>
    <s v="Other"/>
    <s v="Maurizio Moroni"/>
    <n v="845"/>
    <d v="2023-10-07T00:00:00"/>
    <x v="50"/>
    <x v="3"/>
    <x v="1"/>
    <s v="Outlier"/>
  </r>
  <r>
    <n v="1212151"/>
    <n v="1139"/>
    <x v="0"/>
    <d v="2023-01-09T23:33:00"/>
    <s v="Whatsapp"/>
    <s v="Sue King"/>
    <n v="374"/>
    <d v="2023-01-09T00:00:00"/>
    <x v="62"/>
    <x v="9"/>
    <x v="5"/>
    <s v="Outlier"/>
  </r>
  <r>
    <n v="1212775"/>
    <n v="1685"/>
    <x v="0"/>
    <d v="2023-08-25T01:26:00"/>
    <s v="App"/>
    <s v="Michael Holz"/>
    <n v="9604"/>
    <d v="2023-08-25T00:00:00"/>
    <x v="65"/>
    <x v="8"/>
    <x v="0"/>
    <s v="Outlier"/>
  </r>
  <r>
    <n v="1213103"/>
    <n v="1429"/>
    <x v="9"/>
    <d v="2023-07-06T00:03:00"/>
    <s v="Whatsapp"/>
    <s v="Jan Klaeboe"/>
    <n v="9678"/>
    <d v="2023-07-06T00:00:00"/>
    <x v="72"/>
    <x v="6"/>
    <x v="3"/>
    <s v="Outlier"/>
  </r>
  <r>
    <n v="1213344"/>
    <n v="504"/>
    <x v="10"/>
    <d v="2023-06-04T00:18:00"/>
    <s v="Other"/>
    <s v="Henriette Pfalzheim"/>
    <n v="4603"/>
    <d v="2023-06-04T00:00:00"/>
    <x v="139"/>
    <x v="7"/>
    <x v="6"/>
    <s v="Outlier"/>
  </r>
  <r>
    <n v="1213449"/>
    <n v="729"/>
    <x v="2"/>
    <d v="2023-03-07T00:23:00"/>
    <s v="Other"/>
    <s v="Violeta Benitez"/>
    <n v="3344"/>
    <d v="2023-03-07T00:00:00"/>
    <x v="6"/>
    <x v="4"/>
    <x v="2"/>
    <s v="Outlier"/>
  </r>
  <r>
    <n v="1214613"/>
    <n v="1563"/>
    <x v="8"/>
    <d v="2023-01-20T01:51:00"/>
    <s v="Website"/>
    <s v="Rosa Hernandez"/>
    <n v="2322"/>
    <d v="2023-01-20T00:00:00"/>
    <x v="104"/>
    <x v="9"/>
    <x v="0"/>
    <s v="Outlier"/>
  </r>
  <r>
    <n v="1214829"/>
    <n v="859"/>
    <x v="0"/>
    <d v="2023-10-20T00:35:00"/>
    <s v="Whatsapp"/>
    <s v="Peter Ferguson"/>
    <n v="7575"/>
    <d v="2023-10-20T00:00:00"/>
    <x v="67"/>
    <x v="3"/>
    <x v="0"/>
    <s v="Outlier"/>
  </r>
  <r>
    <n v="1215680"/>
    <n v="1927"/>
    <x v="4"/>
    <d v="2023-08-26T00:46:00"/>
    <s v="Website"/>
    <s v="Diego Freyre"/>
    <n v="1775"/>
    <d v="2023-08-26T00:00:00"/>
    <x v="77"/>
    <x v="8"/>
    <x v="1"/>
    <s v="Outlier"/>
  </r>
  <r>
    <n v="1217144"/>
    <n v="1762"/>
    <x v="0"/>
    <d v="2023-12-28T23:30:00"/>
    <s v="Whatsapp"/>
    <s v="Julie Young"/>
    <n v="3046"/>
    <d v="2023-12-28T00:00:00"/>
    <x v="213"/>
    <x v="0"/>
    <x v="3"/>
    <s v="Outlier"/>
  </r>
  <r>
    <n v="1218028"/>
    <n v="1649"/>
    <x v="0"/>
    <d v="2023-01-01T01:04:00"/>
    <s v="Website"/>
    <s v="Diego Freyre"/>
    <n v="3119"/>
    <d v="2023-01-01T00:00:00"/>
    <x v="121"/>
    <x v="9"/>
    <x v="6"/>
    <s v="Outlier"/>
  </r>
  <r>
    <n v="1218374"/>
    <n v="1511"/>
    <x v="0"/>
    <d v="2023-01-26T00:03:00"/>
    <s v="App"/>
    <s v="Valarie Nelson"/>
    <n v="44"/>
    <d v="2023-01-26T00:00:00"/>
    <x v="72"/>
    <x v="9"/>
    <x v="3"/>
    <s v="Outlier"/>
  </r>
  <r>
    <n v="1218403"/>
    <n v="1583"/>
    <x v="5"/>
    <d v="2023-03-10T01:20:00"/>
    <s v="Website"/>
    <s v="Frederique Citeaux"/>
    <n v="8012"/>
    <d v="2023-03-10T00:00:00"/>
    <x v="8"/>
    <x v="4"/>
    <x v="0"/>
    <s v="Outlier"/>
  </r>
  <r>
    <n v="1218457"/>
    <n v="870"/>
    <x v="1"/>
    <d v="2023-01-31T00:48:00"/>
    <s v="App"/>
    <s v="Georg Pipps"/>
    <n v="7602"/>
    <d v="2023-01-31T00:00:00"/>
    <x v="88"/>
    <x v="9"/>
    <x v="2"/>
    <s v="Outlier"/>
  </r>
  <r>
    <n v="1219438"/>
    <n v="1051"/>
    <x v="4"/>
    <d v="2023-01-10T01:15:00"/>
    <s v="Website"/>
    <s v="Jytte Petersen"/>
    <n v="3777"/>
    <d v="2023-01-10T00:00:00"/>
    <x v="127"/>
    <x v="9"/>
    <x v="2"/>
    <s v="Outlier"/>
  </r>
  <r>
    <n v="1219662"/>
    <n v="45"/>
    <x v="0"/>
    <d v="2023-05-10T23:02:00"/>
    <s v="Whatsapp"/>
    <s v="Georg Pipps"/>
    <n v="8683"/>
    <d v="2023-05-10T00:00:00"/>
    <x v="114"/>
    <x v="11"/>
    <x v="4"/>
    <s v="Outlier"/>
  </r>
  <r>
    <n v="1219899"/>
    <n v="469"/>
    <x v="3"/>
    <d v="2023-07-07T00:15:00"/>
    <s v="Other"/>
    <s v="Ann Brown"/>
    <n v="2819"/>
    <d v="2023-07-07T00:00:00"/>
    <x v="123"/>
    <x v="6"/>
    <x v="0"/>
    <s v="Outlier"/>
  </r>
  <r>
    <n v="1221201"/>
    <n v="1523"/>
    <x v="4"/>
    <d v="2023-08-21T00:02:00"/>
    <s v="Website"/>
    <s v="Valarie Nelson"/>
    <n v="9665"/>
    <d v="2023-08-21T00:00:00"/>
    <x v="89"/>
    <x v="8"/>
    <x v="5"/>
    <s v="Outlier"/>
  </r>
  <r>
    <n v="1221647"/>
    <n v="113"/>
    <x v="0"/>
    <d v="2023-03-26T00:36:00"/>
    <s v="Website"/>
    <s v="Leslie Young"/>
    <n v="6210"/>
    <d v="2023-03-26T00:00:00"/>
    <x v="120"/>
    <x v="4"/>
    <x v="6"/>
    <s v="Outlier"/>
  </r>
  <r>
    <n v="1223016"/>
    <n v="1161"/>
    <x v="4"/>
    <d v="2023-09-11T23:41:00"/>
    <s v="Whatsapp"/>
    <s v="Maria Larsson"/>
    <n v="4739"/>
    <d v="2023-09-11T00:00:00"/>
    <x v="155"/>
    <x v="10"/>
    <x v="5"/>
    <s v="Outlier"/>
  </r>
  <r>
    <n v="1223038"/>
    <n v="1723"/>
    <x v="4"/>
    <d v="2023-10-13T23:51:00"/>
    <s v="App"/>
    <s v="Jesus Fernandez"/>
    <n v="8273"/>
    <d v="2023-10-13T00:00:00"/>
    <x v="87"/>
    <x v="3"/>
    <x v="0"/>
    <s v="Outlier"/>
  </r>
  <r>
    <n v="1224367"/>
    <n v="1608"/>
    <x v="0"/>
    <d v="2023-02-22T00:29:00"/>
    <s v="App"/>
    <s v="Wing C Tam"/>
    <n v="3078"/>
    <d v="2023-02-22T00:00:00"/>
    <x v="50"/>
    <x v="5"/>
    <x v="4"/>
    <s v="Outlier"/>
  </r>
  <r>
    <n v="1225156"/>
    <n v="1447"/>
    <x v="5"/>
    <d v="2023-10-07T23:21:00"/>
    <s v="Whatsapp"/>
    <s v="Eduardo Saavedra"/>
    <n v="520"/>
    <d v="2023-10-07T00:00:00"/>
    <x v="69"/>
    <x v="3"/>
    <x v="1"/>
    <s v="Outlier"/>
  </r>
  <r>
    <n v="1226095"/>
    <n v="1257"/>
    <x v="0"/>
    <d v="2023-10-31T00:20:00"/>
    <s v="Whatsapp"/>
    <s v="Mary Saveley"/>
    <n v="782"/>
    <d v="2023-10-31T00:00:00"/>
    <x v="68"/>
    <x v="3"/>
    <x v="2"/>
    <s v="Outlier"/>
  </r>
  <r>
    <n v="1228500"/>
    <n v="355"/>
    <x v="3"/>
    <d v="2023-03-18T22:32:00"/>
    <s v="Whatsapp"/>
    <s v="Valarie Thompson"/>
    <n v="8156"/>
    <d v="2023-03-18T00:00:00"/>
    <x v="170"/>
    <x v="4"/>
    <x v="1"/>
    <s v="Outlier"/>
  </r>
  <r>
    <n v="1228563"/>
    <n v="255"/>
    <x v="2"/>
    <d v="2023-10-14T00:48:00"/>
    <s v="Website"/>
    <s v="William Brown"/>
    <n v="531"/>
    <d v="2023-10-14T00:00:00"/>
    <x v="88"/>
    <x v="3"/>
    <x v="1"/>
    <s v="Outlier"/>
  </r>
  <r>
    <n v="1229877"/>
    <n v="1342"/>
    <x v="0"/>
    <d v="2023-08-06T23:01:00"/>
    <s v="Other"/>
    <s v="Kwai Yu"/>
    <n v="3454"/>
    <d v="2023-08-06T00:00:00"/>
    <x v="144"/>
    <x v="8"/>
    <x v="6"/>
    <s v="Outlier"/>
  </r>
  <r>
    <n v="1229912"/>
    <n v="1193"/>
    <x v="2"/>
    <d v="2023-12-08T23:51:00"/>
    <s v="Other"/>
    <s v="Jean Fresnisre"/>
    <n v="3977"/>
    <d v="2023-12-08T00:00:00"/>
    <x v="87"/>
    <x v="0"/>
    <x v="0"/>
    <s v="Outlier"/>
  </r>
  <r>
    <n v="1230163"/>
    <n v="793"/>
    <x v="0"/>
    <d v="2023-06-05T22:41:00"/>
    <s v="Whatsapp"/>
    <s v="Catherine Dewey"/>
    <n v="7586"/>
    <d v="2023-06-05T00:00:00"/>
    <x v="119"/>
    <x v="7"/>
    <x v="5"/>
    <s v="Outlier"/>
  </r>
  <r>
    <n v="1230246"/>
    <n v="190"/>
    <x v="3"/>
    <d v="2023-11-23T22:52:00"/>
    <s v="Website"/>
    <s v="Elizabeth Lincoln"/>
    <n v="7244"/>
    <d v="2023-11-23T00:00:00"/>
    <x v="5"/>
    <x v="2"/>
    <x v="3"/>
    <s v="Outlier"/>
  </r>
  <r>
    <n v="1230334"/>
    <n v="1502"/>
    <x v="4"/>
    <d v="2023-04-25T23:56:00"/>
    <s v="Other"/>
    <s v="Juri Yoshido"/>
    <n v="2395"/>
    <d v="2023-04-25T00:00:00"/>
    <x v="138"/>
    <x v="1"/>
    <x v="2"/>
    <s v="Outlier"/>
  </r>
  <r>
    <n v="1231036"/>
    <n v="53"/>
    <x v="2"/>
    <d v="2023-08-20T01:30:00"/>
    <s v="Website"/>
    <s v="Victoria Ashworth"/>
    <n v="312"/>
    <d v="2023-08-20T00:00:00"/>
    <x v="209"/>
    <x v="8"/>
    <x v="6"/>
    <s v="Outlier"/>
  </r>
  <r>
    <n v="1232244"/>
    <n v="1686"/>
    <x v="3"/>
    <d v="2023-04-18T01:45:00"/>
    <s v="Whatsapp"/>
    <s v="Janine Labrune"/>
    <n v="7689"/>
    <d v="2023-04-18T00:00:00"/>
    <x v="59"/>
    <x v="1"/>
    <x v="2"/>
    <s v="Outlier"/>
  </r>
  <r>
    <n v="1232656"/>
    <n v="888"/>
    <x v="13"/>
    <d v="2023-04-04T02:58:00"/>
    <s v="Other"/>
    <s v="Christina Berglund"/>
    <n v="1139"/>
    <d v="2023-04-04T00:00:00"/>
    <x v="214"/>
    <x v="1"/>
    <x v="2"/>
    <s v="Outlier"/>
  </r>
  <r>
    <n v="1234361"/>
    <n v="1857"/>
    <x v="3"/>
    <d v="2023-09-29T01:59:00"/>
    <s v="Website"/>
    <s v="Akiko Shimamura"/>
    <n v="760"/>
    <d v="2023-09-29T00:00:00"/>
    <x v="132"/>
    <x v="10"/>
    <x v="0"/>
    <s v="Outlier"/>
  </r>
  <r>
    <n v="1234676"/>
    <n v="972"/>
    <x v="3"/>
    <d v="2023-01-03T00:39:00"/>
    <s v="App"/>
    <s v="Diego Freyre"/>
    <n v="9851"/>
    <d v="2023-01-03T00:00:00"/>
    <x v="11"/>
    <x v="9"/>
    <x v="2"/>
    <s v="Outlier"/>
  </r>
  <r>
    <n v="1234702"/>
    <n v="747"/>
    <x v="2"/>
    <d v="2023-10-03T00:12:00"/>
    <s v="Other"/>
    <s v="Pirkko Koskitalo"/>
    <n v="8157"/>
    <d v="2023-10-03T00:00:00"/>
    <x v="19"/>
    <x v="3"/>
    <x v="2"/>
    <s v="Outlier"/>
  </r>
  <r>
    <n v="1234926"/>
    <n v="1983"/>
    <x v="4"/>
    <d v="2023-10-09T23:27:00"/>
    <s v="Whatsapp"/>
    <s v="Julie Brown"/>
    <n v="2280"/>
    <d v="2023-10-09T00:00:00"/>
    <x v="79"/>
    <x v="3"/>
    <x v="5"/>
    <s v="Outlier"/>
  </r>
  <r>
    <n v="1236573"/>
    <n v="1036"/>
    <x v="1"/>
    <d v="2023-08-28T23:54:00"/>
    <s v="Website"/>
    <s v="Valarie Nelson"/>
    <n v="1114"/>
    <d v="2023-08-28T00:00:00"/>
    <x v="174"/>
    <x v="8"/>
    <x v="5"/>
    <s v="Outlier"/>
  </r>
  <r>
    <n v="1236880"/>
    <n v="1511"/>
    <x v="0"/>
    <d v="2023-05-18T22:31:00"/>
    <s v="Other"/>
    <s v="Juri Yoshido"/>
    <n v="1203"/>
    <d v="2023-05-18T00:00:00"/>
    <x v="208"/>
    <x v="11"/>
    <x v="3"/>
    <s v="Outlier"/>
  </r>
  <r>
    <n v="1237283"/>
    <n v="1263"/>
    <x v="0"/>
    <d v="2023-02-21T01:19:00"/>
    <s v="Other"/>
    <s v="Victoria Ashworth"/>
    <n v="3809"/>
    <d v="2023-02-21T00:00:00"/>
    <x v="95"/>
    <x v="5"/>
    <x v="2"/>
    <s v="Outlier"/>
  </r>
  <r>
    <n v="1237541"/>
    <n v="354"/>
    <x v="1"/>
    <d v="2023-10-03T23:58:00"/>
    <s v="Website"/>
    <s v="Sue King"/>
    <n v="301"/>
    <d v="2023-10-03T00:00:00"/>
    <x v="96"/>
    <x v="3"/>
    <x v="2"/>
    <s v="Outlier"/>
  </r>
  <r>
    <n v="1238511"/>
    <n v="433"/>
    <x v="1"/>
    <d v="2023-01-09T00:24:00"/>
    <s v="Whatsapp"/>
    <s v="Anna O'Hara"/>
    <n v="7820"/>
    <d v="2023-01-09T00:00:00"/>
    <x v="115"/>
    <x v="9"/>
    <x v="5"/>
    <s v="Outlier"/>
  </r>
  <r>
    <n v="1239298"/>
    <n v="270"/>
    <x v="6"/>
    <d v="2023-09-24T23:41:00"/>
    <s v="App"/>
    <s v="Palle Ibsen"/>
    <n v="1355"/>
    <d v="2023-09-24T00:00:00"/>
    <x v="155"/>
    <x v="10"/>
    <x v="6"/>
    <s v="Outlier"/>
  </r>
  <r>
    <n v="1239461"/>
    <n v="245"/>
    <x v="1"/>
    <d v="2023-09-14T01:17:00"/>
    <s v="Website"/>
    <s v="Julie King"/>
    <n v="653"/>
    <d v="2023-09-14T00:00:00"/>
    <x v="210"/>
    <x v="10"/>
    <x v="3"/>
    <s v="Outlier"/>
  </r>
  <r>
    <n v="1240058"/>
    <n v="1665"/>
    <x v="11"/>
    <d v="2023-01-03T01:15:00"/>
    <s v="App"/>
    <s v="Valarie Nelson"/>
    <n v="1633"/>
    <d v="2023-01-03T00:00:00"/>
    <x v="127"/>
    <x v="9"/>
    <x v="2"/>
    <s v="Outlier"/>
  </r>
  <r>
    <n v="1240090"/>
    <n v="319"/>
    <x v="1"/>
    <d v="2023-02-11T00:23:00"/>
    <s v="App"/>
    <s v="Valarie Young"/>
    <n v="286"/>
    <d v="2023-02-11T00:00:00"/>
    <x v="6"/>
    <x v="5"/>
    <x v="1"/>
    <s v="Outlier"/>
  </r>
  <r>
    <n v="1241751"/>
    <n v="1252"/>
    <x v="0"/>
    <d v="2023-05-04T23:40:00"/>
    <s v="Whatsapp"/>
    <s v="Jeff Young"/>
    <n v="6106"/>
    <d v="2023-05-04T00:00:00"/>
    <x v="1"/>
    <x v="11"/>
    <x v="3"/>
    <s v="Outlier"/>
  </r>
  <r>
    <n v="1242334"/>
    <n v="701"/>
    <x v="1"/>
    <d v="2023-02-08T23:15:00"/>
    <s v="Website"/>
    <s v="Diego Freyre"/>
    <n v="4664"/>
    <d v="2023-02-08T00:00:00"/>
    <x v="136"/>
    <x v="5"/>
    <x v="4"/>
    <s v="Outlier"/>
  </r>
  <r>
    <n v="1242726"/>
    <n v="724"/>
    <x v="0"/>
    <d v="2023-01-26T23:36:00"/>
    <s v="Website"/>
    <s v="Mary Saveley"/>
    <n v="3036"/>
    <d v="2023-01-26T00:00:00"/>
    <x v="135"/>
    <x v="9"/>
    <x v="3"/>
    <s v="Outlier"/>
  </r>
  <r>
    <n v="1243085"/>
    <n v="39"/>
    <x v="0"/>
    <d v="2023-11-11T01:39:00"/>
    <s v="Whatsapp"/>
    <s v="Frederique Citeaux"/>
    <n v="6819"/>
    <d v="2023-11-11T00:00:00"/>
    <x v="152"/>
    <x v="2"/>
    <x v="1"/>
    <s v="Outlier"/>
  </r>
  <r>
    <n v="1243807"/>
    <n v="869"/>
    <x v="9"/>
    <d v="2023-06-22T01:24:00"/>
    <s v="Website"/>
    <s v="Jeff Young"/>
    <n v="5634"/>
    <d v="2023-06-22T00:00:00"/>
    <x v="124"/>
    <x v="7"/>
    <x v="3"/>
    <s v="Outlier"/>
  </r>
  <r>
    <n v="1244097"/>
    <n v="380"/>
    <x v="3"/>
    <d v="2023-04-19T00:22:00"/>
    <s v="Whatsapp"/>
    <s v="Diego Freyre"/>
    <n v="1026"/>
    <d v="2023-04-19T00:00:00"/>
    <x v="54"/>
    <x v="1"/>
    <x v="4"/>
    <s v="Outlier"/>
  </r>
  <r>
    <n v="1244668"/>
    <n v="1872"/>
    <x v="3"/>
    <d v="2023-08-21T01:06:00"/>
    <s v="Website"/>
    <s v="Wendy Victorino"/>
    <n v="9021"/>
    <d v="2023-08-21T00:00:00"/>
    <x v="207"/>
    <x v="8"/>
    <x v="5"/>
    <s v="Outlier"/>
  </r>
  <r>
    <n v="1244841"/>
    <n v="402"/>
    <x v="1"/>
    <d v="2023-11-08T00:48:00"/>
    <s v="Website"/>
    <s v="Elizabeth Devon"/>
    <n v="3692"/>
    <d v="2023-11-08T00:00:00"/>
    <x v="88"/>
    <x v="2"/>
    <x v="4"/>
    <s v="Outlier"/>
  </r>
  <r>
    <n v="1244975"/>
    <n v="413"/>
    <x v="4"/>
    <d v="2023-10-19T02:09:00"/>
    <s v="Whatsapp"/>
    <s v="Diego Freyre"/>
    <n v="9062"/>
    <d v="2023-10-19T00:00:00"/>
    <x v="202"/>
    <x v="3"/>
    <x v="3"/>
    <s v="Outlier"/>
  </r>
  <r>
    <n v="1245959"/>
    <n v="1983"/>
    <x v="4"/>
    <d v="2023-02-24T22:52:00"/>
    <s v="Other"/>
    <s v="Violeta Benitez"/>
    <n v="774"/>
    <d v="2023-02-24T00:00:00"/>
    <x v="5"/>
    <x v="5"/>
    <x v="0"/>
    <s v="Outlier"/>
  </r>
  <r>
    <n v="1246551"/>
    <n v="1907"/>
    <x v="6"/>
    <d v="2023-05-26T22:53:00"/>
    <s v="Whatsapp"/>
    <s v="Victoria Ashworth"/>
    <n v="5938"/>
    <d v="2023-05-26T00:00:00"/>
    <x v="178"/>
    <x v="11"/>
    <x v="0"/>
    <s v="Outlier"/>
  </r>
  <r>
    <n v="1246866"/>
    <n v="1884"/>
    <x v="0"/>
    <d v="2023-06-27T23:28:00"/>
    <s v="Website"/>
    <s v="Sue King"/>
    <n v="849"/>
    <d v="2023-06-27T00:00:00"/>
    <x v="134"/>
    <x v="7"/>
    <x v="2"/>
    <s v="Outlier"/>
  </r>
  <r>
    <n v="1247542"/>
    <n v="1956"/>
    <x v="9"/>
    <d v="2023-08-13T23:49:00"/>
    <s v="App"/>
    <s v="Valarie Nelson"/>
    <n v="632"/>
    <d v="2023-08-13T00:00:00"/>
    <x v="43"/>
    <x v="8"/>
    <x v="6"/>
    <s v="Outlier"/>
  </r>
  <r>
    <n v="1249517"/>
    <n v="1371"/>
    <x v="0"/>
    <d v="2023-02-06T00:36:00"/>
    <s v="Whatsapp"/>
    <s v="Diego Freyre"/>
    <n v="985"/>
    <d v="2023-02-06T00:00:00"/>
    <x v="120"/>
    <x v="5"/>
    <x v="5"/>
    <s v="Outlier"/>
  </r>
  <r>
    <n v="1250394"/>
    <n v="1969"/>
    <x v="4"/>
    <d v="2023-02-13T00:24:00"/>
    <s v="App"/>
    <s v="Sue Frick"/>
    <n v="9703"/>
    <d v="2023-02-13T00:00:00"/>
    <x v="115"/>
    <x v="5"/>
    <x v="5"/>
    <s v="Outlier"/>
  </r>
  <r>
    <n v="1250419"/>
    <n v="1802"/>
    <x v="3"/>
    <d v="2023-05-24T01:35:00"/>
    <s v="App"/>
    <s v="Adrian Huxley"/>
    <n v="3390"/>
    <d v="2023-05-24T00:00:00"/>
    <x v="200"/>
    <x v="11"/>
    <x v="4"/>
    <s v="Outlier"/>
  </r>
  <r>
    <n v="1252385"/>
    <n v="958"/>
    <x v="0"/>
    <d v="2023-02-26T23:38:00"/>
    <s v="App"/>
    <s v="Arnold Cruz"/>
    <n v="9723"/>
    <d v="2023-02-26T00:00:00"/>
    <x v="80"/>
    <x v="5"/>
    <x v="6"/>
    <s v="Outlier"/>
  </r>
  <r>
    <n v="1252899"/>
    <n v="749"/>
    <x v="5"/>
    <d v="2023-12-01T01:41:00"/>
    <s v="App"/>
    <s v="Laurence Lebihan"/>
    <n v="3812"/>
    <d v="2023-12-01T00:00:00"/>
    <x v="86"/>
    <x v="0"/>
    <x v="0"/>
    <s v="Outlier"/>
  </r>
  <r>
    <n v="1253263"/>
    <n v="61"/>
    <x v="4"/>
    <d v="2023-05-26T01:38:00"/>
    <s v="Whatsapp"/>
    <s v="Valarie Nelson"/>
    <n v="2843"/>
    <d v="2023-05-26T00:00:00"/>
    <x v="211"/>
    <x v="11"/>
    <x v="0"/>
    <s v="Outlier"/>
  </r>
  <r>
    <n v="1253641"/>
    <n v="786"/>
    <x v="13"/>
    <d v="2023-01-30T01:50:00"/>
    <s v="Website"/>
    <s v="Allen Nelson"/>
    <n v="2881"/>
    <d v="2023-01-30T00:00:00"/>
    <x v="45"/>
    <x v="9"/>
    <x v="5"/>
    <s v="Outlier"/>
  </r>
  <r>
    <n v="1254071"/>
    <n v="1367"/>
    <x v="2"/>
    <d v="2023-02-26T00:26:00"/>
    <s v="Whatsapp"/>
    <s v="Julie Brown"/>
    <n v="3090"/>
    <d v="2023-02-26T00:00:00"/>
    <x v="151"/>
    <x v="5"/>
    <x v="6"/>
    <s v="Outlier"/>
  </r>
  <r>
    <n v="1254601"/>
    <n v="1734"/>
    <x v="0"/>
    <d v="2023-05-03T00:42:00"/>
    <s v="Website"/>
    <s v="Anna O'Hara"/>
    <n v="4180"/>
    <d v="2023-05-03T00:00:00"/>
    <x v="215"/>
    <x v="11"/>
    <x v="4"/>
    <s v="Outlier"/>
  </r>
  <r>
    <n v="1254623"/>
    <n v="1234"/>
    <x v="0"/>
    <d v="2023-02-01T00:27:00"/>
    <s v="Whatsapp"/>
    <s v="Veysel Oeztan"/>
    <n v="3138"/>
    <d v="2023-02-01T00:00:00"/>
    <x v="108"/>
    <x v="5"/>
    <x v="4"/>
    <s v="Outlier"/>
  </r>
  <r>
    <n v="1255175"/>
    <n v="458"/>
    <x v="10"/>
    <d v="2023-11-24T23:17:00"/>
    <s v="App"/>
    <s v="Henriette Pfalzheim"/>
    <n v="505"/>
    <d v="2023-11-24T00:00:00"/>
    <x v="190"/>
    <x v="2"/>
    <x v="0"/>
    <s v="Outlier"/>
  </r>
  <r>
    <n v="1255720"/>
    <n v="1690"/>
    <x v="6"/>
    <d v="2023-09-09T00:20:00"/>
    <s v="App"/>
    <s v="Diego Freyre"/>
    <n v="6466"/>
    <d v="2023-09-09T00:00:00"/>
    <x v="68"/>
    <x v="10"/>
    <x v="1"/>
    <s v="Outlier"/>
  </r>
  <r>
    <n v="1255723"/>
    <n v="57"/>
    <x v="1"/>
    <d v="2023-06-10T23:54:00"/>
    <s v="Other"/>
    <s v="Dominique Perrier"/>
    <n v="9161"/>
    <d v="2023-06-10T00:00:00"/>
    <x v="174"/>
    <x v="7"/>
    <x v="1"/>
    <s v="Outlier"/>
  </r>
  <r>
    <n v="1256035"/>
    <n v="105"/>
    <x v="0"/>
    <d v="2023-01-15T23:10:00"/>
    <s v="Whatsapp"/>
    <s v="Michael Holz"/>
    <n v="2774"/>
    <d v="2023-01-15T00:00:00"/>
    <x v="176"/>
    <x v="9"/>
    <x v="6"/>
    <s v="Outlier"/>
  </r>
  <r>
    <n v="1256522"/>
    <n v="816"/>
    <x v="1"/>
    <d v="2023-05-25T22:40:00"/>
    <s v="Other"/>
    <s v="Jytte Petersen"/>
    <n v="7805"/>
    <d v="2023-05-25T00:00:00"/>
    <x v="145"/>
    <x v="11"/>
    <x v="3"/>
    <s v="Outlier"/>
  </r>
  <r>
    <n v="1256855"/>
    <n v="243"/>
    <x v="0"/>
    <d v="2023-09-16T00:56:00"/>
    <s v="Website"/>
    <s v="Elizabeth Devon"/>
    <n v="2567"/>
    <d v="2023-09-16T00:00:00"/>
    <x v="150"/>
    <x v="10"/>
    <x v="1"/>
    <s v="Outlier"/>
  </r>
  <r>
    <n v="1257018"/>
    <n v="87"/>
    <x v="1"/>
    <d v="2023-02-04T01:30:00"/>
    <s v="App"/>
    <s v="Maurizio Moroni"/>
    <n v="8149"/>
    <d v="2023-02-04T00:00:00"/>
    <x v="209"/>
    <x v="5"/>
    <x v="1"/>
    <s v="Outlier"/>
  </r>
  <r>
    <n v="1258064"/>
    <n v="1478"/>
    <x v="9"/>
    <d v="2023-04-26T00:28:00"/>
    <s v="Whatsapp"/>
    <s v="Miguel Barajas"/>
    <n v="6527"/>
    <d v="2023-04-26T00:00:00"/>
    <x v="39"/>
    <x v="1"/>
    <x v="4"/>
    <s v="Outlier"/>
  </r>
  <r>
    <n v="1258245"/>
    <n v="1654"/>
    <x v="0"/>
    <d v="2023-04-04T23:52:00"/>
    <s v="App"/>
    <s v="Michael Holz"/>
    <n v="3634"/>
    <d v="2023-04-04T00:00:00"/>
    <x v="94"/>
    <x v="1"/>
    <x v="2"/>
    <s v="Outlier"/>
  </r>
  <r>
    <n v="1259011"/>
    <n v="1198"/>
    <x v="0"/>
    <d v="2023-06-10T01:43:00"/>
    <s v="Website"/>
    <s v="Roland Keitel"/>
    <n v="247"/>
    <d v="2023-06-10T00:00:00"/>
    <x v="118"/>
    <x v="7"/>
    <x v="1"/>
    <s v="Outlier"/>
  </r>
  <r>
    <n v="1259418"/>
    <n v="1199"/>
    <x v="2"/>
    <d v="2023-01-27T00:21:00"/>
    <s v="App"/>
    <s v="Henriette Pfalzheim"/>
    <n v="7775"/>
    <d v="2023-01-27T00:00:00"/>
    <x v="2"/>
    <x v="9"/>
    <x v="0"/>
    <s v="Outlier"/>
  </r>
  <r>
    <n v="1259696"/>
    <n v="1798"/>
    <x v="0"/>
    <d v="2023-04-14T00:38:00"/>
    <s v="Website"/>
    <s v="Christina Berglund"/>
    <n v="4028"/>
    <d v="2023-04-14T00:00:00"/>
    <x v="162"/>
    <x v="1"/>
    <x v="0"/>
    <s v="Outlier"/>
  </r>
  <r>
    <n v="1260670"/>
    <n v="1301"/>
    <x v="4"/>
    <d v="2023-01-08T01:08:00"/>
    <s v="Whatsapp"/>
    <s v="Rosa Hernandez"/>
    <n v="1655"/>
    <d v="2023-01-08T00:00:00"/>
    <x v="37"/>
    <x v="9"/>
    <x v="6"/>
    <s v="Outlier"/>
  </r>
  <r>
    <n v="1262059"/>
    <n v="1719"/>
    <x v="2"/>
    <d v="2023-07-27T01:36:00"/>
    <s v="Other"/>
    <s v="Peter Ferguson"/>
    <n v="1114"/>
    <d v="2023-07-27T00:00:00"/>
    <x v="173"/>
    <x v="6"/>
    <x v="3"/>
    <s v="Outlier"/>
  </r>
  <r>
    <n v="1265339"/>
    <n v="1916"/>
    <x v="11"/>
    <d v="2023-01-02T01:49:00"/>
    <s v="Website"/>
    <s v="Diego Freyre"/>
    <n v="5272"/>
    <d v="2023-01-02T00:00:00"/>
    <x v="33"/>
    <x v="9"/>
    <x v="5"/>
    <s v="Outlier"/>
  </r>
  <r>
    <n v="1265561"/>
    <n v="1"/>
    <x v="3"/>
    <d v="2023-02-28T00:34:00"/>
    <s v="Website"/>
    <s v="Kalle Suominen"/>
    <n v="3338"/>
    <d v="2023-02-28T00:00:00"/>
    <x v="21"/>
    <x v="5"/>
    <x v="2"/>
    <s v="Outlier"/>
  </r>
  <r>
    <n v="1267084"/>
    <n v="312"/>
    <x v="2"/>
    <d v="2023-12-11T23:14:00"/>
    <s v="Other"/>
    <s v="Diego Freyre"/>
    <n v="3305"/>
    <d v="2023-12-11T00:00:00"/>
    <x v="70"/>
    <x v="0"/>
    <x v="5"/>
    <s v="Outlier"/>
  </r>
  <r>
    <n v="1267886"/>
    <n v="1900"/>
    <x v="5"/>
    <d v="2023-06-09T01:40:00"/>
    <s v="App"/>
    <s v="Valarie Nelson"/>
    <n v="5588"/>
    <d v="2023-06-09T00:00:00"/>
    <x v="76"/>
    <x v="7"/>
    <x v="0"/>
    <s v="Outlier"/>
  </r>
  <r>
    <n v="1268060"/>
    <n v="1316"/>
    <x v="6"/>
    <d v="2023-01-04T01:50:00"/>
    <s v="Whatsapp"/>
    <s v="Georg Pipps"/>
    <n v="3876"/>
    <d v="2023-01-04T00:00:00"/>
    <x v="45"/>
    <x v="9"/>
    <x v="4"/>
    <s v="Outlier"/>
  </r>
  <r>
    <n v="1269964"/>
    <n v="1035"/>
    <x v="1"/>
    <d v="2023-02-12T00:40:00"/>
    <s v="Whatsapp"/>
    <s v="Giovanni Rovelli"/>
    <n v="9940"/>
    <d v="2023-02-12T00:00:00"/>
    <x v="51"/>
    <x v="5"/>
    <x v="6"/>
    <s v="Outlier"/>
  </r>
  <r>
    <n v="1271055"/>
    <n v="1509"/>
    <x v="0"/>
    <d v="2023-01-09T00:51:00"/>
    <s v="App"/>
    <s v="Georg Pipps"/>
    <n v="9159"/>
    <d v="2023-01-09T00:00:00"/>
    <x v="93"/>
    <x v="9"/>
    <x v="5"/>
    <s v="Outlier"/>
  </r>
  <r>
    <n v="1271264"/>
    <n v="450"/>
    <x v="2"/>
    <d v="2023-09-29T01:13:00"/>
    <s v="Website"/>
    <s v="Dan Lewis"/>
    <n v="2686"/>
    <d v="2023-09-29T00:00:00"/>
    <x v="32"/>
    <x v="10"/>
    <x v="0"/>
    <s v="Outlier"/>
  </r>
  <r>
    <n v="1271599"/>
    <n v="987"/>
    <x v="0"/>
    <d v="2023-07-18T23:25:00"/>
    <s v="App"/>
    <s v="Wing C Tam"/>
    <n v="2478"/>
    <d v="2023-07-18T00:00:00"/>
    <x v="141"/>
    <x v="6"/>
    <x v="2"/>
    <s v="Outlier"/>
  </r>
  <r>
    <n v="1272310"/>
    <n v="1183"/>
    <x v="3"/>
    <d v="2023-08-01T00:07:00"/>
    <s v="Other"/>
    <s v="Matti Karttunen"/>
    <n v="7092"/>
    <d v="2023-08-01T00:00:00"/>
    <x v="34"/>
    <x v="8"/>
    <x v="2"/>
    <s v="Outlier"/>
  </r>
  <r>
    <n v="1272986"/>
    <n v="1475"/>
    <x v="4"/>
    <d v="2023-02-08T01:38:00"/>
    <s v="App"/>
    <s v="Maria Larsson"/>
    <n v="4629"/>
    <d v="2023-02-08T00:00:00"/>
    <x v="211"/>
    <x v="5"/>
    <x v="4"/>
    <s v="Outlier"/>
  </r>
  <r>
    <n v="1273418"/>
    <n v="581"/>
    <x v="0"/>
    <d v="2023-11-23T23:16:00"/>
    <s v="Whatsapp"/>
    <s v="Annette Roulet"/>
    <n v="5316"/>
    <d v="2023-11-23T00:00:00"/>
    <x v="18"/>
    <x v="2"/>
    <x v="3"/>
    <s v="Outlier"/>
  </r>
  <r>
    <n v="1273432"/>
    <n v="1216"/>
    <x v="6"/>
    <d v="2023-02-06T23:47:00"/>
    <s v="Other"/>
    <s v="Thomas Hardy"/>
    <n v="3235"/>
    <d v="2023-02-06T00:00:00"/>
    <x v="100"/>
    <x v="5"/>
    <x v="5"/>
    <s v="Outlier"/>
  </r>
  <r>
    <n v="1273811"/>
    <n v="1905"/>
    <x v="4"/>
    <d v="2023-12-17T23:57:00"/>
    <s v="Website"/>
    <s v="Arnold Cruz"/>
    <n v="5538"/>
    <d v="2023-12-17T00:00:00"/>
    <x v="116"/>
    <x v="0"/>
    <x v="6"/>
    <s v="Outlier"/>
  </r>
  <r>
    <n v="1274337"/>
    <n v="974"/>
    <x v="3"/>
    <d v="2023-11-01T02:06:00"/>
    <s v="Whatsapp"/>
    <s v="Michael Chandler"/>
    <n v="856"/>
    <d v="2023-11-01T00:00:00"/>
    <x v="216"/>
    <x v="2"/>
    <x v="4"/>
    <s v="Outlier"/>
  </r>
  <r>
    <n v="1274561"/>
    <n v="640"/>
    <x v="3"/>
    <d v="2023-09-19T01:57:00"/>
    <s v="App"/>
    <s v="Valarie Thompson"/>
    <n v="3448"/>
    <d v="2023-09-19T00:00:00"/>
    <x v="217"/>
    <x v="10"/>
    <x v="2"/>
    <s v="Outlier"/>
  </r>
  <r>
    <n v="1275891"/>
    <n v="248"/>
    <x v="0"/>
    <d v="2023-11-18T22:39:00"/>
    <s v="Other"/>
    <s v="Kyung Tseng"/>
    <n v="1143"/>
    <d v="2023-11-18T00:00:00"/>
    <x v="90"/>
    <x v="2"/>
    <x v="1"/>
    <s v="Outlier"/>
  </r>
  <r>
    <n v="1275955"/>
    <n v="1506"/>
    <x v="0"/>
    <d v="2023-08-06T01:37:00"/>
    <s v="Whatsapp"/>
    <s v="Diego Freyre"/>
    <n v="8000"/>
    <d v="2023-08-06T00:00:00"/>
    <x v="109"/>
    <x v="8"/>
    <x v="6"/>
    <s v="Outlier"/>
  </r>
  <r>
    <n v="1276372"/>
    <n v="414"/>
    <x v="1"/>
    <d v="2023-03-03T00:53:00"/>
    <s v="Other"/>
    <s v="Allen Nelson"/>
    <n v="1465"/>
    <d v="2023-03-03T00:00:00"/>
    <x v="36"/>
    <x v="4"/>
    <x v="0"/>
    <s v="Outlier"/>
  </r>
  <r>
    <n v="1277957"/>
    <n v="1687"/>
    <x v="6"/>
    <d v="2023-01-26T01:43:00"/>
    <s v="Website"/>
    <s v="Jan Klaeboe"/>
    <n v="2062"/>
    <d v="2023-01-26T00:00:00"/>
    <x v="118"/>
    <x v="9"/>
    <x v="3"/>
    <s v="Outlier"/>
  </r>
  <r>
    <n v="1278430"/>
    <n v="1947"/>
    <x v="4"/>
    <d v="2023-08-03T23:52:00"/>
    <s v="Website"/>
    <s v="Michael Donnermeyer"/>
    <n v="2876"/>
    <d v="2023-08-03T00:00:00"/>
    <x v="94"/>
    <x v="8"/>
    <x v="3"/>
    <s v="Outlier"/>
  </r>
  <r>
    <n v="1278929"/>
    <n v="413"/>
    <x v="4"/>
    <d v="2023-04-16T23:26:00"/>
    <s v="Website"/>
    <s v="Francisca Cervantes"/>
    <n v="6020"/>
    <d v="2023-04-16T00:00:00"/>
    <x v="191"/>
    <x v="1"/>
    <x v="6"/>
    <s v="Outlier"/>
  </r>
  <r>
    <n v="1279393"/>
    <n v="1340"/>
    <x v="2"/>
    <d v="2023-09-08T01:01:00"/>
    <s v="Other"/>
    <s v="Helen Bennett"/>
    <n v="9753"/>
    <d v="2023-09-08T00:00:00"/>
    <x v="16"/>
    <x v="10"/>
    <x v="0"/>
    <s v="Outlier"/>
  </r>
  <r>
    <n v="1280103"/>
    <n v="909"/>
    <x v="1"/>
    <d v="2023-10-06T01:10:00"/>
    <s v="Other"/>
    <s v="Giovanni Rovelli"/>
    <n v="2054"/>
    <d v="2023-10-06T00:00:00"/>
    <x v="7"/>
    <x v="3"/>
    <x v="0"/>
    <s v="Outlier"/>
  </r>
  <r>
    <n v="1280199"/>
    <n v="337"/>
    <x v="5"/>
    <d v="2023-10-24T00:37:00"/>
    <s v="Other"/>
    <s v="Akiko Shimamura"/>
    <n v="622"/>
    <d v="2023-10-24T00:00:00"/>
    <x v="201"/>
    <x v="3"/>
    <x v="2"/>
    <s v="Outlier"/>
  </r>
  <r>
    <n v="1282426"/>
    <n v="1866"/>
    <x v="4"/>
    <d v="2023-07-05T00:11:00"/>
    <s v="Whatsapp"/>
    <s v="Ann Brown"/>
    <n v="9455"/>
    <d v="2023-07-05T00:00:00"/>
    <x v="10"/>
    <x v="6"/>
    <x v="4"/>
    <s v="Outlier"/>
  </r>
  <r>
    <n v="1283493"/>
    <n v="1075"/>
    <x v="13"/>
    <d v="2023-10-27T01:09:00"/>
    <s v="Website"/>
    <s v="Adrian Huxley"/>
    <n v="4773"/>
    <d v="2023-10-27T00:00:00"/>
    <x v="92"/>
    <x v="3"/>
    <x v="0"/>
    <s v="Outlier"/>
  </r>
  <r>
    <n v="1284119"/>
    <n v="1980"/>
    <x v="11"/>
    <d v="2023-10-07T01:14:00"/>
    <s v="App"/>
    <s v="Pirkko Koskitalo"/>
    <n v="6976"/>
    <d v="2023-10-07T00:00:00"/>
    <x v="156"/>
    <x v="3"/>
    <x v="1"/>
    <s v="Outlier"/>
  </r>
  <r>
    <n v="1284352"/>
    <n v="1957"/>
    <x v="0"/>
    <d v="2023-06-05T00:01:00"/>
    <s v="Whatsapp"/>
    <s v="Diego Freyre"/>
    <n v="2512"/>
    <d v="2023-06-05T00:00:00"/>
    <x v="63"/>
    <x v="7"/>
    <x v="5"/>
    <s v="Outlier"/>
  </r>
  <r>
    <n v="1284756"/>
    <n v="1015"/>
    <x v="2"/>
    <d v="2023-11-07T00:06:00"/>
    <s v="App"/>
    <s v="Paul Henriot"/>
    <n v="8923"/>
    <d v="2023-11-07T00:00:00"/>
    <x v="22"/>
    <x v="2"/>
    <x v="2"/>
    <s v="Outlier"/>
  </r>
  <r>
    <n v="1287324"/>
    <n v="819"/>
    <x v="12"/>
    <d v="2023-03-03T00:06:00"/>
    <s v="Whatsapp"/>
    <s v="Sue Frick"/>
    <n v="930"/>
    <d v="2023-03-03T00:00:00"/>
    <x v="22"/>
    <x v="4"/>
    <x v="0"/>
    <s v="Outlier"/>
  </r>
  <r>
    <n v="1288242"/>
    <n v="1879"/>
    <x v="0"/>
    <d v="2023-08-23T00:05:00"/>
    <s v="Whatsapp"/>
    <s v="Sean Connery"/>
    <n v="5169"/>
    <d v="2023-08-23T00:00:00"/>
    <x v="48"/>
    <x v="8"/>
    <x v="4"/>
    <s v="Outlier"/>
  </r>
  <r>
    <n v="1288279"/>
    <n v="420"/>
    <x v="4"/>
    <d v="2023-05-27T23:59:00"/>
    <s v="App"/>
    <s v="Victoria Ashworth"/>
    <n v="5628"/>
    <d v="2023-05-27T00:00:00"/>
    <x v="181"/>
    <x v="11"/>
    <x v="1"/>
    <s v="Outlier"/>
  </r>
  <r>
    <n v="1288732"/>
    <n v="354"/>
    <x v="1"/>
    <d v="2023-02-08T23:14:00"/>
    <s v="Whatsapp"/>
    <s v="Sue King"/>
    <n v="1265"/>
    <d v="2023-02-08T00:00:00"/>
    <x v="70"/>
    <x v="5"/>
    <x v="4"/>
    <s v="Outlier"/>
  </r>
  <r>
    <n v="1288792"/>
    <n v="25"/>
    <x v="0"/>
    <d v="2023-12-05T01:41:00"/>
    <s v="Whatsapp"/>
    <s v="Anna O'Hara"/>
    <n v="3516"/>
    <d v="2023-12-05T00:00:00"/>
    <x v="86"/>
    <x v="0"/>
    <x v="2"/>
    <s v="Outlier"/>
  </r>
  <r>
    <n v="1288824"/>
    <n v="912"/>
    <x v="0"/>
    <d v="2023-01-04T00:03:00"/>
    <s v="App"/>
    <s v="Palle Ibsen"/>
    <n v="8079"/>
    <d v="2023-01-04T00:00:00"/>
    <x v="72"/>
    <x v="9"/>
    <x v="4"/>
    <s v="Outlier"/>
  </r>
  <r>
    <n v="1289179"/>
    <n v="65"/>
    <x v="4"/>
    <d v="2023-02-04T01:04:00"/>
    <s v="Website"/>
    <s v="Julie King"/>
    <n v="2409"/>
    <d v="2023-02-04T00:00:00"/>
    <x v="121"/>
    <x v="5"/>
    <x v="1"/>
    <s v="Outlier"/>
  </r>
  <r>
    <n v="1289588"/>
    <n v="336"/>
    <x v="4"/>
    <d v="2023-09-05T23:54:00"/>
    <s v="Whatsapp"/>
    <s v="Valarie Nelson"/>
    <n v="4944"/>
    <d v="2023-09-05T00:00:00"/>
    <x v="174"/>
    <x v="10"/>
    <x v="2"/>
    <s v="Outlier"/>
  </r>
  <r>
    <n v="1289856"/>
    <n v="1174"/>
    <x v="0"/>
    <d v="2023-07-08T00:26:00"/>
    <s v="Whatsapp"/>
    <s v="Valarie Young"/>
    <n v="5660"/>
    <d v="2023-07-08T00:00:00"/>
    <x v="151"/>
    <x v="6"/>
    <x v="1"/>
    <s v="Outlier"/>
  </r>
  <r>
    <n v="1289947"/>
    <n v="164"/>
    <x v="0"/>
    <d v="2023-11-21T23:25:00"/>
    <s v="Website"/>
    <s v="Jeff Young"/>
    <n v="1867"/>
    <d v="2023-11-21T00:00:00"/>
    <x v="141"/>
    <x v="2"/>
    <x v="2"/>
    <s v="Outlier"/>
  </r>
  <r>
    <n v="1290448"/>
    <n v="1083"/>
    <x v="4"/>
    <d v="2023-02-14T01:35:00"/>
    <s v="Whatsapp"/>
    <s v="Diego Freyre"/>
    <n v="9507"/>
    <d v="2023-02-14T00:00:00"/>
    <x v="200"/>
    <x v="5"/>
    <x v="2"/>
    <s v="Outlier"/>
  </r>
  <r>
    <n v="1290759"/>
    <n v="497"/>
    <x v="0"/>
    <d v="2023-02-19T00:53:00"/>
    <s v="Website"/>
    <s v="Valarie Thompson"/>
    <n v="6538"/>
    <d v="2023-02-19T00:00:00"/>
    <x v="36"/>
    <x v="5"/>
    <x v="6"/>
    <s v="Outlier"/>
  </r>
  <r>
    <n v="1290822"/>
    <n v="430"/>
    <x v="1"/>
    <d v="2023-04-18T01:22:00"/>
    <s v="App"/>
    <s v="Frederique Citeaux"/>
    <n v="3136"/>
    <d v="2023-04-18T00:00:00"/>
    <x v="142"/>
    <x v="1"/>
    <x v="2"/>
    <s v="Outlier"/>
  </r>
  <r>
    <n v="1291386"/>
    <n v="1855"/>
    <x v="13"/>
    <d v="2023-06-21T01:14:00"/>
    <s v="Website"/>
    <s v="Jeff Young"/>
    <n v="6840"/>
    <d v="2023-06-21T00:00:00"/>
    <x v="156"/>
    <x v="7"/>
    <x v="4"/>
    <s v="Outlier"/>
  </r>
  <r>
    <n v="1291392"/>
    <n v="1083"/>
    <x v="4"/>
    <d v="2023-07-12T00:36:00"/>
    <s v="App"/>
    <s v="Diego Freyre"/>
    <n v="7984"/>
    <d v="2023-07-12T00:00:00"/>
    <x v="120"/>
    <x v="6"/>
    <x v="4"/>
    <s v="Outlier"/>
  </r>
  <r>
    <n v="1291584"/>
    <n v="1215"/>
    <x v="0"/>
    <d v="2023-05-28T00:41:00"/>
    <s v="App"/>
    <s v="Wendy Victorino"/>
    <n v="813"/>
    <d v="2023-05-28T00:00:00"/>
    <x v="60"/>
    <x v="11"/>
    <x v="6"/>
    <s v="Outlier"/>
  </r>
  <r>
    <n v="1291650"/>
    <n v="1982"/>
    <x v="2"/>
    <d v="2023-06-03T01:35:00"/>
    <s v="Website"/>
    <s v="Jan Klaeboe"/>
    <n v="5585"/>
    <d v="2023-06-03T00:00:00"/>
    <x v="200"/>
    <x v="7"/>
    <x v="1"/>
    <s v="Outlier"/>
  </r>
  <r>
    <n v="1291973"/>
    <n v="461"/>
    <x v="6"/>
    <d v="2023-01-07T01:23:00"/>
    <s v="Other"/>
    <s v="Diego Freyre"/>
    <n v="5976"/>
    <d v="2023-01-07T00:00:00"/>
    <x v="83"/>
    <x v="9"/>
    <x v="1"/>
    <s v="Outlier"/>
  </r>
  <r>
    <n v="1292166"/>
    <n v="758"/>
    <x v="0"/>
    <d v="2023-02-17T00:03:00"/>
    <s v="Other"/>
    <s v="Violeta Benitez"/>
    <n v="7030"/>
    <d v="2023-02-17T00:00:00"/>
    <x v="72"/>
    <x v="5"/>
    <x v="0"/>
    <s v="Outlier"/>
  </r>
  <r>
    <n v="1292922"/>
    <n v="27"/>
    <x v="0"/>
    <d v="2023-02-09T01:47:00"/>
    <s v="App"/>
    <s v="Victoria Ashworth"/>
    <n v="1646"/>
    <d v="2023-02-09T00:00:00"/>
    <x v="189"/>
    <x v="5"/>
    <x v="3"/>
    <s v="Outlier"/>
  </r>
  <r>
    <n v="1294009"/>
    <n v="538"/>
    <x v="1"/>
    <d v="2023-01-06T01:46:00"/>
    <s v="Other"/>
    <s v="Sue King"/>
    <n v="4279"/>
    <d v="2023-01-06T00:00:00"/>
    <x v="129"/>
    <x v="9"/>
    <x v="0"/>
    <s v="Outlier"/>
  </r>
  <r>
    <n v="1297610"/>
    <n v="1732"/>
    <x v="0"/>
    <d v="2023-10-10T01:24:00"/>
    <s v="Website"/>
    <s v="Valarie Nelson"/>
    <n v="2563"/>
    <d v="2023-10-10T00:00:00"/>
    <x v="124"/>
    <x v="3"/>
    <x v="2"/>
    <s v="Outlier"/>
  </r>
  <r>
    <n v="1297796"/>
    <n v="640"/>
    <x v="3"/>
    <d v="2023-02-26T00:40:00"/>
    <s v="App"/>
    <s v="Diego Freyre"/>
    <n v="9438"/>
    <d v="2023-02-26T00:00:00"/>
    <x v="51"/>
    <x v="5"/>
    <x v="6"/>
    <s v="Outlier"/>
  </r>
  <r>
    <n v="1299122"/>
    <n v="220"/>
    <x v="6"/>
    <d v="2023-01-07T23:19:00"/>
    <s v="Website"/>
    <s v="Sue Frick"/>
    <n v="9458"/>
    <d v="2023-01-07T00:00:00"/>
    <x v="24"/>
    <x v="9"/>
    <x v="1"/>
    <s v="Outlier"/>
  </r>
  <r>
    <n v="1303658"/>
    <n v="67"/>
    <x v="2"/>
    <d v="2023-06-10T01:42:00"/>
    <s v="App"/>
    <s v="Adrian Huxley"/>
    <n v="897"/>
    <d v="2023-06-10T00:00:00"/>
    <x v="14"/>
    <x v="7"/>
    <x v="1"/>
    <s v="Outlier"/>
  </r>
  <r>
    <n v="1305831"/>
    <n v="1531"/>
    <x v="5"/>
    <d v="2023-09-26T23:11:00"/>
    <s v="Whatsapp"/>
    <s v="Jytte Petersen"/>
    <n v="695"/>
    <d v="2023-09-26T00:00:00"/>
    <x v="4"/>
    <x v="10"/>
    <x v="2"/>
    <s v="Outlier"/>
  </r>
  <r>
    <n v="1307458"/>
    <n v="122"/>
    <x v="4"/>
    <d v="2023-01-01T01:31:00"/>
    <s v="Whatsapp"/>
    <s v="Georg Pipps"/>
    <n v="943"/>
    <d v="2023-01-01T00:00:00"/>
    <x v="177"/>
    <x v="9"/>
    <x v="6"/>
    <s v="Outlier"/>
  </r>
  <r>
    <n v="1308621"/>
    <n v="1948"/>
    <x v="0"/>
    <d v="2023-10-28T00:16:00"/>
    <s v="Website"/>
    <s v="Ann Brown"/>
    <n v="1684"/>
    <d v="2023-10-28T00:00:00"/>
    <x v="61"/>
    <x v="3"/>
    <x v="1"/>
    <s v="Outlier"/>
  </r>
  <r>
    <n v="1308737"/>
    <n v="344"/>
    <x v="10"/>
    <d v="2023-08-01T00:56:00"/>
    <s v="Whatsapp"/>
    <s v="Wing C Tam"/>
    <n v="144"/>
    <d v="2023-08-01T00:00:00"/>
    <x v="150"/>
    <x v="8"/>
    <x v="2"/>
    <s v="Outlier"/>
  </r>
  <r>
    <n v="1309217"/>
    <n v="1458"/>
    <x v="3"/>
    <d v="2023-06-26T00:42:00"/>
    <s v="App"/>
    <s v="Matti Karttunen"/>
    <n v="5635"/>
    <d v="2023-06-26T00:00:00"/>
    <x v="215"/>
    <x v="7"/>
    <x v="5"/>
    <s v="Outlier"/>
  </r>
  <r>
    <n v="1309990"/>
    <n v="221"/>
    <x v="6"/>
    <d v="2023-06-24T23:59:00"/>
    <s v="Whatsapp"/>
    <s v="Maria Larsson"/>
    <n v="667"/>
    <d v="2023-06-24T00:00:00"/>
    <x v="181"/>
    <x v="7"/>
    <x v="1"/>
    <s v="Outlier"/>
  </r>
  <r>
    <n v="1310379"/>
    <n v="390"/>
    <x v="1"/>
    <d v="2023-02-23T00:44:00"/>
    <s v="Website"/>
    <s v="Annette Roulet"/>
    <n v="9158"/>
    <d v="2023-02-23T00:00:00"/>
    <x v="85"/>
    <x v="5"/>
    <x v="3"/>
    <s v="Outlier"/>
  </r>
  <r>
    <n v="1311114"/>
    <n v="130"/>
    <x v="0"/>
    <d v="2023-06-23T01:20:00"/>
    <s v="App"/>
    <s v="Thomas Hardy"/>
    <n v="1596"/>
    <d v="2023-06-23T00:00:00"/>
    <x v="8"/>
    <x v="7"/>
    <x v="0"/>
    <s v="Outlier"/>
  </r>
  <r>
    <n v="1311384"/>
    <n v="1796"/>
    <x v="13"/>
    <d v="2023-02-17T23:34:00"/>
    <s v="Website"/>
    <s v="Eduardo Saavedra"/>
    <n v="5286"/>
    <d v="2023-02-17T00:00:00"/>
    <x v="99"/>
    <x v="5"/>
    <x v="0"/>
    <s v="Outlier"/>
  </r>
  <r>
    <n v="1311758"/>
    <n v="446"/>
    <x v="0"/>
    <d v="2023-10-30T00:45:00"/>
    <s v="Whatsapp"/>
    <s v="Michael Chandler"/>
    <n v="7083"/>
    <d v="2023-10-30T00:00:00"/>
    <x v="29"/>
    <x v="3"/>
    <x v="5"/>
    <s v="Outlier"/>
  </r>
  <r>
    <n v="1311873"/>
    <n v="990"/>
    <x v="7"/>
    <d v="2023-03-10T01:11:00"/>
    <s v="Website"/>
    <s v="Valarie Thompson"/>
    <n v="2981"/>
    <d v="2023-03-10T00:00:00"/>
    <x v="122"/>
    <x v="4"/>
    <x v="0"/>
    <s v="Outlier"/>
  </r>
  <r>
    <n v="1311950"/>
    <n v="1770"/>
    <x v="9"/>
    <d v="2023-12-30T23:47:00"/>
    <s v="Website"/>
    <s v="Kwai Yu"/>
    <n v="4041"/>
    <d v="2023-12-30T00:00:00"/>
    <x v="100"/>
    <x v="0"/>
    <x v="1"/>
    <s v="Outlier"/>
  </r>
  <r>
    <n v="1312340"/>
    <n v="721"/>
    <x v="1"/>
    <d v="2023-09-28T00:20:00"/>
    <s v="App"/>
    <s v="Diego Freyre"/>
    <n v="9364"/>
    <d v="2023-09-28T00:00:00"/>
    <x v="68"/>
    <x v="10"/>
    <x v="3"/>
    <s v="Outlier"/>
  </r>
  <r>
    <n v="1312407"/>
    <n v="183"/>
    <x v="1"/>
    <d v="2023-04-04T01:19:00"/>
    <s v="App"/>
    <s v="Catherine Dewey"/>
    <n v="9002"/>
    <d v="2023-04-04T00:00:00"/>
    <x v="95"/>
    <x v="1"/>
    <x v="2"/>
    <s v="Outlier"/>
  </r>
  <r>
    <n v="1312635"/>
    <n v="55"/>
    <x v="13"/>
    <d v="2023-02-13T23:45:00"/>
    <s v="Website"/>
    <s v="Elizabeth Lincoln"/>
    <n v="2981"/>
    <d v="2023-02-13T00:00:00"/>
    <x v="164"/>
    <x v="5"/>
    <x v="5"/>
    <s v="Outlier"/>
  </r>
  <r>
    <n v="1313934"/>
    <n v="1710"/>
    <x v="4"/>
    <d v="2023-11-12T01:06:00"/>
    <s v="Other"/>
    <s v="Michael Donnermeyer"/>
    <n v="2981"/>
    <d v="2023-11-12T00:00:00"/>
    <x v="207"/>
    <x v="2"/>
    <x v="6"/>
    <s v="Outlier"/>
  </r>
  <r>
    <n v="1313997"/>
    <n v="1327"/>
    <x v="3"/>
    <d v="2023-02-27T00:04:00"/>
    <s v="Website"/>
    <s v="Francisca Cervantes"/>
    <n v="8609"/>
    <d v="2023-02-27T00:00:00"/>
    <x v="64"/>
    <x v="5"/>
    <x v="5"/>
    <s v="Outlier"/>
  </r>
  <r>
    <n v="1314159"/>
    <n v="1357"/>
    <x v="12"/>
    <d v="2023-07-23T00:26:00"/>
    <s v="App"/>
    <s v="Helen Bennett"/>
    <n v="3684"/>
    <d v="2023-07-23T00:00:00"/>
    <x v="151"/>
    <x v="6"/>
    <x v="6"/>
    <s v="Outlier"/>
  </r>
  <r>
    <n v="1314166"/>
    <n v="1145"/>
    <x v="0"/>
    <d v="2023-03-30T01:28:00"/>
    <s v="Other"/>
    <s v="Christina Berglund"/>
    <n v="9152"/>
    <d v="2023-03-30T00:00:00"/>
    <x v="49"/>
    <x v="4"/>
    <x v="3"/>
    <s v="Outlier"/>
  </r>
  <r>
    <n v="1314895"/>
    <n v="1512"/>
    <x v="13"/>
    <d v="2023-12-18T22:37:00"/>
    <s v="Whatsapp"/>
    <s v="Akiko Shimamura"/>
    <n v="1560"/>
    <d v="2023-12-18T00:00:00"/>
    <x v="218"/>
    <x v="0"/>
    <x v="5"/>
    <s v="Outlier"/>
  </r>
  <r>
    <n v="1316887"/>
    <n v="1739"/>
    <x v="4"/>
    <d v="2023-04-07T23:33:00"/>
    <s v="Website"/>
    <s v="Diego Freyre"/>
    <n v="951"/>
    <d v="2023-04-07T00:00:00"/>
    <x v="62"/>
    <x v="1"/>
    <x v="0"/>
    <s v="Outlier"/>
  </r>
  <r>
    <n v="1317983"/>
    <n v="997"/>
    <x v="1"/>
    <d v="2023-12-12T01:27:00"/>
    <s v="Website"/>
    <s v="Pirkko Koskitalo"/>
    <n v="7185"/>
    <d v="2023-12-12T00:00:00"/>
    <x v="219"/>
    <x v="0"/>
    <x v="2"/>
    <s v="Outlier"/>
  </r>
  <r>
    <n v="1318200"/>
    <n v="1657"/>
    <x v="7"/>
    <d v="2023-12-09T00:24:00"/>
    <s v="Website"/>
    <s v="Valarie Nelson"/>
    <n v="7368"/>
    <d v="2023-12-09T00:00:00"/>
    <x v="115"/>
    <x v="0"/>
    <x v="1"/>
    <s v="Outlier"/>
  </r>
  <r>
    <n v="1318274"/>
    <n v="304"/>
    <x v="1"/>
    <d v="2023-03-05T23:33:00"/>
    <s v="Website"/>
    <s v="Valarie Nelson"/>
    <n v="2657"/>
    <d v="2023-03-05T00:00:00"/>
    <x v="62"/>
    <x v="4"/>
    <x v="6"/>
    <s v="Outlier"/>
  </r>
  <r>
    <n v="1318579"/>
    <n v="1120"/>
    <x v="13"/>
    <d v="2023-11-02T01:55:00"/>
    <s v="App"/>
    <s v="Sue Frick"/>
    <n v="8857"/>
    <d v="2023-11-02T00:00:00"/>
    <x v="220"/>
    <x v="2"/>
    <x v="3"/>
    <s v="Outlier"/>
  </r>
  <r>
    <n v="1319964"/>
    <n v="281"/>
    <x v="0"/>
    <d v="2023-02-02T23:45:00"/>
    <s v="Website"/>
    <s v="Juri Yoshido"/>
    <n v="2954"/>
    <d v="2023-02-02T00:00:00"/>
    <x v="164"/>
    <x v="5"/>
    <x v="3"/>
    <s v="Outlier"/>
  </r>
  <r>
    <n v="1320558"/>
    <n v="1243"/>
    <x v="4"/>
    <d v="2023-07-12T23:36:00"/>
    <s v="Website"/>
    <s v="Arnold Cruz"/>
    <n v="6197"/>
    <d v="2023-07-12T00:00:00"/>
    <x v="135"/>
    <x v="6"/>
    <x v="4"/>
    <s v="Outlier"/>
  </r>
  <r>
    <n v="1321272"/>
    <n v="1045"/>
    <x v="4"/>
    <d v="2023-07-27T00:09:00"/>
    <s v="App"/>
    <s v="Laurence Lebihan"/>
    <n v="4967"/>
    <d v="2023-07-27T00:00:00"/>
    <x v="81"/>
    <x v="6"/>
    <x v="3"/>
    <s v="Outlier"/>
  </r>
  <r>
    <n v="1322635"/>
    <n v="481"/>
    <x v="6"/>
    <d v="2023-02-25T23:46:00"/>
    <s v="Whatsapp"/>
    <s v="Valarie Nelson"/>
    <n v="1854"/>
    <d v="2023-02-25T00:00:00"/>
    <x v="9"/>
    <x v="5"/>
    <x v="1"/>
    <s v="Outlier"/>
  </r>
  <r>
    <n v="1323847"/>
    <n v="1742"/>
    <x v="0"/>
    <d v="2023-04-21T01:37:00"/>
    <s v="Whatsapp"/>
    <s v="Allen Nelson"/>
    <n v="4644"/>
    <d v="2023-04-21T00:00:00"/>
    <x v="109"/>
    <x v="1"/>
    <x v="0"/>
    <s v="Outlier"/>
  </r>
  <r>
    <n v="1325889"/>
    <n v="399"/>
    <x v="1"/>
    <d v="2023-07-03T00:40:00"/>
    <s v="Whatsapp"/>
    <s v="Michael Chandler"/>
    <n v="4141"/>
    <d v="2023-07-03T00:00:00"/>
    <x v="51"/>
    <x v="6"/>
    <x v="5"/>
    <s v="Outlier"/>
  </r>
  <r>
    <n v="1326076"/>
    <n v="1939"/>
    <x v="0"/>
    <d v="2023-03-23T00:54:00"/>
    <s v="App"/>
    <s v="Roland Mendel"/>
    <n v="9937"/>
    <d v="2023-03-23T00:00:00"/>
    <x v="73"/>
    <x v="4"/>
    <x v="3"/>
    <s v="Outlier"/>
  </r>
  <r>
    <n v="1329378"/>
    <n v="985"/>
    <x v="0"/>
    <d v="2023-02-10T23:33:00"/>
    <s v="Website"/>
    <s v="Veysel Oeztan"/>
    <n v="5704"/>
    <d v="2023-02-10T00:00:00"/>
    <x v="62"/>
    <x v="5"/>
    <x v="0"/>
    <s v="Outlier"/>
  </r>
  <r>
    <n v="1330979"/>
    <n v="546"/>
    <x v="0"/>
    <d v="2023-01-03T23:33:00"/>
    <s v="App"/>
    <s v="Valarie Young"/>
    <n v="4461"/>
    <d v="2023-01-03T00:00:00"/>
    <x v="62"/>
    <x v="9"/>
    <x v="2"/>
    <s v="Outlier"/>
  </r>
  <r>
    <n v="1331311"/>
    <n v="106"/>
    <x v="6"/>
    <d v="2023-01-07T00:48:00"/>
    <s v="Whatsapp"/>
    <s v="Diego Freyre"/>
    <n v="1909"/>
    <d v="2023-01-07T00:00:00"/>
    <x v="88"/>
    <x v="9"/>
    <x v="1"/>
    <s v="Outlier"/>
  </r>
  <r>
    <n v="1332449"/>
    <n v="1433"/>
    <x v="6"/>
    <d v="2023-12-09T00:38:00"/>
    <s v="App"/>
    <s v="Diego Freyre"/>
    <n v="4463"/>
    <d v="2023-12-09T00:00:00"/>
    <x v="162"/>
    <x v="0"/>
    <x v="1"/>
    <s v="Outlier"/>
  </r>
  <r>
    <n v="1334431"/>
    <n v="522"/>
    <x v="0"/>
    <d v="2023-09-26T00:42:00"/>
    <s v="Whatsapp"/>
    <s v="Michael Holz"/>
    <n v="6918"/>
    <d v="2023-09-26T00:00:00"/>
    <x v="215"/>
    <x v="10"/>
    <x v="2"/>
    <s v="Outlier"/>
  </r>
  <r>
    <n v="1335084"/>
    <n v="1170"/>
    <x v="7"/>
    <d v="2023-07-21T00:37:00"/>
    <s v="Whatsapp"/>
    <s v="Pirkko Koskitalo"/>
    <n v="5783"/>
    <d v="2023-07-21T00:00:00"/>
    <x v="201"/>
    <x v="6"/>
    <x v="0"/>
    <s v="Outlier"/>
  </r>
  <r>
    <n v="1335543"/>
    <n v="1191"/>
    <x v="6"/>
    <d v="2023-02-02T00:54:00"/>
    <s v="Website"/>
    <s v="Elizabeth Devon"/>
    <n v="2295"/>
    <d v="2023-02-02T00:00:00"/>
    <x v="73"/>
    <x v="5"/>
    <x v="3"/>
    <s v="Outlier"/>
  </r>
  <r>
    <n v="1335910"/>
    <n v="902"/>
    <x v="0"/>
    <d v="2023-12-18T23:26:00"/>
    <s v="Other"/>
    <s v="Maurizio Moroni"/>
    <n v="355"/>
    <d v="2023-12-18T00:00:00"/>
    <x v="191"/>
    <x v="0"/>
    <x v="5"/>
    <s v="Outlier"/>
  </r>
  <r>
    <n v="1335994"/>
    <n v="1510"/>
    <x v="8"/>
    <d v="2023-12-16T00:26:00"/>
    <s v="Whatsapp"/>
    <s v="Sue King"/>
    <n v="7950"/>
    <d v="2023-12-16T00:00:00"/>
    <x v="151"/>
    <x v="0"/>
    <x v="1"/>
    <s v="Outlier"/>
  </r>
  <r>
    <n v="1336012"/>
    <n v="856"/>
    <x v="0"/>
    <d v="2023-04-12T23:39:00"/>
    <s v="Whatsapp"/>
    <s v="Michael Holz"/>
    <n v="7915"/>
    <d v="2023-04-12T00:00:00"/>
    <x v="101"/>
    <x v="1"/>
    <x v="4"/>
    <s v="Outlier"/>
  </r>
  <r>
    <n v="1336024"/>
    <n v="1011"/>
    <x v="3"/>
    <d v="2023-08-24T00:18:00"/>
    <s v="Other"/>
    <s v="Jan Klaeboe"/>
    <n v="8888"/>
    <d v="2023-08-24T00:00:00"/>
    <x v="139"/>
    <x v="8"/>
    <x v="3"/>
    <s v="Outlier"/>
  </r>
  <r>
    <n v="1336827"/>
    <n v="1247"/>
    <x v="0"/>
    <d v="2023-04-17T23:41:00"/>
    <s v="App"/>
    <s v="Henriette Pfalzheim"/>
    <n v="8526"/>
    <d v="2023-04-17T00:00:00"/>
    <x v="155"/>
    <x v="1"/>
    <x v="5"/>
    <s v="Outlier"/>
  </r>
  <r>
    <n v="1337570"/>
    <n v="143"/>
    <x v="0"/>
    <d v="2023-02-06T23:10:00"/>
    <s v="Whatsapp"/>
    <s v="Violeta Benitez"/>
    <n v="518"/>
    <d v="2023-02-06T00:00:00"/>
    <x v="176"/>
    <x v="5"/>
    <x v="5"/>
    <s v="Outlier"/>
  </r>
  <r>
    <n v="1337603"/>
    <n v="1915"/>
    <x v="0"/>
    <d v="2023-02-11T00:15:00"/>
    <s v="App"/>
    <s v="Rosa Hernandez"/>
    <n v="5719"/>
    <d v="2023-02-11T00:00:00"/>
    <x v="123"/>
    <x v="5"/>
    <x v="1"/>
    <s v="Outlier"/>
  </r>
  <r>
    <n v="1338945"/>
    <n v="627"/>
    <x v="10"/>
    <d v="2023-02-24T00:15:00"/>
    <s v="Whatsapp"/>
    <s v="Peter Ferguson"/>
    <n v="4854"/>
    <d v="2023-02-24T00:00:00"/>
    <x v="123"/>
    <x v="5"/>
    <x v="0"/>
    <s v="Outlier"/>
  </r>
  <r>
    <n v="1339556"/>
    <n v="1216"/>
    <x v="6"/>
    <d v="2023-09-23T01:20:00"/>
    <s v="Website"/>
    <s v="Diego Freyre"/>
    <n v="1757"/>
    <d v="2023-09-23T00:00:00"/>
    <x v="8"/>
    <x v="10"/>
    <x v="1"/>
    <s v="Outlier"/>
  </r>
  <r>
    <n v="1340302"/>
    <n v="1142"/>
    <x v="0"/>
    <d v="2023-12-03T01:17:00"/>
    <s v="Whatsapp"/>
    <s v="Kalle Suominen"/>
    <n v="9786"/>
    <d v="2023-12-03T00:00:00"/>
    <x v="210"/>
    <x v="0"/>
    <x v="6"/>
    <s v="Outlier"/>
  </r>
  <r>
    <n v="1343250"/>
    <n v="681"/>
    <x v="0"/>
    <d v="2023-11-04T23:02:00"/>
    <s v="App"/>
    <s v="Diego Freyre"/>
    <n v="6365"/>
    <d v="2023-11-04T00:00:00"/>
    <x v="114"/>
    <x v="2"/>
    <x v="1"/>
    <s v="Outlier"/>
  </r>
  <r>
    <n v="1343766"/>
    <n v="1191"/>
    <x v="6"/>
    <d v="2023-04-21T00:01:00"/>
    <s v="App"/>
    <s v="Valarie Nelson"/>
    <n v="7282"/>
    <d v="2023-04-21T00:00:00"/>
    <x v="63"/>
    <x v="1"/>
    <x v="0"/>
    <s v="Outlier"/>
  </r>
  <r>
    <n v="1343925"/>
    <n v="1400"/>
    <x v="0"/>
    <d v="2023-03-31T00:50:00"/>
    <s v="Website"/>
    <s v="Frederique Citeaux"/>
    <n v="9178"/>
    <d v="2023-03-31T00:00:00"/>
    <x v="0"/>
    <x v="4"/>
    <x v="0"/>
    <s v="Outlier"/>
  </r>
  <r>
    <n v="1343941"/>
    <n v="135"/>
    <x v="4"/>
    <d v="2023-08-09T23:14:00"/>
    <s v="Website"/>
    <s v="Georg Pipps"/>
    <n v="6934"/>
    <d v="2023-08-09T00:00:00"/>
    <x v="70"/>
    <x v="8"/>
    <x v="4"/>
    <s v="Outlier"/>
  </r>
  <r>
    <n v="1345016"/>
    <n v="1994"/>
    <x v="5"/>
    <d v="2023-02-15T23:37:00"/>
    <s v="Website"/>
    <s v="Giovanni Rovelli"/>
    <n v="9058"/>
    <d v="2023-02-15T00:00:00"/>
    <x v="78"/>
    <x v="5"/>
    <x v="4"/>
    <s v="Outlier"/>
  </r>
  <r>
    <n v="1346080"/>
    <n v="254"/>
    <x v="3"/>
    <d v="2023-09-24T23:34:00"/>
    <s v="Other"/>
    <s v="Georg Pipps"/>
    <n v="9148"/>
    <d v="2023-09-24T00:00:00"/>
    <x v="99"/>
    <x v="10"/>
    <x v="6"/>
    <s v="Outlier"/>
  </r>
  <r>
    <n v="1347158"/>
    <n v="621"/>
    <x v="0"/>
    <d v="2023-08-23T23:25:00"/>
    <s v="Website"/>
    <s v="Dan Lewis"/>
    <n v="468"/>
    <d v="2023-08-23T00:00:00"/>
    <x v="141"/>
    <x v="8"/>
    <x v="4"/>
    <s v="Outlier"/>
  </r>
  <r>
    <n v="1347250"/>
    <n v="1624"/>
    <x v="0"/>
    <d v="2023-06-12T00:50:00"/>
    <s v="App"/>
    <s v="Wing C Tam"/>
    <n v="3030"/>
    <d v="2023-06-12T00:00:00"/>
    <x v="0"/>
    <x v="7"/>
    <x v="5"/>
    <s v="Outlier"/>
  </r>
  <r>
    <n v="1347720"/>
    <n v="82"/>
    <x v="4"/>
    <d v="2023-12-14T23:40:00"/>
    <s v="Other"/>
    <s v="Matti Karttunen"/>
    <n v="6776"/>
    <d v="2023-12-14T00:00:00"/>
    <x v="1"/>
    <x v="0"/>
    <x v="3"/>
    <s v="Outlier"/>
  </r>
  <r>
    <n v="1347929"/>
    <n v="105"/>
    <x v="0"/>
    <d v="2023-02-16T00:21:00"/>
    <s v="Website"/>
    <s v="Juri Hirano"/>
    <n v="5624"/>
    <d v="2023-02-16T00:00:00"/>
    <x v="2"/>
    <x v="5"/>
    <x v="3"/>
    <s v="Outlier"/>
  </r>
  <r>
    <n v="1348880"/>
    <n v="735"/>
    <x v="1"/>
    <d v="2023-01-25T00:31:00"/>
    <s v="Whatsapp"/>
    <s v="Annette Roulet"/>
    <n v="9491"/>
    <d v="2023-01-25T00:00:00"/>
    <x v="3"/>
    <x v="9"/>
    <x v="4"/>
    <s v="Outlier"/>
  </r>
  <r>
    <n v="1350108"/>
    <n v="453"/>
    <x v="3"/>
    <d v="2023-04-11T23:11:00"/>
    <s v="Website"/>
    <s v="Arnold Cruz"/>
    <n v="4256"/>
    <d v="2023-04-11T00:00:00"/>
    <x v="4"/>
    <x v="1"/>
    <x v="2"/>
    <s v="Outlier"/>
  </r>
  <r>
    <n v="1350840"/>
    <n v="1282"/>
    <x v="3"/>
    <d v="2023-07-01T22:52:00"/>
    <s v="Website"/>
    <s v="Mory Kentary"/>
    <n v="6519"/>
    <d v="2023-07-01T00:00:00"/>
    <x v="5"/>
    <x v="6"/>
    <x v="1"/>
    <s v="Outlier"/>
  </r>
  <r>
    <n v="1352087"/>
    <n v="1051"/>
    <x v="4"/>
    <d v="2023-06-18T00:23:00"/>
    <s v="App"/>
    <s v="Valarie Thompson"/>
    <n v="4016"/>
    <d v="2023-06-18T00:00:00"/>
    <x v="6"/>
    <x v="7"/>
    <x v="6"/>
    <s v="Outlier"/>
  </r>
  <r>
    <n v="1352182"/>
    <n v="1238"/>
    <x v="0"/>
    <d v="2023-05-08T01:10:00"/>
    <s v="Website"/>
    <s v="Elizabeth Lincoln"/>
    <n v="2508"/>
    <d v="2023-05-08T00:00:00"/>
    <x v="7"/>
    <x v="11"/>
    <x v="5"/>
    <s v="Outlier"/>
  </r>
  <r>
    <n v="1353569"/>
    <n v="276"/>
    <x v="1"/>
    <d v="2023-07-28T01:20:00"/>
    <s v="Whatsapp"/>
    <s v="Sue Frick"/>
    <n v="7760"/>
    <d v="2023-07-28T00:00:00"/>
    <x v="8"/>
    <x v="6"/>
    <x v="0"/>
    <s v="Outlier"/>
  </r>
  <r>
    <n v="1354438"/>
    <n v="1076"/>
    <x v="1"/>
    <d v="2023-02-03T23:46:00"/>
    <s v="App"/>
    <s v="Diego Freyre"/>
    <n v="4766"/>
    <d v="2023-02-03T00:00:00"/>
    <x v="9"/>
    <x v="5"/>
    <x v="0"/>
    <s v="Outlier"/>
  </r>
  <r>
    <n v="1354758"/>
    <n v="892"/>
    <x v="0"/>
    <d v="2023-11-08T00:11:00"/>
    <s v="Website"/>
    <s v="Janine Labrune"/>
    <n v="4217"/>
    <d v="2023-11-08T00:00:00"/>
    <x v="10"/>
    <x v="2"/>
    <x v="4"/>
    <s v="Outlier"/>
  </r>
  <r>
    <n v="1355256"/>
    <n v="332"/>
    <x v="1"/>
    <d v="2023-02-20T00:39:00"/>
    <s v="Whatsapp"/>
    <s v="Jan Klaeboe"/>
    <n v="2173"/>
    <d v="2023-02-20T00:00:00"/>
    <x v="11"/>
    <x v="5"/>
    <x v="5"/>
    <s v="Outlier"/>
  </r>
  <r>
    <n v="1355679"/>
    <n v="1315"/>
    <x v="0"/>
    <d v="2023-10-03T01:05:00"/>
    <s v="Whatsapp"/>
    <s v="Michael Donnermeyer"/>
    <n v="8855"/>
    <d v="2023-10-03T00:00:00"/>
    <x v="12"/>
    <x v="3"/>
    <x v="2"/>
    <s v="Outlier"/>
  </r>
  <r>
    <n v="1356717"/>
    <n v="59"/>
    <x v="6"/>
    <d v="2023-03-11T22:29:00"/>
    <s v="App"/>
    <s v="Steve Frick"/>
    <n v="4472"/>
    <d v="2023-03-11T00:00:00"/>
    <x v="13"/>
    <x v="4"/>
    <x v="1"/>
    <s v="Outlier"/>
  </r>
  <r>
    <n v="1357382"/>
    <n v="463"/>
    <x v="7"/>
    <d v="2023-12-14T01:42:00"/>
    <s v="Website"/>
    <s v="Helen Bennett"/>
    <n v="2708"/>
    <d v="2023-12-14T00:00:00"/>
    <x v="14"/>
    <x v="0"/>
    <x v="3"/>
    <s v="Outlier"/>
  </r>
  <r>
    <n v="1358333"/>
    <n v="1755"/>
    <x v="4"/>
    <d v="2023-03-16T23:13:00"/>
    <s v="App"/>
    <s v="Giovanni Rovelli"/>
    <n v="1585"/>
    <d v="2023-03-16T00:00:00"/>
    <x v="15"/>
    <x v="4"/>
    <x v="3"/>
    <s v="Outlier"/>
  </r>
  <r>
    <n v="1358621"/>
    <n v="909"/>
    <x v="1"/>
    <d v="2023-11-23T22:52:00"/>
    <s v="App"/>
    <s v="Akiko Shimamura"/>
    <n v="7200"/>
    <d v="2023-11-23T00:00:00"/>
    <x v="5"/>
    <x v="2"/>
    <x v="3"/>
    <s v="Outlier"/>
  </r>
  <r>
    <n v="1358679"/>
    <n v="144"/>
    <x v="13"/>
    <d v="2023-03-26T01:01:00"/>
    <s v="Website"/>
    <s v="Ann Brown"/>
    <n v="3276"/>
    <d v="2023-03-26T00:00:00"/>
    <x v="16"/>
    <x v="4"/>
    <x v="6"/>
    <s v="Outlier"/>
  </r>
  <r>
    <n v="1359265"/>
    <n v="1458"/>
    <x v="3"/>
    <d v="2023-08-02T22:33:00"/>
    <s v="App"/>
    <s v="Adrian Huxley"/>
    <n v="7400"/>
    <d v="2023-08-02T00:00:00"/>
    <x v="17"/>
    <x v="8"/>
    <x v="4"/>
    <s v="Outlier"/>
  </r>
  <r>
    <n v="1359304"/>
    <n v="1033"/>
    <x v="1"/>
    <d v="2023-07-16T23:16:00"/>
    <s v="App"/>
    <s v="Pirkko Koskitalo"/>
    <n v="941"/>
    <d v="2023-07-16T00:00:00"/>
    <x v="18"/>
    <x v="6"/>
    <x v="6"/>
    <s v="Outlier"/>
  </r>
  <r>
    <n v="1359599"/>
    <n v="883"/>
    <x v="0"/>
    <d v="2023-09-19T00:12:00"/>
    <s v="Other"/>
    <s v="Diego Freyre"/>
    <n v="2508"/>
    <d v="2023-09-19T00:00:00"/>
    <x v="19"/>
    <x v="10"/>
    <x v="2"/>
    <s v="Outlier"/>
  </r>
  <r>
    <n v="1360263"/>
    <n v="1782"/>
    <x v="4"/>
    <d v="2023-07-24T00:17:00"/>
    <s v="Whatsapp"/>
    <s v="Paul Henriot"/>
    <n v="7986"/>
    <d v="2023-07-24T00:00:00"/>
    <x v="20"/>
    <x v="6"/>
    <x v="5"/>
    <s v="Outlier"/>
  </r>
  <r>
    <n v="1360843"/>
    <n v="760"/>
    <x v="1"/>
    <d v="2023-06-02T00:34:00"/>
    <s v="Website"/>
    <s v="William Brown"/>
    <n v="2752"/>
    <d v="2023-06-02T00:00:00"/>
    <x v="21"/>
    <x v="7"/>
    <x v="0"/>
    <s v="Outlier"/>
  </r>
  <r>
    <n v="1361770"/>
    <n v="1061"/>
    <x v="10"/>
    <d v="2023-04-26T00:06:00"/>
    <s v="App"/>
    <s v="Maurizio Moroni"/>
    <n v="8962"/>
    <d v="2023-04-26T00:00:00"/>
    <x v="22"/>
    <x v="1"/>
    <x v="4"/>
    <s v="Outlier"/>
  </r>
  <r>
    <n v="1361969"/>
    <n v="1350"/>
    <x v="4"/>
    <d v="2023-05-05T02:00:00"/>
    <s v="Whatsapp"/>
    <s v="Valarie Young"/>
    <n v="3695"/>
    <d v="2023-05-05T00:00:00"/>
    <x v="23"/>
    <x v="11"/>
    <x v="0"/>
    <s v="Outlier"/>
  </r>
  <r>
    <n v="1362369"/>
    <n v="230"/>
    <x v="0"/>
    <d v="2023-01-05T01:01:00"/>
    <s v="Other"/>
    <s v="Victoria Ashworth"/>
    <n v="9795"/>
    <d v="2023-01-05T00:00:00"/>
    <x v="16"/>
    <x v="9"/>
    <x v="3"/>
    <s v="Outlier"/>
  </r>
  <r>
    <n v="1362785"/>
    <n v="61"/>
    <x v="4"/>
    <d v="2023-12-24T23:19:00"/>
    <s v="Other"/>
    <s v="Sue King"/>
    <n v="3114"/>
    <d v="2023-12-24T00:00:00"/>
    <x v="24"/>
    <x v="0"/>
    <x v="6"/>
    <s v="Outlier"/>
  </r>
  <r>
    <n v="1365205"/>
    <n v="298"/>
    <x v="4"/>
    <d v="2023-01-23T22:59:00"/>
    <s v="Website"/>
    <s v="Sue Taylor"/>
    <n v="7140"/>
    <d v="2023-01-23T00:00:00"/>
    <x v="25"/>
    <x v="9"/>
    <x v="5"/>
    <s v="Outlier"/>
  </r>
  <r>
    <n v="1365442"/>
    <n v="1707"/>
    <x v="3"/>
    <d v="2023-03-14T00:17:00"/>
    <s v="Other"/>
    <s v="Julie Brown"/>
    <n v="8105"/>
    <d v="2023-03-14T00:00:00"/>
    <x v="20"/>
    <x v="4"/>
    <x v="2"/>
    <s v="Outlier"/>
  </r>
  <r>
    <n v="1365869"/>
    <n v="1763"/>
    <x v="0"/>
    <d v="2023-10-18T22:56:00"/>
    <s v="App"/>
    <s v="Giovanni Rovelli"/>
    <n v="8523"/>
    <d v="2023-10-18T00:00:00"/>
    <x v="26"/>
    <x v="3"/>
    <x v="4"/>
    <s v="Outlier"/>
  </r>
  <r>
    <n v="1366020"/>
    <n v="659"/>
    <x v="6"/>
    <d v="2023-08-10T23:20:00"/>
    <s v="App"/>
    <s v="Valarie Nelson"/>
    <n v="9989"/>
    <d v="2023-08-10T00:00:00"/>
    <x v="27"/>
    <x v="8"/>
    <x v="3"/>
    <s v="Outlier"/>
  </r>
  <r>
    <n v="1366848"/>
    <n v="1433"/>
    <x v="6"/>
    <d v="2023-06-13T00:58:00"/>
    <s v="Whatsapp"/>
    <s v="Sean Connery"/>
    <n v="2562"/>
    <d v="2023-06-13T00:00:00"/>
    <x v="28"/>
    <x v="7"/>
    <x v="2"/>
    <s v="Outlier"/>
  </r>
  <r>
    <n v="1366911"/>
    <n v="1017"/>
    <x v="1"/>
    <d v="2023-08-30T23:40:00"/>
    <s v="Other"/>
    <s v="Jeff Young"/>
    <n v="1302"/>
    <d v="2023-08-30T00:00:00"/>
    <x v="1"/>
    <x v="8"/>
    <x v="4"/>
    <s v="Outlier"/>
  </r>
  <r>
    <n v="1366955"/>
    <n v="1529"/>
    <x v="10"/>
    <d v="2023-03-20T00:45:00"/>
    <s v="Website"/>
    <s v="Mart¡n Sommer"/>
    <n v="5336"/>
    <d v="2023-03-20T00:00:00"/>
    <x v="29"/>
    <x v="4"/>
    <x v="5"/>
    <s v="Outlier"/>
  </r>
  <r>
    <n v="1368464"/>
    <n v="414"/>
    <x v="1"/>
    <d v="2023-11-22T00:52:00"/>
    <s v="Other"/>
    <s v="Mary Saveley"/>
    <n v="7424"/>
    <d v="2023-11-22T00:00:00"/>
    <x v="30"/>
    <x v="2"/>
    <x v="4"/>
    <s v="Outlier"/>
  </r>
  <r>
    <n v="1369791"/>
    <n v="588"/>
    <x v="2"/>
    <d v="2023-02-07T01:07:00"/>
    <s v="App"/>
    <s v="Kee Kuo"/>
    <n v="6758"/>
    <d v="2023-02-07T00:00:00"/>
    <x v="31"/>
    <x v="5"/>
    <x v="2"/>
    <s v="Outlier"/>
  </r>
  <r>
    <n v="1370327"/>
    <n v="374"/>
    <x v="13"/>
    <d v="2023-12-18T01:13:00"/>
    <s v="Website"/>
    <s v="Paolo Accorti"/>
    <n v="9133"/>
    <d v="2023-12-18T00:00:00"/>
    <x v="32"/>
    <x v="0"/>
    <x v="5"/>
    <s v="Outlier"/>
  </r>
  <r>
    <n v="1370775"/>
    <n v="462"/>
    <x v="0"/>
    <d v="2023-04-23T01:49:00"/>
    <s v="Website"/>
    <s v="Wendy Victorino"/>
    <n v="1949"/>
    <d v="2023-04-23T00:00:00"/>
    <x v="33"/>
    <x v="1"/>
    <x v="6"/>
    <s v="Outlier"/>
  </r>
  <r>
    <n v="1371197"/>
    <n v="1891"/>
    <x v="5"/>
    <d v="2023-03-28T00:12:00"/>
    <s v="App"/>
    <s v="Jose Pedro Roel"/>
    <n v="5430"/>
    <d v="2023-03-28T00:00:00"/>
    <x v="19"/>
    <x v="4"/>
    <x v="2"/>
    <s v="Outlier"/>
  </r>
  <r>
    <n v="1371439"/>
    <n v="633"/>
    <x v="3"/>
    <d v="2023-10-18T00:07:00"/>
    <s v="Other"/>
    <s v="Valarie Nelson"/>
    <n v="4266"/>
    <d v="2023-10-18T00:00:00"/>
    <x v="34"/>
    <x v="3"/>
    <x v="4"/>
    <s v="Outlier"/>
  </r>
  <r>
    <n v="1371917"/>
    <n v="1407"/>
    <x v="0"/>
    <d v="2023-07-25T00:49:00"/>
    <s v="App"/>
    <s v="Victoria Ashworth"/>
    <n v="7060"/>
    <d v="2023-07-25T00:00:00"/>
    <x v="35"/>
    <x v="6"/>
    <x v="2"/>
    <s v="Outlier"/>
  </r>
  <r>
    <n v="1373309"/>
    <n v="718"/>
    <x v="8"/>
    <d v="2023-06-24T00:53:00"/>
    <s v="Other"/>
    <s v="Sue King"/>
    <n v="2634"/>
    <d v="2023-06-24T00:00:00"/>
    <x v="36"/>
    <x v="7"/>
    <x v="1"/>
    <s v="Outlier"/>
  </r>
  <r>
    <n v="1373323"/>
    <n v="1893"/>
    <x v="6"/>
    <d v="2023-02-14T01:08:00"/>
    <s v="App"/>
    <s v="Valarie Nelson"/>
    <n v="8546"/>
    <d v="2023-02-14T00:00:00"/>
    <x v="37"/>
    <x v="5"/>
    <x v="2"/>
    <s v="Outlier"/>
  </r>
  <r>
    <n v="1373414"/>
    <n v="613"/>
    <x v="1"/>
    <d v="2023-02-13T23:46:00"/>
    <s v="Whatsapp"/>
    <s v="Diego Freyre"/>
    <n v="5539"/>
    <d v="2023-02-13T00:00:00"/>
    <x v="9"/>
    <x v="5"/>
    <x v="5"/>
    <s v="Outlier"/>
  </r>
  <r>
    <n v="1374086"/>
    <n v="206"/>
    <x v="0"/>
    <d v="2023-09-10T23:42:00"/>
    <s v="Other"/>
    <s v="Akiko Shimamura"/>
    <n v="622"/>
    <d v="2023-09-10T00:00:00"/>
    <x v="38"/>
    <x v="10"/>
    <x v="6"/>
    <s v="Outlier"/>
  </r>
  <r>
    <n v="1376137"/>
    <n v="1472"/>
    <x v="0"/>
    <d v="2023-11-05T00:28:00"/>
    <s v="Whatsapp"/>
    <s v="Adrian Huxley"/>
    <n v="7325"/>
    <d v="2023-11-05T00:00:00"/>
    <x v="39"/>
    <x v="2"/>
    <x v="6"/>
    <s v="Outlier"/>
  </r>
  <r>
    <n v="1376176"/>
    <n v="1887"/>
    <x v="4"/>
    <d v="2023-02-17T23:46:00"/>
    <s v="Website"/>
    <s v="Diego Freyre"/>
    <n v="9141"/>
    <d v="2023-02-17T00:00:00"/>
    <x v="9"/>
    <x v="5"/>
    <x v="0"/>
    <s v="Outlier"/>
  </r>
  <r>
    <n v="1376269"/>
    <n v="1006"/>
    <x v="6"/>
    <d v="2023-09-11T00:31:00"/>
    <s v="Website"/>
    <s v="Maria Hernandez"/>
    <n v="1068"/>
    <d v="2023-09-11T00:00:00"/>
    <x v="3"/>
    <x v="10"/>
    <x v="5"/>
    <s v="Outlier"/>
  </r>
  <r>
    <n v="1376427"/>
    <n v="1430"/>
    <x v="0"/>
    <d v="2023-09-07T23:07:00"/>
    <s v="Other"/>
    <s v="Jeff Young"/>
    <n v="9138"/>
    <d v="2023-09-07T00:00:00"/>
    <x v="40"/>
    <x v="10"/>
    <x v="3"/>
    <s v="Outlier"/>
  </r>
  <r>
    <n v="1376435"/>
    <n v="145"/>
    <x v="2"/>
    <d v="2023-03-06T23:40:00"/>
    <s v="App"/>
    <s v="Kalle Suominen"/>
    <n v="8109"/>
    <d v="2023-03-06T00:00:00"/>
    <x v="1"/>
    <x v="4"/>
    <x v="5"/>
    <s v="Outlier"/>
  </r>
  <r>
    <n v="1379500"/>
    <n v="1128"/>
    <x v="3"/>
    <d v="2023-07-25T02:22:00"/>
    <s v="Whatsapp"/>
    <s v="Tony Calaghan"/>
    <n v="4248"/>
    <d v="2023-07-25T00:00:00"/>
    <x v="41"/>
    <x v="6"/>
    <x v="2"/>
    <s v="Outlier"/>
  </r>
  <r>
    <n v="1380014"/>
    <n v="914"/>
    <x v="0"/>
    <d v="2023-12-14T00:57:00"/>
    <s v="Other"/>
    <s v="Eric Natividad"/>
    <n v="5389"/>
    <d v="2023-12-14T00:00:00"/>
    <x v="42"/>
    <x v="0"/>
    <x v="3"/>
    <s v="Outlier"/>
  </r>
  <r>
    <n v="1383231"/>
    <n v="900"/>
    <x v="0"/>
    <d v="2023-07-27T23:49:00"/>
    <s v="Whatsapp"/>
    <s v="Maurizio Moroni"/>
    <n v="2730"/>
    <d v="2023-07-27T00:00:00"/>
    <x v="43"/>
    <x v="6"/>
    <x v="3"/>
    <s v="Outlier"/>
  </r>
  <r>
    <n v="1383522"/>
    <n v="1792"/>
    <x v="13"/>
    <d v="2023-04-04T00:55:00"/>
    <s v="Whatsapp"/>
    <s v="Jose Pedro Roel"/>
    <n v="9147"/>
    <d v="2023-04-04T00:00:00"/>
    <x v="44"/>
    <x v="1"/>
    <x v="2"/>
    <s v="Outlier"/>
  </r>
  <r>
    <n v="1383688"/>
    <n v="271"/>
    <x v="0"/>
    <d v="2023-02-14T01:50:00"/>
    <s v="Other"/>
    <s v="Steve Frick"/>
    <n v="240"/>
    <d v="2023-02-14T00:00:00"/>
    <x v="45"/>
    <x v="5"/>
    <x v="2"/>
    <s v="Outlier"/>
  </r>
  <r>
    <n v="1384019"/>
    <n v="1408"/>
    <x v="0"/>
    <d v="2023-11-21T01:48:00"/>
    <s v="Whatsapp"/>
    <s v="Valarie Franco"/>
    <n v="4853"/>
    <d v="2023-11-21T00:00:00"/>
    <x v="46"/>
    <x v="2"/>
    <x v="2"/>
    <s v="Outlier"/>
  </r>
  <r>
    <n v="1385078"/>
    <n v="146"/>
    <x v="8"/>
    <d v="2023-07-19T01:33:00"/>
    <s v="App"/>
    <s v="Dean Cassidy"/>
    <n v="1972"/>
    <d v="2023-07-19T00:00:00"/>
    <x v="47"/>
    <x v="6"/>
    <x v="4"/>
    <s v="Outlier"/>
  </r>
  <r>
    <n v="1385605"/>
    <n v="1850"/>
    <x v="7"/>
    <d v="2023-05-16T00:05:00"/>
    <s v="Website"/>
    <s v="Roland Keitel"/>
    <n v="6075"/>
    <d v="2023-05-16T00:00:00"/>
    <x v="48"/>
    <x v="11"/>
    <x v="2"/>
    <s v="Outlier"/>
  </r>
  <r>
    <n v="1385745"/>
    <n v="1686"/>
    <x v="3"/>
    <d v="2023-02-01T01:28:00"/>
    <s v="Other"/>
    <s v="Diego Freyre"/>
    <n v="5128"/>
    <d v="2023-02-01T00:00:00"/>
    <x v="49"/>
    <x v="5"/>
    <x v="4"/>
    <s v="Outlier"/>
  </r>
  <r>
    <n v="1386514"/>
    <n v="1892"/>
    <x v="0"/>
    <d v="2023-05-24T00:29:00"/>
    <s v="Website"/>
    <s v="Valarie Nelson"/>
    <n v="2382"/>
    <d v="2023-05-24T00:00:00"/>
    <x v="50"/>
    <x v="11"/>
    <x v="4"/>
    <s v="Outlier"/>
  </r>
  <r>
    <n v="1386601"/>
    <n v="1276"/>
    <x v="3"/>
    <d v="2023-04-10T00:40:00"/>
    <s v="App"/>
    <s v="Valarie Nelson"/>
    <n v="4677"/>
    <d v="2023-04-10T00:00:00"/>
    <x v="51"/>
    <x v="1"/>
    <x v="5"/>
    <s v="Outlier"/>
  </r>
  <r>
    <n v="1387867"/>
    <n v="322"/>
    <x v="1"/>
    <d v="2023-05-22T01:12:00"/>
    <s v="Website"/>
    <s v="Kwai Yu"/>
    <n v="7080"/>
    <d v="2023-05-22T00:00:00"/>
    <x v="52"/>
    <x v="11"/>
    <x v="5"/>
    <s v="Outlier"/>
  </r>
  <r>
    <n v="1389485"/>
    <n v="607"/>
    <x v="5"/>
    <d v="2023-11-06T00:33:00"/>
    <s v="Website"/>
    <s v="Marta Hernandez"/>
    <n v="8449"/>
    <d v="2023-11-06T00:00:00"/>
    <x v="53"/>
    <x v="2"/>
    <x v="5"/>
    <s v="Outlier"/>
  </r>
  <r>
    <n v="1389680"/>
    <n v="888"/>
    <x v="13"/>
    <d v="2023-01-10T00:22:00"/>
    <s v="Whatsapp"/>
    <s v="Palle Ibsen"/>
    <n v="9670"/>
    <d v="2023-01-10T00:00:00"/>
    <x v="54"/>
    <x v="9"/>
    <x v="2"/>
    <s v="Outlier"/>
  </r>
  <r>
    <n v="1391439"/>
    <n v="811"/>
    <x v="1"/>
    <d v="2023-11-16T22:35:00"/>
    <s v="Website"/>
    <s v="Jonas Bergulfsen"/>
    <n v="6152"/>
    <d v="2023-11-16T00:00:00"/>
    <x v="55"/>
    <x v="2"/>
    <x v="3"/>
    <s v="Outlier"/>
  </r>
  <r>
    <n v="1391623"/>
    <n v="606"/>
    <x v="0"/>
    <d v="2023-07-10T23:24:00"/>
    <s v="Website"/>
    <s v="Marie Bertrand"/>
    <n v="6445"/>
    <d v="2023-07-10T00:00:00"/>
    <x v="56"/>
    <x v="6"/>
    <x v="5"/>
    <s v="Outlier"/>
  </r>
  <r>
    <n v="1392838"/>
    <n v="1138"/>
    <x v="6"/>
    <d v="2023-07-30T23:31:00"/>
    <s v="Other"/>
    <s v="Jeff Young"/>
    <n v="1617"/>
    <d v="2023-07-30T00:00:00"/>
    <x v="57"/>
    <x v="6"/>
    <x v="6"/>
    <s v="Outlier"/>
  </r>
  <r>
    <n v="1393397"/>
    <n v="73"/>
    <x v="7"/>
    <d v="2023-04-05T00:32:00"/>
    <s v="Other"/>
    <s v="Paul Henriot"/>
    <n v="7174"/>
    <d v="2023-04-05T00:00:00"/>
    <x v="58"/>
    <x v="1"/>
    <x v="4"/>
    <s v="Outlier"/>
  </r>
  <r>
    <n v="1393864"/>
    <n v="1794"/>
    <x v="6"/>
    <d v="2023-07-07T01:45:00"/>
    <s v="App"/>
    <s v="Valarie Nelson"/>
    <n v="3135"/>
    <d v="2023-07-07T00:00:00"/>
    <x v="59"/>
    <x v="6"/>
    <x v="0"/>
    <s v="Outlier"/>
  </r>
  <r>
    <n v="1395655"/>
    <n v="345"/>
    <x v="1"/>
    <d v="2023-08-12T00:41:00"/>
    <s v="Website"/>
    <s v="Diego Freyre"/>
    <n v="8180"/>
    <d v="2023-08-12T00:00:00"/>
    <x v="60"/>
    <x v="8"/>
    <x v="1"/>
    <s v="Outlier"/>
  </r>
  <r>
    <n v="1395839"/>
    <n v="163"/>
    <x v="0"/>
    <d v="2023-05-24T00:16:00"/>
    <s v="Website"/>
    <s v="Diego Freyre"/>
    <n v="2045"/>
    <d v="2023-05-24T00:00:00"/>
    <x v="61"/>
    <x v="11"/>
    <x v="4"/>
    <s v="Outlier"/>
  </r>
  <r>
    <n v="1396020"/>
    <n v="1139"/>
    <x v="0"/>
    <d v="2023-12-22T23:33:00"/>
    <s v="Other"/>
    <s v="Diego Freyre"/>
    <n v="5055"/>
    <d v="2023-12-22T00:00:00"/>
    <x v="62"/>
    <x v="0"/>
    <x v="0"/>
    <s v="Outlier"/>
  </r>
  <r>
    <n v="1396650"/>
    <n v="1751"/>
    <x v="0"/>
    <d v="2023-12-12T00:33:00"/>
    <s v="App"/>
    <s v="Jonas Bergulfsen"/>
    <n v="9911"/>
    <d v="2023-12-12T00:00:00"/>
    <x v="53"/>
    <x v="0"/>
    <x v="2"/>
    <s v="Outlier"/>
  </r>
  <r>
    <n v="1398659"/>
    <n v="1366"/>
    <x v="0"/>
    <d v="2023-11-29T00:01:00"/>
    <s v="App"/>
    <s v="Julie Murphy"/>
    <n v="1845"/>
    <d v="2023-11-29T00:00:00"/>
    <x v="63"/>
    <x v="2"/>
    <x v="4"/>
    <s v="Outlier"/>
  </r>
  <r>
    <n v="1399773"/>
    <n v="1990"/>
    <x v="0"/>
    <d v="2023-01-03T00:04:00"/>
    <s v="Other"/>
    <s v="Mart¡n Sommer"/>
    <n v="6970"/>
    <d v="2023-01-03T00:00:00"/>
    <x v="64"/>
    <x v="9"/>
    <x v="2"/>
    <s v="Outlier"/>
  </r>
  <r>
    <n v="1400564"/>
    <n v="768"/>
    <x v="0"/>
    <d v="2023-09-19T01:26:00"/>
    <s v="App"/>
    <s v="Adrian Huxley"/>
    <n v="5190"/>
    <d v="2023-09-19T00:00:00"/>
    <x v="65"/>
    <x v="10"/>
    <x v="2"/>
    <s v="Outlier"/>
  </r>
  <r>
    <n v="1400596"/>
    <n v="367"/>
    <x v="1"/>
    <d v="2023-08-21T23:08:00"/>
    <s v="Whatsapp"/>
    <s v="Sue Taylor"/>
    <n v="680"/>
    <d v="2023-08-21T00:00:00"/>
    <x v="66"/>
    <x v="8"/>
    <x v="5"/>
    <s v="Outlier"/>
  </r>
  <r>
    <n v="1401727"/>
    <n v="637"/>
    <x v="0"/>
    <d v="2023-08-14T00:35:00"/>
    <s v="Other"/>
    <s v="Maria Hernandez"/>
    <n v="4277"/>
    <d v="2023-08-14T00:00:00"/>
    <x v="67"/>
    <x v="8"/>
    <x v="5"/>
    <s v="Outlier"/>
  </r>
  <r>
    <n v="1404328"/>
    <n v="1469"/>
    <x v="2"/>
    <d v="2023-02-23T00:20:00"/>
    <s v="App"/>
    <s v="Giovanni Rovelli"/>
    <n v="4532"/>
    <d v="2023-02-23T00:00:00"/>
    <x v="68"/>
    <x v="5"/>
    <x v="3"/>
    <s v="Outlier"/>
  </r>
  <r>
    <n v="1404963"/>
    <n v="69"/>
    <x v="0"/>
    <d v="2023-12-18T00:55:00"/>
    <s v="Website"/>
    <s v="Francisca Cervantes"/>
    <n v="1572"/>
    <d v="2023-12-18T00:00:00"/>
    <x v="44"/>
    <x v="0"/>
    <x v="5"/>
    <s v="Outlier"/>
  </r>
  <r>
    <n v="1405341"/>
    <n v="749"/>
    <x v="5"/>
    <d v="2023-07-08T01:28:00"/>
    <s v="Website"/>
    <s v="Sean Connery"/>
    <n v="1177"/>
    <d v="2023-07-08T00:00:00"/>
    <x v="49"/>
    <x v="6"/>
    <x v="1"/>
    <s v="Outlier"/>
  </r>
  <r>
    <n v="1405517"/>
    <n v="1790"/>
    <x v="0"/>
    <d v="2023-05-29T00:53:00"/>
    <s v="Whatsapp"/>
    <s v="Yoshi Tannamuri"/>
    <n v="8268"/>
    <d v="2023-05-29T00:00:00"/>
    <x v="36"/>
    <x v="11"/>
    <x v="5"/>
    <s v="Outlier"/>
  </r>
  <r>
    <n v="1407976"/>
    <n v="569"/>
    <x v="0"/>
    <d v="2023-04-02T23:21:00"/>
    <s v="Other"/>
    <s v="Steve Thompson"/>
    <n v="8751"/>
    <d v="2023-04-02T00:00:00"/>
    <x v="69"/>
    <x v="1"/>
    <x v="6"/>
    <s v="Outlier"/>
  </r>
  <r>
    <n v="1409071"/>
    <n v="807"/>
    <x v="10"/>
    <d v="2023-04-25T23:14:00"/>
    <s v="Whatsapp"/>
    <s v="Kyung Tseng"/>
    <n v="1067"/>
    <d v="2023-04-25T00:00:00"/>
    <x v="70"/>
    <x v="1"/>
    <x v="2"/>
    <s v="Outlier"/>
  </r>
  <r>
    <n v="1409253"/>
    <n v="1099"/>
    <x v="3"/>
    <d v="2023-04-03T23:29:00"/>
    <s v="Whatsapp"/>
    <s v="Diego Freyre"/>
    <n v="136"/>
    <d v="2023-04-03T00:00:00"/>
    <x v="71"/>
    <x v="1"/>
    <x v="5"/>
    <s v="Outlier"/>
  </r>
  <r>
    <n v="1409459"/>
    <n v="843"/>
    <x v="0"/>
    <d v="2023-05-21T00:22:00"/>
    <s v="App"/>
    <s v="Sue Frick"/>
    <n v="6955"/>
    <d v="2023-05-21T00:00:00"/>
    <x v="54"/>
    <x v="11"/>
    <x v="6"/>
    <s v="Outlier"/>
  </r>
  <r>
    <n v="1409549"/>
    <n v="915"/>
    <x v="3"/>
    <d v="2023-07-22T00:03:00"/>
    <s v="App"/>
    <s v="Georg Pipps"/>
    <n v="8235"/>
    <d v="2023-07-22T00:00:00"/>
    <x v="72"/>
    <x v="6"/>
    <x v="1"/>
    <s v="Outlier"/>
  </r>
  <r>
    <n v="1409687"/>
    <n v="1475"/>
    <x v="4"/>
    <d v="2023-04-03T00:54:00"/>
    <s v="Whatsapp"/>
    <s v="Paolo Accorti"/>
    <n v="3268"/>
    <d v="2023-04-03T00:00:00"/>
    <x v="73"/>
    <x v="1"/>
    <x v="5"/>
    <s v="Outlier"/>
  </r>
  <r>
    <n v="1411077"/>
    <n v="1545"/>
    <x v="8"/>
    <d v="2023-06-15T00:04:00"/>
    <s v="Whatsapp"/>
    <s v="Leslie Taylor"/>
    <n v="6186"/>
    <d v="2023-06-15T00:00:00"/>
    <x v="64"/>
    <x v="7"/>
    <x v="3"/>
    <s v="Outlier"/>
  </r>
  <r>
    <n v="1411455"/>
    <n v="1416"/>
    <x v="0"/>
    <d v="2023-03-25T23:35:00"/>
    <s v="Other"/>
    <s v="Daniel Tonini"/>
    <n v="8932"/>
    <d v="2023-03-25T00:00:00"/>
    <x v="74"/>
    <x v="4"/>
    <x v="1"/>
    <s v="Outlier"/>
  </r>
  <r>
    <n v="1412551"/>
    <n v="610"/>
    <x v="3"/>
    <d v="2023-09-07T00:11:00"/>
    <s v="Other"/>
    <s v="Valarie Nelson"/>
    <n v="425"/>
    <d v="2023-09-07T00:00:00"/>
    <x v="10"/>
    <x v="10"/>
    <x v="3"/>
    <s v="Outlier"/>
  </r>
  <r>
    <n v="1414158"/>
    <n v="789"/>
    <x v="3"/>
    <d v="2023-03-20T01:05:00"/>
    <s v="App"/>
    <s v="Michael Frick"/>
    <n v="8686"/>
    <d v="2023-03-20T00:00:00"/>
    <x v="12"/>
    <x v="4"/>
    <x v="5"/>
    <s v="Outlier"/>
  </r>
  <r>
    <n v="1416529"/>
    <n v="1980"/>
    <x v="11"/>
    <d v="2023-06-27T00:07:00"/>
    <s v="App"/>
    <s v="Julie Murphy"/>
    <n v="576"/>
    <d v="2023-06-27T00:00:00"/>
    <x v="34"/>
    <x v="7"/>
    <x v="2"/>
    <s v="Outlier"/>
  </r>
  <r>
    <n v="1417112"/>
    <n v="1938"/>
    <x v="0"/>
    <d v="2023-05-18T00:47:00"/>
    <s v="Whatsapp"/>
    <s v="Mart¡n Sommer"/>
    <n v="2520"/>
    <d v="2023-05-18T00:00:00"/>
    <x v="75"/>
    <x v="11"/>
    <x v="3"/>
    <s v="Outlier"/>
  </r>
  <r>
    <n v="1417673"/>
    <n v="1947"/>
    <x v="4"/>
    <d v="2023-05-03T01:40:00"/>
    <s v="Website"/>
    <s v="Diego Freyre"/>
    <n v="8765"/>
    <d v="2023-05-03T00:00:00"/>
    <x v="76"/>
    <x v="11"/>
    <x v="4"/>
    <s v="Outlier"/>
  </r>
  <r>
    <n v="1418125"/>
    <n v="1496"/>
    <x v="0"/>
    <d v="2023-08-12T00:46:00"/>
    <s v="Website"/>
    <s v="Allen Nelson"/>
    <n v="8586"/>
    <d v="2023-08-12T00:00:00"/>
    <x v="77"/>
    <x v="8"/>
    <x v="1"/>
    <s v="Outlier"/>
  </r>
  <r>
    <n v="1420227"/>
    <n v="1540"/>
    <x v="6"/>
    <d v="2023-03-22T00:32:00"/>
    <s v="Website"/>
    <s v="Valarie Nelson"/>
    <n v="615"/>
    <d v="2023-03-22T00:00:00"/>
    <x v="58"/>
    <x v="4"/>
    <x v="4"/>
    <s v="Outlier"/>
  </r>
  <r>
    <n v="1420448"/>
    <n v="1708"/>
    <x v="3"/>
    <d v="2023-04-09T23:37:00"/>
    <s v="Website"/>
    <s v="Catherine Dewey"/>
    <n v="5060"/>
    <d v="2023-04-09T00:00:00"/>
    <x v="78"/>
    <x v="1"/>
    <x v="6"/>
    <s v="Outlier"/>
  </r>
  <r>
    <n v="1420854"/>
    <n v="1759"/>
    <x v="4"/>
    <d v="2023-10-06T23:27:00"/>
    <s v="Website"/>
    <s v="Giovanni Rovelli"/>
    <n v="1964"/>
    <d v="2023-10-06T00:00:00"/>
    <x v="79"/>
    <x v="3"/>
    <x v="0"/>
    <s v="Outlier"/>
  </r>
  <r>
    <n v="1421840"/>
    <n v="1128"/>
    <x v="3"/>
    <d v="2023-09-09T23:38:00"/>
    <s v="App"/>
    <s v="Peter Ferguson"/>
    <n v="1084"/>
    <d v="2023-09-09T00:00:00"/>
    <x v="80"/>
    <x v="10"/>
    <x v="1"/>
    <s v="Outlier"/>
  </r>
  <r>
    <n v="1422378"/>
    <n v="684"/>
    <x v="10"/>
    <d v="2023-11-06T00:11:00"/>
    <s v="Website"/>
    <s v="Diego Freyre"/>
    <n v="3274"/>
    <d v="2023-11-06T00:00:00"/>
    <x v="10"/>
    <x v="2"/>
    <x v="5"/>
    <s v="Outlier"/>
  </r>
  <r>
    <n v="1422755"/>
    <n v="830"/>
    <x v="3"/>
    <d v="2023-10-27T00:04:00"/>
    <s v="App"/>
    <s v="Julie Young"/>
    <n v="7502"/>
    <d v="2023-10-27T00:00:00"/>
    <x v="64"/>
    <x v="3"/>
    <x v="0"/>
    <s v="Outlier"/>
  </r>
  <r>
    <n v="1423052"/>
    <n v="536"/>
    <x v="7"/>
    <d v="2023-01-27T00:58:00"/>
    <s v="Website"/>
    <s v="Juri Hirano"/>
    <n v="8357"/>
    <d v="2023-01-27T00:00:00"/>
    <x v="28"/>
    <x v="9"/>
    <x v="0"/>
    <s v="Outlier"/>
  </r>
  <r>
    <n v="1424219"/>
    <n v="1706"/>
    <x v="0"/>
    <d v="2023-08-01T00:09:00"/>
    <s v="App"/>
    <s v="Mory Kentary"/>
    <n v="2522"/>
    <d v="2023-08-01T00:00:00"/>
    <x v="81"/>
    <x v="8"/>
    <x v="2"/>
    <s v="Outlier"/>
  </r>
  <r>
    <n v="1424531"/>
    <n v="1425"/>
    <x v="6"/>
    <d v="2023-04-08T22:59:00"/>
    <s v="App"/>
    <s v="Peter Ferguson"/>
    <n v="5390"/>
    <d v="2023-04-08T00:00:00"/>
    <x v="25"/>
    <x v="1"/>
    <x v="1"/>
    <s v="Outlier"/>
  </r>
  <r>
    <n v="1424927"/>
    <n v="176"/>
    <x v="3"/>
    <d v="2023-12-04T00:05:00"/>
    <s v="Website"/>
    <s v="Elizabeth Lincoln"/>
    <n v="9104"/>
    <d v="2023-12-04T00:00:00"/>
    <x v="48"/>
    <x v="0"/>
    <x v="5"/>
    <s v="Outlier"/>
  </r>
  <r>
    <n v="1425405"/>
    <n v="1220"/>
    <x v="0"/>
    <d v="2023-05-24T00:07:00"/>
    <s v="Whatsapp"/>
    <s v="Sue Frick"/>
    <n v="6403"/>
    <d v="2023-05-24T00:00:00"/>
    <x v="34"/>
    <x v="11"/>
    <x v="4"/>
    <s v="Outlier"/>
  </r>
  <r>
    <n v="1426596"/>
    <n v="1768"/>
    <x v="0"/>
    <d v="2023-12-21T00:34:00"/>
    <s v="App"/>
    <s v="Julie King"/>
    <n v="3187"/>
    <d v="2023-12-21T00:00:00"/>
    <x v="21"/>
    <x v="0"/>
    <x v="3"/>
    <s v="Outlier"/>
  </r>
  <r>
    <n v="1427947"/>
    <n v="823"/>
    <x v="3"/>
    <d v="2023-01-25T02:12:00"/>
    <s v="Website"/>
    <s v="Janine Labrune"/>
    <n v="4859"/>
    <d v="2023-01-25T00:00:00"/>
    <x v="82"/>
    <x v="9"/>
    <x v="4"/>
    <s v="Outlier"/>
  </r>
  <r>
    <n v="1428296"/>
    <n v="80"/>
    <x v="0"/>
    <d v="2023-05-20T00:55:00"/>
    <s v="App"/>
    <s v="Jan Klaeboe"/>
    <n v="1637"/>
    <d v="2023-05-20T00:00:00"/>
    <x v="44"/>
    <x v="11"/>
    <x v="1"/>
    <s v="Outlier"/>
  </r>
  <r>
    <n v="1428328"/>
    <n v="1988"/>
    <x v="0"/>
    <d v="2023-04-28T01:23:00"/>
    <s v="Website"/>
    <s v="Dean Cassidy"/>
    <n v="2435"/>
    <d v="2023-04-28T00:00:00"/>
    <x v="83"/>
    <x v="1"/>
    <x v="0"/>
    <s v="Outlier"/>
  </r>
  <r>
    <n v="1429209"/>
    <n v="701"/>
    <x v="1"/>
    <d v="2023-12-04T01:16:00"/>
    <s v="Whatsapp"/>
    <s v="Steve Frick"/>
    <n v="1494"/>
    <d v="2023-12-04T00:00:00"/>
    <x v="84"/>
    <x v="0"/>
    <x v="5"/>
    <s v="Outlier"/>
  </r>
  <r>
    <n v="1432252"/>
    <n v="286"/>
    <x v="0"/>
    <d v="2023-01-04T00:44:00"/>
    <s v="Whatsapp"/>
    <s v="Juri Hirano"/>
    <n v="4443"/>
    <d v="2023-01-04T00:00:00"/>
    <x v="85"/>
    <x v="9"/>
    <x v="4"/>
    <s v="Outlier"/>
  </r>
  <r>
    <n v="1433358"/>
    <n v="125"/>
    <x v="4"/>
    <d v="2023-05-30T00:20:00"/>
    <s v="Other"/>
    <s v="Giovanni Rovelli"/>
    <n v="7762"/>
    <d v="2023-05-30T00:00:00"/>
    <x v="68"/>
    <x v="11"/>
    <x v="2"/>
    <s v="Outlier"/>
  </r>
  <r>
    <n v="1436270"/>
    <n v="1052"/>
    <x v="7"/>
    <d v="2023-06-24T01:41:00"/>
    <s v="App"/>
    <s v="Eduardo Saavedra"/>
    <n v="1360"/>
    <d v="2023-06-24T00:00:00"/>
    <x v="86"/>
    <x v="7"/>
    <x v="1"/>
    <s v="Outlier"/>
  </r>
  <r>
    <n v="1437527"/>
    <n v="1495"/>
    <x v="13"/>
    <d v="2023-02-25T00:47:00"/>
    <s v="Website"/>
    <s v="Dan Lewis"/>
    <n v="2234"/>
    <d v="2023-02-25T00:00:00"/>
    <x v="75"/>
    <x v="5"/>
    <x v="1"/>
    <s v="Outlier"/>
  </r>
  <r>
    <n v="1437873"/>
    <n v="493"/>
    <x v="0"/>
    <d v="2023-05-06T23:51:00"/>
    <s v="Website"/>
    <s v="Adrian Huxley"/>
    <n v="5373"/>
    <d v="2023-05-06T00:00:00"/>
    <x v="87"/>
    <x v="11"/>
    <x v="1"/>
    <s v="Outlier"/>
  </r>
  <r>
    <n v="1438232"/>
    <n v="1388"/>
    <x v="5"/>
    <d v="2023-03-31T00:48:00"/>
    <s v="Whatsapp"/>
    <s v="Janine Labrune"/>
    <n v="8781"/>
    <d v="2023-03-31T00:00:00"/>
    <x v="88"/>
    <x v="4"/>
    <x v="0"/>
    <s v="Outlier"/>
  </r>
  <r>
    <n v="1438726"/>
    <n v="1037"/>
    <x v="1"/>
    <d v="2023-09-25T00:02:00"/>
    <s v="Whatsapp"/>
    <s v="Diego Freyre"/>
    <n v="2991"/>
    <d v="2023-09-25T00:00:00"/>
    <x v="89"/>
    <x v="10"/>
    <x v="5"/>
    <s v="Outlier"/>
  </r>
  <r>
    <n v="1438926"/>
    <n v="367"/>
    <x v="1"/>
    <d v="2023-04-26T22:39:00"/>
    <s v="App"/>
    <s v="Paul Henriot"/>
    <n v="3956"/>
    <d v="2023-04-26T00:00:00"/>
    <x v="90"/>
    <x v="1"/>
    <x v="4"/>
    <s v="Outlier"/>
  </r>
  <r>
    <n v="1439951"/>
    <n v="1852"/>
    <x v="2"/>
    <d v="2023-08-08T23:32:00"/>
    <s v="Whatsapp"/>
    <s v="William Brown"/>
    <n v="1905"/>
    <d v="2023-08-08T00:00:00"/>
    <x v="91"/>
    <x v="8"/>
    <x v="2"/>
    <s v="Outlier"/>
  </r>
  <r>
    <n v="1440438"/>
    <n v="531"/>
    <x v="0"/>
    <d v="2023-01-05T01:09:00"/>
    <s v="Website"/>
    <s v="Maurizio Moroni"/>
    <n v="1288"/>
    <d v="2023-01-05T00:00:00"/>
    <x v="92"/>
    <x v="9"/>
    <x v="3"/>
    <s v="Outlier"/>
  </r>
  <r>
    <n v="1440486"/>
    <n v="898"/>
    <x v="0"/>
    <d v="2023-11-23T00:28:00"/>
    <s v="Website"/>
    <s v="Arnold Cruz"/>
    <n v="7417"/>
    <d v="2023-11-23T00:00:00"/>
    <x v="39"/>
    <x v="2"/>
    <x v="3"/>
    <s v="Outlier"/>
  </r>
  <r>
    <n v="1441153"/>
    <n v="1510"/>
    <x v="8"/>
    <d v="2023-10-14T00:39:00"/>
    <s v="App"/>
    <s v="Laurence Lebihan"/>
    <n v="3392"/>
    <d v="2023-10-14T00:00:00"/>
    <x v="11"/>
    <x v="3"/>
    <x v="1"/>
    <s v="Outlier"/>
  </r>
  <r>
    <n v="1441631"/>
    <n v="1359"/>
    <x v="0"/>
    <d v="2023-05-17T00:51:00"/>
    <s v="Website"/>
    <s v="Valarie Nelson"/>
    <n v="6438"/>
    <d v="2023-05-17T00:00:00"/>
    <x v="93"/>
    <x v="11"/>
    <x v="4"/>
    <s v="Outlier"/>
  </r>
  <r>
    <n v="1441698"/>
    <n v="118"/>
    <x v="0"/>
    <d v="2023-05-06T23:52:00"/>
    <s v="Website"/>
    <s v="Allen Nelson"/>
    <n v="4154"/>
    <d v="2023-05-06T00:00:00"/>
    <x v="94"/>
    <x v="11"/>
    <x v="1"/>
    <s v="Outlier"/>
  </r>
  <r>
    <n v="1443406"/>
    <n v="1141"/>
    <x v="3"/>
    <d v="2023-07-24T01:19:00"/>
    <s v="Whatsapp"/>
    <s v="Julie Brown"/>
    <n v="8328"/>
    <d v="2023-07-24T00:00:00"/>
    <x v="95"/>
    <x v="6"/>
    <x v="5"/>
    <s v="Outlier"/>
  </r>
  <r>
    <n v="1443815"/>
    <n v="623"/>
    <x v="1"/>
    <d v="2023-01-26T23:58:00"/>
    <s v="App"/>
    <s v="Anna O'Hara"/>
    <n v="9333"/>
    <d v="2023-01-26T00:00:00"/>
    <x v="96"/>
    <x v="9"/>
    <x v="3"/>
    <s v="Outlier"/>
  </r>
  <r>
    <n v="1444534"/>
    <n v="1217"/>
    <x v="0"/>
    <d v="2023-12-14T00:40:00"/>
    <s v="Whatsapp"/>
    <s v="Martine Rance"/>
    <n v="4597"/>
    <d v="2023-12-14T00:00:00"/>
    <x v="51"/>
    <x v="0"/>
    <x v="3"/>
    <s v="Outlier"/>
  </r>
  <r>
    <n v="1444921"/>
    <n v="973"/>
    <x v="0"/>
    <d v="2023-09-17T00:13:00"/>
    <s v="App"/>
    <s v="Henriette Pfalzheim"/>
    <n v="7329"/>
    <d v="2023-09-17T00:00:00"/>
    <x v="97"/>
    <x v="10"/>
    <x v="6"/>
    <s v="Outlier"/>
  </r>
  <r>
    <n v="1445405"/>
    <n v="226"/>
    <x v="0"/>
    <d v="2023-04-26T01:08:00"/>
    <s v="Website"/>
    <s v="Dominique Perrier"/>
    <n v="4037"/>
    <d v="2023-04-26T00:00:00"/>
    <x v="37"/>
    <x v="1"/>
    <x v="4"/>
    <s v="Outlier"/>
  </r>
  <r>
    <n v="1445568"/>
    <n v="550"/>
    <x v="0"/>
    <d v="2023-07-23T02:16:00"/>
    <s v="App"/>
    <s v="Michael Holz"/>
    <n v="3612"/>
    <d v="2023-07-23T00:00:00"/>
    <x v="98"/>
    <x v="6"/>
    <x v="6"/>
    <s v="Outlier"/>
  </r>
  <r>
    <n v="1446428"/>
    <n v="1271"/>
    <x v="3"/>
    <d v="2023-12-31T23:34:00"/>
    <s v="Other"/>
    <s v="Jytte Petersen"/>
    <n v="4354"/>
    <d v="2023-12-31T00:00:00"/>
    <x v="99"/>
    <x v="0"/>
    <x v="6"/>
    <s v="Outlier"/>
  </r>
  <r>
    <n v="1448149"/>
    <n v="340"/>
    <x v="3"/>
    <d v="2023-05-12T23:47:00"/>
    <s v="Whatsapp"/>
    <s v="Dominique Perrier"/>
    <n v="8948"/>
    <d v="2023-05-12T00:00:00"/>
    <x v="100"/>
    <x v="11"/>
    <x v="0"/>
    <s v="Outlier"/>
  </r>
  <r>
    <n v="1448694"/>
    <n v="75"/>
    <x v="6"/>
    <d v="2023-05-22T23:39:00"/>
    <s v="App"/>
    <s v="Juri Yoshido"/>
    <n v="1873"/>
    <d v="2023-05-22T00:00:00"/>
    <x v="101"/>
    <x v="11"/>
    <x v="5"/>
    <s v="Outlier"/>
  </r>
  <r>
    <n v="1448727"/>
    <n v="1583"/>
    <x v="5"/>
    <d v="2023-01-25T01:53:00"/>
    <s v="Whatsapp"/>
    <s v="Miguel Barajas"/>
    <n v="8355"/>
    <d v="2023-01-25T00:00:00"/>
    <x v="102"/>
    <x v="9"/>
    <x v="4"/>
    <s v="Outlier"/>
  </r>
  <r>
    <n v="1449298"/>
    <n v="1511"/>
    <x v="0"/>
    <d v="2023-06-26T01:29:00"/>
    <s v="Website"/>
    <s v="Michael Holz"/>
    <n v="837"/>
    <d v="2023-06-26T00:00:00"/>
    <x v="103"/>
    <x v="7"/>
    <x v="5"/>
    <s v="Outlier"/>
  </r>
  <r>
    <n v="1449763"/>
    <n v="465"/>
    <x v="0"/>
    <d v="2023-03-12T01:07:00"/>
    <s v="App"/>
    <s v="Matti Karttunen"/>
    <n v="425"/>
    <d v="2023-03-12T00:00:00"/>
    <x v="31"/>
    <x v="4"/>
    <x v="6"/>
    <s v="Outlier"/>
  </r>
  <r>
    <n v="1449820"/>
    <n v="1828"/>
    <x v="10"/>
    <d v="2023-11-29T23:40:00"/>
    <s v="Other"/>
    <s v="Henriette Pfalzheim"/>
    <n v="1844"/>
    <d v="2023-11-29T00:00:00"/>
    <x v="1"/>
    <x v="2"/>
    <x v="4"/>
    <s v="Outlier"/>
  </r>
  <r>
    <n v="1449918"/>
    <n v="1881"/>
    <x v="3"/>
    <d v="2023-03-22T01:51:00"/>
    <s v="Website"/>
    <s v="Kee Kuo"/>
    <n v="8835"/>
    <d v="2023-03-22T00:00:00"/>
    <x v="104"/>
    <x v="4"/>
    <x v="4"/>
    <s v="Outlier"/>
  </r>
  <r>
    <n v="1452068"/>
    <n v="658"/>
    <x v="1"/>
    <d v="2023-09-30T01:26:00"/>
    <s v="Website"/>
    <s v="Rosa Hernandez"/>
    <n v="1299"/>
    <d v="2023-09-30T00:00:00"/>
    <x v="65"/>
    <x v="10"/>
    <x v="1"/>
    <s v="Outlier"/>
  </r>
  <r>
    <n v="1452251"/>
    <n v="1276"/>
    <x v="3"/>
    <d v="2023-03-24T22:54:00"/>
    <s v="Other"/>
    <s v="Paul Henriot"/>
    <n v="9140"/>
    <d v="2023-03-24T00:00:00"/>
    <x v="105"/>
    <x v="4"/>
    <x v="0"/>
    <s v="Outlier"/>
  </r>
  <r>
    <n v="1453632"/>
    <n v="26"/>
    <x v="3"/>
    <d v="2023-05-25T00:49:00"/>
    <s v="App"/>
    <s v="Diego Freyre"/>
    <n v="1681"/>
    <d v="2023-05-25T00:00:00"/>
    <x v="35"/>
    <x v="11"/>
    <x v="3"/>
    <s v="Outlier"/>
  </r>
  <r>
    <n v="1453804"/>
    <n v="727"/>
    <x v="3"/>
    <d v="2023-01-15T22:36:00"/>
    <s v="App"/>
    <s v="Kalle Suominen"/>
    <n v="9801"/>
    <d v="2023-01-15T00:00:00"/>
    <x v="106"/>
    <x v="9"/>
    <x v="6"/>
    <s v="Outlier"/>
  </r>
  <r>
    <n v="1454237"/>
    <n v="604"/>
    <x v="9"/>
    <d v="2023-11-20T00:40:00"/>
    <s v="App"/>
    <s v="Diego Freyre"/>
    <n v="8617"/>
    <d v="2023-11-20T00:00:00"/>
    <x v="51"/>
    <x v="2"/>
    <x v="5"/>
    <s v="Outlier"/>
  </r>
  <r>
    <n v="1454722"/>
    <n v="557"/>
    <x v="7"/>
    <d v="2023-06-14T00:51:00"/>
    <s v="Other"/>
    <s v="Valarie Nelson"/>
    <n v="7460"/>
    <d v="2023-06-14T00:00:00"/>
    <x v="93"/>
    <x v="7"/>
    <x v="4"/>
    <s v="Outlier"/>
  </r>
  <r>
    <n v="1454915"/>
    <n v="1109"/>
    <x v="1"/>
    <d v="2023-09-26T23:40:00"/>
    <s v="Whatsapp"/>
    <s v="Jonas Bergulfsen"/>
    <n v="5760"/>
    <d v="2023-09-26T00:00:00"/>
    <x v="1"/>
    <x v="10"/>
    <x v="2"/>
    <s v="Outlier"/>
  </r>
  <r>
    <n v="1455334"/>
    <n v="1735"/>
    <x v="10"/>
    <d v="2023-12-06T00:10:00"/>
    <s v="Whatsapp"/>
    <s v="Marie Bertrand"/>
    <n v="8911"/>
    <d v="2023-12-06T00:00:00"/>
    <x v="107"/>
    <x v="0"/>
    <x v="4"/>
    <s v="Outlier"/>
  </r>
  <r>
    <n v="1456673"/>
    <n v="275"/>
    <x v="2"/>
    <d v="2023-07-06T00:10:00"/>
    <s v="Other"/>
    <s v="Mart¡n Sommer"/>
    <n v="4862"/>
    <d v="2023-07-06T00:00:00"/>
    <x v="107"/>
    <x v="6"/>
    <x v="3"/>
    <s v="Outlier"/>
  </r>
  <r>
    <n v="1457155"/>
    <n v="418"/>
    <x v="5"/>
    <d v="2023-09-13T00:13:00"/>
    <s v="Website"/>
    <s v="Juri Hirano"/>
    <n v="2807"/>
    <d v="2023-09-13T00:00:00"/>
    <x v="97"/>
    <x v="10"/>
    <x v="4"/>
    <s v="Outlier"/>
  </r>
  <r>
    <n v="1459990"/>
    <n v="85"/>
    <x v="2"/>
    <d v="2023-06-21T23:31:00"/>
    <s v="Website"/>
    <s v="Pirkko Koskitalo"/>
    <n v="1384"/>
    <d v="2023-06-21T00:00:00"/>
    <x v="57"/>
    <x v="7"/>
    <x v="4"/>
    <s v="Outlier"/>
  </r>
  <r>
    <n v="1460179"/>
    <n v="331"/>
    <x v="5"/>
    <d v="2023-07-03T01:12:00"/>
    <s v="App"/>
    <s v="Roland Mendel"/>
    <n v="7781"/>
    <d v="2023-07-03T00:00:00"/>
    <x v="52"/>
    <x v="6"/>
    <x v="5"/>
    <s v="Outlier"/>
  </r>
  <r>
    <n v="1460925"/>
    <n v="1141"/>
    <x v="3"/>
    <d v="2023-02-06T00:27:00"/>
    <s v="App"/>
    <s v="Ann Brown"/>
    <n v="2472"/>
    <d v="2023-02-06T00:00:00"/>
    <x v="108"/>
    <x v="5"/>
    <x v="5"/>
    <s v="Outlier"/>
  </r>
  <r>
    <n v="1461194"/>
    <n v="1262"/>
    <x v="0"/>
    <d v="2023-04-29T01:37:00"/>
    <s v="App"/>
    <s v="Jose Pedro Roel"/>
    <n v="9700"/>
    <d v="2023-04-29T00:00:00"/>
    <x v="109"/>
    <x v="1"/>
    <x v="1"/>
    <s v="Outlier"/>
  </r>
  <r>
    <n v="1461613"/>
    <n v="1086"/>
    <x v="3"/>
    <d v="2023-10-27T23:19:00"/>
    <s v="Other"/>
    <s v="Mary Saveley"/>
    <n v="8282"/>
    <d v="2023-10-27T00:00:00"/>
    <x v="24"/>
    <x v="3"/>
    <x v="0"/>
    <s v="Outlier"/>
  </r>
  <r>
    <n v="1461756"/>
    <n v="1743"/>
    <x v="0"/>
    <d v="2023-06-21T00:23:00"/>
    <s v="Website"/>
    <s v="Valarie Franco"/>
    <n v="3339"/>
    <d v="2023-06-21T00:00:00"/>
    <x v="6"/>
    <x v="7"/>
    <x v="4"/>
    <s v="Outlier"/>
  </r>
  <r>
    <n v="1461908"/>
    <n v="311"/>
    <x v="6"/>
    <d v="2023-07-06T22:57:00"/>
    <s v="Other"/>
    <s v="Wendy Victorino"/>
    <n v="6698"/>
    <d v="2023-07-06T00:00:00"/>
    <x v="110"/>
    <x v="6"/>
    <x v="3"/>
    <s v="Outlier"/>
  </r>
  <r>
    <n v="1462009"/>
    <n v="1803"/>
    <x v="4"/>
    <d v="2023-01-02T00:35:00"/>
    <s v="Whatsapp"/>
    <s v="Valarie Nelson"/>
    <n v="5184"/>
    <d v="2023-01-02T00:00:00"/>
    <x v="67"/>
    <x v="9"/>
    <x v="5"/>
    <s v="Outlier"/>
  </r>
  <r>
    <n v="1462495"/>
    <n v="243"/>
    <x v="0"/>
    <d v="2023-10-28T00:45:00"/>
    <s v="Website"/>
    <s v="Leslie Murphy"/>
    <n v="2850"/>
    <d v="2023-10-28T00:00:00"/>
    <x v="29"/>
    <x v="3"/>
    <x v="1"/>
    <s v="Outlier"/>
  </r>
  <r>
    <n v="1465193"/>
    <n v="87"/>
    <x v="1"/>
    <d v="2023-04-25T00:30:00"/>
    <s v="Website"/>
    <s v="Wendy Victorino"/>
    <n v="7107"/>
    <d v="2023-04-25T00:00:00"/>
    <x v="111"/>
    <x v="1"/>
    <x v="2"/>
    <s v="Outlier"/>
  </r>
  <r>
    <n v="1465254"/>
    <n v="1992"/>
    <x v="13"/>
    <d v="2023-09-01T00:43:00"/>
    <s v="Website"/>
    <s v="Adrian Huxley"/>
    <n v="5514"/>
    <d v="2023-09-01T00:00:00"/>
    <x v="112"/>
    <x v="10"/>
    <x v="0"/>
    <s v="Outlier"/>
  </r>
  <r>
    <n v="1466316"/>
    <n v="122"/>
    <x v="4"/>
    <d v="2023-01-07T01:51:00"/>
    <s v="Whatsapp"/>
    <s v="Kyung Yu"/>
    <n v="1672"/>
    <d v="2023-01-07T00:00:00"/>
    <x v="104"/>
    <x v="9"/>
    <x v="1"/>
    <s v="Outlier"/>
  </r>
  <r>
    <n v="1466372"/>
    <n v="1073"/>
    <x v="4"/>
    <d v="2023-11-16T22:59:00"/>
    <s v="Website"/>
    <s v="Maria Larsson"/>
    <n v="8940"/>
    <d v="2023-11-16T00:00:00"/>
    <x v="25"/>
    <x v="2"/>
    <x v="3"/>
    <s v="Outlier"/>
  </r>
  <r>
    <n v="1466718"/>
    <n v="453"/>
    <x v="3"/>
    <d v="2023-05-26T00:01:00"/>
    <s v="Website"/>
    <s v="Marta Hernandez"/>
    <n v="9174"/>
    <d v="2023-05-26T00:00:00"/>
    <x v="63"/>
    <x v="11"/>
    <x v="0"/>
    <s v="Outlier"/>
  </r>
  <r>
    <n v="1467283"/>
    <n v="113"/>
    <x v="0"/>
    <d v="2023-08-04T02:26:00"/>
    <s v="Website"/>
    <s v="Yoshi Tannamuri"/>
    <n v="722"/>
    <d v="2023-08-04T00:00:00"/>
    <x v="113"/>
    <x v="8"/>
    <x v="0"/>
    <s v="Outlier"/>
  </r>
  <r>
    <n v="1469052"/>
    <n v="376"/>
    <x v="1"/>
    <d v="2023-06-15T23:29:00"/>
    <s v="App"/>
    <s v="Michael Frick"/>
    <n v="4580"/>
    <d v="2023-06-15T00:00:00"/>
    <x v="71"/>
    <x v="7"/>
    <x v="3"/>
    <s v="Outlier"/>
  </r>
  <r>
    <n v="1469471"/>
    <n v="736"/>
    <x v="0"/>
    <d v="2023-04-27T00:10:00"/>
    <s v="App"/>
    <s v="Valarie Nelson"/>
    <n v="4917"/>
    <d v="2023-04-27T00:00:00"/>
    <x v="107"/>
    <x v="1"/>
    <x v="3"/>
    <s v="Outlier"/>
  </r>
  <r>
    <n v="1470933"/>
    <n v="1285"/>
    <x v="4"/>
    <d v="2023-08-02T00:55:00"/>
    <s v="Other"/>
    <s v="Mart¡n Sommer"/>
    <n v="5249"/>
    <d v="2023-08-02T00:00:00"/>
    <x v="44"/>
    <x v="8"/>
    <x v="4"/>
    <s v="Outlier"/>
  </r>
  <r>
    <n v="1471380"/>
    <n v="139"/>
    <x v="0"/>
    <d v="2023-08-28T23:02:00"/>
    <s v="Other"/>
    <s v="Diego Freyre"/>
    <n v="2139"/>
    <d v="2023-08-28T00:00:00"/>
    <x v="114"/>
    <x v="8"/>
    <x v="5"/>
    <s v="Outlier"/>
  </r>
  <r>
    <n v="1471535"/>
    <n v="668"/>
    <x v="3"/>
    <d v="2023-12-24T23:07:00"/>
    <s v="App"/>
    <s v="Valarie Nelson"/>
    <n v="6311"/>
    <d v="2023-12-24T00:00:00"/>
    <x v="40"/>
    <x v="0"/>
    <x v="6"/>
    <s v="Outlier"/>
  </r>
  <r>
    <n v="1472021"/>
    <n v="1564"/>
    <x v="5"/>
    <d v="2023-12-22T00:24:00"/>
    <s v="App"/>
    <s v="Valarie Nelson"/>
    <n v="7609"/>
    <d v="2023-12-22T00:00:00"/>
    <x v="115"/>
    <x v="0"/>
    <x v="0"/>
    <s v="Outlier"/>
  </r>
  <r>
    <n v="1472256"/>
    <n v="196"/>
    <x v="0"/>
    <d v="2023-12-14T00:09:00"/>
    <s v="App"/>
    <s v="Jean Fresnisre"/>
    <n v="2311"/>
    <d v="2023-12-14T00:00:00"/>
    <x v="81"/>
    <x v="0"/>
    <x v="3"/>
    <s v="Outlier"/>
  </r>
  <r>
    <n v="1472426"/>
    <n v="338"/>
    <x v="1"/>
    <d v="2023-09-16T23:57:00"/>
    <s v="Other"/>
    <s v="Janine Labrune"/>
    <n v="2068"/>
    <d v="2023-09-16T00:00:00"/>
    <x v="116"/>
    <x v="10"/>
    <x v="1"/>
    <s v="Outlier"/>
  </r>
  <r>
    <n v="1472446"/>
    <n v="1614"/>
    <x v="0"/>
    <d v="2023-11-03T01:48:00"/>
    <s v="Whatsapp"/>
    <s v="Kwai Yu"/>
    <n v="7570"/>
    <d v="2023-11-03T00:00:00"/>
    <x v="46"/>
    <x v="2"/>
    <x v="0"/>
    <s v="Outlier"/>
  </r>
  <r>
    <n v="1473392"/>
    <n v="1230"/>
    <x v="4"/>
    <d v="2023-09-14T01:42:00"/>
    <s v="Whatsapp"/>
    <s v="Peter Ferguson"/>
    <n v="4758"/>
    <d v="2023-09-14T00:00:00"/>
    <x v="14"/>
    <x v="10"/>
    <x v="3"/>
    <s v="Outlier"/>
  </r>
  <r>
    <n v="1474092"/>
    <n v="1710"/>
    <x v="4"/>
    <d v="2023-06-02T23:51:00"/>
    <s v="Website"/>
    <s v="Diego Freyre"/>
    <n v="7733"/>
    <d v="2023-06-02T00:00:00"/>
    <x v="87"/>
    <x v="7"/>
    <x v="0"/>
    <s v="Outlier"/>
  </r>
  <r>
    <n v="1474156"/>
    <n v="1822"/>
    <x v="0"/>
    <d v="2023-05-30T23:52:00"/>
    <s v="Other"/>
    <s v="Julie Young"/>
    <n v="597"/>
    <d v="2023-05-30T00:00:00"/>
    <x v="94"/>
    <x v="11"/>
    <x v="2"/>
    <s v="Outlier"/>
  </r>
  <r>
    <n v="1474744"/>
    <n v="1900"/>
    <x v="5"/>
    <d v="2023-04-22T00:58:00"/>
    <s v="Website"/>
    <s v="Juri Hirano"/>
    <n v="9529"/>
    <d v="2023-04-22T00:00:00"/>
    <x v="28"/>
    <x v="1"/>
    <x v="1"/>
    <s v="Outlier"/>
  </r>
  <r>
    <n v="1474867"/>
    <n v="1837"/>
    <x v="11"/>
    <d v="2023-12-08T00:11:00"/>
    <s v="Other"/>
    <s v="Veysel Oeztan"/>
    <n v="6262"/>
    <d v="2023-12-08T00:00:00"/>
    <x v="10"/>
    <x v="0"/>
    <x v="0"/>
    <s v="Outlier"/>
  </r>
  <r>
    <n v="1475178"/>
    <n v="466"/>
    <x v="2"/>
    <d v="2023-04-12T00:10:00"/>
    <s v="Whatsapp"/>
    <s v="Mory Kentary"/>
    <n v="1408"/>
    <d v="2023-04-12T00:00:00"/>
    <x v="107"/>
    <x v="1"/>
    <x v="4"/>
    <s v="Outlier"/>
  </r>
  <r>
    <n v="1475354"/>
    <n v="1633"/>
    <x v="6"/>
    <d v="2023-10-09T00:27:00"/>
    <s v="Other"/>
    <s v="Peter Ferguson"/>
    <n v="7693"/>
    <d v="2023-10-09T00:00:00"/>
    <x v="108"/>
    <x v="3"/>
    <x v="5"/>
    <s v="Outlier"/>
  </r>
  <r>
    <n v="1477405"/>
    <n v="1342"/>
    <x v="0"/>
    <d v="2023-10-04T01:32:00"/>
    <s v="Whatsapp"/>
    <s v="Elizabeth Lincoln"/>
    <n v="6068"/>
    <d v="2023-10-04T00:00:00"/>
    <x v="117"/>
    <x v="3"/>
    <x v="4"/>
    <s v="Outlier"/>
  </r>
  <r>
    <n v="1477894"/>
    <n v="1834"/>
    <x v="6"/>
    <d v="2023-01-22T23:33:00"/>
    <s v="Website"/>
    <s v="Sue Frick"/>
    <n v="9471"/>
    <d v="2023-01-22T00:00:00"/>
    <x v="62"/>
    <x v="9"/>
    <x v="6"/>
    <s v="Outlier"/>
  </r>
  <r>
    <n v="1478839"/>
    <n v="896"/>
    <x v="6"/>
    <d v="2023-02-07T01:43:00"/>
    <s v="Website"/>
    <s v="Julie King"/>
    <n v="6444"/>
    <d v="2023-02-07T00:00:00"/>
    <x v="118"/>
    <x v="5"/>
    <x v="2"/>
    <s v="Outlier"/>
  </r>
  <r>
    <n v="1479085"/>
    <n v="510"/>
    <x v="0"/>
    <d v="2023-11-21T22:41:00"/>
    <s v="Other"/>
    <s v="Janine Labrune"/>
    <n v="6503"/>
    <d v="2023-11-21T00:00:00"/>
    <x v="119"/>
    <x v="2"/>
    <x v="2"/>
    <s v="Outlier"/>
  </r>
  <r>
    <n v="1479736"/>
    <n v="1363"/>
    <x v="3"/>
    <d v="2023-10-07T00:44:00"/>
    <s v="Other"/>
    <s v="Marta Hernandez"/>
    <n v="2193"/>
    <d v="2023-10-07T00:00:00"/>
    <x v="85"/>
    <x v="3"/>
    <x v="1"/>
    <s v="Outlier"/>
  </r>
  <r>
    <n v="1479812"/>
    <n v="340"/>
    <x v="3"/>
    <d v="2023-06-13T00:53:00"/>
    <s v="Whatsapp"/>
    <s v="Dean Cassidy"/>
    <n v="7134"/>
    <d v="2023-06-13T00:00:00"/>
    <x v="36"/>
    <x v="7"/>
    <x v="2"/>
    <s v="Outlier"/>
  </r>
  <r>
    <n v="1480087"/>
    <n v="26"/>
    <x v="3"/>
    <d v="2023-07-08T23:57:00"/>
    <s v="Website"/>
    <s v="Steve Frick"/>
    <n v="9335"/>
    <d v="2023-07-08T00:00:00"/>
    <x v="116"/>
    <x v="6"/>
    <x v="1"/>
    <s v="Outlier"/>
  </r>
  <r>
    <n v="1480394"/>
    <n v="1003"/>
    <x v="0"/>
    <d v="2023-06-04T00:36:00"/>
    <s v="Website"/>
    <s v="Kyung Yu"/>
    <n v="2616"/>
    <d v="2023-06-04T00:00:00"/>
    <x v="120"/>
    <x v="7"/>
    <x v="6"/>
    <s v="Outlier"/>
  </r>
  <r>
    <n v="1480900"/>
    <n v="866"/>
    <x v="5"/>
    <d v="2023-01-02T00:12:00"/>
    <s v="App"/>
    <s v="Kwai Yu"/>
    <n v="2284"/>
    <d v="2023-01-02T00:00:00"/>
    <x v="19"/>
    <x v="9"/>
    <x v="5"/>
    <s v="Outlier"/>
  </r>
  <r>
    <n v="1480961"/>
    <n v="550"/>
    <x v="0"/>
    <d v="2023-01-16T01:04:00"/>
    <s v="Website"/>
    <s v="Eduardo Saavedra"/>
    <n v="8407"/>
    <d v="2023-01-16T00:00:00"/>
    <x v="121"/>
    <x v="9"/>
    <x v="5"/>
    <s v="Outlier"/>
  </r>
  <r>
    <n v="1481396"/>
    <n v="619"/>
    <x v="0"/>
    <d v="2023-11-23T01:11:00"/>
    <s v="App"/>
    <s v="Dan Lewis"/>
    <n v="3557"/>
    <d v="2023-11-23T00:00:00"/>
    <x v="122"/>
    <x v="2"/>
    <x v="3"/>
    <s v="Outlier"/>
  </r>
  <r>
    <n v="1482389"/>
    <n v="1928"/>
    <x v="6"/>
    <d v="2023-10-17T00:15:00"/>
    <s v="Whatsapp"/>
    <s v="Kalle Suominen"/>
    <n v="32"/>
    <d v="2023-10-17T00:00:00"/>
    <x v="123"/>
    <x v="3"/>
    <x v="2"/>
    <s v="Outlier"/>
  </r>
  <r>
    <n v="1483729"/>
    <n v="1668"/>
    <x v="0"/>
    <d v="2023-09-14T23:47:00"/>
    <s v="Whatsapp"/>
    <s v="Janine Labrune"/>
    <n v="1625"/>
    <d v="2023-09-14T00:00:00"/>
    <x v="100"/>
    <x v="10"/>
    <x v="3"/>
    <s v="Outlier"/>
  </r>
  <r>
    <n v="1483901"/>
    <n v="1708"/>
    <x v="3"/>
    <d v="2023-07-08T00:50:00"/>
    <s v="Whatsapp"/>
    <s v="Eric Natividad"/>
    <n v="9214"/>
    <d v="2023-07-08T00:00:00"/>
    <x v="0"/>
    <x v="6"/>
    <x v="1"/>
    <s v="Outlier"/>
  </r>
  <r>
    <n v="1483931"/>
    <n v="1980"/>
    <x v="11"/>
    <d v="2023-04-15T01:24:00"/>
    <s v="Website"/>
    <s v="William Brown"/>
    <n v="4382"/>
    <d v="2023-04-15T00:00:00"/>
    <x v="124"/>
    <x v="1"/>
    <x v="1"/>
    <s v="Outlier"/>
  </r>
  <r>
    <n v="1485067"/>
    <n v="1608"/>
    <x v="0"/>
    <d v="2023-02-06T00:09:00"/>
    <s v="Whatsapp"/>
    <s v="Maurizio Moroni"/>
    <n v="3382"/>
    <d v="2023-02-06T00:00:00"/>
    <x v="81"/>
    <x v="5"/>
    <x v="5"/>
    <s v="Outlier"/>
  </r>
  <r>
    <n v="1485425"/>
    <n v="980"/>
    <x v="0"/>
    <d v="2023-07-18T22:55:00"/>
    <s v="App"/>
    <s v="Arnold Cruz"/>
    <n v="9648"/>
    <d v="2023-07-18T00:00:00"/>
    <x v="125"/>
    <x v="6"/>
    <x v="2"/>
    <s v="Outlier"/>
  </r>
  <r>
    <n v="1485939"/>
    <n v="899"/>
    <x v="0"/>
    <d v="2023-02-23T00:00:00"/>
    <s v="Whatsapp"/>
    <s v="Laurence Lebihan"/>
    <n v="902"/>
    <d v="2023-02-23T00:00:00"/>
    <x v="126"/>
    <x v="5"/>
    <x v="3"/>
    <s v="Outlier"/>
  </r>
  <r>
    <n v="1486000"/>
    <n v="545"/>
    <x v="0"/>
    <d v="2023-12-23T01:10:00"/>
    <s v="Website"/>
    <s v="Valarie Nelson"/>
    <n v="2377"/>
    <d v="2023-12-23T00:00:00"/>
    <x v="7"/>
    <x v="0"/>
    <x v="1"/>
    <s v="Outlier"/>
  </r>
  <r>
    <n v="1486426"/>
    <n v="1244"/>
    <x v="4"/>
    <d v="2023-10-30T23:38:00"/>
    <s v="App"/>
    <s v="Julie Young"/>
    <n v="8227"/>
    <d v="2023-10-30T00:00:00"/>
    <x v="80"/>
    <x v="3"/>
    <x v="5"/>
    <s v="Outlier"/>
  </r>
  <r>
    <n v="1487293"/>
    <n v="1157"/>
    <x v="5"/>
    <d v="2023-01-26T01:15:00"/>
    <s v="Whatsapp"/>
    <s v="Julie Brown"/>
    <n v="2092"/>
    <d v="2023-01-26T00:00:00"/>
    <x v="127"/>
    <x v="9"/>
    <x v="3"/>
    <s v="Outlier"/>
  </r>
  <r>
    <n v="1487429"/>
    <n v="1983"/>
    <x v="4"/>
    <d v="2023-03-05T23:31:00"/>
    <s v="Whatsapp"/>
    <s v="Anna O'Hara"/>
    <n v="5465"/>
    <d v="2023-03-05T00:00:00"/>
    <x v="57"/>
    <x v="4"/>
    <x v="6"/>
    <s v="Outlier"/>
  </r>
  <r>
    <n v="1488818"/>
    <n v="827"/>
    <x v="5"/>
    <d v="2023-05-06T00:49:00"/>
    <s v="Other"/>
    <s v="Martine Rance"/>
    <n v="8763"/>
    <d v="2023-05-06T00:00:00"/>
    <x v="35"/>
    <x v="11"/>
    <x v="1"/>
    <s v="Outlier"/>
  </r>
  <r>
    <n v="1488979"/>
    <n v="1787"/>
    <x v="3"/>
    <d v="2023-08-18T01:21:00"/>
    <s v="App"/>
    <s v="Diego Freyre"/>
    <n v="8980"/>
    <d v="2023-08-18T00:00:00"/>
    <x v="128"/>
    <x v="8"/>
    <x v="0"/>
    <s v="Outlier"/>
  </r>
  <r>
    <n v="1489446"/>
    <n v="1158"/>
    <x v="8"/>
    <d v="2023-10-26T02:00:00"/>
    <s v="Website"/>
    <s v="Dominique Perrier"/>
    <n v="4889"/>
    <d v="2023-10-26T00:00:00"/>
    <x v="23"/>
    <x v="3"/>
    <x v="3"/>
    <s v="Outlier"/>
  </r>
  <r>
    <n v="1489846"/>
    <n v="1501"/>
    <x v="0"/>
    <d v="2023-05-31T01:46:00"/>
    <s v="App"/>
    <s v="Martine Rance"/>
    <n v="1094"/>
    <d v="2023-05-31T00:00:00"/>
    <x v="129"/>
    <x v="11"/>
    <x v="4"/>
    <s v="Outlier"/>
  </r>
  <r>
    <n v="1490112"/>
    <n v="348"/>
    <x v="3"/>
    <d v="2023-08-26T01:03:00"/>
    <s v="Other"/>
    <s v="Michael Frick"/>
    <n v="7429"/>
    <d v="2023-08-26T00:00:00"/>
    <x v="130"/>
    <x v="8"/>
    <x v="1"/>
    <s v="Outlier"/>
  </r>
  <r>
    <n v="1490458"/>
    <n v="1820"/>
    <x v="0"/>
    <d v="2023-04-04T01:19:00"/>
    <s v="Whatsapp"/>
    <s v="Dominique Perrier"/>
    <n v="3873"/>
    <d v="2023-04-04T00:00:00"/>
    <x v="95"/>
    <x v="1"/>
    <x v="2"/>
    <s v="Outlier"/>
  </r>
  <r>
    <n v="1490598"/>
    <n v="1613"/>
    <x v="0"/>
    <d v="2023-09-15T00:13:00"/>
    <s v="Website"/>
    <s v="Juri Yoshido"/>
    <n v="2270"/>
    <d v="2023-09-15T00:00:00"/>
    <x v="97"/>
    <x v="10"/>
    <x v="0"/>
    <s v="Outlier"/>
  </r>
  <r>
    <n v="1491354"/>
    <n v="1812"/>
    <x v="4"/>
    <d v="2023-10-26T02:07:00"/>
    <s v="App"/>
    <s v="Miguel Barajas"/>
    <n v="86"/>
    <d v="2023-10-26T00:00:00"/>
    <x v="131"/>
    <x v="3"/>
    <x v="3"/>
    <s v="Outlier"/>
  </r>
  <r>
    <n v="1491897"/>
    <n v="1955"/>
    <x v="4"/>
    <d v="2023-10-06T01:46:00"/>
    <s v="Whatsapp"/>
    <s v="Marta Hernandez"/>
    <n v="9703"/>
    <d v="2023-10-06T00:00:00"/>
    <x v="129"/>
    <x v="3"/>
    <x v="0"/>
    <s v="Outlier"/>
  </r>
  <r>
    <n v="1492578"/>
    <n v="1234"/>
    <x v="0"/>
    <d v="2023-08-26T00:22:00"/>
    <s v="Whatsapp"/>
    <s v="Matti Karttunen"/>
    <n v="3400"/>
    <d v="2023-08-26T00:00:00"/>
    <x v="54"/>
    <x v="8"/>
    <x v="1"/>
    <s v="Outlier"/>
  </r>
  <r>
    <n v="1493135"/>
    <n v="378"/>
    <x v="11"/>
    <d v="2023-08-08T23:20:00"/>
    <s v="Whatsapp"/>
    <s v="Henriette Pfalzheim"/>
    <n v="8000"/>
    <d v="2023-08-08T00:00:00"/>
    <x v="27"/>
    <x v="8"/>
    <x v="2"/>
    <s v="Outlier"/>
  </r>
  <r>
    <n v="1494087"/>
    <n v="118"/>
    <x v="0"/>
    <d v="2023-04-23T01:37:00"/>
    <s v="Website"/>
    <s v="Kee Kuo"/>
    <n v="6162"/>
    <d v="2023-04-23T00:00:00"/>
    <x v="109"/>
    <x v="1"/>
    <x v="6"/>
    <s v="Outlier"/>
  </r>
  <r>
    <n v="1494182"/>
    <n v="1512"/>
    <x v="13"/>
    <d v="2023-11-24T23:39:00"/>
    <s v="App"/>
    <s v="Rosa Hernandez"/>
    <n v="775"/>
    <d v="2023-11-24T00:00:00"/>
    <x v="101"/>
    <x v="2"/>
    <x v="0"/>
    <s v="Outlier"/>
  </r>
  <r>
    <n v="1494501"/>
    <n v="1519"/>
    <x v="4"/>
    <d v="2023-09-29T23:29:00"/>
    <s v="Other"/>
    <s v="Paul Henriot"/>
    <n v="5248"/>
    <d v="2023-09-29T00:00:00"/>
    <x v="71"/>
    <x v="10"/>
    <x v="0"/>
    <s v="Outlier"/>
  </r>
  <r>
    <n v="1494544"/>
    <n v="651"/>
    <x v="0"/>
    <d v="2023-06-20T01:59:00"/>
    <s v="App"/>
    <s v="Diego Freyre"/>
    <n v="1370"/>
    <d v="2023-06-20T00:00:00"/>
    <x v="132"/>
    <x v="7"/>
    <x v="2"/>
    <s v="Outlier"/>
  </r>
  <r>
    <n v="1495611"/>
    <n v="1863"/>
    <x v="4"/>
    <d v="2023-10-19T23:24:00"/>
    <s v="App"/>
    <s v="Laurence Lebihan"/>
    <n v="3590"/>
    <d v="2023-10-19T00:00:00"/>
    <x v="56"/>
    <x v="3"/>
    <x v="3"/>
    <s v="Outlier"/>
  </r>
  <r>
    <n v="1496982"/>
    <n v="616"/>
    <x v="3"/>
    <d v="2023-07-02T01:03:00"/>
    <s v="Website"/>
    <s v="Diego Freyre"/>
    <n v="4824"/>
    <d v="2023-07-02T00:00:00"/>
    <x v="130"/>
    <x v="6"/>
    <x v="6"/>
    <s v="Outlier"/>
  </r>
  <r>
    <n v="1497326"/>
    <n v="1050"/>
    <x v="3"/>
    <d v="2023-11-29T01:29:00"/>
    <s v="Website"/>
    <s v="Valarie Nelson"/>
    <n v="1670"/>
    <d v="2023-11-29T00:00:00"/>
    <x v="103"/>
    <x v="2"/>
    <x v="4"/>
    <s v="Outlier"/>
  </r>
  <r>
    <n v="1498622"/>
    <n v="1094"/>
    <x v="1"/>
    <d v="2023-09-22T00:11:00"/>
    <s v="App"/>
    <s v="Elizabeth Devon"/>
    <n v="6659"/>
    <d v="2023-09-22T00:00:00"/>
    <x v="10"/>
    <x v="10"/>
    <x v="0"/>
    <s v="Outlier"/>
  </r>
  <r>
    <n v="1499914"/>
    <n v="684"/>
    <x v="10"/>
    <d v="2023-02-07T22:41:00"/>
    <s v="Whatsapp"/>
    <s v="Diego Freyre"/>
    <n v="7716"/>
    <d v="2023-02-07T00:00:00"/>
    <x v="119"/>
    <x v="5"/>
    <x v="2"/>
    <s v="Outlier"/>
  </r>
  <r>
    <n v="1500165"/>
    <n v="979"/>
    <x v="6"/>
    <d v="2023-05-15T23:21:00"/>
    <s v="Whatsapp"/>
    <s v="Marie Bertrand"/>
    <n v="3867"/>
    <d v="2023-05-15T00:00:00"/>
    <x v="69"/>
    <x v="11"/>
    <x v="5"/>
    <s v="Outlier"/>
  </r>
  <r>
    <n v="1500373"/>
    <n v="746"/>
    <x v="0"/>
    <d v="2023-04-19T22:50:00"/>
    <s v="Whatsapp"/>
    <s v="Jeff Young"/>
    <n v="1017"/>
    <d v="2023-04-19T00:00:00"/>
    <x v="133"/>
    <x v="1"/>
    <x v="4"/>
    <s v="Outlier"/>
  </r>
  <r>
    <n v="1500639"/>
    <n v="298"/>
    <x v="4"/>
    <d v="2023-06-22T00:55:00"/>
    <s v="Website"/>
    <s v="Kalle Suominen"/>
    <n v="611"/>
    <d v="2023-06-22T00:00:00"/>
    <x v="44"/>
    <x v="7"/>
    <x v="3"/>
    <s v="Outlier"/>
  </r>
  <r>
    <n v="1501027"/>
    <n v="1645"/>
    <x v="6"/>
    <d v="2023-07-06T00:27:00"/>
    <s v="Whatsapp"/>
    <s v="Pirkko Koskitalo"/>
    <n v="7105"/>
    <d v="2023-07-06T00:00:00"/>
    <x v="108"/>
    <x v="6"/>
    <x v="3"/>
    <s v="Outlier"/>
  </r>
  <r>
    <n v="1502119"/>
    <n v="214"/>
    <x v="0"/>
    <d v="2023-09-23T23:28:00"/>
    <s v="App"/>
    <s v="Eric Natividad"/>
    <n v="8968"/>
    <d v="2023-09-23T00:00:00"/>
    <x v="134"/>
    <x v="10"/>
    <x v="1"/>
    <s v="Outlier"/>
  </r>
  <r>
    <n v="1502209"/>
    <n v="1512"/>
    <x v="13"/>
    <d v="2023-02-27T23:36:00"/>
    <s v="Website"/>
    <s v="Ann Brown"/>
    <n v="9349"/>
    <d v="2023-02-27T00:00:00"/>
    <x v="135"/>
    <x v="5"/>
    <x v="5"/>
    <s v="Outlier"/>
  </r>
  <r>
    <n v="1503185"/>
    <n v="738"/>
    <x v="3"/>
    <d v="2023-08-02T00:34:00"/>
    <s v="Whatsapp"/>
    <s v="Jose Pedro Roel"/>
    <n v="7706"/>
    <d v="2023-08-02T00:00:00"/>
    <x v="21"/>
    <x v="8"/>
    <x v="4"/>
    <s v="Outlier"/>
  </r>
  <r>
    <n v="1503619"/>
    <n v="621"/>
    <x v="0"/>
    <d v="2023-01-17T00:54:00"/>
    <s v="Other"/>
    <s v="Steve Frick"/>
    <n v="4436"/>
    <d v="2023-01-17T00:00:00"/>
    <x v="73"/>
    <x v="9"/>
    <x v="2"/>
    <s v="Outlier"/>
  </r>
  <r>
    <n v="1503941"/>
    <n v="1910"/>
    <x v="3"/>
    <d v="2023-11-14T02:00:00"/>
    <s v="Whatsapp"/>
    <s v="Valarie Franco"/>
    <n v="4898"/>
    <d v="2023-11-14T00:00:00"/>
    <x v="23"/>
    <x v="2"/>
    <x v="2"/>
    <s v="Outlier"/>
  </r>
  <r>
    <n v="1506022"/>
    <n v="949"/>
    <x v="8"/>
    <d v="2023-01-06T00:29:00"/>
    <s v="Whatsapp"/>
    <s v="Sue Taylor"/>
    <n v="8624"/>
    <d v="2023-01-06T00:00:00"/>
    <x v="50"/>
    <x v="9"/>
    <x v="0"/>
    <s v="Outlier"/>
  </r>
  <r>
    <n v="1506385"/>
    <n v="294"/>
    <x v="3"/>
    <d v="2023-12-08T23:15:00"/>
    <s v="Other"/>
    <s v="Valarie Nelson"/>
    <n v="5490"/>
    <d v="2023-12-08T00:00:00"/>
    <x v="136"/>
    <x v="0"/>
    <x v="0"/>
    <s v="Outlier"/>
  </r>
  <r>
    <n v="1507608"/>
    <n v="1886"/>
    <x v="6"/>
    <d v="2023-05-31T01:04:00"/>
    <s v="Whatsapp"/>
    <s v="Diego Freyre"/>
    <n v="8078"/>
    <d v="2023-05-31T00:00:00"/>
    <x v="121"/>
    <x v="11"/>
    <x v="4"/>
    <s v="Outlier"/>
  </r>
  <r>
    <n v="1508121"/>
    <n v="1786"/>
    <x v="5"/>
    <d v="2023-04-22T00:58:00"/>
    <s v="Whatsapp"/>
    <s v="Wendy Victorino"/>
    <n v="4650"/>
    <d v="2023-04-22T00:00:00"/>
    <x v="28"/>
    <x v="1"/>
    <x v="1"/>
    <s v="Outlier"/>
  </r>
  <r>
    <n v="1508428"/>
    <n v="1815"/>
    <x v="9"/>
    <d v="2023-03-30T00:48:00"/>
    <s v="Other"/>
    <s v="Valarie Nelson"/>
    <n v="5995"/>
    <d v="2023-03-30T00:00:00"/>
    <x v="88"/>
    <x v="4"/>
    <x v="3"/>
    <s v="Outlier"/>
  </r>
  <r>
    <n v="1508568"/>
    <n v="979"/>
    <x v="6"/>
    <d v="2023-12-24T00:49:00"/>
    <s v="Other"/>
    <s v="Kyung Yu"/>
    <n v="3218"/>
    <d v="2023-12-24T00:00:00"/>
    <x v="35"/>
    <x v="0"/>
    <x v="6"/>
    <s v="Outlier"/>
  </r>
  <r>
    <n v="1508707"/>
    <n v="376"/>
    <x v="1"/>
    <d v="2023-02-07T23:22:00"/>
    <s v="App"/>
    <s v="Kwai Yu"/>
    <n v="8491"/>
    <d v="2023-02-07T00:00:00"/>
    <x v="137"/>
    <x v="5"/>
    <x v="2"/>
    <s v="Outlier"/>
  </r>
  <r>
    <n v="1508738"/>
    <n v="1408"/>
    <x v="0"/>
    <d v="2023-08-26T00:50:00"/>
    <s v="Other"/>
    <s v="Marta Hernandez"/>
    <n v="8503"/>
    <d v="2023-08-26T00:00:00"/>
    <x v="0"/>
    <x v="8"/>
    <x v="1"/>
    <s v="Outlier"/>
  </r>
  <r>
    <n v="1509554"/>
    <n v="610"/>
    <x v="3"/>
    <d v="2023-04-16T00:34:00"/>
    <s v="App"/>
    <s v="Yoshi Tannamuri"/>
    <n v="4098"/>
    <d v="2023-04-16T00:00:00"/>
    <x v="21"/>
    <x v="1"/>
    <x v="6"/>
    <s v="Outlier"/>
  </r>
  <r>
    <n v="1509587"/>
    <n v="822"/>
    <x v="0"/>
    <d v="2023-12-08T00:16:00"/>
    <s v="Whatsapp"/>
    <s v="Jonas Bergulfsen"/>
    <n v="43"/>
    <d v="2023-12-08T00:00:00"/>
    <x v="61"/>
    <x v="0"/>
    <x v="0"/>
    <s v="Outlier"/>
  </r>
  <r>
    <n v="1509701"/>
    <n v="1109"/>
    <x v="1"/>
    <d v="2023-10-27T00:35:00"/>
    <s v="Other"/>
    <s v="Valarie Nelson"/>
    <n v="1460"/>
    <d v="2023-10-27T00:00:00"/>
    <x v="67"/>
    <x v="3"/>
    <x v="0"/>
    <s v="Outlier"/>
  </r>
  <r>
    <n v="1512442"/>
    <n v="1243"/>
    <x v="4"/>
    <d v="2023-06-18T00:35:00"/>
    <s v="App"/>
    <s v="Jeff Young"/>
    <n v="7379"/>
    <d v="2023-06-18T00:00:00"/>
    <x v="67"/>
    <x v="7"/>
    <x v="6"/>
    <s v="Outlier"/>
  </r>
  <r>
    <n v="1512481"/>
    <n v="1560"/>
    <x v="5"/>
    <d v="2023-02-06T00:54:00"/>
    <s v="Other"/>
    <s v="Paul Henriot"/>
    <n v="1363"/>
    <d v="2023-02-06T00:00:00"/>
    <x v="73"/>
    <x v="5"/>
    <x v="5"/>
    <s v="Outlier"/>
  </r>
  <r>
    <n v="1513008"/>
    <n v="1980"/>
    <x v="11"/>
    <d v="2023-07-26T00:57:00"/>
    <s v="App"/>
    <s v="Valarie Nelson"/>
    <n v="4837"/>
    <d v="2023-07-26T00:00:00"/>
    <x v="42"/>
    <x v="6"/>
    <x v="4"/>
    <s v="Outlier"/>
  </r>
  <r>
    <n v="1513475"/>
    <n v="375"/>
    <x v="6"/>
    <d v="2023-06-02T00:50:00"/>
    <s v="App"/>
    <s v="Diego Freyre"/>
    <n v="7352"/>
    <d v="2023-06-02T00:00:00"/>
    <x v="0"/>
    <x v="7"/>
    <x v="0"/>
    <s v="Outlier"/>
  </r>
  <r>
    <n v="1513796"/>
    <n v="218"/>
    <x v="3"/>
    <d v="2023-06-23T23:56:00"/>
    <s v="Other"/>
    <s v="Diego Freyre"/>
    <n v="520"/>
    <d v="2023-06-23T00:00:00"/>
    <x v="138"/>
    <x v="7"/>
    <x v="0"/>
    <s v="Outlier"/>
  </r>
  <r>
    <n v="1513980"/>
    <n v="1164"/>
    <x v="0"/>
    <d v="2023-02-14T23:42:00"/>
    <s v="Website"/>
    <s v="Diego Freyre"/>
    <n v="5236"/>
    <d v="2023-02-14T00:00:00"/>
    <x v="38"/>
    <x v="5"/>
    <x v="2"/>
    <s v="Outlier"/>
  </r>
  <r>
    <n v="1514182"/>
    <n v="992"/>
    <x v="0"/>
    <d v="2023-01-14T00:18:00"/>
    <s v="App"/>
    <s v="Janine Labrune"/>
    <n v="4187"/>
    <d v="2023-01-14T00:00:00"/>
    <x v="139"/>
    <x v="9"/>
    <x v="1"/>
    <s v="Outlier"/>
  </r>
  <r>
    <n v="1515579"/>
    <n v="982"/>
    <x v="0"/>
    <d v="2023-05-06T00:51:00"/>
    <s v="App"/>
    <s v="Diego Freyre"/>
    <n v="811"/>
    <d v="2023-05-06T00:00:00"/>
    <x v="93"/>
    <x v="11"/>
    <x v="1"/>
    <s v="Outlier"/>
  </r>
  <r>
    <n v="1516849"/>
    <n v="108"/>
    <x v="4"/>
    <d v="2023-06-03T00:22:00"/>
    <s v="App"/>
    <s v="Pascale Cartrain"/>
    <n v="5536"/>
    <d v="2023-06-03T00:00:00"/>
    <x v="54"/>
    <x v="7"/>
    <x v="1"/>
    <s v="Outlier"/>
  </r>
  <r>
    <n v="1516974"/>
    <n v="136"/>
    <x v="0"/>
    <d v="2023-05-11T00:55:00"/>
    <s v="Other"/>
    <s v="Jeff Young"/>
    <n v="1042"/>
    <d v="2023-05-11T00:00:00"/>
    <x v="44"/>
    <x v="11"/>
    <x v="3"/>
    <s v="Outlier"/>
  </r>
  <r>
    <n v="1519463"/>
    <n v="266"/>
    <x v="0"/>
    <d v="2023-01-10T23:28:00"/>
    <s v="Whatsapp"/>
    <s v="Valarie Nelson"/>
    <n v="5361"/>
    <d v="2023-01-10T00:00:00"/>
    <x v="134"/>
    <x v="9"/>
    <x v="2"/>
    <s v="Outlier"/>
  </r>
  <r>
    <n v="1520253"/>
    <n v="1775"/>
    <x v="0"/>
    <d v="2023-09-23T23:52:00"/>
    <s v="Website"/>
    <s v="Tony Calaghan"/>
    <n v="429"/>
    <d v="2023-09-23T00:00:00"/>
    <x v="94"/>
    <x v="10"/>
    <x v="1"/>
    <s v="Outlier"/>
  </r>
  <r>
    <n v="1521124"/>
    <n v="1828"/>
    <x v="10"/>
    <d v="2023-03-28T01:53:00"/>
    <s v="Whatsapp"/>
    <s v="Eric Natividad"/>
    <n v="8408"/>
    <d v="2023-03-28T00:00:00"/>
    <x v="102"/>
    <x v="4"/>
    <x v="2"/>
    <s v="Outlier"/>
  </r>
  <r>
    <n v="1521957"/>
    <n v="347"/>
    <x v="13"/>
    <d v="2023-11-06T23:18:00"/>
    <s v="Other"/>
    <s v="Maurizio Moroni"/>
    <n v="2198"/>
    <d v="2023-11-06T00:00:00"/>
    <x v="140"/>
    <x v="2"/>
    <x v="5"/>
    <s v="Outlier"/>
  </r>
  <r>
    <n v="1522932"/>
    <n v="1737"/>
    <x v="5"/>
    <d v="2023-11-08T00:44:00"/>
    <s v="App"/>
    <s v="Jose Pedro Roel"/>
    <n v="2633"/>
    <d v="2023-11-08T00:00:00"/>
    <x v="85"/>
    <x v="2"/>
    <x v="4"/>
    <s v="Outlier"/>
  </r>
  <r>
    <n v="1524093"/>
    <n v="104"/>
    <x v="6"/>
    <d v="2023-10-17T23:20:00"/>
    <s v="Website"/>
    <s v="Steve Frick"/>
    <n v="6754"/>
    <d v="2023-10-17T00:00:00"/>
    <x v="27"/>
    <x v="3"/>
    <x v="2"/>
    <s v="Outlier"/>
  </r>
  <r>
    <n v="1524999"/>
    <n v="333"/>
    <x v="7"/>
    <d v="2023-01-17T23:25:00"/>
    <s v="Other"/>
    <s v="Valarie Franco"/>
    <n v="1766"/>
    <d v="2023-01-17T00:00:00"/>
    <x v="141"/>
    <x v="9"/>
    <x v="2"/>
    <s v="Outlier"/>
  </r>
  <r>
    <n v="1525718"/>
    <n v="255"/>
    <x v="2"/>
    <d v="2023-08-23T01:22:00"/>
    <s v="Whatsapp"/>
    <s v="Dean Cassidy"/>
    <n v="1434"/>
    <d v="2023-08-23T00:00:00"/>
    <x v="142"/>
    <x v="8"/>
    <x v="4"/>
    <s v="Outlier"/>
  </r>
  <r>
    <n v="1526107"/>
    <n v="1781"/>
    <x v="13"/>
    <d v="2023-05-05T22:36:00"/>
    <s v="Website"/>
    <s v="Roland Keitel"/>
    <n v="399"/>
    <d v="2023-05-05T00:00:00"/>
    <x v="106"/>
    <x v="11"/>
    <x v="0"/>
    <s v="Outlier"/>
  </r>
  <r>
    <n v="1526749"/>
    <n v="1926"/>
    <x v="4"/>
    <d v="2023-08-13T00:40:00"/>
    <s v="App"/>
    <s v="Kalle Suominen"/>
    <n v="7714"/>
    <d v="2023-08-13T00:00:00"/>
    <x v="51"/>
    <x v="8"/>
    <x v="6"/>
    <s v="Outlier"/>
  </r>
  <r>
    <n v="1527612"/>
    <n v="1654"/>
    <x v="0"/>
    <d v="2023-10-17T22:35:00"/>
    <s v="Other"/>
    <s v="Kyung Yu"/>
    <n v="1813"/>
    <d v="2023-10-17T00:00:00"/>
    <x v="55"/>
    <x v="3"/>
    <x v="2"/>
    <s v="Outlier"/>
  </r>
  <r>
    <n v="1528079"/>
    <n v="150"/>
    <x v="0"/>
    <d v="2023-12-13T00:05:00"/>
    <s v="Other"/>
    <s v="Valarie Nelson"/>
    <n v="8608"/>
    <d v="2023-12-13T00:00:00"/>
    <x v="48"/>
    <x v="0"/>
    <x v="4"/>
    <s v="Outlier"/>
  </r>
  <r>
    <n v="1528540"/>
    <n v="913"/>
    <x v="0"/>
    <d v="2023-02-03T01:54:00"/>
    <s v="Whatsapp"/>
    <s v="Kwai Yu"/>
    <n v="9004"/>
    <d v="2023-02-03T00:00:00"/>
    <x v="143"/>
    <x v="5"/>
    <x v="0"/>
    <s v="Outlier"/>
  </r>
  <r>
    <n v="1529840"/>
    <n v="1794"/>
    <x v="6"/>
    <d v="2023-03-03T00:33:00"/>
    <s v="Whatsapp"/>
    <s v="Victoria Ashworth"/>
    <n v="1054"/>
    <d v="2023-03-03T00:00:00"/>
    <x v="53"/>
    <x v="4"/>
    <x v="0"/>
    <s v="Outlier"/>
  </r>
  <r>
    <n v="1530454"/>
    <n v="499"/>
    <x v="6"/>
    <d v="2023-04-27T23:01:00"/>
    <s v="Website"/>
    <s v="Palle Ibsen"/>
    <n v="7456"/>
    <d v="2023-04-27T00:00:00"/>
    <x v="144"/>
    <x v="1"/>
    <x v="3"/>
    <s v="Outlier"/>
  </r>
  <r>
    <n v="1532546"/>
    <n v="1032"/>
    <x v="3"/>
    <d v="2023-11-15T00:35:00"/>
    <s v="App"/>
    <s v="Jonas Bergulfsen"/>
    <n v="5274"/>
    <d v="2023-11-15T00:00:00"/>
    <x v="67"/>
    <x v="2"/>
    <x v="4"/>
    <s v="Outlier"/>
  </r>
  <r>
    <n v="1532610"/>
    <n v="1871"/>
    <x v="2"/>
    <d v="2023-08-21T00:03:00"/>
    <s v="Whatsapp"/>
    <s v="Marie Bertrand"/>
    <n v="8644"/>
    <d v="2023-08-21T00:00:00"/>
    <x v="72"/>
    <x v="8"/>
    <x v="5"/>
    <s v="Outlier"/>
  </r>
  <r>
    <n v="1534392"/>
    <n v="112"/>
    <x v="0"/>
    <d v="2023-01-26T23:02:00"/>
    <s v="Website"/>
    <s v="Diego Freyre"/>
    <n v="2347"/>
    <d v="2023-01-26T00:00:00"/>
    <x v="114"/>
    <x v="9"/>
    <x v="3"/>
    <s v="Outlier"/>
  </r>
  <r>
    <n v="1535140"/>
    <n v="548"/>
    <x v="0"/>
    <d v="2023-05-25T00:58:00"/>
    <s v="Other"/>
    <s v="Paul Henriot"/>
    <n v="5570"/>
    <d v="2023-05-25T00:00:00"/>
    <x v="28"/>
    <x v="11"/>
    <x v="3"/>
    <s v="Outlier"/>
  </r>
  <r>
    <n v="1536418"/>
    <n v="760"/>
    <x v="1"/>
    <d v="2023-06-06T22:40:00"/>
    <s v="Website"/>
    <s v="Valarie Nelson"/>
    <n v="5883"/>
    <d v="2023-06-06T00:00:00"/>
    <x v="145"/>
    <x v="7"/>
    <x v="2"/>
    <s v="Outlier"/>
  </r>
  <r>
    <n v="1536698"/>
    <n v="127"/>
    <x v="13"/>
    <d v="2023-11-10T02:07:00"/>
    <s v="Whatsapp"/>
    <s v="Diego Freyre"/>
    <n v="2350"/>
    <d v="2023-11-10T00:00:00"/>
    <x v="131"/>
    <x v="2"/>
    <x v="0"/>
    <s v="Outlier"/>
  </r>
  <r>
    <n v="1536890"/>
    <n v="1364"/>
    <x v="3"/>
    <d v="2023-08-16T01:22:00"/>
    <s v="App"/>
    <s v="Diego Freyre"/>
    <n v="7711"/>
    <d v="2023-08-16T00:00:00"/>
    <x v="142"/>
    <x v="8"/>
    <x v="4"/>
    <s v="Outlier"/>
  </r>
  <r>
    <n v="1536982"/>
    <n v="742"/>
    <x v="0"/>
    <d v="2023-04-02T00:12:00"/>
    <s v="Other"/>
    <s v="Julie King"/>
    <n v="5486"/>
    <d v="2023-04-02T00:00:00"/>
    <x v="19"/>
    <x v="1"/>
    <x v="6"/>
    <s v="Outlier"/>
  </r>
  <r>
    <n v="1538322"/>
    <n v="1752"/>
    <x v="6"/>
    <d v="2023-10-20T23:44:00"/>
    <s v="Website"/>
    <s v="Jonas Bergulfsen"/>
    <n v="6645"/>
    <d v="2023-10-20T00:00:00"/>
    <x v="146"/>
    <x v="3"/>
    <x v="0"/>
    <s v="Outlier"/>
  </r>
  <r>
    <n v="1538360"/>
    <n v="1824"/>
    <x v="0"/>
    <d v="2023-02-03T23:01:00"/>
    <s v="Whatsapp"/>
    <s v="Valarie Nelson"/>
    <n v="4448"/>
    <d v="2023-02-03T00:00:00"/>
    <x v="144"/>
    <x v="5"/>
    <x v="0"/>
    <s v="Outlier"/>
  </r>
  <r>
    <n v="1541893"/>
    <n v="1860"/>
    <x v="4"/>
    <d v="2023-01-30T23:40:00"/>
    <s v="Website"/>
    <s v="Mart¡n Sommer"/>
    <n v="1027"/>
    <d v="2023-01-30T00:00:00"/>
    <x v="1"/>
    <x v="9"/>
    <x v="5"/>
    <s v="Outlier"/>
  </r>
  <r>
    <n v="1542275"/>
    <n v="1647"/>
    <x v="0"/>
    <d v="2023-08-27T01:43:00"/>
    <s v="Whatsapp"/>
    <s v="Juri Hirano"/>
    <n v="8992"/>
    <d v="2023-08-27T00:00:00"/>
    <x v="118"/>
    <x v="8"/>
    <x v="6"/>
    <s v="Outlier"/>
  </r>
  <r>
    <n v="1542373"/>
    <n v="1267"/>
    <x v="2"/>
    <d v="2023-05-13T00:40:00"/>
    <s v="Whatsapp"/>
    <s v="Eric Natividad"/>
    <n v="3468"/>
    <d v="2023-05-13T00:00:00"/>
    <x v="51"/>
    <x v="11"/>
    <x v="1"/>
    <s v="Outlier"/>
  </r>
  <r>
    <n v="1543099"/>
    <n v="1489"/>
    <x v="4"/>
    <d v="2023-02-17T22:44:00"/>
    <s v="Whatsapp"/>
    <s v="Roland Mendel"/>
    <n v="5530"/>
    <d v="2023-02-17T00:00:00"/>
    <x v="147"/>
    <x v="5"/>
    <x v="0"/>
    <s v="Outlier"/>
  </r>
  <r>
    <n v="1543135"/>
    <n v="647"/>
    <x v="6"/>
    <d v="2023-06-07T01:04:00"/>
    <s v="App"/>
    <s v="Ann Brown"/>
    <n v="9026"/>
    <d v="2023-06-07T00:00:00"/>
    <x v="121"/>
    <x v="7"/>
    <x v="4"/>
    <s v="Outlier"/>
  </r>
  <r>
    <n v="1543232"/>
    <n v="871"/>
    <x v="2"/>
    <d v="2023-06-26T00:25:00"/>
    <s v="Website"/>
    <s v="Francisca Cervantes"/>
    <n v="2237"/>
    <d v="2023-06-26T00:00:00"/>
    <x v="148"/>
    <x v="7"/>
    <x v="5"/>
    <s v="Outlier"/>
  </r>
  <r>
    <n v="1543526"/>
    <n v="1554"/>
    <x v="7"/>
    <d v="2023-06-24T00:08:00"/>
    <s v="Website"/>
    <s v="Mary Saveley"/>
    <n v="9175"/>
    <d v="2023-06-24T00:00:00"/>
    <x v="149"/>
    <x v="7"/>
    <x v="1"/>
    <s v="Outlier"/>
  </r>
  <r>
    <n v="1544633"/>
    <n v="714"/>
    <x v="0"/>
    <d v="2023-08-19T01:09:00"/>
    <s v="Other"/>
    <s v="Yoshi Tannamuri"/>
    <n v="347"/>
    <d v="2023-08-19T00:00:00"/>
    <x v="92"/>
    <x v="8"/>
    <x v="1"/>
    <s v="Outlier"/>
  </r>
  <r>
    <n v="1545246"/>
    <n v="1069"/>
    <x v="6"/>
    <d v="2023-02-27T01:13:00"/>
    <s v="Website"/>
    <s v="Wendy Victorino"/>
    <n v="5132"/>
    <d v="2023-02-27T00:00:00"/>
    <x v="32"/>
    <x v="5"/>
    <x v="5"/>
    <s v="Outlier"/>
  </r>
  <r>
    <n v="1546512"/>
    <n v="33"/>
    <x v="4"/>
    <d v="2023-12-24T00:56:00"/>
    <s v="Website"/>
    <s v="Valarie Nelson"/>
    <n v="9521"/>
    <d v="2023-12-24T00:00:00"/>
    <x v="150"/>
    <x v="0"/>
    <x v="6"/>
    <s v="Outlier"/>
  </r>
  <r>
    <n v="1546802"/>
    <n v="1394"/>
    <x v="0"/>
    <d v="2023-09-01T00:26:00"/>
    <s v="Website"/>
    <s v="Leslie Murphy"/>
    <n v="8149"/>
    <d v="2023-09-01T00:00:00"/>
    <x v="151"/>
    <x v="10"/>
    <x v="0"/>
    <s v="Outlier"/>
  </r>
  <r>
    <n v="1547057"/>
    <n v="18"/>
    <x v="0"/>
    <d v="2023-05-14T00:44:00"/>
    <s v="Other"/>
    <s v="Akiko Shimamura"/>
    <n v="9727"/>
    <d v="2023-05-14T00:00:00"/>
    <x v="85"/>
    <x v="11"/>
    <x v="6"/>
    <s v="Outlier"/>
  </r>
  <r>
    <n v="1548032"/>
    <n v="1733"/>
    <x v="2"/>
    <d v="2023-10-17T01:23:00"/>
    <s v="Whatsapp"/>
    <s v="Adrian Huxley"/>
    <n v="3053"/>
    <d v="2023-10-17T00:00:00"/>
    <x v="83"/>
    <x v="3"/>
    <x v="2"/>
    <s v="Outlier"/>
  </r>
  <r>
    <n v="1548655"/>
    <n v="327"/>
    <x v="1"/>
    <d v="2023-08-21T00:46:00"/>
    <s v="Website"/>
    <s v="Kyung Yu"/>
    <n v="8582"/>
    <d v="2023-08-21T00:00:00"/>
    <x v="77"/>
    <x v="8"/>
    <x v="5"/>
    <s v="Outlier"/>
  </r>
  <r>
    <n v="1548735"/>
    <n v="90"/>
    <x v="0"/>
    <d v="2023-08-02T23:20:00"/>
    <s v="Whatsapp"/>
    <s v="Maria Larsson"/>
    <n v="1069"/>
    <d v="2023-08-02T00:00:00"/>
    <x v="27"/>
    <x v="8"/>
    <x v="4"/>
    <s v="Outlier"/>
  </r>
  <r>
    <n v="1549353"/>
    <n v="1603"/>
    <x v="0"/>
    <d v="2023-09-13T01:24:00"/>
    <s v="Website"/>
    <s v="Daniel Tonini"/>
    <n v="2101"/>
    <d v="2023-09-13T00:00:00"/>
    <x v="124"/>
    <x v="10"/>
    <x v="4"/>
    <s v="Outlier"/>
  </r>
  <r>
    <n v="1550005"/>
    <n v="1984"/>
    <x v="6"/>
    <d v="2023-03-17T00:55:00"/>
    <s v="Website"/>
    <s v="Yoshi Tannamuri"/>
    <n v="2075"/>
    <d v="2023-03-17T00:00:00"/>
    <x v="44"/>
    <x v="4"/>
    <x v="0"/>
    <s v="Outlier"/>
  </r>
  <r>
    <n v="1550154"/>
    <n v="1589"/>
    <x v="0"/>
    <d v="2023-05-14T01:45:00"/>
    <s v="Website"/>
    <s v="Michael Frick"/>
    <n v="3729"/>
    <d v="2023-05-14T00:00:00"/>
    <x v="59"/>
    <x v="11"/>
    <x v="6"/>
    <s v="Outlier"/>
  </r>
  <r>
    <n v="1550175"/>
    <n v="308"/>
    <x v="4"/>
    <d v="2023-03-03T23:39:00"/>
    <s v="Website"/>
    <s v="Julie Murphy"/>
    <n v="6486"/>
    <d v="2023-03-03T00:00:00"/>
    <x v="101"/>
    <x v="4"/>
    <x v="0"/>
    <s v="Outlier"/>
  </r>
  <r>
    <n v="1551349"/>
    <n v="694"/>
    <x v="10"/>
    <d v="2023-10-28T01:13:00"/>
    <s v="App"/>
    <s v="Mart¡n Sommer"/>
    <n v="9059"/>
    <d v="2023-10-28T00:00:00"/>
    <x v="32"/>
    <x v="3"/>
    <x v="1"/>
    <s v="Outlier"/>
  </r>
  <r>
    <n v="1551563"/>
    <n v="394"/>
    <x v="1"/>
    <d v="2023-12-07T01:39:00"/>
    <s v="Whatsapp"/>
    <s v="Diego Freyre"/>
    <n v="932"/>
    <d v="2023-12-07T00:00:00"/>
    <x v="152"/>
    <x v="0"/>
    <x v="3"/>
    <s v="Outlier"/>
  </r>
  <r>
    <n v="1552540"/>
    <n v="1457"/>
    <x v="6"/>
    <d v="2023-08-23T23:48:00"/>
    <s v="Other"/>
    <s v="Anna O'Hara"/>
    <n v="9266"/>
    <d v="2023-08-23T00:00:00"/>
    <x v="153"/>
    <x v="8"/>
    <x v="4"/>
    <s v="Outlier"/>
  </r>
  <r>
    <n v="1553612"/>
    <n v="1628"/>
    <x v="0"/>
    <d v="2023-05-09T00:16:00"/>
    <s v="Website"/>
    <s v="Valarie Nelson"/>
    <n v="6089"/>
    <d v="2023-05-09T00:00:00"/>
    <x v="61"/>
    <x v="11"/>
    <x v="2"/>
    <s v="Outlier"/>
  </r>
  <r>
    <n v="1553858"/>
    <n v="699"/>
    <x v="0"/>
    <d v="2023-08-31T01:16:00"/>
    <s v="App"/>
    <s v="Jean Fresnisre"/>
    <n v="7598"/>
    <d v="2023-08-31T00:00:00"/>
    <x v="84"/>
    <x v="8"/>
    <x v="3"/>
    <s v="Outlier"/>
  </r>
  <r>
    <n v="1555572"/>
    <n v="1665"/>
    <x v="11"/>
    <d v="2023-03-21T01:03:00"/>
    <s v="App"/>
    <s v="Diego Freyre"/>
    <n v="1259"/>
    <d v="2023-03-21T00:00:00"/>
    <x v="130"/>
    <x v="4"/>
    <x v="2"/>
    <s v="Outlier"/>
  </r>
  <r>
    <n v="1556551"/>
    <n v="556"/>
    <x v="3"/>
    <d v="2023-04-11T00:35:00"/>
    <s v="App"/>
    <s v="Giovanni Rovelli"/>
    <n v="4482"/>
    <d v="2023-04-11T00:00:00"/>
    <x v="67"/>
    <x v="1"/>
    <x v="2"/>
    <s v="Outlier"/>
  </r>
  <r>
    <n v="1557337"/>
    <n v="508"/>
    <x v="11"/>
    <d v="2023-01-31T00:49:00"/>
    <s v="App"/>
    <s v="Peter Ferguson"/>
    <n v="4679"/>
    <d v="2023-01-31T00:00:00"/>
    <x v="35"/>
    <x v="9"/>
    <x v="2"/>
    <s v="Outlier"/>
  </r>
  <r>
    <n v="1558722"/>
    <n v="623"/>
    <x v="1"/>
    <d v="2023-07-27T01:37:00"/>
    <s v="Website"/>
    <s v="Diego Freyre"/>
    <n v="1232"/>
    <d v="2023-07-27T00:00:00"/>
    <x v="109"/>
    <x v="6"/>
    <x v="3"/>
    <s v="Outlier"/>
  </r>
  <r>
    <n v="1558773"/>
    <n v="1230"/>
    <x v="4"/>
    <d v="2023-08-05T00:57:00"/>
    <s v="Website"/>
    <s v="Pascale Cartrain"/>
    <n v="5890"/>
    <d v="2023-08-05T00:00:00"/>
    <x v="42"/>
    <x v="8"/>
    <x v="1"/>
    <s v="Outlier"/>
  </r>
  <r>
    <n v="1558851"/>
    <n v="431"/>
    <x v="1"/>
    <d v="2023-12-28T23:23:00"/>
    <s v="Website"/>
    <s v="Juri Hirano"/>
    <n v="3075"/>
    <d v="2023-12-28T00:00:00"/>
    <x v="154"/>
    <x v="0"/>
    <x v="3"/>
    <s v="Outlier"/>
  </r>
  <r>
    <n v="1558891"/>
    <n v="1358"/>
    <x v="6"/>
    <d v="2023-01-22T00:28:00"/>
    <s v="Other"/>
    <s v="Mory Kentary"/>
    <n v="9227"/>
    <d v="2023-01-22T00:00:00"/>
    <x v="39"/>
    <x v="9"/>
    <x v="6"/>
    <s v="Outlier"/>
  </r>
  <r>
    <n v="1560730"/>
    <n v="1689"/>
    <x v="6"/>
    <d v="2023-06-29T00:34:00"/>
    <s v="Whatsapp"/>
    <s v="Peter Ferguson"/>
    <n v="9570"/>
    <d v="2023-06-29T00:00:00"/>
    <x v="21"/>
    <x v="7"/>
    <x v="3"/>
    <s v="Outlier"/>
  </r>
  <r>
    <n v="1561328"/>
    <n v="1031"/>
    <x v="6"/>
    <d v="2023-10-30T23:49:00"/>
    <s v="Whatsapp"/>
    <s v="Elizabeth Lincoln"/>
    <n v="2619"/>
    <d v="2023-10-30T00:00:00"/>
    <x v="43"/>
    <x v="3"/>
    <x v="5"/>
    <s v="Outlier"/>
  </r>
  <r>
    <n v="1561588"/>
    <n v="237"/>
    <x v="3"/>
    <d v="2023-08-24T23:18:00"/>
    <s v="Other"/>
    <s v="Sue Frick"/>
    <n v="7424"/>
    <d v="2023-08-24T00:00:00"/>
    <x v="140"/>
    <x v="8"/>
    <x v="3"/>
    <s v="Outlier"/>
  </r>
  <r>
    <n v="1562667"/>
    <n v="984"/>
    <x v="3"/>
    <d v="2023-07-06T23:41:00"/>
    <s v="Other"/>
    <s v="Diego Freyre"/>
    <n v="424"/>
    <d v="2023-07-06T00:00:00"/>
    <x v="155"/>
    <x v="6"/>
    <x v="3"/>
    <s v="Outlier"/>
  </r>
  <r>
    <n v="1562703"/>
    <n v="347"/>
    <x v="13"/>
    <d v="2023-09-14T00:25:00"/>
    <s v="Whatsapp"/>
    <s v="Janine Labrune"/>
    <n v="1845"/>
    <d v="2023-09-14T00:00:00"/>
    <x v="148"/>
    <x v="10"/>
    <x v="3"/>
    <s v="Outlier"/>
  </r>
  <r>
    <n v="1562821"/>
    <n v="917"/>
    <x v="8"/>
    <d v="2023-06-13T00:11:00"/>
    <s v="Whatsapp"/>
    <s v="Jan Klaeboe"/>
    <n v="5545"/>
    <d v="2023-06-13T00:00:00"/>
    <x v="10"/>
    <x v="7"/>
    <x v="2"/>
    <s v="Outlier"/>
  </r>
  <r>
    <n v="1563544"/>
    <n v="1905"/>
    <x v="4"/>
    <d v="2023-11-12T01:14:00"/>
    <s v="Website"/>
    <s v="Dean Cassidy"/>
    <n v="4596"/>
    <d v="2023-11-12T00:00:00"/>
    <x v="156"/>
    <x v="2"/>
    <x v="6"/>
    <s v="Outlier"/>
  </r>
  <r>
    <n v="1563696"/>
    <n v="1079"/>
    <x v="1"/>
    <d v="2023-04-17T23:39:00"/>
    <s v="Website"/>
    <s v="Steve Frick"/>
    <n v="2297"/>
    <d v="2023-04-17T00:00:00"/>
    <x v="101"/>
    <x v="1"/>
    <x v="5"/>
    <s v="Outlier"/>
  </r>
  <r>
    <n v="1564030"/>
    <n v="1844"/>
    <x v="5"/>
    <d v="2023-12-30T00:00:00"/>
    <s v="Other"/>
    <s v="Helen Bennett"/>
    <n v="9452"/>
    <d v="2023-12-30T00:00:00"/>
    <x v="126"/>
    <x v="0"/>
    <x v="1"/>
    <s v="Outlier"/>
  </r>
  <r>
    <n v="1564843"/>
    <n v="1271"/>
    <x v="3"/>
    <d v="2023-02-16T01:53:00"/>
    <s v="Other"/>
    <s v="Giovanni Rovelli"/>
    <n v="2114"/>
    <d v="2023-02-16T00:00:00"/>
    <x v="102"/>
    <x v="5"/>
    <x v="3"/>
    <s v="Outlier"/>
  </r>
  <r>
    <n v="1564926"/>
    <n v="1519"/>
    <x v="4"/>
    <d v="2023-04-23T22:50:00"/>
    <s v="App"/>
    <s v="Eduardo Saavedra"/>
    <n v="6988"/>
    <d v="2023-04-23T00:00:00"/>
    <x v="133"/>
    <x v="1"/>
    <x v="6"/>
    <s v="Outlier"/>
  </r>
  <r>
    <n v="1565544"/>
    <n v="1432"/>
    <x v="0"/>
    <d v="2023-01-10T00:53:00"/>
    <s v="Whatsapp"/>
    <s v="Dan Lewis"/>
    <n v="1232"/>
    <d v="2023-01-10T00:00:00"/>
    <x v="36"/>
    <x v="9"/>
    <x v="2"/>
    <s v="Outlier"/>
  </r>
  <r>
    <n v="1566865"/>
    <n v="1937"/>
    <x v="9"/>
    <d v="2023-11-27T01:28:00"/>
    <s v="Other"/>
    <s v="Adrian Huxley"/>
    <n v="1543"/>
    <d v="2023-11-27T00:00:00"/>
    <x v="49"/>
    <x v="2"/>
    <x v="5"/>
    <s v="Outlier"/>
  </r>
  <r>
    <n v="1567251"/>
    <n v="1808"/>
    <x v="2"/>
    <d v="2023-07-28T01:58:00"/>
    <s v="Whatsapp"/>
    <s v="Janine Labrune"/>
    <n v="5439"/>
    <d v="2023-07-28T00:00:00"/>
    <x v="157"/>
    <x v="6"/>
    <x v="0"/>
    <s v="Outlier"/>
  </r>
  <r>
    <n v="1567280"/>
    <n v="634"/>
    <x v="0"/>
    <d v="2023-11-23T22:58:00"/>
    <s v="App"/>
    <s v="Violeta Benitez"/>
    <n v="9698"/>
    <d v="2023-11-23T00:00:00"/>
    <x v="158"/>
    <x v="2"/>
    <x v="3"/>
    <s v="Outlier"/>
  </r>
  <r>
    <n v="1568848"/>
    <n v="1783"/>
    <x v="0"/>
    <d v="2023-07-16T00:51:00"/>
    <s v="App"/>
    <s v="Paul Henriot"/>
    <n v="8771"/>
    <d v="2023-07-16T00:00:00"/>
    <x v="93"/>
    <x v="6"/>
    <x v="6"/>
    <s v="Outlier"/>
  </r>
  <r>
    <n v="1569922"/>
    <n v="1948"/>
    <x v="0"/>
    <d v="2023-03-07T23:40:00"/>
    <s v="Website"/>
    <s v="William Brown"/>
    <n v="3425"/>
    <d v="2023-03-07T00:00:00"/>
    <x v="1"/>
    <x v="4"/>
    <x v="2"/>
    <s v="Outlier"/>
  </r>
  <r>
    <n v="1570720"/>
    <n v="1593"/>
    <x v="3"/>
    <d v="2023-10-21T22:35:00"/>
    <s v="Website"/>
    <s v="Maurizio Moroni"/>
    <n v="414"/>
    <d v="2023-10-21T00:00:00"/>
    <x v="55"/>
    <x v="3"/>
    <x v="1"/>
    <s v="Outlier"/>
  </r>
  <r>
    <n v="1571075"/>
    <n v="660"/>
    <x v="0"/>
    <d v="2023-05-25T01:24:00"/>
    <s v="Other"/>
    <s v="Arnold Cruz"/>
    <n v="4346"/>
    <d v="2023-05-25T00:00:00"/>
    <x v="124"/>
    <x v="11"/>
    <x v="3"/>
    <s v="Outlier"/>
  </r>
  <r>
    <n v="1576077"/>
    <n v="1385"/>
    <x v="0"/>
    <d v="2023-11-10T23:05:00"/>
    <s v="Website"/>
    <s v="Paul Henriot"/>
    <n v="9058"/>
    <d v="2023-11-10T00:00:00"/>
    <x v="159"/>
    <x v="2"/>
    <x v="0"/>
    <s v="Outlier"/>
  </r>
  <r>
    <n v="1576972"/>
    <n v="1702"/>
    <x v="2"/>
    <d v="2023-10-25T00:58:00"/>
    <s v="Other"/>
    <s v="Valarie Nelson"/>
    <n v="8340"/>
    <d v="2023-10-25T00:00:00"/>
    <x v="28"/>
    <x v="3"/>
    <x v="4"/>
    <s v="Outlier"/>
  </r>
  <r>
    <n v="1578400"/>
    <n v="1795"/>
    <x v="3"/>
    <d v="2023-01-12T00:01:00"/>
    <s v="Other"/>
    <s v="Julie Young"/>
    <n v="5568"/>
    <d v="2023-01-12T00:00:00"/>
    <x v="63"/>
    <x v="9"/>
    <x v="3"/>
    <s v="Outlier"/>
  </r>
  <r>
    <n v="1579155"/>
    <n v="796"/>
    <x v="10"/>
    <d v="2023-02-16T00:54:00"/>
    <s v="App"/>
    <s v="Julie Brown"/>
    <n v="799"/>
    <d v="2023-02-16T00:00:00"/>
    <x v="73"/>
    <x v="5"/>
    <x v="3"/>
    <s v="Outlier"/>
  </r>
  <r>
    <n v="1580103"/>
    <n v="689"/>
    <x v="3"/>
    <d v="2023-03-07T00:57:00"/>
    <s v="Other"/>
    <s v="Anna O'Hara"/>
    <n v="5667"/>
    <d v="2023-03-07T00:00:00"/>
    <x v="42"/>
    <x v="4"/>
    <x v="2"/>
    <s v="Outlier"/>
  </r>
  <r>
    <n v="1580615"/>
    <n v="932"/>
    <x v="11"/>
    <d v="2023-11-15T00:23:00"/>
    <s v="Website"/>
    <s v="Martine Rance"/>
    <n v="1629"/>
    <d v="2023-11-15T00:00:00"/>
    <x v="6"/>
    <x v="2"/>
    <x v="4"/>
    <s v="Outlier"/>
  </r>
  <r>
    <n v="1580632"/>
    <n v="1084"/>
    <x v="1"/>
    <d v="2023-10-17T01:12:00"/>
    <s v="Other"/>
    <s v="Diego Freyre"/>
    <n v="9219"/>
    <d v="2023-10-17T00:00:00"/>
    <x v="52"/>
    <x v="3"/>
    <x v="2"/>
    <s v="Outlier"/>
  </r>
  <r>
    <n v="1580986"/>
    <n v="523"/>
    <x v="0"/>
    <d v="2023-09-06T02:05:00"/>
    <s v="Website"/>
    <s v="Dominique Perrier"/>
    <n v="438"/>
    <d v="2023-09-06T00:00:00"/>
    <x v="160"/>
    <x v="10"/>
    <x v="4"/>
    <s v="Outlier"/>
  </r>
  <r>
    <n v="1582168"/>
    <n v="1048"/>
    <x v="1"/>
    <d v="2023-11-24T00:52:00"/>
    <s v="Website"/>
    <s v="Martine Rance"/>
    <n v="9234"/>
    <d v="2023-11-24T00:00:00"/>
    <x v="30"/>
    <x v="2"/>
    <x v="0"/>
    <s v="Outlier"/>
  </r>
  <r>
    <n v="1582591"/>
    <n v="618"/>
    <x v="10"/>
    <d v="2023-10-05T01:34:00"/>
    <s v="App"/>
    <s v="Michael Frick"/>
    <n v="6609"/>
    <d v="2023-10-05T00:00:00"/>
    <x v="161"/>
    <x v="3"/>
    <x v="3"/>
    <s v="Outlier"/>
  </r>
  <r>
    <n v="1583961"/>
    <n v="729"/>
    <x v="2"/>
    <d v="2023-05-06T00:39:00"/>
    <s v="Whatsapp"/>
    <s v="Dominique Perrier"/>
    <n v="6820"/>
    <d v="2023-05-06T00:00:00"/>
    <x v="11"/>
    <x v="11"/>
    <x v="1"/>
    <s v="Outlier"/>
  </r>
  <r>
    <n v="1584433"/>
    <n v="1648"/>
    <x v="7"/>
    <d v="2023-01-04T01:51:00"/>
    <s v="Website"/>
    <s v="Juri Yoshido"/>
    <n v="1991"/>
    <d v="2023-01-04T00:00:00"/>
    <x v="104"/>
    <x v="9"/>
    <x v="4"/>
    <s v="Outlier"/>
  </r>
  <r>
    <n v="1584769"/>
    <n v="1176"/>
    <x v="0"/>
    <d v="2023-10-08T23:22:00"/>
    <s v="Whatsapp"/>
    <s v="Miguel Barajas"/>
    <n v="1945"/>
    <d v="2023-10-08T00:00:00"/>
    <x v="137"/>
    <x v="3"/>
    <x v="6"/>
    <s v="Outlier"/>
  </r>
  <r>
    <n v="1585229"/>
    <n v="187"/>
    <x v="3"/>
    <d v="2023-02-06T00:16:00"/>
    <s v="App"/>
    <s v="Marta Hernandez"/>
    <n v="7994"/>
    <d v="2023-02-06T00:00:00"/>
    <x v="61"/>
    <x v="5"/>
    <x v="5"/>
    <s v="Outlier"/>
  </r>
  <r>
    <n v="1585349"/>
    <n v="716"/>
    <x v="1"/>
    <d v="2023-02-25T23:13:00"/>
    <s v="App"/>
    <s v="Matti Karttunen"/>
    <n v="9212"/>
    <d v="2023-02-25T00:00:00"/>
    <x v="15"/>
    <x v="5"/>
    <x v="1"/>
    <s v="Outlier"/>
  </r>
  <r>
    <n v="1585425"/>
    <n v="1009"/>
    <x v="0"/>
    <d v="2023-03-22T23:33:00"/>
    <s v="Other"/>
    <s v="Jonas Bergulfsen"/>
    <n v="3322"/>
    <d v="2023-03-22T00:00:00"/>
    <x v="62"/>
    <x v="4"/>
    <x v="4"/>
    <s v="Outlier"/>
  </r>
  <r>
    <n v="1585483"/>
    <n v="1389"/>
    <x v="0"/>
    <d v="2023-11-12T00:34:00"/>
    <s v="App"/>
    <s v="Kee Kuo"/>
    <n v="521"/>
    <d v="2023-11-12T00:00:00"/>
    <x v="21"/>
    <x v="2"/>
    <x v="6"/>
    <s v="Outlier"/>
  </r>
  <r>
    <n v="1586073"/>
    <n v="1330"/>
    <x v="6"/>
    <d v="2023-09-10T00:40:00"/>
    <s v="App"/>
    <s v="Rosa Hernandez"/>
    <n v="9985"/>
    <d v="2023-09-10T00:00:00"/>
    <x v="51"/>
    <x v="10"/>
    <x v="6"/>
    <s v="Outlier"/>
  </r>
  <r>
    <n v="1586149"/>
    <n v="1596"/>
    <x v="0"/>
    <d v="2023-03-25T23:29:00"/>
    <s v="App"/>
    <s v="Georg Pipps"/>
    <n v="5945"/>
    <d v="2023-03-25T00:00:00"/>
    <x v="71"/>
    <x v="4"/>
    <x v="1"/>
    <s v="Outlier"/>
  </r>
  <r>
    <n v="1586243"/>
    <n v="1472"/>
    <x v="0"/>
    <d v="2023-07-08T01:42:00"/>
    <s v="Website"/>
    <s v="Diego Freyre"/>
    <n v="2468"/>
    <d v="2023-07-08T00:00:00"/>
    <x v="14"/>
    <x v="6"/>
    <x v="1"/>
    <s v="Outlier"/>
  </r>
  <r>
    <n v="1587760"/>
    <n v="1290"/>
    <x v="0"/>
    <d v="2023-12-02T00:38:00"/>
    <s v="App"/>
    <s v="Wing C Tam"/>
    <n v="9238"/>
    <d v="2023-12-02T00:00:00"/>
    <x v="162"/>
    <x v="0"/>
    <x v="1"/>
    <s v="Outlier"/>
  </r>
  <r>
    <n v="1587777"/>
    <n v="1962"/>
    <x v="0"/>
    <d v="2023-12-11T00:12:00"/>
    <s v="App"/>
    <s v="Janine Labrune"/>
    <n v="9310"/>
    <d v="2023-12-11T00:00:00"/>
    <x v="19"/>
    <x v="0"/>
    <x v="5"/>
    <s v="Outlier"/>
  </r>
  <r>
    <n v="1587832"/>
    <n v="1483"/>
    <x v="0"/>
    <d v="2023-11-09T23:05:00"/>
    <s v="Website"/>
    <s v="Valarie Nelson"/>
    <n v="3831"/>
    <d v="2023-11-09T00:00:00"/>
    <x v="159"/>
    <x v="2"/>
    <x v="3"/>
    <s v="Outlier"/>
  </r>
  <r>
    <n v="1587870"/>
    <n v="1515"/>
    <x v="0"/>
    <d v="2023-06-01T23:06:00"/>
    <s v="Website"/>
    <s v="Elizabeth Devon"/>
    <n v="3277"/>
    <d v="2023-06-01T00:00:00"/>
    <x v="163"/>
    <x v="7"/>
    <x v="3"/>
    <s v="Outlier"/>
  </r>
  <r>
    <n v="1587900"/>
    <n v="1466"/>
    <x v="12"/>
    <d v="2023-05-26T00:18:00"/>
    <s v="Whatsapp"/>
    <s v="Giovanni Rovelli"/>
    <n v="465"/>
    <d v="2023-05-26T00:00:00"/>
    <x v="139"/>
    <x v="11"/>
    <x v="0"/>
    <s v="Outlier"/>
  </r>
  <r>
    <n v="1589059"/>
    <n v="1381"/>
    <x v="0"/>
    <d v="2023-04-13T00:48:00"/>
    <s v="Website"/>
    <s v="Peter Ferguson"/>
    <n v="8578"/>
    <d v="2023-04-13T00:00:00"/>
    <x v="88"/>
    <x v="1"/>
    <x v="3"/>
    <s v="Outlier"/>
  </r>
  <r>
    <n v="1589657"/>
    <n v="880"/>
    <x v="1"/>
    <d v="2023-04-12T23:45:00"/>
    <s v="Other"/>
    <s v="Diego Freyre"/>
    <n v="3223"/>
    <d v="2023-04-12T00:00:00"/>
    <x v="164"/>
    <x v="1"/>
    <x v="4"/>
    <s v="Outlier"/>
  </r>
  <r>
    <n v="1589664"/>
    <n v="98"/>
    <x v="13"/>
    <d v="2023-10-18T01:39:00"/>
    <s v="Website"/>
    <s v="Wing C Tam"/>
    <n v="9044"/>
    <d v="2023-10-18T00:00:00"/>
    <x v="152"/>
    <x v="3"/>
    <x v="4"/>
    <s v="Outlier"/>
  </r>
  <r>
    <n v="1590156"/>
    <n v="131"/>
    <x v="2"/>
    <d v="2023-03-30T23:46:00"/>
    <s v="App"/>
    <s v="Diego Freyre"/>
    <n v="8404"/>
    <d v="2023-03-30T00:00:00"/>
    <x v="9"/>
    <x v="4"/>
    <x v="3"/>
    <s v="Outlier"/>
  </r>
  <r>
    <n v="1592825"/>
    <n v="1447"/>
    <x v="5"/>
    <d v="2023-07-06T01:23:00"/>
    <s v="App"/>
    <s v="Juri Hirano"/>
    <n v="7216"/>
    <d v="2023-07-06T00:00:00"/>
    <x v="83"/>
    <x v="6"/>
    <x v="3"/>
    <s v="Outlier"/>
  </r>
  <r>
    <n v="1594427"/>
    <n v="822"/>
    <x v="0"/>
    <d v="2023-12-12T22:47:00"/>
    <s v="App"/>
    <s v="Steve Thompson"/>
    <n v="4417"/>
    <d v="2023-12-12T00:00:00"/>
    <x v="165"/>
    <x v="0"/>
    <x v="2"/>
    <s v="Outlier"/>
  </r>
  <r>
    <n v="1594617"/>
    <n v="1747"/>
    <x v="0"/>
    <d v="2023-05-16T00:47:00"/>
    <s v="App"/>
    <s v="Mory Kentary"/>
    <n v="4361"/>
    <d v="2023-05-16T00:00:00"/>
    <x v="75"/>
    <x v="11"/>
    <x v="2"/>
    <s v="Outlier"/>
  </r>
  <r>
    <n v="1594721"/>
    <n v="1894"/>
    <x v="4"/>
    <d v="2023-07-16T23:55:00"/>
    <s v="Other"/>
    <s v="Peter Ferguson"/>
    <n v="5493"/>
    <d v="2023-07-16T00:00:00"/>
    <x v="166"/>
    <x v="6"/>
    <x v="6"/>
    <s v="Outlier"/>
  </r>
  <r>
    <n v="1594992"/>
    <n v="114"/>
    <x v="0"/>
    <d v="2023-12-10T23:18:00"/>
    <s v="App"/>
    <s v="Elizabeth Lincoln"/>
    <n v="1650"/>
    <d v="2023-12-10T00:00:00"/>
    <x v="140"/>
    <x v="0"/>
    <x v="6"/>
    <s v="Outlier"/>
  </r>
  <r>
    <n v="1595227"/>
    <n v="441"/>
    <x v="0"/>
    <d v="2023-07-14T00:48:00"/>
    <s v="Whatsapp"/>
    <s v="Sue Frick"/>
    <n v="4974"/>
    <d v="2023-07-14T00:00:00"/>
    <x v="88"/>
    <x v="6"/>
    <x v="0"/>
    <s v="Outlier"/>
  </r>
  <r>
    <n v="1595262"/>
    <n v="1837"/>
    <x v="11"/>
    <d v="2023-09-20T23:31:00"/>
    <s v="Other"/>
    <s v="Diego Freyre"/>
    <n v="8118"/>
    <d v="2023-09-20T00:00:00"/>
    <x v="57"/>
    <x v="10"/>
    <x v="4"/>
    <s v="Outlier"/>
  </r>
  <r>
    <n v="1597150"/>
    <n v="1599"/>
    <x v="0"/>
    <d v="2023-11-12T00:19:00"/>
    <s v="Whatsapp"/>
    <s v="Janine Labrune"/>
    <n v="3756"/>
    <d v="2023-11-12T00:00:00"/>
    <x v="167"/>
    <x v="2"/>
    <x v="6"/>
    <s v="Outlier"/>
  </r>
  <r>
    <n v="1598652"/>
    <n v="191"/>
    <x v="7"/>
    <d v="2023-10-26T23:32:00"/>
    <s v="App"/>
    <s v="Jan Klaeboe"/>
    <n v="2084"/>
    <d v="2023-10-26T00:00:00"/>
    <x v="91"/>
    <x v="3"/>
    <x v="3"/>
    <s v="Outlier"/>
  </r>
  <r>
    <n v="1599039"/>
    <n v="1483"/>
    <x v="0"/>
    <d v="2023-01-23T22:54:00"/>
    <s v="Whatsapp"/>
    <s v="Michael Donnermeyer"/>
    <n v="9658"/>
    <d v="2023-01-23T00:00:00"/>
    <x v="105"/>
    <x v="9"/>
    <x v="5"/>
    <s v="Outlier"/>
  </r>
  <r>
    <n v="1599499"/>
    <n v="427"/>
    <x v="1"/>
    <d v="2023-03-13T23:51:00"/>
    <s v="Website"/>
    <s v="Steve Frick"/>
    <n v="3608"/>
    <d v="2023-03-13T00:00:00"/>
    <x v="87"/>
    <x v="4"/>
    <x v="5"/>
    <s v="Outlier"/>
  </r>
  <r>
    <n v="1599786"/>
    <n v="821"/>
    <x v="2"/>
    <d v="2023-01-19T23:25:00"/>
    <s v="App"/>
    <s v="Helen Bennett"/>
    <n v="480"/>
    <d v="2023-01-19T00:00:00"/>
    <x v="141"/>
    <x v="9"/>
    <x v="3"/>
    <s v="Outlier"/>
  </r>
  <r>
    <n v="1600216"/>
    <n v="314"/>
    <x v="4"/>
    <d v="2023-11-19T00:15:00"/>
    <s v="App"/>
    <s v="Giovanni Rovelli"/>
    <n v="8607"/>
    <d v="2023-11-19T00:00:00"/>
    <x v="123"/>
    <x v="2"/>
    <x v="6"/>
    <s v="Outlier"/>
  </r>
  <r>
    <n v="1602189"/>
    <n v="676"/>
    <x v="1"/>
    <d v="2023-07-09T00:52:00"/>
    <s v="App"/>
    <s v="Eduardo Saavedra"/>
    <n v="179"/>
    <d v="2023-07-09T00:00:00"/>
    <x v="30"/>
    <x v="6"/>
    <x v="6"/>
    <s v="Outlier"/>
  </r>
  <r>
    <n v="1604175"/>
    <n v="265"/>
    <x v="6"/>
    <d v="2023-04-30T00:17:00"/>
    <s v="Website"/>
    <s v="Dan Lewis"/>
    <n v="5731"/>
    <d v="2023-04-30T00:00:00"/>
    <x v="20"/>
    <x v="1"/>
    <x v="6"/>
    <s v="Outlier"/>
  </r>
  <r>
    <n v="1604289"/>
    <n v="214"/>
    <x v="0"/>
    <d v="2023-04-15T01:58:00"/>
    <s v="Website"/>
    <s v="Adrian Huxley"/>
    <n v="9600"/>
    <d v="2023-04-15T00:00:00"/>
    <x v="157"/>
    <x v="1"/>
    <x v="1"/>
    <s v="Outlier"/>
  </r>
  <r>
    <n v="1604334"/>
    <n v="1237"/>
    <x v="0"/>
    <d v="2023-12-17T23:32:00"/>
    <s v="Whatsapp"/>
    <s v="Janine Labrune"/>
    <n v="4433"/>
    <d v="2023-12-17T00:00:00"/>
    <x v="91"/>
    <x v="0"/>
    <x v="6"/>
    <s v="Outlier"/>
  </r>
  <r>
    <n v="1605621"/>
    <n v="98"/>
    <x v="13"/>
    <d v="2023-09-05T01:33:00"/>
    <s v="App"/>
    <s v="Violeta Benitez"/>
    <n v="4118"/>
    <d v="2023-09-05T00:00:00"/>
    <x v="47"/>
    <x v="10"/>
    <x v="2"/>
    <s v="Outlier"/>
  </r>
  <r>
    <n v="1605700"/>
    <n v="1574"/>
    <x v="9"/>
    <d v="2023-02-09T01:00:00"/>
    <s v="Other"/>
    <s v="Paul Henriot"/>
    <n v="2305"/>
    <d v="2023-02-09T00:00:00"/>
    <x v="168"/>
    <x v="5"/>
    <x v="3"/>
    <s v="Outlier"/>
  </r>
  <r>
    <n v="1605731"/>
    <n v="564"/>
    <x v="0"/>
    <d v="2023-06-24T00:02:00"/>
    <s v="Whatsapp"/>
    <s v="William Brown"/>
    <n v="6271"/>
    <d v="2023-06-24T00:00:00"/>
    <x v="89"/>
    <x v="7"/>
    <x v="1"/>
    <s v="Outlier"/>
  </r>
  <r>
    <n v="1605754"/>
    <n v="1734"/>
    <x v="0"/>
    <d v="2023-06-09T01:16:00"/>
    <s v="Whatsapp"/>
    <s v="Maurizio Moroni"/>
    <n v="504"/>
    <d v="2023-06-09T00:00:00"/>
    <x v="84"/>
    <x v="7"/>
    <x v="0"/>
    <s v="Outlier"/>
  </r>
  <r>
    <n v="1607015"/>
    <n v="1741"/>
    <x v="0"/>
    <d v="2023-12-26T01:08:00"/>
    <s v="Whatsapp"/>
    <s v="Diego Freyre"/>
    <n v="4369"/>
    <d v="2023-12-26T00:00:00"/>
    <x v="37"/>
    <x v="0"/>
    <x v="2"/>
    <s v="Outlier"/>
  </r>
  <r>
    <n v="1607569"/>
    <n v="1930"/>
    <x v="0"/>
    <d v="2023-09-07T23:47:00"/>
    <s v="Website"/>
    <s v="Maria Hernandez"/>
    <n v="1307"/>
    <d v="2023-09-07T00:00:00"/>
    <x v="100"/>
    <x v="10"/>
    <x v="3"/>
    <s v="Outlier"/>
  </r>
  <r>
    <n v="1608036"/>
    <n v="1794"/>
    <x v="6"/>
    <d v="2023-08-22T23:43:00"/>
    <s v="Other"/>
    <s v="Jeff Young"/>
    <n v="3016"/>
    <d v="2023-08-22T00:00:00"/>
    <x v="169"/>
    <x v="8"/>
    <x v="2"/>
    <s v="Outlier"/>
  </r>
  <r>
    <n v="1609306"/>
    <n v="529"/>
    <x v="1"/>
    <d v="2023-12-01T01:21:00"/>
    <s v="App"/>
    <s v="Kalle Suominen"/>
    <n v="847"/>
    <d v="2023-12-01T00:00:00"/>
    <x v="128"/>
    <x v="0"/>
    <x v="0"/>
    <s v="Outlier"/>
  </r>
  <r>
    <n v="1609928"/>
    <n v="1237"/>
    <x v="0"/>
    <d v="2023-06-05T00:58:00"/>
    <s v="App"/>
    <s v="Pirkko Koskitalo"/>
    <n v="373"/>
    <d v="2023-06-05T00:00:00"/>
    <x v="28"/>
    <x v="7"/>
    <x v="5"/>
    <s v="Outlier"/>
  </r>
  <r>
    <n v="1610660"/>
    <n v="1126"/>
    <x v="3"/>
    <d v="2023-03-15T23:51:00"/>
    <s v="Website"/>
    <s v="Eric Natividad"/>
    <n v="4580"/>
    <d v="2023-03-15T00:00:00"/>
    <x v="87"/>
    <x v="4"/>
    <x v="4"/>
    <s v="Outlier"/>
  </r>
  <r>
    <n v="1611854"/>
    <n v="1101"/>
    <x v="1"/>
    <d v="2023-07-08T23:58:00"/>
    <s v="Other"/>
    <s v="Maurizio Moroni"/>
    <n v="508"/>
    <d v="2023-07-08T00:00:00"/>
    <x v="96"/>
    <x v="6"/>
    <x v="1"/>
    <s v="Outlier"/>
  </r>
  <r>
    <n v="1612026"/>
    <n v="730"/>
    <x v="9"/>
    <d v="2023-01-25T01:29:00"/>
    <s v="App"/>
    <s v="Jose Pedro Roel"/>
    <n v="5053"/>
    <d v="2023-01-25T00:00:00"/>
    <x v="103"/>
    <x v="9"/>
    <x v="4"/>
    <s v="Outlier"/>
  </r>
  <r>
    <n v="1612028"/>
    <n v="1167"/>
    <x v="0"/>
    <d v="2023-01-18T23:58:00"/>
    <s v="Whatsapp"/>
    <s v="Steve Frick"/>
    <n v="9324"/>
    <d v="2023-01-18T00:00:00"/>
    <x v="96"/>
    <x v="9"/>
    <x v="4"/>
    <s v="Outlier"/>
  </r>
  <r>
    <n v="1613483"/>
    <n v="296"/>
    <x v="13"/>
    <d v="2023-10-20T01:05:00"/>
    <s v="Other"/>
    <s v="Valarie Franco"/>
    <n v="2248"/>
    <d v="2023-10-20T00:00:00"/>
    <x v="12"/>
    <x v="3"/>
    <x v="0"/>
    <s v="Outlier"/>
  </r>
  <r>
    <n v="1615509"/>
    <n v="63"/>
    <x v="8"/>
    <d v="2023-10-30T22:32:00"/>
    <s v="Other"/>
    <s v="Dean Cassidy"/>
    <n v="7909"/>
    <d v="2023-10-30T00:00:00"/>
    <x v="170"/>
    <x v="3"/>
    <x v="5"/>
    <s v="Outlier"/>
  </r>
  <r>
    <n v="1616083"/>
    <n v="894"/>
    <x v="6"/>
    <d v="2023-06-13T00:54:00"/>
    <s v="App"/>
    <s v="Roland Keitel"/>
    <n v="9153"/>
    <d v="2023-06-13T00:00:00"/>
    <x v="73"/>
    <x v="7"/>
    <x v="2"/>
    <s v="Outlier"/>
  </r>
  <r>
    <n v="1616804"/>
    <n v="902"/>
    <x v="0"/>
    <d v="2023-04-07T23:00:00"/>
    <s v="App"/>
    <s v="Diego Freyre"/>
    <n v="8265"/>
    <d v="2023-04-07T00:00:00"/>
    <x v="171"/>
    <x v="1"/>
    <x v="0"/>
    <s v="Outlier"/>
  </r>
  <r>
    <n v="1617273"/>
    <n v="547"/>
    <x v="0"/>
    <d v="2023-08-18T00:04:00"/>
    <s v="App"/>
    <s v="Wendy Victorino"/>
    <n v="2095"/>
    <d v="2023-08-18T00:00:00"/>
    <x v="64"/>
    <x v="8"/>
    <x v="0"/>
    <s v="Outlier"/>
  </r>
  <r>
    <n v="1617524"/>
    <n v="34"/>
    <x v="6"/>
    <d v="2023-02-11T23:42:00"/>
    <s v="Other"/>
    <s v="Valarie Nelson"/>
    <n v="1527"/>
    <d v="2023-02-11T00:00:00"/>
    <x v="38"/>
    <x v="5"/>
    <x v="1"/>
    <s v="Outlier"/>
  </r>
  <r>
    <n v="1620752"/>
    <n v="1687"/>
    <x v="6"/>
    <d v="2023-10-13T23:37:00"/>
    <s v="Other"/>
    <s v="Valarie Nelson"/>
    <n v="7191"/>
    <d v="2023-10-13T00:00:00"/>
    <x v="78"/>
    <x v="3"/>
    <x v="0"/>
    <s v="Outlier"/>
  </r>
  <r>
    <n v="1622340"/>
    <n v="1487"/>
    <x v="2"/>
    <d v="2023-05-06T00:14:00"/>
    <s v="Whatsapp"/>
    <s v="Kwai Yu"/>
    <n v="4769"/>
    <d v="2023-05-06T00:00:00"/>
    <x v="172"/>
    <x v="11"/>
    <x v="1"/>
    <s v="Outlier"/>
  </r>
  <r>
    <n v="1622599"/>
    <n v="453"/>
    <x v="3"/>
    <d v="2023-01-14T23:51:00"/>
    <s v="App"/>
    <s v="Marta Hernandez"/>
    <n v="8568"/>
    <d v="2023-01-14T00:00:00"/>
    <x v="87"/>
    <x v="9"/>
    <x v="1"/>
    <s v="Outlier"/>
  </r>
  <r>
    <n v="1624567"/>
    <n v="977"/>
    <x v="1"/>
    <d v="2023-07-20T01:58:00"/>
    <s v="Website"/>
    <s v="Palle Ibsen"/>
    <n v="1814"/>
    <d v="2023-07-20T00:00:00"/>
    <x v="157"/>
    <x v="6"/>
    <x v="3"/>
    <s v="Outlier"/>
  </r>
  <r>
    <n v="1625256"/>
    <n v="1551"/>
    <x v="0"/>
    <d v="2023-08-30T01:53:00"/>
    <s v="Whatsapp"/>
    <s v="Jonas Bergulfsen"/>
    <n v="2960"/>
    <d v="2023-08-30T00:00:00"/>
    <x v="102"/>
    <x v="8"/>
    <x v="4"/>
    <s v="Outlier"/>
  </r>
  <r>
    <n v="1625678"/>
    <n v="239"/>
    <x v="1"/>
    <d v="2023-06-01T00:12:00"/>
    <s v="Other"/>
    <s v="Marie Bertrand"/>
    <n v="1366"/>
    <d v="2023-06-01T00:00:00"/>
    <x v="19"/>
    <x v="7"/>
    <x v="3"/>
    <s v="Outlier"/>
  </r>
  <r>
    <n v="1625859"/>
    <n v="1409"/>
    <x v="0"/>
    <d v="2023-07-17T23:52:00"/>
    <s v="App"/>
    <s v="Diego Freyre"/>
    <n v="3766"/>
    <d v="2023-07-17T00:00:00"/>
    <x v="94"/>
    <x v="6"/>
    <x v="5"/>
    <s v="Outlier"/>
  </r>
  <r>
    <n v="1626780"/>
    <n v="230"/>
    <x v="0"/>
    <d v="2023-12-25T23:28:00"/>
    <s v="Website"/>
    <s v="Paul Henriot"/>
    <n v="3369"/>
    <d v="2023-12-25T00:00:00"/>
    <x v="134"/>
    <x v="0"/>
    <x v="5"/>
    <s v="Outlier"/>
  </r>
  <r>
    <n v="1627081"/>
    <n v="741"/>
    <x v="0"/>
    <d v="2023-01-09T01:36:00"/>
    <s v="Other"/>
    <s v="Valarie Nelson"/>
    <n v="5636"/>
    <d v="2023-01-09T00:00:00"/>
    <x v="173"/>
    <x v="9"/>
    <x v="5"/>
    <s v="Outlier"/>
  </r>
  <r>
    <n v="1628939"/>
    <n v="1474"/>
    <x v="0"/>
    <d v="2023-09-05T00:54:00"/>
    <s v="Website"/>
    <s v="Diego Freyre"/>
    <n v="4675"/>
    <d v="2023-09-05T00:00:00"/>
    <x v="73"/>
    <x v="10"/>
    <x v="2"/>
    <s v="Outlier"/>
  </r>
  <r>
    <n v="1629259"/>
    <n v="1982"/>
    <x v="2"/>
    <d v="2023-08-28T01:19:00"/>
    <s v="App"/>
    <s v="Daniel Da Cunha"/>
    <n v="9052"/>
    <d v="2023-08-28T00:00:00"/>
    <x v="95"/>
    <x v="8"/>
    <x v="5"/>
    <s v="Outlier"/>
  </r>
  <r>
    <n v="1629885"/>
    <n v="366"/>
    <x v="1"/>
    <d v="2023-08-31T23:57:00"/>
    <s v="Other"/>
    <s v="Diego Freyre"/>
    <n v="6675"/>
    <d v="2023-08-31T00:00:00"/>
    <x v="116"/>
    <x v="8"/>
    <x v="3"/>
    <s v="Outlier"/>
  </r>
  <r>
    <n v="1629891"/>
    <n v="1088"/>
    <x v="1"/>
    <d v="2023-06-20T00:23:00"/>
    <s v="Other"/>
    <s v="Janine Labrune"/>
    <n v="5428"/>
    <d v="2023-06-20T00:00:00"/>
    <x v="6"/>
    <x v="7"/>
    <x v="2"/>
    <s v="Outlier"/>
  </r>
  <r>
    <n v="1630533"/>
    <n v="450"/>
    <x v="2"/>
    <d v="2023-04-11T00:46:00"/>
    <s v="Other"/>
    <s v="Diego Freyre"/>
    <n v="1269"/>
    <d v="2023-04-11T00:00:00"/>
    <x v="77"/>
    <x v="1"/>
    <x v="2"/>
    <s v="Outlier"/>
  </r>
  <r>
    <n v="1630634"/>
    <n v="400"/>
    <x v="6"/>
    <d v="2023-03-10T01:04:00"/>
    <s v="Whatsapp"/>
    <s v="Eric Natividad"/>
    <n v="4641"/>
    <d v="2023-03-10T00:00:00"/>
    <x v="121"/>
    <x v="4"/>
    <x v="0"/>
    <s v="Outlier"/>
  </r>
  <r>
    <n v="1631258"/>
    <n v="1613"/>
    <x v="0"/>
    <d v="2023-12-02T23:54:00"/>
    <s v="Website"/>
    <s v="Jeff Young"/>
    <n v="382"/>
    <d v="2023-12-02T00:00:00"/>
    <x v="174"/>
    <x v="0"/>
    <x v="1"/>
    <s v="Outlier"/>
  </r>
  <r>
    <n v="1631401"/>
    <n v="932"/>
    <x v="11"/>
    <d v="2023-06-25T01:54:00"/>
    <s v="Whatsapp"/>
    <s v="Valarie Nelson"/>
    <n v="638"/>
    <d v="2023-06-25T00:00:00"/>
    <x v="143"/>
    <x v="7"/>
    <x v="6"/>
    <s v="Outlier"/>
  </r>
  <r>
    <n v="1632433"/>
    <n v="520"/>
    <x v="4"/>
    <d v="2023-10-05T00:05:00"/>
    <s v="Website"/>
    <s v="Diego Freyre"/>
    <n v="2927"/>
    <d v="2023-10-05T00:00:00"/>
    <x v="48"/>
    <x v="3"/>
    <x v="3"/>
    <s v="Outlier"/>
  </r>
  <r>
    <n v="1632791"/>
    <n v="1581"/>
    <x v="0"/>
    <d v="2023-10-10T23:27:00"/>
    <s v="Other"/>
    <s v="Eric Natividad"/>
    <n v="3408"/>
    <d v="2023-10-10T00:00:00"/>
    <x v="79"/>
    <x v="3"/>
    <x v="2"/>
    <s v="Outlier"/>
  </r>
  <r>
    <n v="1633524"/>
    <n v="1801"/>
    <x v="4"/>
    <d v="2023-07-12T00:11:00"/>
    <s v="App"/>
    <s v="Maurizio Moroni"/>
    <n v="6028"/>
    <d v="2023-07-12T00:00:00"/>
    <x v="10"/>
    <x v="6"/>
    <x v="4"/>
    <s v="Outlier"/>
  </r>
  <r>
    <n v="1635379"/>
    <n v="1673"/>
    <x v="4"/>
    <d v="2023-04-12T00:48:00"/>
    <s v="Whatsapp"/>
    <s v="Wing C Tam"/>
    <n v="5543"/>
    <d v="2023-04-12T00:00:00"/>
    <x v="88"/>
    <x v="1"/>
    <x v="4"/>
    <s v="Outlier"/>
  </r>
  <r>
    <n v="1635597"/>
    <n v="1235"/>
    <x v="5"/>
    <d v="2023-09-03T23:09:00"/>
    <s v="Whatsapp"/>
    <s v="Leslie Murphy"/>
    <n v="7590"/>
    <d v="2023-09-03T00:00:00"/>
    <x v="175"/>
    <x v="10"/>
    <x v="6"/>
    <s v="Outlier"/>
  </r>
  <r>
    <n v="1635802"/>
    <n v="1031"/>
    <x v="6"/>
    <d v="2023-12-27T23:52:00"/>
    <s v="Website"/>
    <s v="Mary Saveley"/>
    <n v="67"/>
    <d v="2023-12-27T00:00:00"/>
    <x v="94"/>
    <x v="0"/>
    <x v="4"/>
    <s v="Outlier"/>
  </r>
  <r>
    <n v="1638003"/>
    <n v="291"/>
    <x v="1"/>
    <d v="2023-11-30T22:47:00"/>
    <s v="Whatsapp"/>
    <s v="Dean Cassidy"/>
    <n v="4753"/>
    <d v="2023-11-30T00:00:00"/>
    <x v="165"/>
    <x v="2"/>
    <x v="3"/>
    <s v="Outlier"/>
  </r>
  <r>
    <n v="1638963"/>
    <n v="1152"/>
    <x v="4"/>
    <d v="2023-03-06T01:32:00"/>
    <s v="Website"/>
    <s v="Roland Keitel"/>
    <n v="1352"/>
    <d v="2023-03-06T00:00:00"/>
    <x v="117"/>
    <x v="4"/>
    <x v="5"/>
    <s v="Outlier"/>
  </r>
  <r>
    <n v="1639546"/>
    <n v="1491"/>
    <x v="0"/>
    <d v="2023-04-29T23:00:00"/>
    <s v="App"/>
    <s v="Kalle Suominen"/>
    <n v="4460"/>
    <d v="2023-04-29T00:00:00"/>
    <x v="171"/>
    <x v="1"/>
    <x v="1"/>
    <s v="Outlier"/>
  </r>
  <r>
    <n v="1639990"/>
    <n v="1616"/>
    <x v="0"/>
    <d v="2023-04-30T01:26:00"/>
    <s v="Whatsapp"/>
    <s v="Kyung Yu"/>
    <n v="3972"/>
    <d v="2023-04-30T00:00:00"/>
    <x v="65"/>
    <x v="1"/>
    <x v="6"/>
    <s v="Outlier"/>
  </r>
  <r>
    <n v="1640444"/>
    <n v="823"/>
    <x v="3"/>
    <d v="2023-02-03T23:54:00"/>
    <s v="Website"/>
    <s v="Valarie Nelson"/>
    <n v="6055"/>
    <d v="2023-02-03T00:00:00"/>
    <x v="174"/>
    <x v="5"/>
    <x v="0"/>
    <s v="Outlier"/>
  </r>
  <r>
    <n v="1641043"/>
    <n v="42"/>
    <x v="4"/>
    <d v="2023-02-19T23:02:00"/>
    <s v="Other"/>
    <s v="Kwai Yu"/>
    <n v="8182"/>
    <d v="2023-02-19T00:00:00"/>
    <x v="114"/>
    <x v="5"/>
    <x v="6"/>
    <s v="Outlier"/>
  </r>
  <r>
    <n v="1641217"/>
    <n v="1098"/>
    <x v="5"/>
    <d v="2023-05-06T00:44:00"/>
    <s v="Website"/>
    <s v="Victoria Ashworth"/>
    <n v="8834"/>
    <d v="2023-05-06T00:00:00"/>
    <x v="85"/>
    <x v="11"/>
    <x v="1"/>
    <s v="Outlier"/>
  </r>
  <r>
    <n v="1642122"/>
    <n v="143"/>
    <x v="0"/>
    <d v="2023-10-28T00:17:00"/>
    <s v="App"/>
    <s v="Palle Ibsen"/>
    <n v="819"/>
    <d v="2023-10-28T00:00:00"/>
    <x v="20"/>
    <x v="3"/>
    <x v="1"/>
    <s v="Outlier"/>
  </r>
  <r>
    <n v="1642131"/>
    <n v="368"/>
    <x v="10"/>
    <d v="2023-07-16T00:20:00"/>
    <s v="Other"/>
    <s v="Jonas Bergulfsen"/>
    <n v="419"/>
    <d v="2023-07-16T00:00:00"/>
    <x v="68"/>
    <x v="6"/>
    <x v="6"/>
    <s v="Outlier"/>
  </r>
  <r>
    <n v="1642677"/>
    <n v="387"/>
    <x v="6"/>
    <d v="2023-02-04T23:10:00"/>
    <s v="App"/>
    <s v="Maria Hernandez"/>
    <n v="8906"/>
    <d v="2023-02-04T00:00:00"/>
    <x v="176"/>
    <x v="5"/>
    <x v="1"/>
    <s v="Outlier"/>
  </r>
  <r>
    <n v="1643238"/>
    <n v="455"/>
    <x v="7"/>
    <d v="2023-03-31T02:00:00"/>
    <s v="Whatsapp"/>
    <s v="Diego Freyre"/>
    <n v="3777"/>
    <d v="2023-03-31T00:00:00"/>
    <x v="23"/>
    <x v="4"/>
    <x v="0"/>
    <s v="Outlier"/>
  </r>
  <r>
    <n v="1643298"/>
    <n v="1699"/>
    <x v="6"/>
    <d v="2023-04-19T23:45:00"/>
    <s v="Website"/>
    <s v="Paul Henriot"/>
    <n v="6207"/>
    <d v="2023-04-19T00:00:00"/>
    <x v="164"/>
    <x v="1"/>
    <x v="4"/>
    <s v="Outlier"/>
  </r>
  <r>
    <n v="1644933"/>
    <n v="164"/>
    <x v="0"/>
    <d v="2023-07-20T00:29:00"/>
    <s v="App"/>
    <s v="Akiko Shimamura"/>
    <n v="3831"/>
    <d v="2023-07-20T00:00:00"/>
    <x v="50"/>
    <x v="6"/>
    <x v="3"/>
    <s v="Outlier"/>
  </r>
  <r>
    <n v="1644988"/>
    <n v="1400"/>
    <x v="0"/>
    <d v="2023-10-27T00:35:00"/>
    <s v="Website"/>
    <s v="Diego Freyre"/>
    <n v="523"/>
    <d v="2023-10-27T00:00:00"/>
    <x v="67"/>
    <x v="3"/>
    <x v="0"/>
    <s v="Outlier"/>
  </r>
  <r>
    <n v="1646606"/>
    <n v="654"/>
    <x v="3"/>
    <d v="2023-11-13T23:33:00"/>
    <s v="App"/>
    <s v="Daniel Da Cunha"/>
    <n v="673"/>
    <d v="2023-11-13T00:00:00"/>
    <x v="62"/>
    <x v="2"/>
    <x v="5"/>
    <s v="Outlier"/>
  </r>
  <r>
    <n v="1646930"/>
    <n v="146"/>
    <x v="8"/>
    <d v="2023-06-10T01:09:00"/>
    <s v="Other"/>
    <s v="Julie King"/>
    <n v="5619"/>
    <d v="2023-06-10T00:00:00"/>
    <x v="92"/>
    <x v="7"/>
    <x v="1"/>
    <s v="Outlier"/>
  </r>
  <r>
    <n v="1646954"/>
    <n v="275"/>
    <x v="2"/>
    <d v="2023-01-23T00:34:00"/>
    <s v="Website"/>
    <s v="Arnold Cruz"/>
    <n v="4944"/>
    <d v="2023-01-23T00:00:00"/>
    <x v="21"/>
    <x v="9"/>
    <x v="5"/>
    <s v="Outlier"/>
  </r>
  <r>
    <n v="1647290"/>
    <n v="1451"/>
    <x v="0"/>
    <d v="2023-11-06T00:04:00"/>
    <s v="Other"/>
    <s v="Paul Henriot"/>
    <n v="4573"/>
    <d v="2023-11-06T00:00:00"/>
    <x v="64"/>
    <x v="2"/>
    <x v="5"/>
    <s v="Outlier"/>
  </r>
  <r>
    <n v="1648180"/>
    <n v="993"/>
    <x v="10"/>
    <d v="2023-01-02T00:28:00"/>
    <s v="App"/>
    <s v="Valarie Nelson"/>
    <n v="4526"/>
    <d v="2023-01-02T00:00:00"/>
    <x v="39"/>
    <x v="9"/>
    <x v="5"/>
    <s v="Outlier"/>
  </r>
  <r>
    <n v="1648466"/>
    <n v="842"/>
    <x v="3"/>
    <d v="2023-01-22T23:47:00"/>
    <s v="Whatsapp"/>
    <s v="Julie Young"/>
    <n v="3076"/>
    <d v="2023-01-22T00:00:00"/>
    <x v="100"/>
    <x v="9"/>
    <x v="6"/>
    <s v="Outlier"/>
  </r>
  <r>
    <n v="1649120"/>
    <n v="74"/>
    <x v="0"/>
    <d v="2023-04-14T00:28:00"/>
    <s v="App"/>
    <s v="Julie Brown"/>
    <n v="4798"/>
    <d v="2023-04-14T00:00:00"/>
    <x v="39"/>
    <x v="1"/>
    <x v="0"/>
    <s v="Outlier"/>
  </r>
  <r>
    <n v="1649225"/>
    <n v="859"/>
    <x v="0"/>
    <d v="2023-09-12T23:05:00"/>
    <s v="Other"/>
    <s v="Anna O'Hara"/>
    <n v="811"/>
    <d v="2023-09-12T00:00:00"/>
    <x v="159"/>
    <x v="10"/>
    <x v="2"/>
    <s v="Outlier"/>
  </r>
  <r>
    <n v="1650492"/>
    <n v="473"/>
    <x v="12"/>
    <d v="2023-12-02T00:17:00"/>
    <s v="Whatsapp"/>
    <s v="Martine Rance"/>
    <n v="8148"/>
    <d v="2023-12-02T00:00:00"/>
    <x v="20"/>
    <x v="0"/>
    <x v="1"/>
    <s v="Outlier"/>
  </r>
  <r>
    <n v="1650779"/>
    <n v="1034"/>
    <x v="2"/>
    <d v="2023-04-12T00:48:00"/>
    <s v="Other"/>
    <s v="Diego Freyre"/>
    <n v="8843"/>
    <d v="2023-04-12T00:00:00"/>
    <x v="88"/>
    <x v="1"/>
    <x v="4"/>
    <s v="Outlier"/>
  </r>
  <r>
    <n v="1651135"/>
    <n v="1845"/>
    <x v="10"/>
    <d v="2023-12-07T00:09:00"/>
    <s v="Other"/>
    <s v="Dominique Perrier"/>
    <n v="2721"/>
    <d v="2023-12-07T00:00:00"/>
    <x v="81"/>
    <x v="0"/>
    <x v="3"/>
    <s v="Outlier"/>
  </r>
  <r>
    <n v="1653886"/>
    <n v="1518"/>
    <x v="0"/>
    <d v="2023-05-08T01:31:00"/>
    <s v="Other"/>
    <s v="Martine Rance"/>
    <n v="8879"/>
    <d v="2023-05-08T00:00:00"/>
    <x v="177"/>
    <x v="11"/>
    <x v="5"/>
    <s v="Outlier"/>
  </r>
  <r>
    <n v="1654315"/>
    <n v="762"/>
    <x v="13"/>
    <d v="2023-08-31T00:20:00"/>
    <s v="App"/>
    <s v="Michael Frick"/>
    <n v="4846"/>
    <d v="2023-08-31T00:00:00"/>
    <x v="68"/>
    <x v="8"/>
    <x v="3"/>
    <s v="Outlier"/>
  </r>
  <r>
    <n v="1654344"/>
    <n v="1851"/>
    <x v="4"/>
    <d v="2023-02-04T00:50:00"/>
    <s v="App"/>
    <s v="Dominique Perrier"/>
    <n v="1085"/>
    <d v="2023-02-04T00:00:00"/>
    <x v="0"/>
    <x v="5"/>
    <x v="1"/>
    <s v="Outlier"/>
  </r>
  <r>
    <n v="1654679"/>
    <n v="804"/>
    <x v="7"/>
    <d v="2023-06-18T23:39:00"/>
    <s v="Other"/>
    <s v="Juri Yoshido"/>
    <n v="8264"/>
    <d v="2023-06-18T00:00:00"/>
    <x v="101"/>
    <x v="7"/>
    <x v="6"/>
    <s v="Outlier"/>
  </r>
  <r>
    <n v="1655697"/>
    <n v="499"/>
    <x v="6"/>
    <d v="2023-05-05T00:56:00"/>
    <s v="Other"/>
    <s v="Miguel Barajas"/>
    <n v="3864"/>
    <d v="2023-05-05T00:00:00"/>
    <x v="150"/>
    <x v="11"/>
    <x v="0"/>
    <s v="Outlier"/>
  </r>
  <r>
    <n v="1656071"/>
    <n v="901"/>
    <x v="0"/>
    <d v="2023-11-05T00:01:00"/>
    <s v="App"/>
    <s v="Marta Hernandez"/>
    <n v="634"/>
    <d v="2023-11-05T00:00:00"/>
    <x v="63"/>
    <x v="2"/>
    <x v="6"/>
    <s v="Outlier"/>
  </r>
  <r>
    <n v="1656749"/>
    <n v="316"/>
    <x v="1"/>
    <d v="2023-06-06T00:20:00"/>
    <s v="App"/>
    <s v="Matti Karttunen"/>
    <n v="7917"/>
    <d v="2023-06-06T00:00:00"/>
    <x v="68"/>
    <x v="7"/>
    <x v="2"/>
    <s v="Outlier"/>
  </r>
  <r>
    <n v="1657013"/>
    <n v="1799"/>
    <x v="3"/>
    <d v="2023-04-15T00:19:00"/>
    <s v="Whatsapp"/>
    <s v="Jonas Bergulfsen"/>
    <n v="5240"/>
    <d v="2023-04-15T00:00:00"/>
    <x v="167"/>
    <x v="1"/>
    <x v="1"/>
    <s v="Outlier"/>
  </r>
  <r>
    <n v="1657910"/>
    <n v="853"/>
    <x v="0"/>
    <d v="2023-06-25T00:39:00"/>
    <s v="Website"/>
    <s v="Kee Kuo"/>
    <n v="8403"/>
    <d v="2023-06-25T00:00:00"/>
    <x v="11"/>
    <x v="7"/>
    <x v="6"/>
    <s v="Outlier"/>
  </r>
  <r>
    <n v="1659401"/>
    <n v="214"/>
    <x v="0"/>
    <d v="2023-07-11T23:22:00"/>
    <s v="Other"/>
    <s v="Rosa Hernandez"/>
    <n v="1671"/>
    <d v="2023-07-11T00:00:00"/>
    <x v="137"/>
    <x v="6"/>
    <x v="2"/>
    <s v="Outlier"/>
  </r>
  <r>
    <n v="1659771"/>
    <n v="597"/>
    <x v="3"/>
    <d v="2023-11-17T01:14:00"/>
    <s v="App"/>
    <s v="Georg Pipps"/>
    <n v="2382"/>
    <d v="2023-11-17T00:00:00"/>
    <x v="156"/>
    <x v="2"/>
    <x v="0"/>
    <s v="Outlier"/>
  </r>
  <r>
    <n v="1659887"/>
    <n v="1854"/>
    <x v="0"/>
    <d v="2023-12-11T00:04:00"/>
    <s v="Website"/>
    <s v="Daniel Da Cunha"/>
    <n v="3461"/>
    <d v="2023-12-11T00:00:00"/>
    <x v="64"/>
    <x v="0"/>
    <x v="5"/>
    <s v="Outlier"/>
  </r>
  <r>
    <n v="1660154"/>
    <n v="105"/>
    <x v="0"/>
    <d v="2023-05-10T01:40:00"/>
    <s v="App"/>
    <s v="Wing C Tam"/>
    <n v="9184"/>
    <d v="2023-05-10T00:00:00"/>
    <x v="76"/>
    <x v="11"/>
    <x v="4"/>
    <s v="Outlier"/>
  </r>
  <r>
    <n v="1660467"/>
    <n v="46"/>
    <x v="10"/>
    <d v="2023-09-07T00:41:00"/>
    <s v="Other"/>
    <s v="Janine Labrune"/>
    <n v="7481"/>
    <d v="2023-09-07T00:00:00"/>
    <x v="60"/>
    <x v="10"/>
    <x v="3"/>
    <s v="Outlier"/>
  </r>
  <r>
    <n v="1661217"/>
    <n v="1025"/>
    <x v="6"/>
    <d v="2023-09-03T23:21:00"/>
    <s v="Website"/>
    <s v="Valarie Nelson"/>
    <n v="9380"/>
    <d v="2023-09-03T00:00:00"/>
    <x v="69"/>
    <x v="10"/>
    <x v="6"/>
    <s v="Outlier"/>
  </r>
  <r>
    <n v="1662668"/>
    <n v="1000"/>
    <x v="1"/>
    <d v="2023-10-06T00:15:00"/>
    <s v="Website"/>
    <s v="Elizabeth Devon"/>
    <n v="4805"/>
    <d v="2023-10-06T00:00:00"/>
    <x v="123"/>
    <x v="3"/>
    <x v="0"/>
    <s v="Outlier"/>
  </r>
  <r>
    <n v="1662944"/>
    <n v="1488"/>
    <x v="0"/>
    <d v="2023-12-20T00:47:00"/>
    <s v="Website"/>
    <s v="Jytte Petersen"/>
    <n v="9411"/>
    <d v="2023-12-20T00:00:00"/>
    <x v="75"/>
    <x v="0"/>
    <x v="4"/>
    <s v="Outlier"/>
  </r>
  <r>
    <n v="1664960"/>
    <n v="754"/>
    <x v="2"/>
    <d v="2023-05-24T22:53:00"/>
    <s v="Website"/>
    <s v="Georg Pipps"/>
    <n v="4918"/>
    <d v="2023-05-24T00:00:00"/>
    <x v="178"/>
    <x v="11"/>
    <x v="4"/>
    <s v="Outlier"/>
  </r>
  <r>
    <n v="1664973"/>
    <n v="698"/>
    <x v="6"/>
    <d v="2023-08-10T00:54:00"/>
    <s v="Whatsapp"/>
    <s v="Ann Brown"/>
    <n v="1301"/>
    <d v="2023-08-10T00:00:00"/>
    <x v="73"/>
    <x v="8"/>
    <x v="3"/>
    <s v="Outlier"/>
  </r>
  <r>
    <n v="1665135"/>
    <n v="818"/>
    <x v="3"/>
    <d v="2023-12-31T01:14:00"/>
    <s v="Whatsapp"/>
    <s v="Valarie Nelson"/>
    <n v="4905"/>
    <d v="2023-12-31T00:00:00"/>
    <x v="156"/>
    <x v="0"/>
    <x v="6"/>
    <s v="Outlier"/>
  </r>
  <r>
    <n v="1665167"/>
    <n v="479"/>
    <x v="10"/>
    <d v="2023-03-04T01:46:00"/>
    <s v="App"/>
    <s v="Diego Freyre"/>
    <n v="6692"/>
    <d v="2023-03-04T00:00:00"/>
    <x v="129"/>
    <x v="4"/>
    <x v="1"/>
    <s v="Outlier"/>
  </r>
  <r>
    <n v="1665250"/>
    <n v="329"/>
    <x v="4"/>
    <d v="2023-05-02T00:32:00"/>
    <s v="Whatsapp"/>
    <s v="Maria Larsson"/>
    <n v="6153"/>
    <d v="2023-05-02T00:00:00"/>
    <x v="58"/>
    <x v="11"/>
    <x v="2"/>
    <s v="Outlier"/>
  </r>
  <r>
    <n v="1665582"/>
    <n v="1022"/>
    <x v="1"/>
    <d v="2023-06-24T00:16:00"/>
    <s v="Other"/>
    <s v="Jesus Fernandez"/>
    <n v="7517"/>
    <d v="2023-06-24T00:00:00"/>
    <x v="61"/>
    <x v="7"/>
    <x v="1"/>
    <s v="Outlier"/>
  </r>
  <r>
    <n v="1665843"/>
    <n v="1411"/>
    <x v="4"/>
    <d v="2023-07-01T01:46:00"/>
    <s v="App"/>
    <s v="Wing C Tam"/>
    <n v="687"/>
    <d v="2023-07-01T00:00:00"/>
    <x v="129"/>
    <x v="6"/>
    <x v="1"/>
    <s v="Outlier"/>
  </r>
  <r>
    <n v="1665934"/>
    <n v="89"/>
    <x v="2"/>
    <d v="2023-09-20T01:16:00"/>
    <s v="Other"/>
    <s v="Eduardo Saavedra"/>
    <n v="4910"/>
    <d v="2023-09-20T00:00:00"/>
    <x v="84"/>
    <x v="10"/>
    <x v="4"/>
    <s v="Outlier"/>
  </r>
  <r>
    <n v="1666083"/>
    <n v="1307"/>
    <x v="3"/>
    <d v="2023-01-19T01:08:00"/>
    <s v="Other"/>
    <s v="Mary Saveley"/>
    <n v="4117"/>
    <d v="2023-01-19T00:00:00"/>
    <x v="37"/>
    <x v="9"/>
    <x v="3"/>
    <s v="Outlier"/>
  </r>
  <r>
    <n v="1666505"/>
    <n v="1736"/>
    <x v="0"/>
    <d v="2023-01-22T01:21:00"/>
    <s v="App"/>
    <s v="Valarie Thompson"/>
    <n v="2955"/>
    <d v="2023-01-22T00:00:00"/>
    <x v="128"/>
    <x v="9"/>
    <x v="6"/>
    <s v="Outlier"/>
  </r>
  <r>
    <n v="1666521"/>
    <n v="1386"/>
    <x v="9"/>
    <d v="2023-07-30T23:43:00"/>
    <s v="Website"/>
    <s v="William Brown"/>
    <n v="4645"/>
    <d v="2023-07-30T00:00:00"/>
    <x v="169"/>
    <x v="6"/>
    <x v="6"/>
    <s v="Outlier"/>
  </r>
  <r>
    <n v="1666856"/>
    <n v="1370"/>
    <x v="12"/>
    <d v="2023-10-04T01:20:00"/>
    <s v="Other"/>
    <s v="Kwai Yu"/>
    <n v="148"/>
    <d v="2023-10-04T00:00:00"/>
    <x v="8"/>
    <x v="3"/>
    <x v="4"/>
    <s v="Outlier"/>
  </r>
  <r>
    <n v="1667133"/>
    <n v="1173"/>
    <x v="0"/>
    <d v="2023-08-14T00:11:00"/>
    <s v="Other"/>
    <s v="Jean Fresnisre"/>
    <n v="8164"/>
    <d v="2023-08-14T00:00:00"/>
    <x v="10"/>
    <x v="8"/>
    <x v="5"/>
    <s v="Outlier"/>
  </r>
  <r>
    <n v="1667673"/>
    <n v="991"/>
    <x v="0"/>
    <d v="2023-09-09T23:31:00"/>
    <s v="App"/>
    <s v="Catherine Dewey"/>
    <n v="1581"/>
    <d v="2023-09-09T00:00:00"/>
    <x v="57"/>
    <x v="10"/>
    <x v="1"/>
    <s v="Outlier"/>
  </r>
  <r>
    <n v="1668081"/>
    <n v="1858"/>
    <x v="0"/>
    <d v="2023-03-05T01:04:00"/>
    <s v="App"/>
    <s v="Elizabeth Lincoln"/>
    <n v="7774"/>
    <d v="2023-03-05T00:00:00"/>
    <x v="121"/>
    <x v="4"/>
    <x v="6"/>
    <s v="Outlier"/>
  </r>
  <r>
    <n v="1668581"/>
    <n v="186"/>
    <x v="5"/>
    <d v="2023-09-24T00:49:00"/>
    <s v="Website"/>
    <s v="Juri Yoshido"/>
    <n v="6296"/>
    <d v="2023-09-24T00:00:00"/>
    <x v="35"/>
    <x v="10"/>
    <x v="6"/>
    <s v="Outlier"/>
  </r>
  <r>
    <n v="1669169"/>
    <n v="1146"/>
    <x v="0"/>
    <d v="2023-05-12T23:36:00"/>
    <s v="Website"/>
    <s v="Victoria Ashworth"/>
    <n v="8796"/>
    <d v="2023-05-12T00:00:00"/>
    <x v="135"/>
    <x v="11"/>
    <x v="0"/>
    <s v="Outlier"/>
  </r>
  <r>
    <n v="1669358"/>
    <n v="351"/>
    <x v="6"/>
    <d v="2023-02-05T01:52:00"/>
    <s v="Website"/>
    <s v="Janine Labrune"/>
    <n v="462"/>
    <d v="2023-02-05T00:00:00"/>
    <x v="179"/>
    <x v="5"/>
    <x v="6"/>
    <s v="Outlier"/>
  </r>
  <r>
    <n v="1670695"/>
    <n v="48"/>
    <x v="0"/>
    <d v="2023-03-08T00:34:00"/>
    <s v="App"/>
    <s v="Christina Berglund"/>
    <n v="8888"/>
    <d v="2023-03-08T00:00:00"/>
    <x v="21"/>
    <x v="4"/>
    <x v="4"/>
    <s v="Outlier"/>
  </r>
  <r>
    <n v="1670797"/>
    <n v="1465"/>
    <x v="3"/>
    <d v="2023-06-19T01:37:00"/>
    <s v="Other"/>
    <s v="Akiko Shimamura"/>
    <n v="556"/>
    <d v="2023-06-19T00:00:00"/>
    <x v="109"/>
    <x v="7"/>
    <x v="5"/>
    <s v="Outlier"/>
  </r>
  <r>
    <n v="1671351"/>
    <n v="861"/>
    <x v="0"/>
    <d v="2023-11-25T00:08:00"/>
    <s v="Whatsapp"/>
    <s v="Diego Freyre"/>
    <n v="4300"/>
    <d v="2023-11-25T00:00:00"/>
    <x v="149"/>
    <x v="2"/>
    <x v="1"/>
    <s v="Outlier"/>
  </r>
  <r>
    <n v="1672350"/>
    <n v="1440"/>
    <x v="4"/>
    <d v="2023-03-21T00:53:00"/>
    <s v="Website"/>
    <s v="Pirkko Koskitalo"/>
    <n v="4066"/>
    <d v="2023-03-21T00:00:00"/>
    <x v="36"/>
    <x v="4"/>
    <x v="2"/>
    <s v="Outlier"/>
  </r>
  <r>
    <n v="1672683"/>
    <n v="727"/>
    <x v="3"/>
    <d v="2023-12-03T22:33:00"/>
    <s v="Whatsapp"/>
    <s v="Valarie Nelson"/>
    <n v="8160"/>
    <d v="2023-12-03T00:00:00"/>
    <x v="17"/>
    <x v="0"/>
    <x v="6"/>
    <s v="Outlier"/>
  </r>
  <r>
    <n v="1673913"/>
    <n v="1434"/>
    <x v="0"/>
    <d v="2023-06-26T01:16:00"/>
    <s v="Other"/>
    <s v="Valarie Nelson"/>
    <n v="4928"/>
    <d v="2023-06-26T00:00:00"/>
    <x v="84"/>
    <x v="7"/>
    <x v="5"/>
    <s v="Outlier"/>
  </r>
  <r>
    <n v="1674149"/>
    <n v="1974"/>
    <x v="0"/>
    <d v="2023-08-21T01:09:00"/>
    <s v="App"/>
    <s v="Juri Yoshido"/>
    <n v="2019"/>
    <d v="2023-08-21T00:00:00"/>
    <x v="92"/>
    <x v="8"/>
    <x v="5"/>
    <s v="Outlier"/>
  </r>
  <r>
    <n v="1674723"/>
    <n v="1511"/>
    <x v="0"/>
    <d v="2023-09-09T22:47:00"/>
    <s v="Website"/>
    <s v="Giovanni Rovelli"/>
    <n v="3096"/>
    <d v="2023-09-09T00:00:00"/>
    <x v="165"/>
    <x v="10"/>
    <x v="1"/>
    <s v="Outlier"/>
  </r>
  <r>
    <n v="1675193"/>
    <n v="552"/>
    <x v="1"/>
    <d v="2023-11-12T23:47:00"/>
    <s v="Whatsapp"/>
    <s v="Peter Ferguson"/>
    <n v="2913"/>
    <d v="2023-11-12T00:00:00"/>
    <x v="100"/>
    <x v="2"/>
    <x v="6"/>
    <s v="Outlier"/>
  </r>
  <r>
    <n v="1675253"/>
    <n v="632"/>
    <x v="0"/>
    <d v="2023-08-26T00:18:00"/>
    <s v="Website"/>
    <s v="Diego Freyre"/>
    <n v="3340"/>
    <d v="2023-08-26T00:00:00"/>
    <x v="139"/>
    <x v="8"/>
    <x v="1"/>
    <s v="Outlier"/>
  </r>
  <r>
    <n v="1675528"/>
    <n v="360"/>
    <x v="1"/>
    <d v="2023-07-30T00:12:00"/>
    <s v="Whatsapp"/>
    <s v="Wing C Tam"/>
    <n v="3204"/>
    <d v="2023-07-30T00:00:00"/>
    <x v="19"/>
    <x v="6"/>
    <x v="6"/>
    <s v="Outlier"/>
  </r>
  <r>
    <n v="1676930"/>
    <n v="640"/>
    <x v="3"/>
    <d v="2023-11-24T23:41:00"/>
    <s v="Website"/>
    <s v="Diego Freyre"/>
    <n v="598"/>
    <d v="2023-11-24T00:00:00"/>
    <x v="155"/>
    <x v="2"/>
    <x v="0"/>
    <s v="Outlier"/>
  </r>
  <r>
    <n v="1677048"/>
    <n v="1415"/>
    <x v="3"/>
    <d v="2023-10-19T02:29:00"/>
    <s v="Whatsapp"/>
    <s v="Juri Hirano"/>
    <n v="598"/>
    <d v="2023-10-19T00:00:00"/>
    <x v="180"/>
    <x v="3"/>
    <x v="3"/>
    <s v="Outlier"/>
  </r>
  <r>
    <n v="1677075"/>
    <n v="460"/>
    <x v="6"/>
    <d v="2023-10-12T23:57:00"/>
    <s v="App"/>
    <s v="Steve Thompson"/>
    <n v="7376"/>
    <d v="2023-10-12T00:00:00"/>
    <x v="116"/>
    <x v="3"/>
    <x v="3"/>
    <s v="Outlier"/>
  </r>
  <r>
    <n v="1677682"/>
    <n v="1224"/>
    <x v="3"/>
    <d v="2023-03-26T22:55:00"/>
    <s v="Other"/>
    <s v="Mory Kentary"/>
    <n v="8833"/>
    <d v="2023-03-26T00:00:00"/>
    <x v="125"/>
    <x v="4"/>
    <x v="6"/>
    <s v="Outlier"/>
  </r>
  <r>
    <n v="1677717"/>
    <n v="376"/>
    <x v="1"/>
    <d v="2023-06-21T23:56:00"/>
    <s v="Other"/>
    <s v="Peter Ferguson"/>
    <n v="8542"/>
    <d v="2023-06-21T00:00:00"/>
    <x v="138"/>
    <x v="7"/>
    <x v="4"/>
    <s v="Outlier"/>
  </r>
  <r>
    <n v="1678550"/>
    <n v="1521"/>
    <x v="0"/>
    <d v="2023-11-06T00:46:00"/>
    <s v="Other"/>
    <s v="Elizabeth Lincoln"/>
    <n v="8554"/>
    <d v="2023-11-06T00:00:00"/>
    <x v="77"/>
    <x v="2"/>
    <x v="5"/>
    <s v="Outlier"/>
  </r>
  <r>
    <n v="1679147"/>
    <n v="696"/>
    <x v="3"/>
    <d v="2023-04-16T23:36:00"/>
    <s v="Other"/>
    <s v="Sue Frick"/>
    <n v="4669"/>
    <d v="2023-04-16T00:00:00"/>
    <x v="135"/>
    <x v="1"/>
    <x v="6"/>
    <s v="Outlier"/>
  </r>
  <r>
    <n v="1679923"/>
    <n v="1835"/>
    <x v="10"/>
    <d v="2023-02-23T23:59:00"/>
    <s v="Whatsapp"/>
    <s v="Diego Freyre"/>
    <n v="2710"/>
    <d v="2023-02-23T00:00:00"/>
    <x v="181"/>
    <x v="5"/>
    <x v="3"/>
    <s v="Outlier"/>
  </r>
  <r>
    <n v="1680806"/>
    <n v="1304"/>
    <x v="2"/>
    <d v="2023-06-23T00:29:00"/>
    <s v="App"/>
    <s v="Janine Labrune"/>
    <n v="3072"/>
    <d v="2023-06-23T00:00:00"/>
    <x v="50"/>
    <x v="7"/>
    <x v="0"/>
    <s v="Outlier"/>
  </r>
  <r>
    <n v="1681214"/>
    <n v="291"/>
    <x v="1"/>
    <d v="2023-05-15T01:00:00"/>
    <s v="Website"/>
    <s v="Jan Klaeboe"/>
    <n v="8168"/>
    <d v="2023-05-15T00:00:00"/>
    <x v="168"/>
    <x v="11"/>
    <x v="5"/>
    <s v="Outlier"/>
  </r>
  <r>
    <n v="1681720"/>
    <n v="71"/>
    <x v="1"/>
    <d v="2023-04-06T00:24:00"/>
    <s v="Other"/>
    <s v="Michael Donnermeyer"/>
    <n v="1552"/>
    <d v="2023-04-06T00:00:00"/>
    <x v="115"/>
    <x v="1"/>
    <x v="3"/>
    <s v="Outlier"/>
  </r>
  <r>
    <n v="1682186"/>
    <n v="1537"/>
    <x v="0"/>
    <d v="2023-07-31T00:50:00"/>
    <s v="App"/>
    <s v="Steve Frick"/>
    <n v="9912"/>
    <d v="2023-07-31T00:00:00"/>
    <x v="0"/>
    <x v="6"/>
    <x v="5"/>
    <s v="Outlier"/>
  </r>
  <r>
    <n v="1682358"/>
    <n v="567"/>
    <x v="6"/>
    <d v="2023-03-27T23:19:00"/>
    <s v="Website"/>
    <s v="Helen Bennett"/>
    <n v="4540"/>
    <d v="2023-03-27T00:00:00"/>
    <x v="24"/>
    <x v="4"/>
    <x v="5"/>
    <s v="Outli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s v="France"/>
    <s v="M"/>
    <n v="31"/>
    <s v="A"/>
    <s v="Normal"/>
    <x v="0"/>
  </r>
  <r>
    <n v="2"/>
    <s v="Spain"/>
    <s v="M"/>
    <n v="49"/>
    <s v="A"/>
    <s v="Outlier"/>
    <x v="1"/>
  </r>
  <r>
    <n v="3"/>
    <s v="USA"/>
    <s v="M"/>
    <n v="39"/>
    <s v="A"/>
    <s v="Outlier"/>
    <x v="0"/>
  </r>
  <r>
    <n v="4"/>
    <s v="Australia"/>
    <s v="M"/>
    <n v="40"/>
    <s v="A"/>
    <s v="Outlier"/>
    <x v="0"/>
  </r>
  <r>
    <n v="5"/>
    <s v="Denmark"/>
    <s v="M"/>
    <n v="81"/>
    <s v="A"/>
    <s v="Outlier"/>
    <x v="1"/>
  </r>
  <r>
    <n v="6"/>
    <s v="USA"/>
    <s v="F"/>
    <n v="62"/>
    <s v="A"/>
    <s v="Outlier"/>
    <x v="1"/>
  </r>
  <r>
    <n v="7"/>
    <s v="Singapore"/>
    <s v="M"/>
    <n v="76"/>
    <s v="A"/>
    <s v="Outlier"/>
    <x v="1"/>
  </r>
  <r>
    <n v="8"/>
    <s v="France"/>
    <s v="F"/>
    <n v="70"/>
    <s v="A"/>
    <s v="Outlier"/>
    <x v="1"/>
  </r>
  <r>
    <n v="9"/>
    <s v="France"/>
    <s v="F"/>
    <n v="75"/>
    <s v="A"/>
    <s v="Outlier"/>
    <x v="1"/>
  </r>
  <r>
    <n v="10"/>
    <s v="Norway"/>
    <s v="F"/>
    <n v="32"/>
    <s v="A"/>
    <s v="Outlier"/>
    <x v="0"/>
  </r>
  <r>
    <n v="11"/>
    <s v="USA"/>
    <s v="F"/>
    <n v="82"/>
    <s v="A"/>
    <s v="Outlier"/>
    <x v="1"/>
  </r>
  <r>
    <n v="12"/>
    <s v="Spain"/>
    <s v="F"/>
    <n v="65"/>
    <s v="A"/>
    <s v="Outlier"/>
    <x v="1"/>
  </r>
  <r>
    <n v="13"/>
    <s v="Spain"/>
    <s v="F"/>
    <n v="84"/>
    <s v="A"/>
    <s v="Outlier"/>
    <x v="1"/>
  </r>
  <r>
    <n v="14"/>
    <s v="Australia"/>
    <s v="M"/>
    <n v="64"/>
    <s v="A"/>
    <s v="Outlier"/>
    <x v="1"/>
  </r>
  <r>
    <n v="15"/>
    <s v="Germany"/>
    <s v="F"/>
    <n v="48"/>
    <s v="A"/>
    <s v="Outlier"/>
    <x v="1"/>
  </r>
  <r>
    <n v="16"/>
    <s v="Norway"/>
    <s v="F"/>
    <n v="81"/>
    <s v="A"/>
    <s v="Outlier"/>
    <x v="1"/>
  </r>
  <r>
    <n v="17"/>
    <s v="USA"/>
    <s v="M"/>
    <n v="63"/>
    <s v="A"/>
    <s v="Outlier"/>
    <x v="1"/>
  </r>
  <r>
    <n v="18"/>
    <s v="USA"/>
    <s v="F"/>
    <n v="85"/>
    <s v="A"/>
    <s v="Outlier"/>
    <x v="1"/>
  </r>
  <r>
    <n v="19"/>
    <s v="USA"/>
    <s v="F"/>
    <n v="35"/>
    <s v="A"/>
    <s v="Outlier"/>
    <x v="0"/>
  </r>
  <r>
    <n v="20"/>
    <s v="USA"/>
    <s v="F"/>
    <n v="38"/>
    <s v="A"/>
    <s v="Outlier"/>
    <x v="0"/>
  </r>
  <r>
    <n v="21"/>
    <s v="Spain"/>
    <s v="F"/>
    <n v="68"/>
    <s v="A"/>
    <s v="Outlier"/>
    <x v="1"/>
  </r>
  <r>
    <n v="22"/>
    <s v="Spain"/>
    <s v="F"/>
    <n v="78"/>
    <s v="A"/>
    <s v="Outlier"/>
    <x v="1"/>
  </r>
  <r>
    <n v="23"/>
    <s v="Spain"/>
    <s v="F"/>
    <n v="62"/>
    <s v="A"/>
    <s v="Outlier"/>
    <x v="1"/>
  </r>
  <r>
    <n v="24"/>
    <s v="Spain"/>
    <s v="F"/>
    <n v="47"/>
    <s v="A"/>
    <s v="Outlier"/>
    <x v="1"/>
  </r>
  <r>
    <n v="25"/>
    <s v="USA"/>
    <s v="M"/>
    <n v="59"/>
    <s v="A"/>
    <s v="Outlier"/>
    <x v="1"/>
  </r>
  <r>
    <n v="26"/>
    <s v="France"/>
    <s v="M"/>
    <n v="27"/>
    <s v="A"/>
    <s v="Outlier"/>
    <x v="2"/>
  </r>
  <r>
    <n v="27"/>
    <s v="USA"/>
    <s v="F"/>
    <n v="66"/>
    <s v="A"/>
    <s v="Outlier"/>
    <x v="1"/>
  </r>
  <r>
    <n v="28"/>
    <s v="Singapore"/>
    <s v="M"/>
    <n v="77"/>
    <s v="A"/>
    <s v="Outlier"/>
    <x v="1"/>
  </r>
  <r>
    <n v="29"/>
    <s v="Spain"/>
    <s v="F"/>
    <n v="19"/>
    <s v="A"/>
    <s v="Outlier"/>
    <x v="3"/>
  </r>
  <r>
    <n v="30"/>
    <s v="France"/>
    <s v="F"/>
    <n v="72"/>
    <s v="A"/>
    <s v="Outlier"/>
    <x v="1"/>
  </r>
  <r>
    <n v="31"/>
    <s v="USA"/>
    <s v="M"/>
    <n v="22"/>
    <s v="A"/>
    <s v="Outlier"/>
    <x v="2"/>
  </r>
  <r>
    <n v="32"/>
    <s v="Spain"/>
    <s v="F"/>
    <n v="55"/>
    <s v="A"/>
    <s v="Outlier"/>
    <x v="1"/>
  </r>
  <r>
    <n v="33"/>
    <s v="Spain"/>
    <s v="M"/>
    <n v="53"/>
    <s v="A"/>
    <s v="Outlier"/>
    <x v="1"/>
  </r>
  <r>
    <n v="34"/>
    <s v="Australia"/>
    <s v="F"/>
    <n v="20"/>
    <s v="A"/>
    <s v="Outlier"/>
    <x v="2"/>
  </r>
  <r>
    <n v="35"/>
    <s v="Australia"/>
    <s v="M"/>
    <n v="19"/>
    <s v="A"/>
    <s v="Outlier"/>
    <x v="3"/>
  </r>
  <r>
    <n v="36"/>
    <s v="USA"/>
    <s v="M"/>
    <n v="63"/>
    <s v="A"/>
    <s v="Outlier"/>
    <x v="1"/>
  </r>
  <r>
    <n v="37"/>
    <s v="Spain"/>
    <s v="M"/>
    <n v="35"/>
    <s v="A"/>
    <s v="Outlier"/>
    <x v="0"/>
  </r>
  <r>
    <n v="38"/>
    <s v="Austria"/>
    <s v="M"/>
    <n v="53"/>
    <s v="A"/>
    <s v="Outlier"/>
    <x v="1"/>
  </r>
  <r>
    <n v="39"/>
    <s v="USA"/>
    <s v="F"/>
    <n v="46"/>
    <s v="A"/>
    <s v="Outlier"/>
    <x v="1"/>
  </r>
  <r>
    <n v="40"/>
    <s v="Australia"/>
    <s v="F"/>
    <n v="37"/>
    <s v="A"/>
    <s v="Outlier"/>
    <x v="0"/>
  </r>
  <r>
    <n v="41"/>
    <s v="Australia"/>
    <s v="F"/>
    <n v="42"/>
    <s v="A"/>
    <s v="Outlier"/>
    <x v="1"/>
  </r>
  <r>
    <n v="42"/>
    <s v="Spain"/>
    <s v="F"/>
    <n v="43"/>
    <s v="A"/>
    <s v="Outlier"/>
    <x v="1"/>
  </r>
  <r>
    <n v="43"/>
    <s v="Singapore"/>
    <s v="F"/>
    <n v="55"/>
    <s v="A"/>
    <s v="Outlier"/>
    <x v="1"/>
  </r>
  <r>
    <n v="44"/>
    <s v="Singapore"/>
    <s v="M"/>
    <n v="90"/>
    <s v="A"/>
    <s v="Outlier"/>
    <x v="1"/>
  </r>
  <r>
    <n v="45"/>
    <s v="USA"/>
    <s v="M"/>
    <n v="89"/>
    <s v="A"/>
    <s v="Outlier"/>
    <x v="1"/>
  </r>
  <r>
    <n v="46"/>
    <s v="Finland"/>
    <s v="F"/>
    <n v="66"/>
    <s v="A"/>
    <s v="Outlier"/>
    <x v="1"/>
  </r>
  <r>
    <n v="47"/>
    <s v="Spain"/>
    <s v="M"/>
    <n v="25"/>
    <s v="A"/>
    <s v="Outlier"/>
    <x v="2"/>
  </r>
  <r>
    <n v="48"/>
    <s v="USA"/>
    <s v="F"/>
    <n v="66"/>
    <s v="A"/>
    <s v="Outlier"/>
    <x v="1"/>
  </r>
  <r>
    <n v="49"/>
    <s v="France"/>
    <s v="F"/>
    <n v="30"/>
    <s v="A"/>
    <s v="Outlier"/>
    <x v="2"/>
  </r>
  <r>
    <n v="50"/>
    <s v="Norway"/>
    <s v="F"/>
    <n v="83"/>
    <s v="A"/>
    <s v="Outlier"/>
    <x v="1"/>
  </r>
  <r>
    <n v="51"/>
    <s v="USA"/>
    <s v="F"/>
    <n v="63"/>
    <s v="A"/>
    <s v="Outlier"/>
    <x v="1"/>
  </r>
  <r>
    <n v="52"/>
    <s v="USA"/>
    <s v="F"/>
    <n v="75"/>
    <s v="A"/>
    <s v="Outlier"/>
    <x v="1"/>
  </r>
  <r>
    <n v="53"/>
    <s v="Italy"/>
    <s v="M"/>
    <n v="62"/>
    <s v="A"/>
    <s v="Outlier"/>
    <x v="1"/>
  </r>
  <r>
    <n v="54"/>
    <s v="India"/>
    <s v="F"/>
    <n v="52"/>
    <s v="A"/>
    <s v="Outlier"/>
    <x v="1"/>
  </r>
  <r>
    <n v="55"/>
    <s v="Denmark"/>
    <s v="F"/>
    <n v="32"/>
    <s v="A"/>
    <s v="Outlier"/>
    <x v="0"/>
  </r>
  <r>
    <n v="56"/>
    <s v="Australia"/>
    <s v="F"/>
    <n v="32"/>
    <s v="A"/>
    <s v="Outlier"/>
    <x v="0"/>
  </r>
  <r>
    <n v="57"/>
    <s v="India"/>
    <s v="M"/>
    <n v="79"/>
    <s v="A"/>
    <s v="Outlier"/>
    <x v="1"/>
  </r>
  <r>
    <n v="58"/>
    <s v="Germany"/>
    <s v="M"/>
    <n v="29"/>
    <s v="A"/>
    <s v="Outlier"/>
    <x v="2"/>
  </r>
  <r>
    <n v="59"/>
    <s v="Australia"/>
    <s v="F"/>
    <n v="70"/>
    <s v="A"/>
    <s v="Outlier"/>
    <x v="1"/>
  </r>
  <r>
    <n v="60"/>
    <s v="USA"/>
    <s v="M"/>
    <n v="60"/>
    <s v="A"/>
    <s v="Outlier"/>
    <x v="1"/>
  </r>
  <r>
    <n v="61"/>
    <s v="Spain"/>
    <s v="F"/>
    <n v="47"/>
    <s v="A"/>
    <s v="Outlier"/>
    <x v="1"/>
  </r>
  <r>
    <n v="62"/>
    <s v="USA"/>
    <s v="F"/>
    <n v="42"/>
    <s v="A"/>
    <s v="Outlier"/>
    <x v="1"/>
  </r>
  <r>
    <n v="63"/>
    <s v="Norway"/>
    <s v="M"/>
    <n v="23"/>
    <s v="A"/>
    <s v="Outlier"/>
    <x v="2"/>
  </r>
  <r>
    <n v="64"/>
    <s v="USA"/>
    <s v="M"/>
    <n v="74"/>
    <s v="A"/>
    <s v="Outlier"/>
    <x v="1"/>
  </r>
  <r>
    <n v="65"/>
    <s v="Spain"/>
    <s v="F"/>
    <n v="37"/>
    <s v="A"/>
    <s v="Outlier"/>
    <x v="0"/>
  </r>
  <r>
    <n v="66"/>
    <s v="Australia"/>
    <s v="M"/>
    <n v="30"/>
    <s v="A"/>
    <s v="Outlier"/>
    <x v="2"/>
  </r>
  <r>
    <n v="67"/>
    <s v="Italy"/>
    <s v="M"/>
    <n v="51"/>
    <s v="A"/>
    <s v="Outlier"/>
    <x v="1"/>
  </r>
  <r>
    <n v="68"/>
    <s v="Finland"/>
    <s v="F"/>
    <n v="42"/>
    <s v="A"/>
    <s v="Outlier"/>
    <x v="1"/>
  </r>
  <r>
    <n v="69"/>
    <s v="USA"/>
    <s v="M"/>
    <n v="39"/>
    <s v="A"/>
    <s v="Outlier"/>
    <x v="0"/>
  </r>
  <r>
    <n v="70"/>
    <s v="Spain"/>
    <s v="M"/>
    <n v="38"/>
    <s v="A"/>
    <s v="Outlier"/>
    <x v="0"/>
  </r>
  <r>
    <n v="71"/>
    <s v="India"/>
    <s v="M"/>
    <n v="48"/>
    <s v="A"/>
    <s v="Outlier"/>
    <x v="1"/>
  </r>
  <r>
    <n v="72"/>
    <s v="Spain"/>
    <s v="F"/>
    <n v="18"/>
    <s v="A"/>
    <s v="Outlier"/>
    <x v="3"/>
  </r>
  <r>
    <n v="73"/>
    <s v="Germany"/>
    <s v="F"/>
    <n v="34"/>
    <s v="A"/>
    <s v="Outlier"/>
    <x v="0"/>
  </r>
  <r>
    <n v="74"/>
    <s v="USA"/>
    <s v="F"/>
    <n v="28"/>
    <s v="A"/>
    <s v="Outlier"/>
    <x v="2"/>
  </r>
  <r>
    <n v="75"/>
    <s v="Australia"/>
    <s v="F"/>
    <n v="36"/>
    <s v="A"/>
    <s v="Outlier"/>
    <x v="0"/>
  </r>
  <r>
    <n v="76"/>
    <s v="USA"/>
    <s v="M"/>
    <n v="56"/>
    <s v="A"/>
    <s v="Outlier"/>
    <x v="1"/>
  </r>
  <r>
    <n v="77"/>
    <s v="USA"/>
    <s v="M"/>
    <n v="38"/>
    <s v="A"/>
    <s v="Outlier"/>
    <x v="0"/>
  </r>
  <r>
    <n v="78"/>
    <s v="Australia"/>
    <s v="M"/>
    <n v="68"/>
    <s v="A"/>
    <s v="Outlier"/>
    <x v="1"/>
  </r>
  <r>
    <n v="79"/>
    <s v="India"/>
    <s v="F"/>
    <n v="28"/>
    <s v="A"/>
    <s v="Outlier"/>
    <x v="2"/>
  </r>
  <r>
    <n v="80"/>
    <s v="USA"/>
    <s v="M"/>
    <n v="37"/>
    <s v="A"/>
    <s v="Outlier"/>
    <x v="0"/>
  </r>
  <r>
    <n v="81"/>
    <s v="USA"/>
    <s v="M"/>
    <n v="86"/>
    <s v="A"/>
    <s v="Outlier"/>
    <x v="1"/>
  </r>
  <r>
    <n v="82"/>
    <s v="Spain"/>
    <s v="F"/>
    <n v="28"/>
    <s v="A"/>
    <s v="Outlier"/>
    <x v="2"/>
  </r>
  <r>
    <n v="83"/>
    <s v="Italy"/>
    <s v="F"/>
    <n v="31"/>
    <s v="A"/>
    <s v="Outlier"/>
    <x v="0"/>
  </r>
  <r>
    <n v="84"/>
    <s v="USA"/>
    <s v="M"/>
    <n v="85"/>
    <s v="A"/>
    <s v="Outlier"/>
    <x v="1"/>
  </r>
  <r>
    <n v="85"/>
    <s v="Italy"/>
    <s v="M"/>
    <n v="20"/>
    <s v="A"/>
    <s v="Outlier"/>
    <x v="2"/>
  </r>
  <r>
    <n v="86"/>
    <s v="Italy"/>
    <s v="F"/>
    <n v="89"/>
    <s v="A"/>
    <s v="Outlier"/>
    <x v="1"/>
  </r>
  <r>
    <n v="87"/>
    <s v="India"/>
    <s v="M"/>
    <n v="62"/>
    <s v="A"/>
    <s v="Outlier"/>
    <x v="1"/>
  </r>
  <r>
    <n v="88"/>
    <s v="USA"/>
    <s v="M"/>
    <n v="76"/>
    <s v="A"/>
    <s v="Outlier"/>
    <x v="1"/>
  </r>
  <r>
    <n v="89"/>
    <s v="Italy"/>
    <s v="M"/>
    <n v="33"/>
    <s v="A"/>
    <s v="Outlier"/>
    <x v="0"/>
  </r>
  <r>
    <n v="90"/>
    <s v="USA"/>
    <s v="F"/>
    <n v="48"/>
    <s v="A"/>
    <s v="Outlier"/>
    <x v="1"/>
  </r>
  <r>
    <n v="91"/>
    <s v="Spain"/>
    <s v="M"/>
    <n v="61"/>
    <s v="A"/>
    <s v="Outlier"/>
    <x v="1"/>
  </r>
  <r>
    <n v="92"/>
    <s v="Denmark"/>
    <s v="M"/>
    <n v="75"/>
    <s v="A"/>
    <s v="Outlier"/>
    <x v="1"/>
  </r>
  <r>
    <n v="93"/>
    <s v="Spain"/>
    <s v="M"/>
    <n v="87"/>
    <s v="A"/>
    <s v="Outlier"/>
    <x v="1"/>
  </r>
  <r>
    <n v="94"/>
    <s v="Denmark"/>
    <s v="M"/>
    <n v="65"/>
    <s v="A"/>
    <s v="Outlier"/>
    <x v="1"/>
  </r>
  <r>
    <n v="95"/>
    <s v="India"/>
    <s v="M"/>
    <n v="50"/>
    <s v="A"/>
    <s v="Outlier"/>
    <x v="1"/>
  </r>
  <r>
    <n v="96"/>
    <s v="USA"/>
    <s v="M"/>
    <n v="43"/>
    <s v="A"/>
    <s v="Outlier"/>
    <x v="1"/>
  </r>
  <r>
    <n v="97"/>
    <s v="USA"/>
    <s v="F"/>
    <n v="84"/>
    <s v="A"/>
    <s v="Outlier"/>
    <x v="1"/>
  </r>
  <r>
    <n v="98"/>
    <s v="Denmark"/>
    <s v="M"/>
    <n v="35"/>
    <s v="A"/>
    <s v="Outlier"/>
    <x v="0"/>
  </r>
  <r>
    <n v="99"/>
    <s v="Australia"/>
    <s v="F"/>
    <n v="79"/>
    <s v="A"/>
    <s v="Outlier"/>
    <x v="1"/>
  </r>
  <r>
    <n v="100"/>
    <s v="Ireland"/>
    <s v="M"/>
    <n v="85"/>
    <s v="A"/>
    <s v="Outlier"/>
    <x v="1"/>
  </r>
  <r>
    <n v="101"/>
    <s v="USA"/>
    <s v="F"/>
    <n v="63"/>
    <s v="A"/>
    <s v="Outlier"/>
    <x v="1"/>
  </r>
  <r>
    <n v="102"/>
    <s v="USA"/>
    <s v="F"/>
    <n v="43"/>
    <s v="A"/>
    <s v="Outlier"/>
    <x v="1"/>
  </r>
  <r>
    <n v="103"/>
    <s v="India"/>
    <s v="M"/>
    <n v="24"/>
    <s v="A"/>
    <s v="Outlier"/>
    <x v="2"/>
  </r>
  <r>
    <n v="104"/>
    <s v="Australia"/>
    <s v="M"/>
    <n v="46"/>
    <s v="A"/>
    <s v="Outlier"/>
    <x v="1"/>
  </r>
  <r>
    <n v="105"/>
    <s v="USA"/>
    <s v="M"/>
    <n v="80"/>
    <s v="A"/>
    <s v="Outlier"/>
    <x v="1"/>
  </r>
  <r>
    <n v="106"/>
    <s v="Australia"/>
    <s v="F"/>
    <n v="40"/>
    <s v="A"/>
    <s v="Outlier"/>
    <x v="0"/>
  </r>
  <r>
    <n v="107"/>
    <s v="USA"/>
    <s v="M"/>
    <n v="48"/>
    <s v="A"/>
    <s v="Outlier"/>
    <x v="1"/>
  </r>
  <r>
    <n v="108"/>
    <s v="Spain"/>
    <s v="M"/>
    <n v="63"/>
    <s v="A"/>
    <s v="Outlier"/>
    <x v="1"/>
  </r>
  <r>
    <n v="109"/>
    <s v="USA"/>
    <s v="F"/>
    <n v="32"/>
    <s v="A"/>
    <s v="Outlier"/>
    <x v="0"/>
  </r>
  <r>
    <n v="110"/>
    <s v="USA"/>
    <s v="M"/>
    <n v="78"/>
    <s v="A"/>
    <s v="Outlier"/>
    <x v="1"/>
  </r>
  <r>
    <n v="111"/>
    <s v="India"/>
    <s v="F"/>
    <n v="27"/>
    <s v="A"/>
    <s v="Outlier"/>
    <x v="2"/>
  </r>
  <r>
    <n v="112"/>
    <s v="USA"/>
    <s v="M"/>
    <n v="70"/>
    <s v="A"/>
    <s v="Outlier"/>
    <x v="1"/>
  </r>
  <r>
    <n v="113"/>
    <s v="USA"/>
    <s v="F"/>
    <n v="72"/>
    <s v="A"/>
    <s v="Outlier"/>
    <x v="1"/>
  </r>
  <r>
    <n v="114"/>
    <s v="USA"/>
    <s v="M"/>
    <n v="38"/>
    <s v="A"/>
    <s v="Outlier"/>
    <x v="0"/>
  </r>
  <r>
    <n v="115"/>
    <s v="USA"/>
    <s v="F"/>
    <n v="64"/>
    <s v="A"/>
    <s v="Outlier"/>
    <x v="1"/>
  </r>
  <r>
    <n v="116"/>
    <s v="Denmark"/>
    <s v="M"/>
    <n v="88"/>
    <s v="A"/>
    <s v="Outlier"/>
    <x v="1"/>
  </r>
  <r>
    <n v="117"/>
    <s v="India"/>
    <s v="F"/>
    <n v="28"/>
    <s v="A"/>
    <s v="Outlier"/>
    <x v="2"/>
  </r>
  <r>
    <n v="118"/>
    <s v="USA"/>
    <s v="F"/>
    <n v="25"/>
    <s v="A"/>
    <s v="Outlier"/>
    <x v="2"/>
  </r>
  <r>
    <n v="119"/>
    <s v="Australia"/>
    <s v="F"/>
    <n v="90"/>
    <s v="A"/>
    <s v="Outlier"/>
    <x v="1"/>
  </r>
  <r>
    <n v="120"/>
    <s v="USA"/>
    <s v="M"/>
    <n v="77"/>
    <s v="A"/>
    <s v="Outlier"/>
    <x v="1"/>
  </r>
  <r>
    <n v="121"/>
    <s v="India"/>
    <s v="F"/>
    <n v="25"/>
    <s v="A"/>
    <s v="Outlier"/>
    <x v="2"/>
  </r>
  <r>
    <n v="122"/>
    <s v="Spain"/>
    <s v="M"/>
    <n v="41"/>
    <s v="A"/>
    <s v="Outlier"/>
    <x v="1"/>
  </r>
  <r>
    <n v="123"/>
    <s v="Finland"/>
    <s v="F"/>
    <n v="69"/>
    <s v="A"/>
    <s v="Outlier"/>
    <x v="1"/>
  </r>
  <r>
    <n v="124"/>
    <s v="India"/>
    <s v="F"/>
    <n v="52"/>
    <s v="A"/>
    <s v="Outlier"/>
    <x v="1"/>
  </r>
  <r>
    <n v="125"/>
    <s v="Spain"/>
    <s v="F"/>
    <n v="58"/>
    <s v="A"/>
    <s v="Outlier"/>
    <x v="1"/>
  </r>
  <r>
    <n v="126"/>
    <s v="USA"/>
    <s v="F"/>
    <n v="67"/>
    <s v="A"/>
    <s v="Outlier"/>
    <x v="1"/>
  </r>
  <r>
    <n v="127"/>
    <s v="Denmark"/>
    <s v="F"/>
    <n v="57"/>
    <s v="A"/>
    <s v="Outlier"/>
    <x v="1"/>
  </r>
  <r>
    <n v="128"/>
    <s v="USA"/>
    <s v="F"/>
    <n v="55"/>
    <s v="A"/>
    <s v="Outlier"/>
    <x v="1"/>
  </r>
  <r>
    <n v="129"/>
    <s v="USA"/>
    <s v="F"/>
    <n v="21"/>
    <s v="A"/>
    <s v="Outlier"/>
    <x v="2"/>
  </r>
  <r>
    <n v="130"/>
    <s v="USA"/>
    <s v="F"/>
    <n v="50"/>
    <s v="A"/>
    <s v="Outlier"/>
    <x v="1"/>
  </r>
  <r>
    <n v="131"/>
    <s v="Italy"/>
    <s v="F"/>
    <n v="90"/>
    <s v="A"/>
    <s v="Outlier"/>
    <x v="1"/>
  </r>
  <r>
    <n v="132"/>
    <s v="Spain"/>
    <s v="F"/>
    <n v="50"/>
    <s v="A"/>
    <s v="Outlier"/>
    <x v="1"/>
  </r>
  <r>
    <n v="133"/>
    <s v="Denmark"/>
    <s v="F"/>
    <n v="71"/>
    <s v="A"/>
    <s v="Outlier"/>
    <x v="1"/>
  </r>
  <r>
    <n v="134"/>
    <s v="Australia"/>
    <s v="M"/>
    <n v="82"/>
    <s v="A"/>
    <s v="Outlier"/>
    <x v="1"/>
  </r>
  <r>
    <n v="135"/>
    <s v="Spain"/>
    <s v="F"/>
    <n v="27"/>
    <s v="A"/>
    <s v="Outlier"/>
    <x v="2"/>
  </r>
  <r>
    <n v="136"/>
    <s v="USA"/>
    <s v="F"/>
    <n v="36"/>
    <s v="A"/>
    <s v="Outlier"/>
    <x v="0"/>
  </r>
  <r>
    <n v="137"/>
    <s v="India"/>
    <s v="M"/>
    <n v="25"/>
    <s v="A"/>
    <s v="Outlier"/>
    <x v="2"/>
  </r>
  <r>
    <n v="138"/>
    <s v="USA"/>
    <s v="F"/>
    <n v="27"/>
    <s v="A"/>
    <s v="Outlier"/>
    <x v="2"/>
  </r>
  <r>
    <n v="139"/>
    <s v="USA"/>
    <s v="F"/>
    <n v="75"/>
    <s v="A"/>
    <s v="Outlier"/>
    <x v="1"/>
  </r>
  <r>
    <n v="140"/>
    <s v="USA"/>
    <s v="M"/>
    <n v="58"/>
    <s v="A"/>
    <s v="Outlier"/>
    <x v="1"/>
  </r>
  <r>
    <n v="141"/>
    <s v="USA"/>
    <s v="M"/>
    <n v="38"/>
    <s v="A"/>
    <s v="Outlier"/>
    <x v="0"/>
  </r>
  <r>
    <n v="142"/>
    <s v="India"/>
    <s v="M"/>
    <n v="77"/>
    <s v="A"/>
    <s v="Outlier"/>
    <x v="1"/>
  </r>
  <r>
    <n v="143"/>
    <s v="USA"/>
    <s v="M"/>
    <n v="46"/>
    <s v="A"/>
    <s v="Outlier"/>
    <x v="1"/>
  </r>
  <r>
    <n v="144"/>
    <s v="Denmark"/>
    <s v="M"/>
    <n v="27"/>
    <s v="A"/>
    <s v="Outlier"/>
    <x v="2"/>
  </r>
  <r>
    <n v="145"/>
    <s v="Italy"/>
    <s v="M"/>
    <n v="18"/>
    <s v="A"/>
    <s v="Outlier"/>
    <x v="3"/>
  </r>
  <r>
    <n v="146"/>
    <s v="Norway"/>
    <s v="M"/>
    <n v="85"/>
    <s v="A"/>
    <s v="Outlier"/>
    <x v="1"/>
  </r>
  <r>
    <n v="147"/>
    <s v="USA"/>
    <s v="F"/>
    <n v="29"/>
    <s v="A"/>
    <s v="Outlier"/>
    <x v="2"/>
  </r>
  <r>
    <n v="148"/>
    <s v="Spain"/>
    <s v="F"/>
    <n v="33"/>
    <s v="A"/>
    <s v="Outlier"/>
    <x v="0"/>
  </r>
  <r>
    <n v="149"/>
    <s v="Denmark"/>
    <s v="F"/>
    <n v="73"/>
    <s v="A"/>
    <s v="Outlier"/>
    <x v="1"/>
  </r>
  <r>
    <n v="150"/>
    <s v="USA"/>
    <s v="F"/>
    <n v="31"/>
    <s v="A"/>
    <s v="Outlier"/>
    <x v="0"/>
  </r>
  <r>
    <n v="151"/>
    <s v="Germany"/>
    <s v="M"/>
    <n v="76"/>
    <s v="A"/>
    <s v="Outlier"/>
    <x v="1"/>
  </r>
  <r>
    <n v="152"/>
    <s v="Italy"/>
    <s v="F"/>
    <n v="26"/>
    <s v="A"/>
    <s v="Outlier"/>
    <x v="2"/>
  </r>
  <r>
    <n v="153"/>
    <s v="USA"/>
    <s v="M"/>
    <n v="19"/>
    <s v="A"/>
    <s v="Outlier"/>
    <x v="3"/>
  </r>
  <r>
    <n v="154"/>
    <s v="Italy"/>
    <s v="M"/>
    <n v="37"/>
    <s v="A"/>
    <s v="Outlier"/>
    <x v="0"/>
  </r>
  <r>
    <n v="155"/>
    <s v="India"/>
    <s v="M"/>
    <n v="56"/>
    <s v="A"/>
    <s v="Outlier"/>
    <x v="1"/>
  </r>
  <r>
    <n v="156"/>
    <s v="France"/>
    <s v="F"/>
    <n v="32"/>
    <s v="A"/>
    <s v="Outlier"/>
    <x v="0"/>
  </r>
  <r>
    <n v="157"/>
    <s v="Australia"/>
    <s v="F"/>
    <n v="50"/>
    <s v="A"/>
    <s v="Outlier"/>
    <x v="1"/>
  </r>
  <r>
    <n v="158"/>
    <s v="USA"/>
    <s v="F"/>
    <n v="41"/>
    <s v="A"/>
    <s v="Outlier"/>
    <x v="1"/>
  </r>
  <r>
    <n v="159"/>
    <s v="USA"/>
    <s v="M"/>
    <n v="25"/>
    <s v="A"/>
    <s v="Outlier"/>
    <x v="2"/>
  </r>
  <r>
    <n v="160"/>
    <s v="USA"/>
    <s v="M"/>
    <n v="48"/>
    <s v="A"/>
    <s v="Outlier"/>
    <x v="1"/>
  </r>
  <r>
    <n v="161"/>
    <s v="France"/>
    <s v="F"/>
    <n v="68"/>
    <s v="A"/>
    <s v="Outlier"/>
    <x v="1"/>
  </r>
  <r>
    <n v="162"/>
    <s v="USA"/>
    <s v="F"/>
    <n v="63"/>
    <s v="A"/>
    <s v="Outlier"/>
    <x v="1"/>
  </r>
  <r>
    <n v="163"/>
    <s v="USA"/>
    <s v="F"/>
    <n v="81"/>
    <s v="A"/>
    <s v="Outlier"/>
    <x v="1"/>
  </r>
  <r>
    <n v="164"/>
    <s v="USA"/>
    <s v="M"/>
    <n v="36"/>
    <s v="A"/>
    <s v="Outlier"/>
    <x v="0"/>
  </r>
  <r>
    <n v="165"/>
    <s v="Switzerland"/>
    <s v="M"/>
    <n v="32"/>
    <s v="A"/>
    <s v="Outlier"/>
    <x v="0"/>
  </r>
  <r>
    <n v="166"/>
    <s v="France"/>
    <s v="M"/>
    <n v="27"/>
    <s v="A"/>
    <s v="Outlier"/>
    <x v="2"/>
  </r>
  <r>
    <n v="167"/>
    <s v="Australia"/>
    <s v="F"/>
    <n v="27"/>
    <s v="A"/>
    <s v="Outlier"/>
    <x v="2"/>
  </r>
  <r>
    <n v="168"/>
    <s v="France"/>
    <s v="F"/>
    <n v="55"/>
    <s v="A"/>
    <s v="Outlier"/>
    <x v="1"/>
  </r>
  <r>
    <n v="169"/>
    <s v="France"/>
    <s v="F"/>
    <n v="42"/>
    <s v="A"/>
    <s v="Outlier"/>
    <x v="1"/>
  </r>
  <r>
    <n v="170"/>
    <s v="Italy"/>
    <s v="M"/>
    <n v="83"/>
    <s v="A"/>
    <s v="Outlier"/>
    <x v="1"/>
  </r>
  <r>
    <n v="171"/>
    <s v="USA"/>
    <s v="M"/>
    <n v="31"/>
    <s v="A"/>
    <s v="Outlier"/>
    <x v="0"/>
  </r>
  <r>
    <n v="172"/>
    <s v="USA"/>
    <s v="M"/>
    <n v="36"/>
    <s v="A"/>
    <s v="Outlier"/>
    <x v="0"/>
  </r>
  <r>
    <n v="173"/>
    <s v="India"/>
    <s v="M"/>
    <n v="59"/>
    <s v="A"/>
    <s v="Outlier"/>
    <x v="1"/>
  </r>
  <r>
    <n v="174"/>
    <s v="Italy"/>
    <s v="M"/>
    <n v="68"/>
    <s v="A"/>
    <s v="Outlier"/>
    <x v="1"/>
  </r>
  <r>
    <n v="175"/>
    <s v="USA"/>
    <s v="M"/>
    <n v="70"/>
    <s v="A"/>
    <s v="Outlier"/>
    <x v="1"/>
  </r>
  <r>
    <n v="176"/>
    <s v="France"/>
    <s v="M"/>
    <n v="46"/>
    <s v="A"/>
    <s v="Outlier"/>
    <x v="1"/>
  </r>
  <r>
    <n v="177"/>
    <s v="India"/>
    <s v="M"/>
    <n v="75"/>
    <s v="A"/>
    <s v="Outlier"/>
    <x v="1"/>
  </r>
  <r>
    <n v="178"/>
    <s v="India"/>
    <s v="F"/>
    <n v="24"/>
    <s v="A"/>
    <s v="Outlier"/>
    <x v="2"/>
  </r>
  <r>
    <n v="179"/>
    <s v="France"/>
    <s v="F"/>
    <n v="27"/>
    <s v="A"/>
    <s v="Outlier"/>
    <x v="2"/>
  </r>
  <r>
    <n v="180"/>
    <s v="USA"/>
    <s v="F"/>
    <n v="81"/>
    <s v="A"/>
    <s v="Outlier"/>
    <x v="1"/>
  </r>
  <r>
    <n v="181"/>
    <s v="Austria"/>
    <s v="F"/>
    <n v="28"/>
    <s v="A"/>
    <s v="Outlier"/>
    <x v="2"/>
  </r>
  <r>
    <n v="182"/>
    <s v="Australia"/>
    <s v="M"/>
    <n v="77"/>
    <s v="A"/>
    <s v="Outlier"/>
    <x v="1"/>
  </r>
  <r>
    <n v="183"/>
    <s v="India"/>
    <s v="M"/>
    <n v="66"/>
    <s v="A"/>
    <s v="Outlier"/>
    <x v="1"/>
  </r>
  <r>
    <n v="184"/>
    <s v="Singapore"/>
    <s v="M"/>
    <n v="79"/>
    <s v="A"/>
    <s v="Outlier"/>
    <x v="1"/>
  </r>
  <r>
    <n v="185"/>
    <s v="Austria"/>
    <s v="M"/>
    <n v="86"/>
    <s v="A"/>
    <s v="Outlier"/>
    <x v="1"/>
  </r>
  <r>
    <n v="186"/>
    <s v="Singapore"/>
    <s v="F"/>
    <n v="63"/>
    <s v="A"/>
    <s v="Outlier"/>
    <x v="1"/>
  </r>
  <r>
    <n v="187"/>
    <s v="France"/>
    <s v="F"/>
    <n v="68"/>
    <s v="A"/>
    <s v="Outlier"/>
    <x v="1"/>
  </r>
  <r>
    <n v="188"/>
    <s v="India"/>
    <s v="F"/>
    <n v="72"/>
    <s v="A"/>
    <s v="Outlier"/>
    <x v="1"/>
  </r>
  <r>
    <n v="189"/>
    <s v="USA"/>
    <s v="F"/>
    <n v="59"/>
    <s v="A"/>
    <s v="Outlier"/>
    <x v="1"/>
  </r>
  <r>
    <n v="190"/>
    <s v="France"/>
    <s v="M"/>
    <n v="71"/>
    <s v="A"/>
    <s v="Outlier"/>
    <x v="1"/>
  </r>
  <r>
    <n v="191"/>
    <s v="Germany"/>
    <s v="F"/>
    <n v="23"/>
    <s v="A"/>
    <s v="Outlier"/>
    <x v="2"/>
  </r>
  <r>
    <n v="192"/>
    <s v="USA"/>
    <s v="F"/>
    <n v="66"/>
    <s v="A"/>
    <s v="Outlier"/>
    <x v="1"/>
  </r>
  <r>
    <n v="193"/>
    <s v="India"/>
    <s v="F"/>
    <n v="84"/>
    <s v="A"/>
    <s v="Outlier"/>
    <x v="1"/>
  </r>
  <r>
    <n v="194"/>
    <s v="India"/>
    <s v="F"/>
    <n v="64"/>
    <s v="A"/>
    <s v="Outlier"/>
    <x v="1"/>
  </r>
  <r>
    <n v="195"/>
    <s v="USA"/>
    <s v="F"/>
    <n v="51"/>
    <s v="A"/>
    <s v="Outlier"/>
    <x v="1"/>
  </r>
  <r>
    <n v="196"/>
    <s v="USA"/>
    <s v="M"/>
    <n v="77"/>
    <s v="A"/>
    <s v="Outlier"/>
    <x v="1"/>
  </r>
  <r>
    <n v="197"/>
    <s v="USA"/>
    <s v="M"/>
    <n v="38"/>
    <s v="A"/>
    <s v="Outlier"/>
    <x v="0"/>
  </r>
  <r>
    <n v="198"/>
    <s v="USA"/>
    <s v="M"/>
    <n v="30"/>
    <s v="A"/>
    <s v="Outlier"/>
    <x v="2"/>
  </r>
  <r>
    <n v="199"/>
    <s v="Australia"/>
    <s v="F"/>
    <n v="67"/>
    <s v="A"/>
    <s v="Outlier"/>
    <x v="1"/>
  </r>
  <r>
    <n v="200"/>
    <s v="Italy"/>
    <s v="M"/>
    <n v="27"/>
    <s v="A"/>
    <s v="Outlier"/>
    <x v="2"/>
  </r>
  <r>
    <n v="201"/>
    <s v="Australia"/>
    <s v="F"/>
    <n v="50"/>
    <s v="A"/>
    <s v="Outlier"/>
    <x v="1"/>
  </r>
  <r>
    <n v="202"/>
    <s v="USA"/>
    <s v="M"/>
    <n v="86"/>
    <s v="A"/>
    <s v="Outlier"/>
    <x v="1"/>
  </r>
  <r>
    <n v="203"/>
    <s v="Finland"/>
    <s v="F"/>
    <n v="75"/>
    <s v="A"/>
    <s v="Outlier"/>
    <x v="1"/>
  </r>
  <r>
    <n v="204"/>
    <s v="France"/>
    <s v="M"/>
    <n v="89"/>
    <s v="A"/>
    <s v="Outlier"/>
    <x v="1"/>
  </r>
  <r>
    <n v="205"/>
    <s v="Italy"/>
    <s v="F"/>
    <n v="45"/>
    <s v="A"/>
    <s v="Outlier"/>
    <x v="1"/>
  </r>
  <r>
    <n v="206"/>
    <s v="USA"/>
    <s v="F"/>
    <n v="56"/>
    <s v="A"/>
    <s v="Outlier"/>
    <x v="1"/>
  </r>
  <r>
    <n v="207"/>
    <s v="Denmark"/>
    <s v="M"/>
    <n v="76"/>
    <s v="A"/>
    <s v="Outlier"/>
    <x v="1"/>
  </r>
  <r>
    <n v="208"/>
    <s v="USA"/>
    <s v="F"/>
    <n v="19"/>
    <s v="A"/>
    <s v="Outlier"/>
    <x v="3"/>
  </r>
  <r>
    <n v="209"/>
    <s v="France"/>
    <s v="M"/>
    <n v="79"/>
    <s v="A"/>
    <s v="Outlier"/>
    <x v="1"/>
  </r>
  <r>
    <n v="210"/>
    <s v="USA"/>
    <s v="M"/>
    <n v="59"/>
    <s v="A"/>
    <s v="Outlier"/>
    <x v="1"/>
  </r>
  <r>
    <n v="211"/>
    <s v="France"/>
    <s v="F"/>
    <n v="79"/>
    <s v="A"/>
    <s v="Outlier"/>
    <x v="1"/>
  </r>
  <r>
    <n v="212"/>
    <s v="Germany"/>
    <s v="F"/>
    <n v="19"/>
    <s v="A"/>
    <s v="Outlier"/>
    <x v="3"/>
  </r>
  <r>
    <n v="213"/>
    <s v="USA"/>
    <s v="F"/>
    <n v="52"/>
    <s v="A"/>
    <s v="Outlier"/>
    <x v="1"/>
  </r>
  <r>
    <n v="214"/>
    <s v="USA"/>
    <s v="F"/>
    <n v="18"/>
    <s v="A"/>
    <s v="Outlier"/>
    <x v="3"/>
  </r>
  <r>
    <n v="215"/>
    <s v="USA"/>
    <s v="M"/>
    <n v="60"/>
    <s v="A"/>
    <s v="Outlier"/>
    <x v="1"/>
  </r>
  <r>
    <n v="216"/>
    <s v="India"/>
    <s v="M"/>
    <n v="45"/>
    <s v="A"/>
    <s v="Outlier"/>
    <x v="1"/>
  </r>
  <r>
    <n v="217"/>
    <s v="USA"/>
    <s v="F"/>
    <n v="60"/>
    <s v="A"/>
    <s v="Outlier"/>
    <x v="1"/>
  </r>
  <r>
    <n v="218"/>
    <s v="France"/>
    <s v="F"/>
    <n v="34"/>
    <s v="A"/>
    <s v="Outlier"/>
    <x v="0"/>
  </r>
  <r>
    <n v="219"/>
    <s v="USA"/>
    <s v="M"/>
    <n v="36"/>
    <s v="A"/>
    <s v="Outlier"/>
    <x v="0"/>
  </r>
  <r>
    <n v="220"/>
    <s v="Australia"/>
    <s v="M"/>
    <n v="71"/>
    <s v="A"/>
    <s v="Outlier"/>
    <x v="1"/>
  </r>
  <r>
    <n v="221"/>
    <s v="Australia"/>
    <s v="M"/>
    <n v="64"/>
    <s v="A"/>
    <s v="Outlier"/>
    <x v="1"/>
  </r>
  <r>
    <n v="222"/>
    <s v="Norway"/>
    <s v="M"/>
    <n v="37"/>
    <s v="A"/>
    <s v="Outlier"/>
    <x v="0"/>
  </r>
  <r>
    <n v="223"/>
    <s v="India"/>
    <s v="M"/>
    <n v="41"/>
    <s v="A"/>
    <s v="Outlier"/>
    <x v="1"/>
  </r>
  <r>
    <n v="224"/>
    <s v="India"/>
    <s v="M"/>
    <n v="64"/>
    <s v="A"/>
    <s v="Outlier"/>
    <x v="1"/>
  </r>
  <r>
    <n v="225"/>
    <s v="Singapore"/>
    <s v="F"/>
    <n v="83"/>
    <s v="A"/>
    <s v="Outlier"/>
    <x v="1"/>
  </r>
  <r>
    <n v="226"/>
    <s v="USA"/>
    <s v="M"/>
    <n v="31"/>
    <s v="A"/>
    <s v="Outlier"/>
    <x v="0"/>
  </r>
  <r>
    <n v="227"/>
    <s v="USA"/>
    <s v="F"/>
    <n v="77"/>
    <s v="A"/>
    <s v="Outlier"/>
    <x v="1"/>
  </r>
  <r>
    <n v="228"/>
    <s v="France"/>
    <s v="F"/>
    <n v="34"/>
    <s v="A"/>
    <s v="Outlier"/>
    <x v="0"/>
  </r>
  <r>
    <n v="229"/>
    <s v="France"/>
    <s v="M"/>
    <n v="54"/>
    <s v="A"/>
    <s v="Outlier"/>
    <x v="1"/>
  </r>
  <r>
    <n v="230"/>
    <s v="USA"/>
    <s v="M"/>
    <n v="79"/>
    <s v="A"/>
    <s v="Outlier"/>
    <x v="1"/>
  </r>
  <r>
    <n v="231"/>
    <s v="USA"/>
    <s v="M"/>
    <n v="41"/>
    <s v="A"/>
    <s v="Outlier"/>
    <x v="1"/>
  </r>
  <r>
    <n v="232"/>
    <s v="USA"/>
    <s v="F"/>
    <n v="45"/>
    <s v="A"/>
    <s v="Outlier"/>
    <x v="1"/>
  </r>
  <r>
    <n v="233"/>
    <s v="Italy"/>
    <s v="F"/>
    <n v="30"/>
    <s v="A"/>
    <s v="Outlier"/>
    <x v="2"/>
  </r>
  <r>
    <n v="234"/>
    <s v="Austria"/>
    <s v="M"/>
    <n v="37"/>
    <s v="A"/>
    <s v="Outlier"/>
    <x v="0"/>
  </r>
  <r>
    <n v="235"/>
    <s v="USA"/>
    <s v="M"/>
    <n v="41"/>
    <s v="A"/>
    <s v="Outlier"/>
    <x v="1"/>
  </r>
  <r>
    <n v="236"/>
    <s v="USA"/>
    <s v="F"/>
    <n v="80"/>
    <s v="A"/>
    <s v="Outlier"/>
    <x v="1"/>
  </r>
  <r>
    <n v="237"/>
    <s v="France"/>
    <s v="F"/>
    <n v="57"/>
    <s v="A"/>
    <s v="Outlier"/>
    <x v="1"/>
  </r>
  <r>
    <n v="238"/>
    <s v="Italy"/>
    <s v="M"/>
    <n v="41"/>
    <s v="A"/>
    <s v="Outlier"/>
    <x v="1"/>
  </r>
  <r>
    <n v="239"/>
    <s v="India"/>
    <s v="F"/>
    <n v="77"/>
    <s v="A"/>
    <s v="Outlier"/>
    <x v="1"/>
  </r>
  <r>
    <n v="240"/>
    <s v="USA"/>
    <s v="M"/>
    <n v="63"/>
    <s v="A"/>
    <s v="Outlier"/>
    <x v="1"/>
  </r>
  <r>
    <n v="241"/>
    <s v="USA"/>
    <s v="F"/>
    <n v="22"/>
    <s v="A"/>
    <s v="Outlier"/>
    <x v="2"/>
  </r>
  <r>
    <n v="242"/>
    <s v="USA"/>
    <s v="F"/>
    <n v="87"/>
    <s v="A"/>
    <s v="Outlier"/>
    <x v="1"/>
  </r>
  <r>
    <n v="243"/>
    <s v="USA"/>
    <s v="M"/>
    <n v="18"/>
    <s v="A"/>
    <s v="Outlier"/>
    <x v="3"/>
  </r>
  <r>
    <n v="244"/>
    <s v="Singapore"/>
    <s v="F"/>
    <n v="69"/>
    <s v="A"/>
    <s v="Outlier"/>
    <x v="1"/>
  </r>
  <r>
    <n v="245"/>
    <s v="India"/>
    <s v="M"/>
    <n v="63"/>
    <s v="A"/>
    <s v="Outlier"/>
    <x v="1"/>
  </r>
  <r>
    <n v="246"/>
    <s v="France"/>
    <s v="F"/>
    <n v="67"/>
    <s v="A"/>
    <s v="Outlier"/>
    <x v="1"/>
  </r>
  <r>
    <n v="247"/>
    <s v="France"/>
    <s v="M"/>
    <n v="45"/>
    <s v="A"/>
    <s v="Outlier"/>
    <x v="1"/>
  </r>
  <r>
    <n v="248"/>
    <s v="USA"/>
    <s v="F"/>
    <n v="47"/>
    <s v="A"/>
    <s v="Outlier"/>
    <x v="1"/>
  </r>
  <r>
    <n v="249"/>
    <s v="USA"/>
    <s v="M"/>
    <n v="58"/>
    <s v="A"/>
    <s v="Outlier"/>
    <x v="1"/>
  </r>
  <r>
    <n v="250"/>
    <s v="India"/>
    <s v="F"/>
    <n v="51"/>
    <s v="A"/>
    <s v="Outlier"/>
    <x v="1"/>
  </r>
  <r>
    <n v="251"/>
    <s v="France"/>
    <s v="M"/>
    <n v="49"/>
    <s v="A"/>
    <s v="Outlier"/>
    <x v="1"/>
  </r>
  <r>
    <n v="252"/>
    <s v="USA"/>
    <s v="F"/>
    <n v="89"/>
    <s v="A"/>
    <s v="Outlier"/>
    <x v="1"/>
  </r>
  <r>
    <n v="253"/>
    <s v="France"/>
    <s v="F"/>
    <n v="67"/>
    <s v="A"/>
    <s v="Outlier"/>
    <x v="1"/>
  </r>
  <r>
    <n v="254"/>
    <s v="France"/>
    <s v="F"/>
    <n v="88"/>
    <s v="A"/>
    <s v="Outlier"/>
    <x v="1"/>
  </r>
  <r>
    <n v="255"/>
    <s v="Italy"/>
    <s v="M"/>
    <n v="62"/>
    <s v="A"/>
    <s v="Outlier"/>
    <x v="1"/>
  </r>
  <r>
    <n v="256"/>
    <s v="Australia"/>
    <s v="M"/>
    <n v="72"/>
    <s v="A"/>
    <s v="Outlier"/>
    <x v="1"/>
  </r>
  <r>
    <n v="257"/>
    <s v="USA"/>
    <s v="M"/>
    <n v="32"/>
    <s v="A"/>
    <s v="Outlier"/>
    <x v="0"/>
  </r>
  <r>
    <n v="258"/>
    <s v="India"/>
    <s v="F"/>
    <n v="40"/>
    <s v="A"/>
    <s v="Outlier"/>
    <x v="0"/>
  </r>
  <r>
    <n v="259"/>
    <s v="India"/>
    <s v="M"/>
    <n v="58"/>
    <s v="A"/>
    <s v="Outlier"/>
    <x v="1"/>
  </r>
  <r>
    <n v="260"/>
    <s v="USA"/>
    <s v="F"/>
    <n v="88"/>
    <s v="A"/>
    <s v="Outlier"/>
    <x v="1"/>
  </r>
  <r>
    <n v="261"/>
    <s v="France"/>
    <s v="M"/>
    <n v="21"/>
    <s v="A"/>
    <s v="Outlier"/>
    <x v="2"/>
  </r>
  <r>
    <n v="262"/>
    <s v="Finland"/>
    <s v="M"/>
    <n v="78"/>
    <s v="A"/>
    <s v="Outlier"/>
    <x v="1"/>
  </r>
  <r>
    <n v="263"/>
    <s v="USA"/>
    <s v="F"/>
    <n v="76"/>
    <s v="A"/>
    <s v="Outlier"/>
    <x v="1"/>
  </r>
  <r>
    <n v="264"/>
    <s v="USA"/>
    <s v="M"/>
    <n v="46"/>
    <s v="A"/>
    <s v="Outlier"/>
    <x v="1"/>
  </r>
  <r>
    <n v="265"/>
    <s v="Australia"/>
    <s v="M"/>
    <n v="66"/>
    <s v="A"/>
    <s v="Outlier"/>
    <x v="1"/>
  </r>
  <r>
    <n v="266"/>
    <s v="USA"/>
    <s v="F"/>
    <n v="37"/>
    <s v="A"/>
    <s v="Outlier"/>
    <x v="0"/>
  </r>
  <r>
    <n v="267"/>
    <s v="USA"/>
    <s v="F"/>
    <n v="31"/>
    <s v="A"/>
    <s v="Outlier"/>
    <x v="0"/>
  </r>
  <r>
    <n v="268"/>
    <s v="India"/>
    <s v="M"/>
    <n v="47"/>
    <s v="A"/>
    <s v="Outlier"/>
    <x v="1"/>
  </r>
  <r>
    <n v="269"/>
    <s v="USA"/>
    <s v="F"/>
    <n v="86"/>
    <s v="A"/>
    <s v="Outlier"/>
    <x v="1"/>
  </r>
  <r>
    <n v="270"/>
    <s v="Australia"/>
    <s v="F"/>
    <n v="74"/>
    <s v="A"/>
    <s v="Outlier"/>
    <x v="1"/>
  </r>
  <r>
    <n v="271"/>
    <s v="USA"/>
    <s v="M"/>
    <n v="68"/>
    <s v="A"/>
    <s v="Outlier"/>
    <x v="1"/>
  </r>
  <r>
    <n v="272"/>
    <s v="France"/>
    <s v="M"/>
    <n v="43"/>
    <s v="A"/>
    <s v="Outlier"/>
    <x v="1"/>
  </r>
  <r>
    <n v="273"/>
    <s v="USA"/>
    <s v="M"/>
    <n v="34"/>
    <s v="A"/>
    <s v="Outlier"/>
    <x v="0"/>
  </r>
  <r>
    <n v="274"/>
    <s v="USA"/>
    <s v="M"/>
    <n v="44"/>
    <s v="A"/>
    <s v="Outlier"/>
    <x v="1"/>
  </r>
  <r>
    <n v="275"/>
    <s v="Italy"/>
    <s v="F"/>
    <n v="42"/>
    <s v="A"/>
    <s v="Outlier"/>
    <x v="1"/>
  </r>
  <r>
    <n v="276"/>
    <s v="India"/>
    <s v="F"/>
    <n v="59"/>
    <s v="A"/>
    <s v="Outlier"/>
    <x v="1"/>
  </r>
  <r>
    <n v="277"/>
    <s v="USA"/>
    <s v="F"/>
    <n v="85"/>
    <s v="A"/>
    <s v="Outlier"/>
    <x v="1"/>
  </r>
  <r>
    <n v="278"/>
    <s v="USA"/>
    <s v="F"/>
    <n v="26"/>
    <s v="A"/>
    <s v="Outlier"/>
    <x v="2"/>
  </r>
  <r>
    <n v="279"/>
    <s v="India"/>
    <s v="M"/>
    <n v="80"/>
    <s v="A"/>
    <s v="Outlier"/>
    <x v="1"/>
  </r>
  <r>
    <n v="280"/>
    <s v="USA"/>
    <s v="M"/>
    <n v="51"/>
    <s v="A"/>
    <s v="Outlier"/>
    <x v="1"/>
  </r>
  <r>
    <n v="281"/>
    <s v="USA"/>
    <s v="M"/>
    <n v="75"/>
    <s v="A"/>
    <s v="Outlier"/>
    <x v="1"/>
  </r>
  <r>
    <n v="282"/>
    <s v="USA"/>
    <s v="F"/>
    <n v="43"/>
    <s v="A"/>
    <s v="Outlier"/>
    <x v="1"/>
  </r>
  <r>
    <n v="283"/>
    <s v="USA"/>
    <s v="M"/>
    <n v="18"/>
    <s v="A"/>
    <s v="Outlier"/>
    <x v="3"/>
  </r>
  <r>
    <n v="284"/>
    <s v="USA"/>
    <s v="M"/>
    <n v="82"/>
    <s v="A"/>
    <s v="Outlier"/>
    <x v="1"/>
  </r>
  <r>
    <n v="285"/>
    <s v="Australia"/>
    <s v="M"/>
    <n v="36"/>
    <s v="A"/>
    <s v="Outlier"/>
    <x v="0"/>
  </r>
  <r>
    <n v="286"/>
    <s v="USA"/>
    <s v="M"/>
    <n v="79"/>
    <s v="A"/>
    <s v="Outlier"/>
    <x v="1"/>
  </r>
  <r>
    <n v="287"/>
    <s v="Singapore"/>
    <s v="M"/>
    <n v="86"/>
    <s v="A"/>
    <s v="Outlier"/>
    <x v="1"/>
  </r>
  <r>
    <n v="288"/>
    <s v="USA"/>
    <s v="M"/>
    <n v="38"/>
    <s v="A"/>
    <s v="Outlier"/>
    <x v="0"/>
  </r>
  <r>
    <n v="289"/>
    <s v="France"/>
    <s v="M"/>
    <n v="82"/>
    <s v="A"/>
    <s v="Outlier"/>
    <x v="1"/>
  </r>
  <r>
    <n v="290"/>
    <s v="Spain"/>
    <s v="F"/>
    <n v="71"/>
    <s v="A"/>
    <s v="Outlier"/>
    <x v="1"/>
  </r>
  <r>
    <n v="291"/>
    <s v="India"/>
    <s v="F"/>
    <n v="44"/>
    <s v="A"/>
    <s v="Outlier"/>
    <x v="1"/>
  </r>
  <r>
    <n v="292"/>
    <s v="India"/>
    <s v="M"/>
    <n v="66"/>
    <s v="A"/>
    <s v="Outlier"/>
    <x v="1"/>
  </r>
  <r>
    <n v="293"/>
    <s v="India"/>
    <s v="F"/>
    <n v="76"/>
    <s v="A"/>
    <s v="Outlier"/>
    <x v="1"/>
  </r>
  <r>
    <n v="294"/>
    <s v="France"/>
    <s v="F"/>
    <n v="30"/>
    <s v="A"/>
    <s v="Outlier"/>
    <x v="2"/>
  </r>
  <r>
    <n v="295"/>
    <s v="India"/>
    <s v="F"/>
    <n v="44"/>
    <s v="A"/>
    <s v="Outlier"/>
    <x v="1"/>
  </r>
  <r>
    <n v="296"/>
    <s v="Denmark"/>
    <s v="F"/>
    <n v="70"/>
    <s v="A"/>
    <s v="Outlier"/>
    <x v="1"/>
  </r>
  <r>
    <n v="297"/>
    <s v="India"/>
    <s v="M"/>
    <n v="25"/>
    <s v="A"/>
    <s v="Outlier"/>
    <x v="2"/>
  </r>
  <r>
    <n v="298"/>
    <s v="Spain"/>
    <s v="M"/>
    <n v="34"/>
    <s v="A"/>
    <s v="Outlier"/>
    <x v="0"/>
  </r>
  <r>
    <n v="299"/>
    <s v="India"/>
    <s v="M"/>
    <n v="58"/>
    <s v="A"/>
    <s v="Outlier"/>
    <x v="1"/>
  </r>
  <r>
    <n v="300"/>
    <s v="India"/>
    <s v="F"/>
    <n v="66"/>
    <s v="A"/>
    <s v="Outlier"/>
    <x v="1"/>
  </r>
  <r>
    <n v="301"/>
    <s v="India"/>
    <s v="M"/>
    <n v="46"/>
    <s v="A"/>
    <s v="Outlier"/>
    <x v="1"/>
  </r>
  <r>
    <n v="302"/>
    <s v="Germany"/>
    <s v="F"/>
    <n v="29"/>
    <s v="A"/>
    <s v="Outlier"/>
    <x v="2"/>
  </r>
  <r>
    <n v="303"/>
    <s v="India"/>
    <s v="F"/>
    <n v="73"/>
    <s v="A"/>
    <s v="Outlier"/>
    <x v="1"/>
  </r>
  <r>
    <n v="304"/>
    <s v="India"/>
    <s v="F"/>
    <n v="71"/>
    <s v="A"/>
    <s v="Outlier"/>
    <x v="1"/>
  </r>
  <r>
    <n v="305"/>
    <s v="Australia"/>
    <s v="F"/>
    <n v="58"/>
    <s v="A"/>
    <s v="Outlier"/>
    <x v="1"/>
  </r>
  <r>
    <n v="306"/>
    <s v="India"/>
    <s v="F"/>
    <n v="20"/>
    <s v="A"/>
    <s v="Outlier"/>
    <x v="2"/>
  </r>
  <r>
    <n v="307"/>
    <s v="France"/>
    <s v="M"/>
    <n v="65"/>
    <s v="A"/>
    <s v="Outlier"/>
    <x v="1"/>
  </r>
  <r>
    <n v="308"/>
    <s v="Spain"/>
    <s v="F"/>
    <n v="40"/>
    <s v="A"/>
    <s v="Outlier"/>
    <x v="0"/>
  </r>
  <r>
    <n v="309"/>
    <s v="Austria"/>
    <s v="M"/>
    <n v="70"/>
    <s v="A"/>
    <s v="Outlier"/>
    <x v="1"/>
  </r>
  <r>
    <n v="310"/>
    <s v="France"/>
    <s v="M"/>
    <n v="22"/>
    <s v="A"/>
    <s v="Outlier"/>
    <x v="2"/>
  </r>
  <r>
    <n v="311"/>
    <s v="Australia"/>
    <s v="M"/>
    <n v="45"/>
    <s v="A"/>
    <s v="Outlier"/>
    <x v="1"/>
  </r>
  <r>
    <n v="312"/>
    <s v="Italy"/>
    <s v="M"/>
    <n v="38"/>
    <s v="A"/>
    <s v="Outlier"/>
    <x v="0"/>
  </r>
  <r>
    <n v="313"/>
    <s v="India"/>
    <s v="F"/>
    <n v="61"/>
    <s v="A"/>
    <s v="Outlier"/>
    <x v="1"/>
  </r>
  <r>
    <n v="314"/>
    <s v="Spain"/>
    <s v="M"/>
    <n v="38"/>
    <s v="A"/>
    <s v="Outlier"/>
    <x v="0"/>
  </r>
  <r>
    <n v="315"/>
    <s v="India"/>
    <s v="F"/>
    <n v="85"/>
    <s v="A"/>
    <s v="Outlier"/>
    <x v="1"/>
  </r>
  <r>
    <n v="316"/>
    <s v="India"/>
    <s v="F"/>
    <n v="89"/>
    <s v="A"/>
    <s v="Outlier"/>
    <x v="1"/>
  </r>
  <r>
    <n v="317"/>
    <s v="France"/>
    <s v="M"/>
    <n v="24"/>
    <s v="A"/>
    <s v="Outlier"/>
    <x v="2"/>
  </r>
  <r>
    <n v="318"/>
    <s v="India"/>
    <s v="F"/>
    <n v="35"/>
    <s v="A"/>
    <s v="Outlier"/>
    <x v="0"/>
  </r>
  <r>
    <n v="319"/>
    <s v="India"/>
    <s v="F"/>
    <n v="39"/>
    <s v="A"/>
    <s v="Outlier"/>
    <x v="0"/>
  </r>
  <r>
    <n v="320"/>
    <s v="Germany"/>
    <s v="M"/>
    <n v="47"/>
    <s v="A"/>
    <s v="Outlier"/>
    <x v="1"/>
  </r>
  <r>
    <n v="321"/>
    <s v="India"/>
    <s v="M"/>
    <n v="30"/>
    <s v="A"/>
    <s v="Outlier"/>
    <x v="2"/>
  </r>
  <r>
    <n v="322"/>
    <s v="India"/>
    <s v="M"/>
    <n v="22"/>
    <s v="A"/>
    <s v="Outlier"/>
    <x v="2"/>
  </r>
  <r>
    <n v="323"/>
    <s v="France"/>
    <s v="M"/>
    <n v="49"/>
    <s v="A"/>
    <s v="Outlier"/>
    <x v="1"/>
  </r>
  <r>
    <n v="324"/>
    <s v="Australia"/>
    <s v="F"/>
    <n v="28"/>
    <s v="A"/>
    <s v="Outlier"/>
    <x v="2"/>
  </r>
  <r>
    <n v="325"/>
    <s v="France"/>
    <s v="M"/>
    <n v="30"/>
    <s v="A"/>
    <s v="Outlier"/>
    <x v="2"/>
  </r>
  <r>
    <n v="326"/>
    <s v="Ireland"/>
    <s v="M"/>
    <n v="54"/>
    <s v="A"/>
    <s v="Outlier"/>
    <x v="1"/>
  </r>
  <r>
    <n v="327"/>
    <s v="India"/>
    <s v="F"/>
    <n v="32"/>
    <s v="A"/>
    <s v="Outlier"/>
    <x v="0"/>
  </r>
  <r>
    <n v="328"/>
    <s v="India"/>
    <s v="M"/>
    <n v="44"/>
    <s v="A"/>
    <s v="Outlier"/>
    <x v="1"/>
  </r>
  <r>
    <n v="329"/>
    <s v="Spain"/>
    <s v="F"/>
    <n v="55"/>
    <s v="A"/>
    <s v="Outlier"/>
    <x v="1"/>
  </r>
  <r>
    <n v="330"/>
    <s v="India"/>
    <s v="F"/>
    <n v="43"/>
    <s v="A"/>
    <s v="Outlier"/>
    <x v="1"/>
  </r>
  <r>
    <n v="331"/>
    <s v="Singapore"/>
    <s v="M"/>
    <n v="24"/>
    <s v="A"/>
    <s v="Outlier"/>
    <x v="2"/>
  </r>
  <r>
    <n v="332"/>
    <s v="India"/>
    <s v="M"/>
    <n v="78"/>
    <s v="A"/>
    <s v="Outlier"/>
    <x v="1"/>
  </r>
  <r>
    <n v="333"/>
    <s v="Germany"/>
    <s v="M"/>
    <n v="43"/>
    <s v="A"/>
    <s v="Outlier"/>
    <x v="1"/>
  </r>
  <r>
    <n v="334"/>
    <s v="France"/>
    <s v="M"/>
    <n v="18"/>
    <s v="A"/>
    <s v="Outlier"/>
    <x v="3"/>
  </r>
  <r>
    <n v="335"/>
    <s v="India"/>
    <s v="F"/>
    <n v="65"/>
    <s v="A"/>
    <s v="Outlier"/>
    <x v="1"/>
  </r>
  <r>
    <n v="336"/>
    <s v="Spain"/>
    <s v="F"/>
    <n v="26"/>
    <s v="A"/>
    <s v="Outlier"/>
    <x v="2"/>
  </r>
  <r>
    <n v="337"/>
    <s v="Singapore"/>
    <s v="M"/>
    <n v="58"/>
    <s v="A"/>
    <s v="Outlier"/>
    <x v="1"/>
  </r>
  <r>
    <n v="338"/>
    <s v="India"/>
    <s v="F"/>
    <n v="51"/>
    <s v="A"/>
    <s v="Outlier"/>
    <x v="1"/>
  </r>
  <r>
    <n v="339"/>
    <s v="France"/>
    <s v="F"/>
    <n v="25"/>
    <s v="A"/>
    <s v="Outlier"/>
    <x v="2"/>
  </r>
  <r>
    <n v="340"/>
    <s v="France"/>
    <s v="M"/>
    <n v="68"/>
    <s v="A"/>
    <s v="Outlier"/>
    <x v="1"/>
  </r>
  <r>
    <n v="341"/>
    <s v="Spain"/>
    <s v="F"/>
    <n v="44"/>
    <s v="A"/>
    <s v="Outlier"/>
    <x v="1"/>
  </r>
  <r>
    <n v="342"/>
    <s v="India"/>
    <s v="F"/>
    <n v="65"/>
    <s v="A"/>
    <s v="Outlier"/>
    <x v="1"/>
  </r>
  <r>
    <n v="343"/>
    <s v="India"/>
    <s v="F"/>
    <n v="88"/>
    <s v="A"/>
    <s v="Outlier"/>
    <x v="1"/>
  </r>
  <r>
    <n v="344"/>
    <s v="Finland"/>
    <s v="F"/>
    <n v="84"/>
    <s v="A"/>
    <s v="Outlier"/>
    <x v="1"/>
  </r>
  <r>
    <n v="345"/>
    <s v="India"/>
    <s v="F"/>
    <n v="31"/>
    <s v="A"/>
    <s v="Outlier"/>
    <x v="0"/>
  </r>
  <r>
    <n v="346"/>
    <s v="Spain"/>
    <s v="F"/>
    <n v="27"/>
    <s v="A"/>
    <s v="Outlier"/>
    <x v="2"/>
  </r>
  <r>
    <n v="347"/>
    <s v="Denmark"/>
    <s v="F"/>
    <n v="59"/>
    <s v="A"/>
    <s v="Outlier"/>
    <x v="1"/>
  </r>
  <r>
    <n v="348"/>
    <s v="France"/>
    <s v="M"/>
    <n v="61"/>
    <s v="A"/>
    <s v="Outlier"/>
    <x v="1"/>
  </r>
  <r>
    <n v="349"/>
    <s v="Denmark"/>
    <s v="F"/>
    <n v="55"/>
    <s v="A"/>
    <s v="Outlier"/>
    <x v="1"/>
  </r>
  <r>
    <n v="350"/>
    <s v="Germany"/>
    <s v="F"/>
    <n v="39"/>
    <s v="A"/>
    <s v="Outlier"/>
    <x v="0"/>
  </r>
  <r>
    <n v="351"/>
    <s v="Australia"/>
    <s v="F"/>
    <n v="87"/>
    <s v="A"/>
    <s v="Outlier"/>
    <x v="1"/>
  </r>
  <r>
    <n v="352"/>
    <s v="France"/>
    <s v="M"/>
    <n v="72"/>
    <s v="A"/>
    <s v="Outlier"/>
    <x v="1"/>
  </r>
  <r>
    <n v="353"/>
    <s v="France"/>
    <s v="F"/>
    <n v="66"/>
    <s v="A"/>
    <s v="Outlier"/>
    <x v="1"/>
  </r>
  <r>
    <n v="354"/>
    <s v="India"/>
    <s v="M"/>
    <n v="29"/>
    <s v="A"/>
    <s v="Outlier"/>
    <x v="2"/>
  </r>
  <r>
    <n v="355"/>
    <s v="France"/>
    <s v="F"/>
    <n v="49"/>
    <s v="A"/>
    <s v="Outlier"/>
    <x v="1"/>
  </r>
  <r>
    <n v="356"/>
    <s v="India"/>
    <s v="M"/>
    <n v="41"/>
    <s v="A"/>
    <s v="Outlier"/>
    <x v="1"/>
  </r>
  <r>
    <n v="357"/>
    <s v="Norway"/>
    <s v="F"/>
    <n v="70"/>
    <s v="A"/>
    <s v="Outlier"/>
    <x v="1"/>
  </r>
  <r>
    <n v="358"/>
    <s v="Spain"/>
    <s v="M"/>
    <n v="50"/>
    <s v="A"/>
    <s v="Outlier"/>
    <x v="1"/>
  </r>
  <r>
    <n v="359"/>
    <s v="France"/>
    <s v="F"/>
    <n v="37"/>
    <s v="A"/>
    <s v="Outlier"/>
    <x v="0"/>
  </r>
  <r>
    <n v="360"/>
    <s v="India"/>
    <s v="M"/>
    <n v="32"/>
    <s v="A"/>
    <s v="Outlier"/>
    <x v="0"/>
  </r>
  <r>
    <n v="361"/>
    <s v="Italy"/>
    <s v="M"/>
    <n v="87"/>
    <s v="A"/>
    <s v="Outlier"/>
    <x v="1"/>
  </r>
  <r>
    <n v="362"/>
    <s v="India"/>
    <s v="M"/>
    <n v="68"/>
    <s v="A"/>
    <s v="Outlier"/>
    <x v="1"/>
  </r>
  <r>
    <n v="363"/>
    <s v="India"/>
    <s v="F"/>
    <n v="48"/>
    <s v="A"/>
    <s v="Outlier"/>
    <x v="1"/>
  </r>
  <r>
    <n v="364"/>
    <s v="Spain"/>
    <s v="M"/>
    <n v="18"/>
    <s v="A"/>
    <s v="Outlier"/>
    <x v="3"/>
  </r>
  <r>
    <n v="365"/>
    <s v="France"/>
    <s v="M"/>
    <n v="46"/>
    <s v="A"/>
    <s v="Outlier"/>
    <x v="1"/>
  </r>
  <r>
    <n v="366"/>
    <s v="India"/>
    <s v="F"/>
    <n v="79"/>
    <s v="A"/>
    <s v="Outlier"/>
    <x v="1"/>
  </r>
  <r>
    <n v="367"/>
    <s v="India"/>
    <s v="M"/>
    <n v="23"/>
    <s v="A"/>
    <s v="Outlier"/>
    <x v="2"/>
  </r>
  <r>
    <n v="368"/>
    <s v="Finland"/>
    <s v="F"/>
    <n v="58"/>
    <s v="A"/>
    <s v="Outlier"/>
    <x v="1"/>
  </r>
  <r>
    <n v="369"/>
    <s v="France"/>
    <s v="F"/>
    <n v="39"/>
    <s v="A"/>
    <s v="Outlier"/>
    <x v="0"/>
  </r>
  <r>
    <n v="370"/>
    <s v="Australia"/>
    <s v="F"/>
    <n v="35"/>
    <s v="A"/>
    <s v="Outlier"/>
    <x v="0"/>
  </r>
  <r>
    <n v="371"/>
    <s v="Spain"/>
    <s v="M"/>
    <n v="68"/>
    <s v="A"/>
    <s v="Outlier"/>
    <x v="1"/>
  </r>
  <r>
    <n v="372"/>
    <s v="India"/>
    <s v="M"/>
    <n v="60"/>
    <s v="A"/>
    <s v="Outlier"/>
    <x v="1"/>
  </r>
  <r>
    <n v="373"/>
    <s v="India"/>
    <s v="F"/>
    <n v="89"/>
    <s v="A"/>
    <s v="Outlier"/>
    <x v="1"/>
  </r>
  <r>
    <n v="374"/>
    <s v="Denmark"/>
    <s v="M"/>
    <n v="71"/>
    <s v="A"/>
    <s v="Outlier"/>
    <x v="1"/>
  </r>
  <r>
    <n v="375"/>
    <s v="Australia"/>
    <s v="F"/>
    <n v="45"/>
    <s v="A"/>
    <s v="Outlier"/>
    <x v="1"/>
  </r>
  <r>
    <n v="376"/>
    <s v="India"/>
    <s v="F"/>
    <n v="89"/>
    <s v="A"/>
    <s v="Outlier"/>
    <x v="1"/>
  </r>
  <r>
    <n v="377"/>
    <s v="India"/>
    <s v="F"/>
    <n v="56"/>
    <s v="A"/>
    <s v="Outlier"/>
    <x v="1"/>
  </r>
  <r>
    <n v="378"/>
    <s v="Switzerland"/>
    <s v="M"/>
    <n v="69"/>
    <s v="A"/>
    <s v="Outlier"/>
    <x v="1"/>
  </r>
  <r>
    <n v="379"/>
    <s v="India"/>
    <s v="M"/>
    <n v="58"/>
    <s v="A"/>
    <s v="Outlier"/>
    <x v="1"/>
  </r>
  <r>
    <n v="380"/>
    <s v="France"/>
    <s v="F"/>
    <n v="29"/>
    <s v="A"/>
    <s v="Outlier"/>
    <x v="2"/>
  </r>
  <r>
    <n v="381"/>
    <s v="Italy"/>
    <s v="M"/>
    <n v="86"/>
    <s v="A"/>
    <s v="Outlier"/>
    <x v="1"/>
  </r>
  <r>
    <n v="382"/>
    <s v="India"/>
    <s v="M"/>
    <n v="81"/>
    <s v="A"/>
    <s v="Outlier"/>
    <x v="1"/>
  </r>
  <r>
    <n v="383"/>
    <s v="France"/>
    <s v="F"/>
    <n v="57"/>
    <s v="A"/>
    <s v="Outlier"/>
    <x v="1"/>
  </r>
  <r>
    <n v="384"/>
    <s v="Australia"/>
    <s v="M"/>
    <n v="87"/>
    <s v="A"/>
    <s v="Outlier"/>
    <x v="1"/>
  </r>
  <r>
    <n v="385"/>
    <s v="Australia"/>
    <s v="F"/>
    <n v="54"/>
    <s v="A"/>
    <s v="Outlier"/>
    <x v="1"/>
  </r>
  <r>
    <n v="386"/>
    <s v="India"/>
    <s v="F"/>
    <n v="75"/>
    <s v="A"/>
    <s v="Outlier"/>
    <x v="1"/>
  </r>
  <r>
    <n v="387"/>
    <s v="Australia"/>
    <s v="F"/>
    <n v="41"/>
    <s v="A"/>
    <s v="Outlier"/>
    <x v="1"/>
  </r>
  <r>
    <n v="388"/>
    <s v="Norway"/>
    <s v="M"/>
    <n v="68"/>
    <s v="A"/>
    <s v="Outlier"/>
    <x v="1"/>
  </r>
  <r>
    <n v="389"/>
    <s v="Australia"/>
    <s v="F"/>
    <n v="22"/>
    <s v="A"/>
    <s v="Outlier"/>
    <x v="2"/>
  </r>
  <r>
    <n v="390"/>
    <s v="India"/>
    <s v="M"/>
    <n v="89"/>
    <s v="A"/>
    <s v="Outlier"/>
    <x v="1"/>
  </r>
  <r>
    <n v="391"/>
    <s v="France"/>
    <s v="F"/>
    <n v="86"/>
    <s v="A"/>
    <s v="Outlier"/>
    <x v="1"/>
  </r>
  <r>
    <n v="392"/>
    <s v="India"/>
    <s v="M"/>
    <n v="79"/>
    <s v="A"/>
    <s v="Outlier"/>
    <x v="1"/>
  </r>
  <r>
    <n v="393"/>
    <s v="India"/>
    <s v="F"/>
    <n v="19"/>
    <s v="A"/>
    <s v="Outlier"/>
    <x v="3"/>
  </r>
  <r>
    <n v="394"/>
    <s v="India"/>
    <s v="F"/>
    <n v="65"/>
    <s v="A"/>
    <s v="Outlier"/>
    <x v="1"/>
  </r>
  <r>
    <n v="395"/>
    <s v="India"/>
    <s v="F"/>
    <n v="22"/>
    <s v="A"/>
    <s v="Outlier"/>
    <x v="2"/>
  </r>
  <r>
    <n v="396"/>
    <s v="Spain"/>
    <s v="F"/>
    <n v="53"/>
    <s v="A"/>
    <s v="Outlier"/>
    <x v="1"/>
  </r>
  <r>
    <n v="397"/>
    <s v="Spain"/>
    <s v="F"/>
    <n v="30"/>
    <s v="A"/>
    <s v="Outlier"/>
    <x v="2"/>
  </r>
  <r>
    <n v="398"/>
    <s v="France"/>
    <s v="M"/>
    <n v="50"/>
    <s v="A"/>
    <s v="Outlier"/>
    <x v="1"/>
  </r>
  <r>
    <n v="399"/>
    <s v="India"/>
    <s v="F"/>
    <n v="83"/>
    <s v="A"/>
    <s v="Outlier"/>
    <x v="1"/>
  </r>
  <r>
    <n v="400"/>
    <s v="Australia"/>
    <s v="M"/>
    <n v="80"/>
    <s v="A"/>
    <s v="Outlier"/>
    <x v="1"/>
  </r>
  <r>
    <n v="401"/>
    <s v="India"/>
    <s v="M"/>
    <n v="36"/>
    <s v="A"/>
    <s v="Outlier"/>
    <x v="0"/>
  </r>
  <r>
    <n v="402"/>
    <s v="India"/>
    <s v="M"/>
    <n v="27"/>
    <s v="A"/>
    <s v="Outlier"/>
    <x v="2"/>
  </r>
  <r>
    <n v="403"/>
    <s v="Finland"/>
    <s v="M"/>
    <n v="61"/>
    <s v="A"/>
    <s v="Outlier"/>
    <x v="1"/>
  </r>
  <r>
    <n v="404"/>
    <s v="Germany"/>
    <s v="F"/>
    <n v="26"/>
    <s v="A"/>
    <s v="Outlier"/>
    <x v="2"/>
  </r>
  <r>
    <n v="405"/>
    <s v="India"/>
    <s v="F"/>
    <n v="83"/>
    <s v="A"/>
    <s v="Outlier"/>
    <x v="1"/>
  </r>
  <r>
    <n v="406"/>
    <s v="India"/>
    <s v="F"/>
    <n v="34"/>
    <s v="A"/>
    <s v="Outlier"/>
    <x v="0"/>
  </r>
  <r>
    <n v="407"/>
    <s v="France"/>
    <s v="F"/>
    <n v="90"/>
    <s v="A"/>
    <s v="Outlier"/>
    <x v="1"/>
  </r>
  <r>
    <n v="408"/>
    <s v="France"/>
    <s v="M"/>
    <n v="38"/>
    <s v="A"/>
    <s v="Outlier"/>
    <x v="0"/>
  </r>
  <r>
    <n v="409"/>
    <s v="Spain"/>
    <s v="M"/>
    <n v="64"/>
    <s v="A"/>
    <s v="Outlier"/>
    <x v="1"/>
  </r>
  <r>
    <n v="410"/>
    <s v="India"/>
    <s v="F"/>
    <n v="39"/>
    <s v="A"/>
    <s v="Outlier"/>
    <x v="0"/>
  </r>
  <r>
    <n v="411"/>
    <s v="Singapore"/>
    <s v="M"/>
    <n v="31"/>
    <s v="A"/>
    <s v="Outlier"/>
    <x v="0"/>
  </r>
  <r>
    <n v="412"/>
    <s v="India"/>
    <s v="F"/>
    <n v="41"/>
    <s v="A"/>
    <s v="Outlier"/>
    <x v="1"/>
  </r>
  <r>
    <n v="413"/>
    <s v="Spain"/>
    <s v="M"/>
    <n v="47"/>
    <s v="A"/>
    <s v="Outlier"/>
    <x v="1"/>
  </r>
  <r>
    <n v="414"/>
    <s v="India"/>
    <s v="M"/>
    <n v="86"/>
    <s v="A"/>
    <s v="Outlier"/>
    <x v="1"/>
  </r>
  <r>
    <n v="415"/>
    <s v="India"/>
    <s v="M"/>
    <n v="60"/>
    <s v="A"/>
    <s v="Outlier"/>
    <x v="1"/>
  </r>
  <r>
    <n v="416"/>
    <s v="India"/>
    <s v="F"/>
    <n v="64"/>
    <s v="A"/>
    <s v="Outlier"/>
    <x v="1"/>
  </r>
  <r>
    <n v="417"/>
    <s v="France"/>
    <s v="M"/>
    <n v="53"/>
    <s v="A"/>
    <s v="Outlier"/>
    <x v="1"/>
  </r>
  <r>
    <n v="418"/>
    <s v="Singapore"/>
    <s v="F"/>
    <n v="22"/>
    <s v="A"/>
    <s v="Outlier"/>
    <x v="2"/>
  </r>
  <r>
    <n v="419"/>
    <s v="France"/>
    <s v="M"/>
    <n v="66"/>
    <s v="A"/>
    <s v="Outlier"/>
    <x v="1"/>
  </r>
  <r>
    <n v="420"/>
    <s v="Spain"/>
    <s v="F"/>
    <n v="72"/>
    <s v="A"/>
    <s v="Outlier"/>
    <x v="1"/>
  </r>
  <r>
    <n v="421"/>
    <s v="Italy"/>
    <s v="M"/>
    <n v="90"/>
    <s v="A"/>
    <s v="Outlier"/>
    <x v="1"/>
  </r>
  <r>
    <n v="422"/>
    <s v="India"/>
    <s v="F"/>
    <n v="64"/>
    <s v="A"/>
    <s v="Outlier"/>
    <x v="1"/>
  </r>
  <r>
    <n v="423"/>
    <s v="Singapore"/>
    <s v="F"/>
    <n v="27"/>
    <s v="A"/>
    <s v="Outlier"/>
    <x v="2"/>
  </r>
  <r>
    <n v="424"/>
    <s v="Spain"/>
    <s v="M"/>
    <n v="66"/>
    <s v="A"/>
    <s v="Outlier"/>
    <x v="1"/>
  </r>
  <r>
    <n v="425"/>
    <s v="India"/>
    <s v="M"/>
    <n v="51"/>
    <s v="A"/>
    <s v="Outlier"/>
    <x v="1"/>
  </r>
  <r>
    <n v="426"/>
    <s v="Singapore"/>
    <s v="F"/>
    <n v="78"/>
    <s v="A"/>
    <s v="Outlier"/>
    <x v="1"/>
  </r>
  <r>
    <n v="427"/>
    <s v="India"/>
    <s v="M"/>
    <n v="59"/>
    <s v="A"/>
    <s v="Outlier"/>
    <x v="1"/>
  </r>
  <r>
    <n v="428"/>
    <s v="Australia"/>
    <s v="F"/>
    <n v="87"/>
    <s v="A"/>
    <s v="Outlier"/>
    <x v="1"/>
  </r>
  <r>
    <n v="429"/>
    <s v="Germany"/>
    <s v="F"/>
    <n v="58"/>
    <s v="A"/>
    <s v="Outlier"/>
    <x v="1"/>
  </r>
  <r>
    <n v="430"/>
    <s v="India"/>
    <s v="M"/>
    <n v="82"/>
    <s v="A"/>
    <s v="Outlier"/>
    <x v="1"/>
  </r>
  <r>
    <n v="431"/>
    <s v="India"/>
    <s v="F"/>
    <n v="34"/>
    <s v="A"/>
    <s v="Outlier"/>
    <x v="0"/>
  </r>
  <r>
    <n v="432"/>
    <s v="Spain"/>
    <s v="F"/>
    <n v="32"/>
    <s v="A"/>
    <s v="Outlier"/>
    <x v="0"/>
  </r>
  <r>
    <n v="433"/>
    <s v="India"/>
    <s v="M"/>
    <n v="55"/>
    <s v="A"/>
    <s v="Outlier"/>
    <x v="1"/>
  </r>
  <r>
    <n v="434"/>
    <s v="Norway"/>
    <s v="M"/>
    <n v="21"/>
    <s v="A"/>
    <s v="Outlier"/>
    <x v="2"/>
  </r>
  <r>
    <n v="435"/>
    <s v="India"/>
    <s v="F"/>
    <n v="89"/>
    <s v="A"/>
    <s v="Outlier"/>
    <x v="1"/>
  </r>
  <r>
    <n v="436"/>
    <s v="Spain"/>
    <s v="M"/>
    <n v="81"/>
    <s v="A"/>
    <s v="Outlier"/>
    <x v="1"/>
  </r>
  <r>
    <n v="437"/>
    <s v="USA"/>
    <s v="F"/>
    <n v="22"/>
    <s v="A"/>
    <s v="Outlier"/>
    <x v="2"/>
  </r>
  <r>
    <n v="438"/>
    <s v="USA"/>
    <s v="M"/>
    <n v="25"/>
    <s v="A"/>
    <s v="Outlier"/>
    <x v="2"/>
  </r>
  <r>
    <n v="439"/>
    <s v="Spain"/>
    <s v="M"/>
    <n v="74"/>
    <s v="A"/>
    <s v="Outlier"/>
    <x v="1"/>
  </r>
  <r>
    <n v="440"/>
    <s v="Germany"/>
    <s v="M"/>
    <n v="83"/>
    <s v="A"/>
    <s v="Outlier"/>
    <x v="1"/>
  </r>
  <r>
    <n v="441"/>
    <s v="USA"/>
    <s v="M"/>
    <n v="77"/>
    <s v="A"/>
    <s v="Outlier"/>
    <x v="1"/>
  </r>
  <r>
    <n v="442"/>
    <s v="USA"/>
    <s v="M"/>
    <n v="62"/>
    <s v="A"/>
    <s v="Outlier"/>
    <x v="1"/>
  </r>
  <r>
    <n v="443"/>
    <s v="USA"/>
    <s v="F"/>
    <n v="18"/>
    <s v="A"/>
    <s v="Outlier"/>
    <x v="3"/>
  </r>
  <r>
    <n v="444"/>
    <s v="Spain"/>
    <s v="F"/>
    <n v="23"/>
    <s v="A"/>
    <s v="Outlier"/>
    <x v="2"/>
  </r>
  <r>
    <n v="445"/>
    <s v="USA"/>
    <s v="F"/>
    <n v="47"/>
    <s v="A"/>
    <s v="Outlier"/>
    <x v="1"/>
  </r>
  <r>
    <n v="446"/>
    <s v="USA"/>
    <s v="M"/>
    <n v="67"/>
    <s v="A"/>
    <s v="Outlier"/>
    <x v="1"/>
  </r>
  <r>
    <n v="447"/>
    <s v="USA"/>
    <s v="F"/>
    <n v="77"/>
    <s v="A"/>
    <s v="Outlier"/>
    <x v="1"/>
  </r>
  <r>
    <n v="448"/>
    <s v="Australia"/>
    <s v="M"/>
    <n v="64"/>
    <s v="A"/>
    <s v="Outlier"/>
    <x v="1"/>
  </r>
  <r>
    <n v="449"/>
    <s v="USA"/>
    <s v="M"/>
    <n v="53"/>
    <s v="A"/>
    <s v="Outlier"/>
    <x v="1"/>
  </r>
  <r>
    <n v="450"/>
    <s v="Italy"/>
    <s v="F"/>
    <n v="53"/>
    <s v="A"/>
    <s v="Outlier"/>
    <x v="1"/>
  </r>
  <r>
    <n v="451"/>
    <s v="Norway"/>
    <s v="M"/>
    <n v="74"/>
    <s v="A"/>
    <s v="Outlier"/>
    <x v="1"/>
  </r>
  <r>
    <n v="452"/>
    <s v="Spain"/>
    <s v="M"/>
    <n v="75"/>
    <s v="A"/>
    <s v="Outlier"/>
    <x v="1"/>
  </r>
  <r>
    <n v="453"/>
    <s v="France"/>
    <s v="M"/>
    <n v="52"/>
    <s v="A"/>
    <s v="Outlier"/>
    <x v="1"/>
  </r>
  <r>
    <n v="454"/>
    <s v="USA"/>
    <s v="F"/>
    <n v="37"/>
    <s v="A"/>
    <s v="Outlier"/>
    <x v="0"/>
  </r>
  <r>
    <n v="455"/>
    <s v="Germany"/>
    <s v="F"/>
    <n v="52"/>
    <s v="A"/>
    <s v="Outlier"/>
    <x v="1"/>
  </r>
  <r>
    <n v="456"/>
    <s v="Australia"/>
    <s v="M"/>
    <n v="75"/>
    <s v="A"/>
    <s v="Outlier"/>
    <x v="1"/>
  </r>
  <r>
    <n v="457"/>
    <s v="Denmark"/>
    <s v="F"/>
    <n v="54"/>
    <s v="A"/>
    <s v="Outlier"/>
    <x v="1"/>
  </r>
  <r>
    <n v="458"/>
    <s v="Finland"/>
    <s v="M"/>
    <n v="60"/>
    <s v="A"/>
    <s v="Outlier"/>
    <x v="1"/>
  </r>
  <r>
    <n v="459"/>
    <s v="Italy"/>
    <s v="F"/>
    <n v="30"/>
    <s v="A"/>
    <s v="Outlier"/>
    <x v="2"/>
  </r>
  <r>
    <n v="460"/>
    <s v="Australia"/>
    <s v="F"/>
    <n v="58"/>
    <s v="A"/>
    <s v="Outlier"/>
    <x v="1"/>
  </r>
  <r>
    <n v="461"/>
    <s v="Australia"/>
    <s v="M"/>
    <n v="77"/>
    <s v="A"/>
    <s v="Outlier"/>
    <x v="1"/>
  </r>
  <r>
    <n v="462"/>
    <s v="USA"/>
    <s v="F"/>
    <n v="80"/>
    <s v="A"/>
    <s v="Outlier"/>
    <x v="1"/>
  </r>
  <r>
    <n v="463"/>
    <s v="Germany"/>
    <s v="M"/>
    <n v="55"/>
    <s v="A"/>
    <s v="Outlier"/>
    <x v="1"/>
  </r>
  <r>
    <n v="464"/>
    <s v="Italy"/>
    <s v="F"/>
    <n v="26"/>
    <s v="A"/>
    <s v="Outlier"/>
    <x v="2"/>
  </r>
  <r>
    <n v="465"/>
    <s v="USA"/>
    <s v="M"/>
    <n v="49"/>
    <s v="A"/>
    <s v="Outlier"/>
    <x v="1"/>
  </r>
  <r>
    <n v="466"/>
    <s v="Italy"/>
    <s v="F"/>
    <n v="32"/>
    <s v="A"/>
    <s v="Outlier"/>
    <x v="0"/>
  </r>
  <r>
    <n v="467"/>
    <s v="France"/>
    <s v="M"/>
    <n v="62"/>
    <s v="A"/>
    <s v="Outlier"/>
    <x v="1"/>
  </r>
  <r>
    <n v="468"/>
    <s v="Norway"/>
    <s v="M"/>
    <n v="64"/>
    <s v="A"/>
    <s v="Outlier"/>
    <x v="1"/>
  </r>
  <r>
    <n v="469"/>
    <s v="France"/>
    <s v="F"/>
    <n v="90"/>
    <s v="A"/>
    <s v="Outlier"/>
    <x v="1"/>
  </r>
  <r>
    <n v="470"/>
    <s v="USA"/>
    <s v="F"/>
    <n v="32"/>
    <s v="A"/>
    <s v="Outlier"/>
    <x v="0"/>
  </r>
  <r>
    <n v="471"/>
    <s v="Finland"/>
    <s v="F"/>
    <n v="79"/>
    <s v="A"/>
    <s v="Outlier"/>
    <x v="1"/>
  </r>
  <r>
    <n v="472"/>
    <s v="France"/>
    <s v="M"/>
    <n v="45"/>
    <s v="A"/>
    <s v="Outlier"/>
    <x v="1"/>
  </r>
  <r>
    <n v="473"/>
    <s v="Ireland"/>
    <s v="F"/>
    <n v="19"/>
    <s v="A"/>
    <s v="Outlier"/>
    <x v="3"/>
  </r>
  <r>
    <n v="474"/>
    <s v="Finland"/>
    <s v="M"/>
    <n v="74"/>
    <s v="A"/>
    <s v="Outlier"/>
    <x v="1"/>
  </r>
  <r>
    <n v="475"/>
    <s v="USA"/>
    <s v="F"/>
    <n v="51"/>
    <s v="A"/>
    <s v="Outlier"/>
    <x v="1"/>
  </r>
  <r>
    <n v="476"/>
    <s v="USA"/>
    <s v="F"/>
    <n v="80"/>
    <s v="A"/>
    <s v="Outlier"/>
    <x v="1"/>
  </r>
  <r>
    <n v="477"/>
    <s v="Australia"/>
    <s v="M"/>
    <n v="31"/>
    <s v="A"/>
    <s v="Outlier"/>
    <x v="0"/>
  </r>
  <r>
    <n v="478"/>
    <s v="Spain"/>
    <s v="F"/>
    <n v="38"/>
    <s v="A"/>
    <s v="Outlier"/>
    <x v="0"/>
  </r>
  <r>
    <n v="479"/>
    <s v="Finland"/>
    <s v="M"/>
    <n v="81"/>
    <s v="A"/>
    <s v="Outlier"/>
    <x v="1"/>
  </r>
  <r>
    <n v="480"/>
    <s v="Finland"/>
    <s v="M"/>
    <n v="46"/>
    <s v="A"/>
    <s v="Outlier"/>
    <x v="1"/>
  </r>
  <r>
    <n v="481"/>
    <s v="Australia"/>
    <s v="F"/>
    <n v="49"/>
    <s v="A"/>
    <s v="Outlier"/>
    <x v="1"/>
  </r>
  <r>
    <n v="482"/>
    <s v="France"/>
    <s v="M"/>
    <n v="82"/>
    <s v="A"/>
    <s v="Outlier"/>
    <x v="1"/>
  </r>
  <r>
    <n v="483"/>
    <s v="France"/>
    <s v="F"/>
    <n v="27"/>
    <s v="A"/>
    <s v="Outlier"/>
    <x v="2"/>
  </r>
  <r>
    <n v="484"/>
    <s v="USA"/>
    <s v="F"/>
    <n v="70"/>
    <s v="A"/>
    <s v="Outlier"/>
    <x v="1"/>
  </r>
  <r>
    <n v="485"/>
    <s v="France"/>
    <s v="M"/>
    <n v="19"/>
    <s v="A"/>
    <s v="Outlier"/>
    <x v="3"/>
  </r>
  <r>
    <n v="486"/>
    <s v="Austria"/>
    <s v="F"/>
    <n v="66"/>
    <s v="A"/>
    <s v="Outlier"/>
    <x v="1"/>
  </r>
  <r>
    <n v="487"/>
    <s v="Australia"/>
    <s v="F"/>
    <n v="81"/>
    <s v="A"/>
    <s v="Outlier"/>
    <x v="1"/>
  </r>
  <r>
    <n v="488"/>
    <s v="USA"/>
    <s v="F"/>
    <n v="19"/>
    <s v="A"/>
    <s v="Outlier"/>
    <x v="3"/>
  </r>
  <r>
    <n v="489"/>
    <s v="USA"/>
    <s v="F"/>
    <n v="76"/>
    <s v="A"/>
    <s v="Outlier"/>
    <x v="1"/>
  </r>
  <r>
    <n v="490"/>
    <s v="Spain"/>
    <s v="M"/>
    <n v="37"/>
    <s v="A"/>
    <s v="Outlier"/>
    <x v="0"/>
  </r>
  <r>
    <n v="491"/>
    <s v="Australia"/>
    <s v="M"/>
    <n v="59"/>
    <s v="A"/>
    <s v="Outlier"/>
    <x v="1"/>
  </r>
  <r>
    <n v="492"/>
    <s v="Spain"/>
    <s v="F"/>
    <n v="32"/>
    <s v="A"/>
    <s v="Outlier"/>
    <x v="0"/>
  </r>
  <r>
    <n v="493"/>
    <s v="USA"/>
    <s v="F"/>
    <n v="82"/>
    <s v="A"/>
    <s v="Outlier"/>
    <x v="1"/>
  </r>
  <r>
    <n v="494"/>
    <s v="France"/>
    <s v="M"/>
    <n v="19"/>
    <s v="A"/>
    <s v="Outlier"/>
    <x v="3"/>
  </r>
  <r>
    <n v="495"/>
    <s v="USA"/>
    <s v="F"/>
    <n v="52"/>
    <s v="A"/>
    <s v="Outlier"/>
    <x v="1"/>
  </r>
  <r>
    <n v="496"/>
    <s v="Australia"/>
    <s v="F"/>
    <n v="24"/>
    <s v="A"/>
    <s v="Outlier"/>
    <x v="2"/>
  </r>
  <r>
    <n v="497"/>
    <s v="USA"/>
    <s v="M"/>
    <n v="88"/>
    <s v="A"/>
    <s v="Outlier"/>
    <x v="1"/>
  </r>
  <r>
    <n v="498"/>
    <s v="Germany"/>
    <s v="F"/>
    <n v="32"/>
    <s v="A"/>
    <s v="Outlier"/>
    <x v="0"/>
  </r>
  <r>
    <n v="499"/>
    <s v="Australia"/>
    <s v="M"/>
    <n v="89"/>
    <s v="A"/>
    <s v="Outlier"/>
    <x v="1"/>
  </r>
  <r>
    <n v="500"/>
    <s v="USA"/>
    <s v="F"/>
    <n v="77"/>
    <s v="A"/>
    <s v="Outlier"/>
    <x v="1"/>
  </r>
  <r>
    <n v="501"/>
    <s v="Spain"/>
    <s v="F"/>
    <n v="45"/>
    <s v="B"/>
    <s v="Outlier"/>
    <x v="1"/>
  </r>
  <r>
    <n v="502"/>
    <s v="Spain"/>
    <s v="M"/>
    <n v="72"/>
    <s v="B"/>
    <s v="Outlier"/>
    <x v="1"/>
  </r>
  <r>
    <n v="503"/>
    <s v="USA"/>
    <s v="F"/>
    <n v="58"/>
    <s v="B"/>
    <s v="Outlier"/>
    <x v="1"/>
  </r>
  <r>
    <n v="504"/>
    <s v="Finland"/>
    <s v="M"/>
    <n v="48"/>
    <s v="B"/>
    <s v="Outlier"/>
    <x v="1"/>
  </r>
  <r>
    <n v="505"/>
    <s v="Spain"/>
    <s v="F"/>
    <n v="63"/>
    <s v="B"/>
    <s v="Outlier"/>
    <x v="1"/>
  </r>
  <r>
    <n v="506"/>
    <s v="USA"/>
    <s v="M"/>
    <n v="45"/>
    <s v="B"/>
    <s v="Outlier"/>
    <x v="1"/>
  </r>
  <r>
    <n v="507"/>
    <s v="USA"/>
    <s v="M"/>
    <n v="35"/>
    <s v="B"/>
    <s v="Outlier"/>
    <x v="0"/>
  </r>
  <r>
    <n v="508"/>
    <s v="Switzerland"/>
    <s v="F"/>
    <n v="65"/>
    <s v="B"/>
    <s v="Outlier"/>
    <x v="1"/>
  </r>
  <r>
    <n v="509"/>
    <s v="France"/>
    <s v="M"/>
    <n v="24"/>
    <s v="B"/>
    <s v="Outlier"/>
    <x v="2"/>
  </r>
  <r>
    <n v="510"/>
    <s v="USA"/>
    <s v="F"/>
    <n v="39"/>
    <s v="B"/>
    <s v="Outlier"/>
    <x v="0"/>
  </r>
  <r>
    <n v="511"/>
    <s v="USA"/>
    <s v="M"/>
    <n v="60"/>
    <s v="B"/>
    <s v="Outlier"/>
    <x v="1"/>
  </r>
  <r>
    <n v="512"/>
    <s v="Spain"/>
    <s v="F"/>
    <n v="74"/>
    <s v="B"/>
    <s v="Outlier"/>
    <x v="1"/>
  </r>
  <r>
    <n v="513"/>
    <s v="USA"/>
    <s v="F"/>
    <n v="29"/>
    <s v="B"/>
    <s v="Outlier"/>
    <x v="2"/>
  </r>
  <r>
    <n v="514"/>
    <s v="USA"/>
    <s v="F"/>
    <n v="89"/>
    <s v="B"/>
    <s v="Outlier"/>
    <x v="1"/>
  </r>
  <r>
    <n v="515"/>
    <s v="Spain"/>
    <s v="F"/>
    <n v="37"/>
    <s v="B"/>
    <s v="Outlier"/>
    <x v="0"/>
  </r>
  <r>
    <n v="516"/>
    <s v="France"/>
    <s v="M"/>
    <n v="51"/>
    <s v="B"/>
    <s v="Outlier"/>
    <x v="1"/>
  </r>
  <r>
    <n v="517"/>
    <s v="Australia"/>
    <s v="F"/>
    <n v="77"/>
    <s v="B"/>
    <s v="Outlier"/>
    <x v="1"/>
  </r>
  <r>
    <n v="518"/>
    <s v="Spain"/>
    <s v="M"/>
    <n v="53"/>
    <s v="B"/>
    <s v="Outlier"/>
    <x v="1"/>
  </r>
  <r>
    <n v="519"/>
    <s v="France"/>
    <s v="M"/>
    <n v="70"/>
    <s v="B"/>
    <s v="Outlier"/>
    <x v="1"/>
  </r>
  <r>
    <n v="520"/>
    <s v="Spain"/>
    <s v="M"/>
    <n v="81"/>
    <s v="B"/>
    <s v="Outlier"/>
    <x v="1"/>
  </r>
  <r>
    <n v="521"/>
    <s v="India"/>
    <s v="M"/>
    <n v="66"/>
    <s v="B"/>
    <s v="Outlier"/>
    <x v="1"/>
  </r>
  <r>
    <n v="522"/>
    <s v="USA"/>
    <s v="F"/>
    <n v="77"/>
    <s v="B"/>
    <s v="Outlier"/>
    <x v="1"/>
  </r>
  <r>
    <n v="523"/>
    <s v="USA"/>
    <s v="M"/>
    <n v="26"/>
    <s v="B"/>
    <s v="Outlier"/>
    <x v="2"/>
  </r>
  <r>
    <n v="524"/>
    <s v="Switzerland"/>
    <s v="F"/>
    <n v="63"/>
    <s v="B"/>
    <s v="Outlier"/>
    <x v="1"/>
  </r>
  <r>
    <n v="525"/>
    <s v="India"/>
    <s v="F"/>
    <n v="20"/>
    <s v="B"/>
    <s v="Outlier"/>
    <x v="2"/>
  </r>
  <r>
    <n v="526"/>
    <s v="USA"/>
    <s v="M"/>
    <n v="49"/>
    <s v="B"/>
    <s v="Outlier"/>
    <x v="1"/>
  </r>
  <r>
    <n v="527"/>
    <s v="USA"/>
    <s v="F"/>
    <n v="19"/>
    <s v="B"/>
    <s v="Outlier"/>
    <x v="3"/>
  </r>
  <r>
    <n v="528"/>
    <s v="USA"/>
    <s v="M"/>
    <n v="36"/>
    <s v="B"/>
    <s v="Outlier"/>
    <x v="0"/>
  </r>
  <r>
    <n v="529"/>
    <s v="India"/>
    <s v="M"/>
    <n v="44"/>
    <s v="B"/>
    <s v="Outlier"/>
    <x v="1"/>
  </r>
  <r>
    <n v="530"/>
    <s v="Australia"/>
    <s v="F"/>
    <n v="23"/>
    <s v="B"/>
    <s v="Outlier"/>
    <x v="2"/>
  </r>
  <r>
    <n v="531"/>
    <s v="USA"/>
    <s v="F"/>
    <n v="43"/>
    <s v="B"/>
    <s v="Outlier"/>
    <x v="1"/>
  </r>
  <r>
    <n v="532"/>
    <s v="USA"/>
    <s v="F"/>
    <n v="84"/>
    <s v="B"/>
    <s v="Outlier"/>
    <x v="1"/>
  </r>
  <r>
    <n v="533"/>
    <s v="USA"/>
    <s v="F"/>
    <n v="55"/>
    <s v="B"/>
    <s v="Outlier"/>
    <x v="1"/>
  </r>
  <r>
    <n v="534"/>
    <s v="India"/>
    <s v="M"/>
    <n v="90"/>
    <s v="B"/>
    <s v="Outlier"/>
    <x v="1"/>
  </r>
  <r>
    <n v="535"/>
    <s v="Austria"/>
    <s v="M"/>
    <n v="45"/>
    <s v="B"/>
    <s v="Outlier"/>
    <x v="1"/>
  </r>
  <r>
    <n v="536"/>
    <s v="Germany"/>
    <s v="F"/>
    <n v="69"/>
    <s v="B"/>
    <s v="Outlier"/>
    <x v="1"/>
  </r>
  <r>
    <n v="537"/>
    <s v="Australia"/>
    <s v="F"/>
    <n v="58"/>
    <s v="B"/>
    <s v="Outlier"/>
    <x v="1"/>
  </r>
  <r>
    <n v="538"/>
    <s v="India"/>
    <s v="M"/>
    <n v="32"/>
    <s v="B"/>
    <s v="Outlier"/>
    <x v="0"/>
  </r>
  <r>
    <n v="539"/>
    <s v="India"/>
    <s v="F"/>
    <n v="24"/>
    <s v="B"/>
    <s v="Outlier"/>
    <x v="2"/>
  </r>
  <r>
    <n v="540"/>
    <s v="Australia"/>
    <s v="M"/>
    <n v="27"/>
    <s v="B"/>
    <s v="Outlier"/>
    <x v="2"/>
  </r>
  <r>
    <n v="541"/>
    <s v="USA"/>
    <s v="M"/>
    <n v="85"/>
    <s v="B"/>
    <s v="Outlier"/>
    <x v="1"/>
  </r>
  <r>
    <n v="542"/>
    <s v="Australia"/>
    <s v="F"/>
    <n v="33"/>
    <s v="B"/>
    <s v="Outlier"/>
    <x v="0"/>
  </r>
  <r>
    <n v="543"/>
    <s v="France"/>
    <s v="F"/>
    <n v="80"/>
    <s v="B"/>
    <s v="Outlier"/>
    <x v="1"/>
  </r>
  <r>
    <n v="544"/>
    <s v="Singapore"/>
    <s v="M"/>
    <n v="39"/>
    <s v="B"/>
    <s v="Outlier"/>
    <x v="0"/>
  </r>
  <r>
    <n v="545"/>
    <s v="USA"/>
    <s v="M"/>
    <n v="76"/>
    <s v="B"/>
    <s v="Outlier"/>
    <x v="1"/>
  </r>
  <r>
    <n v="546"/>
    <s v="USA"/>
    <s v="M"/>
    <n v="57"/>
    <s v="B"/>
    <s v="Outlier"/>
    <x v="1"/>
  </r>
  <r>
    <n v="547"/>
    <s v="USA"/>
    <s v="F"/>
    <n v="69"/>
    <s v="B"/>
    <s v="Outlier"/>
    <x v="1"/>
  </r>
  <r>
    <n v="548"/>
    <s v="USA"/>
    <s v="M"/>
    <n v="48"/>
    <s v="B"/>
    <s v="Outlier"/>
    <x v="1"/>
  </r>
  <r>
    <n v="549"/>
    <s v="USA"/>
    <s v="M"/>
    <n v="70"/>
    <s v="B"/>
    <s v="Outlier"/>
    <x v="1"/>
  </r>
  <r>
    <n v="550"/>
    <s v="USA"/>
    <s v="M"/>
    <n v="31"/>
    <s v="B"/>
    <s v="Outlier"/>
    <x v="0"/>
  </r>
  <r>
    <n v="551"/>
    <s v="Switzerland"/>
    <s v="M"/>
    <n v="20"/>
    <s v="B"/>
    <s v="Outlier"/>
    <x v="2"/>
  </r>
  <r>
    <n v="552"/>
    <s v="India"/>
    <s v="F"/>
    <n v="67"/>
    <s v="B"/>
    <s v="Outlier"/>
    <x v="1"/>
  </r>
  <r>
    <n v="553"/>
    <s v="Australia"/>
    <s v="M"/>
    <n v="34"/>
    <s v="B"/>
    <s v="Outlier"/>
    <x v="0"/>
  </r>
  <r>
    <n v="554"/>
    <s v="India"/>
    <s v="F"/>
    <n v="29"/>
    <s v="B"/>
    <s v="Outlier"/>
    <x v="2"/>
  </r>
  <r>
    <n v="555"/>
    <s v="USA"/>
    <s v="F"/>
    <n v="90"/>
    <s v="B"/>
    <s v="Outlier"/>
    <x v="1"/>
  </r>
  <r>
    <n v="556"/>
    <s v="France"/>
    <s v="F"/>
    <n v="72"/>
    <s v="B"/>
    <s v="Outlier"/>
    <x v="1"/>
  </r>
  <r>
    <n v="557"/>
    <s v="Germany"/>
    <s v="M"/>
    <n v="84"/>
    <s v="B"/>
    <s v="Outlier"/>
    <x v="1"/>
  </r>
  <r>
    <n v="558"/>
    <s v="India"/>
    <s v="F"/>
    <n v="72"/>
    <s v="B"/>
    <s v="Outlier"/>
    <x v="1"/>
  </r>
  <r>
    <n v="559"/>
    <s v="Denmark"/>
    <s v="F"/>
    <n v="70"/>
    <s v="B"/>
    <s v="Outlier"/>
    <x v="1"/>
  </r>
  <r>
    <n v="560"/>
    <s v="Denmark"/>
    <s v="F"/>
    <n v="81"/>
    <s v="B"/>
    <s v="Outlier"/>
    <x v="1"/>
  </r>
  <r>
    <n v="561"/>
    <s v="Finland"/>
    <s v="F"/>
    <n v="33"/>
    <s v="B"/>
    <s v="Outlier"/>
    <x v="0"/>
  </r>
  <r>
    <n v="562"/>
    <s v="Singapore"/>
    <s v="F"/>
    <n v="75"/>
    <s v="B"/>
    <s v="Outlier"/>
    <x v="1"/>
  </r>
  <r>
    <n v="563"/>
    <s v="France"/>
    <s v="F"/>
    <n v="80"/>
    <s v="B"/>
    <s v="Outlier"/>
    <x v="1"/>
  </r>
  <r>
    <n v="564"/>
    <s v="USA"/>
    <s v="F"/>
    <n v="83"/>
    <s v="B"/>
    <s v="Outlier"/>
    <x v="1"/>
  </r>
  <r>
    <n v="565"/>
    <s v="France"/>
    <s v="M"/>
    <n v="62"/>
    <s v="B"/>
    <s v="Outlier"/>
    <x v="1"/>
  </r>
  <r>
    <n v="566"/>
    <s v="USA"/>
    <s v="M"/>
    <n v="74"/>
    <s v="B"/>
    <s v="Outlier"/>
    <x v="1"/>
  </r>
  <r>
    <n v="567"/>
    <s v="Australia"/>
    <s v="M"/>
    <n v="37"/>
    <s v="B"/>
    <s v="Outlier"/>
    <x v="0"/>
  </r>
  <r>
    <n v="568"/>
    <s v="France"/>
    <s v="F"/>
    <n v="82"/>
    <s v="B"/>
    <s v="Outlier"/>
    <x v="1"/>
  </r>
  <r>
    <n v="569"/>
    <s v="USA"/>
    <s v="M"/>
    <n v="62"/>
    <s v="B"/>
    <s v="Outlier"/>
    <x v="1"/>
  </r>
  <r>
    <n v="570"/>
    <s v="India"/>
    <s v="F"/>
    <n v="66"/>
    <s v="B"/>
    <s v="Outlier"/>
    <x v="1"/>
  </r>
  <r>
    <n v="571"/>
    <s v="Finland"/>
    <s v="F"/>
    <n v="88"/>
    <s v="B"/>
    <s v="Outlier"/>
    <x v="1"/>
  </r>
  <r>
    <n v="572"/>
    <s v="France"/>
    <s v="F"/>
    <n v="79"/>
    <s v="B"/>
    <s v="Outlier"/>
    <x v="1"/>
  </r>
  <r>
    <n v="573"/>
    <s v="France"/>
    <s v="F"/>
    <n v="69"/>
    <s v="B"/>
    <s v="Outlier"/>
    <x v="1"/>
  </r>
  <r>
    <n v="574"/>
    <s v="USA"/>
    <s v="F"/>
    <n v="41"/>
    <s v="B"/>
    <s v="Outlier"/>
    <x v="1"/>
  </r>
  <r>
    <n v="575"/>
    <s v="India"/>
    <s v="F"/>
    <n v="85"/>
    <s v="B"/>
    <s v="Outlier"/>
    <x v="1"/>
  </r>
  <r>
    <n v="576"/>
    <s v="USA"/>
    <s v="M"/>
    <n v="47"/>
    <s v="B"/>
    <s v="Outlier"/>
    <x v="1"/>
  </r>
  <r>
    <n v="577"/>
    <s v="France"/>
    <s v="F"/>
    <n v="74"/>
    <s v="B"/>
    <s v="Outlier"/>
    <x v="1"/>
  </r>
  <r>
    <n v="578"/>
    <s v="Australia"/>
    <s v="F"/>
    <n v="29"/>
    <s v="B"/>
    <s v="Outlier"/>
    <x v="2"/>
  </r>
  <r>
    <n v="579"/>
    <s v="USA"/>
    <s v="F"/>
    <n v="62"/>
    <s v="B"/>
    <s v="Outlier"/>
    <x v="1"/>
  </r>
  <r>
    <n v="580"/>
    <s v="USA"/>
    <s v="F"/>
    <n v="24"/>
    <s v="B"/>
    <s v="Outlier"/>
    <x v="2"/>
  </r>
  <r>
    <n v="581"/>
    <s v="USA"/>
    <s v="M"/>
    <n v="53"/>
    <s v="B"/>
    <s v="Outlier"/>
    <x v="1"/>
  </r>
  <r>
    <n v="582"/>
    <s v="India"/>
    <s v="M"/>
    <n v="20"/>
    <s v="B"/>
    <s v="Outlier"/>
    <x v="2"/>
  </r>
  <r>
    <n v="583"/>
    <s v="Australia"/>
    <s v="M"/>
    <n v="88"/>
    <s v="B"/>
    <s v="Outlier"/>
    <x v="1"/>
  </r>
  <r>
    <n v="584"/>
    <s v="USA"/>
    <s v="F"/>
    <n v="70"/>
    <s v="B"/>
    <s v="Outlier"/>
    <x v="1"/>
  </r>
  <r>
    <n v="585"/>
    <s v="Italy"/>
    <s v="F"/>
    <n v="47"/>
    <s v="B"/>
    <s v="Outlier"/>
    <x v="1"/>
  </r>
  <r>
    <n v="586"/>
    <s v="India"/>
    <s v="F"/>
    <n v="53"/>
    <s v="B"/>
    <s v="Outlier"/>
    <x v="1"/>
  </r>
  <r>
    <n v="587"/>
    <s v="USA"/>
    <s v="M"/>
    <n v="51"/>
    <s v="B"/>
    <s v="Outlier"/>
    <x v="1"/>
  </r>
  <r>
    <n v="588"/>
    <s v="Italy"/>
    <s v="F"/>
    <n v="42"/>
    <s v="B"/>
    <s v="Outlier"/>
    <x v="1"/>
  </r>
  <r>
    <n v="589"/>
    <s v="USA"/>
    <s v="M"/>
    <n v="37"/>
    <s v="B"/>
    <s v="Outlier"/>
    <x v="0"/>
  </r>
  <r>
    <n v="590"/>
    <s v="India"/>
    <s v="F"/>
    <n v="25"/>
    <s v="B"/>
    <s v="Outlier"/>
    <x v="2"/>
  </r>
  <r>
    <n v="591"/>
    <s v="India"/>
    <s v="M"/>
    <n v="49"/>
    <s v="B"/>
    <s v="Outlier"/>
    <x v="1"/>
  </r>
  <r>
    <n v="592"/>
    <s v="Ireland"/>
    <s v="F"/>
    <n v="66"/>
    <s v="B"/>
    <s v="Outlier"/>
    <x v="1"/>
  </r>
  <r>
    <n v="593"/>
    <s v="USA"/>
    <s v="F"/>
    <n v="48"/>
    <s v="B"/>
    <s v="Outlier"/>
    <x v="1"/>
  </r>
  <r>
    <n v="594"/>
    <s v="USA"/>
    <s v="F"/>
    <n v="58"/>
    <s v="B"/>
    <s v="Outlier"/>
    <x v="1"/>
  </r>
  <r>
    <n v="595"/>
    <s v="USA"/>
    <s v="F"/>
    <n v="90"/>
    <s v="B"/>
    <s v="Outlier"/>
    <x v="1"/>
  </r>
  <r>
    <n v="596"/>
    <s v="Finland"/>
    <s v="M"/>
    <n v="66"/>
    <s v="B"/>
    <s v="Outlier"/>
    <x v="1"/>
  </r>
  <r>
    <n v="597"/>
    <s v="France"/>
    <s v="F"/>
    <n v="43"/>
    <s v="B"/>
    <s v="Outlier"/>
    <x v="1"/>
  </r>
  <r>
    <n v="598"/>
    <s v="USA"/>
    <s v="F"/>
    <n v="76"/>
    <s v="B"/>
    <s v="Outlier"/>
    <x v="1"/>
  </r>
  <r>
    <n v="599"/>
    <s v="Australia"/>
    <s v="F"/>
    <n v="32"/>
    <s v="B"/>
    <s v="Outlier"/>
    <x v="0"/>
  </r>
  <r>
    <n v="600"/>
    <s v="USA"/>
    <s v="M"/>
    <n v="77"/>
    <s v="B"/>
    <s v="Outlier"/>
    <x v="1"/>
  </r>
  <r>
    <n v="601"/>
    <s v="India"/>
    <s v="M"/>
    <n v="57"/>
    <s v="B"/>
    <s v="Outlier"/>
    <x v="1"/>
  </r>
  <r>
    <n v="602"/>
    <s v="Austria"/>
    <s v="F"/>
    <n v="24"/>
    <s v="B"/>
    <s v="Outlier"/>
    <x v="2"/>
  </r>
  <r>
    <n v="603"/>
    <s v="India"/>
    <s v="M"/>
    <n v="41"/>
    <s v="B"/>
    <s v="Outlier"/>
    <x v="1"/>
  </r>
  <r>
    <n v="604"/>
    <s v="Austria"/>
    <s v="F"/>
    <n v="85"/>
    <s v="B"/>
    <s v="Outlier"/>
    <x v="1"/>
  </r>
  <r>
    <n v="605"/>
    <s v="USA"/>
    <s v="M"/>
    <n v="58"/>
    <s v="B"/>
    <s v="Outlier"/>
    <x v="1"/>
  </r>
  <r>
    <n v="606"/>
    <s v="USA"/>
    <s v="M"/>
    <n v="18"/>
    <s v="B"/>
    <s v="Outlier"/>
    <x v="3"/>
  </r>
  <r>
    <n v="607"/>
    <s v="Singapore"/>
    <s v="F"/>
    <n v="41"/>
    <s v="B"/>
    <s v="Outlier"/>
    <x v="1"/>
  </r>
  <r>
    <n v="608"/>
    <s v="Denmark"/>
    <s v="M"/>
    <n v="57"/>
    <s v="B"/>
    <s v="Outlier"/>
    <x v="1"/>
  </r>
  <r>
    <n v="609"/>
    <s v="USA"/>
    <s v="M"/>
    <n v="87"/>
    <s v="B"/>
    <s v="Outlier"/>
    <x v="1"/>
  </r>
  <r>
    <n v="610"/>
    <s v="France"/>
    <s v="F"/>
    <n v="62"/>
    <s v="B"/>
    <s v="Outlier"/>
    <x v="1"/>
  </r>
  <r>
    <n v="611"/>
    <s v="India"/>
    <s v="M"/>
    <n v="31"/>
    <s v="B"/>
    <s v="Outlier"/>
    <x v="0"/>
  </r>
  <r>
    <n v="612"/>
    <s v="USA"/>
    <s v="M"/>
    <n v="18"/>
    <s v="B"/>
    <s v="Outlier"/>
    <x v="3"/>
  </r>
  <r>
    <n v="613"/>
    <s v="India"/>
    <s v="F"/>
    <n v="51"/>
    <s v="B"/>
    <s v="Outlier"/>
    <x v="1"/>
  </r>
  <r>
    <n v="614"/>
    <s v="USA"/>
    <s v="M"/>
    <n v="36"/>
    <s v="B"/>
    <s v="Outlier"/>
    <x v="0"/>
  </r>
  <r>
    <n v="615"/>
    <s v="France"/>
    <s v="F"/>
    <n v="53"/>
    <s v="B"/>
    <s v="Outlier"/>
    <x v="1"/>
  </r>
  <r>
    <n v="616"/>
    <s v="France"/>
    <s v="M"/>
    <n v="40"/>
    <s v="B"/>
    <s v="Outlier"/>
    <x v="0"/>
  </r>
  <r>
    <n v="617"/>
    <s v="USA"/>
    <s v="F"/>
    <n v="45"/>
    <s v="B"/>
    <s v="Outlier"/>
    <x v="1"/>
  </r>
  <r>
    <n v="618"/>
    <s v="Finland"/>
    <s v="F"/>
    <n v="58"/>
    <s v="B"/>
    <s v="Outlier"/>
    <x v="1"/>
  </r>
  <r>
    <n v="619"/>
    <s v="USA"/>
    <s v="F"/>
    <n v="38"/>
    <s v="B"/>
    <s v="Outlier"/>
    <x v="0"/>
  </r>
  <r>
    <n v="620"/>
    <s v="Singapore"/>
    <s v="M"/>
    <n v="41"/>
    <s v="B"/>
    <s v="Outlier"/>
    <x v="1"/>
  </r>
  <r>
    <n v="621"/>
    <s v="USA"/>
    <s v="F"/>
    <n v="50"/>
    <s v="B"/>
    <s v="Outlier"/>
    <x v="1"/>
  </r>
  <r>
    <n v="622"/>
    <s v="India"/>
    <s v="M"/>
    <n v="71"/>
    <s v="B"/>
    <s v="Outlier"/>
    <x v="1"/>
  </r>
  <r>
    <n v="623"/>
    <s v="India"/>
    <s v="F"/>
    <n v="80"/>
    <s v="B"/>
    <s v="Outlier"/>
    <x v="1"/>
  </r>
  <r>
    <n v="624"/>
    <s v="Australia"/>
    <s v="M"/>
    <n v="43"/>
    <s v="B"/>
    <s v="Outlier"/>
    <x v="1"/>
  </r>
  <r>
    <n v="625"/>
    <s v="India"/>
    <s v="M"/>
    <n v="54"/>
    <s v="B"/>
    <s v="Outlier"/>
    <x v="1"/>
  </r>
  <r>
    <n v="626"/>
    <s v="USA"/>
    <s v="F"/>
    <n v="59"/>
    <s v="B"/>
    <s v="Outlier"/>
    <x v="1"/>
  </r>
  <r>
    <n v="627"/>
    <s v="Finland"/>
    <s v="M"/>
    <n v="62"/>
    <s v="B"/>
    <s v="Outlier"/>
    <x v="1"/>
  </r>
  <r>
    <n v="628"/>
    <s v="France"/>
    <s v="F"/>
    <n v="85"/>
    <s v="B"/>
    <s v="Outlier"/>
    <x v="1"/>
  </r>
  <r>
    <n v="629"/>
    <s v="USA"/>
    <s v="M"/>
    <n v="82"/>
    <s v="B"/>
    <s v="Outlier"/>
    <x v="1"/>
  </r>
  <r>
    <n v="630"/>
    <s v="India"/>
    <s v="F"/>
    <n v="86"/>
    <s v="B"/>
    <s v="Outlier"/>
    <x v="1"/>
  </r>
  <r>
    <n v="631"/>
    <s v="India"/>
    <s v="F"/>
    <n v="53"/>
    <s v="B"/>
    <s v="Outlier"/>
    <x v="1"/>
  </r>
  <r>
    <n v="632"/>
    <s v="USA"/>
    <s v="F"/>
    <n v="67"/>
    <s v="B"/>
    <s v="Outlier"/>
    <x v="1"/>
  </r>
  <r>
    <n v="633"/>
    <s v="France"/>
    <s v="F"/>
    <n v="88"/>
    <s v="B"/>
    <s v="Outlier"/>
    <x v="1"/>
  </r>
  <r>
    <n v="634"/>
    <s v="USA"/>
    <s v="M"/>
    <n v="62"/>
    <s v="B"/>
    <s v="Outlier"/>
    <x v="1"/>
  </r>
  <r>
    <n v="635"/>
    <s v="USA"/>
    <s v="M"/>
    <n v="32"/>
    <s v="B"/>
    <s v="Outlier"/>
    <x v="0"/>
  </r>
  <r>
    <n v="636"/>
    <s v="USA"/>
    <s v="M"/>
    <n v="57"/>
    <s v="B"/>
    <s v="Outlier"/>
    <x v="1"/>
  </r>
  <r>
    <n v="637"/>
    <s v="USA"/>
    <s v="M"/>
    <n v="38"/>
    <s v="B"/>
    <s v="Outlier"/>
    <x v="0"/>
  </r>
  <r>
    <n v="638"/>
    <s v="France"/>
    <s v="M"/>
    <n v="65"/>
    <s v="B"/>
    <s v="Outlier"/>
    <x v="1"/>
  </r>
  <r>
    <n v="639"/>
    <s v="USA"/>
    <s v="F"/>
    <n v="59"/>
    <s v="B"/>
    <s v="Outlier"/>
    <x v="1"/>
  </r>
  <r>
    <n v="640"/>
    <s v="France"/>
    <s v="F"/>
    <n v="51"/>
    <s v="B"/>
    <s v="Outlier"/>
    <x v="1"/>
  </r>
  <r>
    <n v="641"/>
    <s v="USA"/>
    <s v="M"/>
    <n v="28"/>
    <s v="B"/>
    <s v="Outlier"/>
    <x v="2"/>
  </r>
  <r>
    <n v="642"/>
    <s v="France"/>
    <s v="F"/>
    <n v="32"/>
    <s v="B"/>
    <s v="Outlier"/>
    <x v="0"/>
  </r>
  <r>
    <n v="643"/>
    <s v="India"/>
    <s v="F"/>
    <n v="39"/>
    <s v="B"/>
    <s v="Outlier"/>
    <x v="0"/>
  </r>
  <r>
    <n v="644"/>
    <s v="Singapore"/>
    <s v="M"/>
    <n v="61"/>
    <s v="B"/>
    <s v="Outlier"/>
    <x v="1"/>
  </r>
  <r>
    <n v="645"/>
    <s v="Denmark"/>
    <s v="F"/>
    <n v="40"/>
    <s v="B"/>
    <s v="Outlier"/>
    <x v="0"/>
  </r>
  <r>
    <n v="646"/>
    <s v="Singapore"/>
    <s v="F"/>
    <n v="69"/>
    <s v="B"/>
    <s v="Outlier"/>
    <x v="1"/>
  </r>
  <r>
    <n v="647"/>
    <s v="Australia"/>
    <s v="M"/>
    <n v="76"/>
    <s v="B"/>
    <s v="Outlier"/>
    <x v="1"/>
  </r>
  <r>
    <n v="648"/>
    <s v="Austria"/>
    <s v="F"/>
    <n v="34"/>
    <s v="B"/>
    <s v="Outlier"/>
    <x v="0"/>
  </r>
  <r>
    <n v="649"/>
    <s v="USA"/>
    <s v="F"/>
    <n v="72"/>
    <s v="B"/>
    <s v="Outlier"/>
    <x v="1"/>
  </r>
  <r>
    <n v="650"/>
    <s v="France"/>
    <s v="F"/>
    <n v="38"/>
    <s v="B"/>
    <s v="Outlier"/>
    <x v="0"/>
  </r>
  <r>
    <n v="651"/>
    <s v="USA"/>
    <s v="F"/>
    <n v="61"/>
    <s v="B"/>
    <s v="Outlier"/>
    <x v="1"/>
  </r>
  <r>
    <n v="652"/>
    <s v="USA"/>
    <s v="F"/>
    <n v="79"/>
    <s v="B"/>
    <s v="Outlier"/>
    <x v="1"/>
  </r>
  <r>
    <n v="653"/>
    <s v="France"/>
    <s v="F"/>
    <n v="68"/>
    <s v="B"/>
    <s v="Outlier"/>
    <x v="1"/>
  </r>
  <r>
    <n v="654"/>
    <s v="France"/>
    <s v="M"/>
    <n v="51"/>
    <s v="B"/>
    <s v="Outlier"/>
    <x v="1"/>
  </r>
  <r>
    <n v="655"/>
    <s v="USA"/>
    <s v="M"/>
    <n v="22"/>
    <s v="B"/>
    <s v="Outlier"/>
    <x v="2"/>
  </r>
  <r>
    <n v="656"/>
    <s v="USA"/>
    <s v="F"/>
    <n v="30"/>
    <s v="B"/>
    <s v="Outlier"/>
    <x v="2"/>
  </r>
  <r>
    <n v="657"/>
    <s v="France"/>
    <s v="M"/>
    <n v="63"/>
    <s v="B"/>
    <s v="Outlier"/>
    <x v="1"/>
  </r>
  <r>
    <n v="658"/>
    <s v="India"/>
    <s v="M"/>
    <n v="42"/>
    <s v="B"/>
    <s v="Outlier"/>
    <x v="1"/>
  </r>
  <r>
    <n v="659"/>
    <s v="Australia"/>
    <s v="F"/>
    <n v="61"/>
    <s v="B"/>
    <s v="Outlier"/>
    <x v="1"/>
  </r>
  <r>
    <n v="660"/>
    <s v="USA"/>
    <s v="M"/>
    <n v="23"/>
    <s v="B"/>
    <s v="Outlier"/>
    <x v="2"/>
  </r>
  <r>
    <n v="661"/>
    <s v="USA"/>
    <s v="F"/>
    <n v="50"/>
    <s v="B"/>
    <s v="Outlier"/>
    <x v="1"/>
  </r>
  <r>
    <n v="662"/>
    <s v="USA"/>
    <s v="F"/>
    <n v="23"/>
    <s v="B"/>
    <s v="Outlier"/>
    <x v="2"/>
  </r>
  <r>
    <n v="663"/>
    <s v="India"/>
    <s v="M"/>
    <n v="26"/>
    <s v="B"/>
    <s v="Outlier"/>
    <x v="2"/>
  </r>
  <r>
    <n v="664"/>
    <s v="USA"/>
    <s v="M"/>
    <n v="19"/>
    <s v="B"/>
    <s v="Outlier"/>
    <x v="3"/>
  </r>
  <r>
    <n v="665"/>
    <s v="France"/>
    <s v="M"/>
    <n v="42"/>
    <s v="B"/>
    <s v="Outlier"/>
    <x v="1"/>
  </r>
  <r>
    <n v="666"/>
    <s v="France"/>
    <s v="F"/>
    <n v="24"/>
    <s v="B"/>
    <s v="Outlier"/>
    <x v="2"/>
  </r>
  <r>
    <n v="667"/>
    <s v="France"/>
    <s v="M"/>
    <n v="64"/>
    <s v="B"/>
    <s v="Outlier"/>
    <x v="1"/>
  </r>
  <r>
    <n v="668"/>
    <s v="France"/>
    <s v="F"/>
    <n v="90"/>
    <s v="B"/>
    <s v="Outlier"/>
    <x v="1"/>
  </r>
  <r>
    <n v="669"/>
    <s v="USA"/>
    <s v="M"/>
    <n v="33"/>
    <s v="B"/>
    <s v="Outlier"/>
    <x v="0"/>
  </r>
  <r>
    <n v="670"/>
    <s v="Australia"/>
    <s v="F"/>
    <n v="57"/>
    <s v="B"/>
    <s v="Outlier"/>
    <x v="1"/>
  </r>
  <r>
    <n v="671"/>
    <s v="India"/>
    <s v="M"/>
    <n v="59"/>
    <s v="B"/>
    <s v="Outlier"/>
    <x v="1"/>
  </r>
  <r>
    <n v="672"/>
    <s v="USA"/>
    <s v="F"/>
    <n v="78"/>
    <s v="B"/>
    <s v="Outlier"/>
    <x v="1"/>
  </r>
  <r>
    <n v="673"/>
    <s v="USA"/>
    <s v="M"/>
    <n v="78"/>
    <s v="B"/>
    <s v="Outlier"/>
    <x v="1"/>
  </r>
  <r>
    <n v="674"/>
    <s v="USA"/>
    <s v="F"/>
    <n v="71"/>
    <s v="B"/>
    <s v="Outlier"/>
    <x v="1"/>
  </r>
  <r>
    <n v="675"/>
    <s v="Italy"/>
    <s v="F"/>
    <n v="52"/>
    <s v="B"/>
    <s v="Outlier"/>
    <x v="1"/>
  </r>
  <r>
    <n v="676"/>
    <s v="India"/>
    <s v="F"/>
    <n v="74"/>
    <s v="B"/>
    <s v="Outlier"/>
    <x v="1"/>
  </r>
  <r>
    <n v="677"/>
    <s v="Austria"/>
    <s v="M"/>
    <n v="75"/>
    <s v="B"/>
    <s v="Outlier"/>
    <x v="1"/>
  </r>
  <r>
    <n v="678"/>
    <s v="France"/>
    <s v="F"/>
    <n v="29"/>
    <s v="B"/>
    <s v="Outlier"/>
    <x v="2"/>
  </r>
  <r>
    <n v="679"/>
    <s v="Singapore"/>
    <s v="M"/>
    <n v="34"/>
    <s v="B"/>
    <s v="Outlier"/>
    <x v="0"/>
  </r>
  <r>
    <n v="680"/>
    <s v="USA"/>
    <s v="M"/>
    <n v="81"/>
    <s v="B"/>
    <s v="Outlier"/>
    <x v="1"/>
  </r>
  <r>
    <n v="681"/>
    <s v="USA"/>
    <s v="M"/>
    <n v="62"/>
    <s v="B"/>
    <s v="Outlier"/>
    <x v="1"/>
  </r>
  <r>
    <n v="682"/>
    <s v="USA"/>
    <s v="M"/>
    <n v="83"/>
    <s v="B"/>
    <s v="Outlier"/>
    <x v="1"/>
  </r>
  <r>
    <n v="683"/>
    <s v="Australia"/>
    <s v="F"/>
    <n v="47"/>
    <s v="B"/>
    <s v="Outlier"/>
    <x v="1"/>
  </r>
  <r>
    <n v="684"/>
    <s v="Finland"/>
    <s v="F"/>
    <n v="88"/>
    <s v="B"/>
    <s v="Outlier"/>
    <x v="1"/>
  </r>
  <r>
    <n v="685"/>
    <s v="Australia"/>
    <s v="M"/>
    <n v="50"/>
    <s v="B"/>
    <s v="Outlier"/>
    <x v="1"/>
  </r>
  <r>
    <n v="686"/>
    <s v="India"/>
    <s v="F"/>
    <n v="64"/>
    <s v="B"/>
    <s v="Outlier"/>
    <x v="1"/>
  </r>
  <r>
    <n v="687"/>
    <s v="France"/>
    <s v="F"/>
    <n v="50"/>
    <s v="B"/>
    <s v="Outlier"/>
    <x v="1"/>
  </r>
  <r>
    <n v="688"/>
    <s v="Denmark"/>
    <s v="F"/>
    <n v="89"/>
    <s v="B"/>
    <s v="Outlier"/>
    <x v="1"/>
  </r>
  <r>
    <n v="689"/>
    <s v="France"/>
    <s v="F"/>
    <n v="41"/>
    <s v="B"/>
    <s v="Outlier"/>
    <x v="1"/>
  </r>
  <r>
    <n v="690"/>
    <s v="Germany"/>
    <s v="M"/>
    <n v="37"/>
    <s v="B"/>
    <s v="Outlier"/>
    <x v="0"/>
  </r>
  <r>
    <n v="691"/>
    <s v="Norway"/>
    <s v="F"/>
    <n v="33"/>
    <s v="B"/>
    <s v="Outlier"/>
    <x v="0"/>
  </r>
  <r>
    <n v="692"/>
    <s v="USA"/>
    <s v="F"/>
    <n v="53"/>
    <s v="B"/>
    <s v="Outlier"/>
    <x v="1"/>
  </r>
  <r>
    <n v="693"/>
    <s v="France"/>
    <s v="M"/>
    <n v="59"/>
    <s v="B"/>
    <s v="Outlier"/>
    <x v="1"/>
  </r>
  <r>
    <n v="694"/>
    <s v="Finland"/>
    <s v="M"/>
    <n v="36"/>
    <s v="B"/>
    <s v="Outlier"/>
    <x v="0"/>
  </r>
  <r>
    <n v="695"/>
    <s v="France"/>
    <s v="M"/>
    <n v="25"/>
    <s v="B"/>
    <s v="Outlier"/>
    <x v="2"/>
  </r>
  <r>
    <n v="696"/>
    <s v="France"/>
    <s v="F"/>
    <n v="30"/>
    <s v="B"/>
    <s v="Outlier"/>
    <x v="2"/>
  </r>
  <r>
    <n v="697"/>
    <s v="USA"/>
    <s v="F"/>
    <n v="63"/>
    <s v="B"/>
    <s v="Outlier"/>
    <x v="1"/>
  </r>
  <r>
    <n v="698"/>
    <s v="Australia"/>
    <s v="M"/>
    <n v="61"/>
    <s v="B"/>
    <s v="Outlier"/>
    <x v="1"/>
  </r>
  <r>
    <n v="699"/>
    <s v="USA"/>
    <s v="F"/>
    <n v="68"/>
    <s v="B"/>
    <s v="Outlier"/>
    <x v="1"/>
  </r>
  <r>
    <n v="700"/>
    <s v="USA"/>
    <s v="F"/>
    <n v="53"/>
    <s v="B"/>
    <s v="Outlier"/>
    <x v="1"/>
  </r>
  <r>
    <n v="701"/>
    <s v="India"/>
    <s v="M"/>
    <n v="72"/>
    <s v="B"/>
    <s v="Outlier"/>
    <x v="1"/>
  </r>
  <r>
    <n v="702"/>
    <s v="Australia"/>
    <s v="F"/>
    <n v="75"/>
    <s v="B"/>
    <s v="Outlier"/>
    <x v="1"/>
  </r>
  <r>
    <n v="703"/>
    <s v="USA"/>
    <s v="M"/>
    <n v="84"/>
    <s v="B"/>
    <s v="Outlier"/>
    <x v="1"/>
  </r>
  <r>
    <n v="704"/>
    <s v="USA"/>
    <s v="F"/>
    <n v="76"/>
    <s v="B"/>
    <s v="Outlier"/>
    <x v="1"/>
  </r>
  <r>
    <n v="705"/>
    <s v="USA"/>
    <s v="F"/>
    <n v="20"/>
    <s v="B"/>
    <s v="Outlier"/>
    <x v="2"/>
  </r>
  <r>
    <n v="706"/>
    <s v="France"/>
    <s v="M"/>
    <n v="29"/>
    <s v="B"/>
    <s v="Outlier"/>
    <x v="2"/>
  </r>
  <r>
    <n v="707"/>
    <s v="France"/>
    <s v="M"/>
    <n v="23"/>
    <s v="B"/>
    <s v="Outlier"/>
    <x v="2"/>
  </r>
  <r>
    <n v="708"/>
    <s v="Denmark"/>
    <s v="M"/>
    <n v="39"/>
    <s v="B"/>
    <s v="Outlier"/>
    <x v="0"/>
  </r>
  <r>
    <n v="709"/>
    <s v="France"/>
    <s v="F"/>
    <n v="58"/>
    <s v="B"/>
    <s v="Outlier"/>
    <x v="1"/>
  </r>
  <r>
    <n v="710"/>
    <s v="USA"/>
    <s v="M"/>
    <n v="34"/>
    <s v="B"/>
    <s v="Outlier"/>
    <x v="0"/>
  </r>
  <r>
    <n v="711"/>
    <s v="USA"/>
    <s v="M"/>
    <n v="56"/>
    <s v="B"/>
    <s v="Outlier"/>
    <x v="1"/>
  </r>
  <r>
    <n v="712"/>
    <s v="USA"/>
    <s v="M"/>
    <n v="90"/>
    <s v="B"/>
    <s v="Outlier"/>
    <x v="1"/>
  </r>
  <r>
    <n v="713"/>
    <s v="Finland"/>
    <s v="M"/>
    <n v="89"/>
    <s v="B"/>
    <s v="Outlier"/>
    <x v="1"/>
  </r>
  <r>
    <n v="714"/>
    <s v="USA"/>
    <s v="M"/>
    <n v="25"/>
    <s v="B"/>
    <s v="Outlier"/>
    <x v="2"/>
  </r>
  <r>
    <n v="715"/>
    <s v="USA"/>
    <s v="M"/>
    <n v="81"/>
    <s v="B"/>
    <s v="Outlier"/>
    <x v="1"/>
  </r>
  <r>
    <n v="716"/>
    <s v="India"/>
    <s v="M"/>
    <n v="86"/>
    <s v="B"/>
    <s v="Outlier"/>
    <x v="1"/>
  </r>
  <r>
    <n v="717"/>
    <s v="Australia"/>
    <s v="M"/>
    <n v="90"/>
    <s v="B"/>
    <s v="Outlier"/>
    <x v="1"/>
  </r>
  <r>
    <n v="718"/>
    <s v="Norway"/>
    <s v="F"/>
    <n v="77"/>
    <s v="B"/>
    <s v="Outlier"/>
    <x v="1"/>
  </r>
  <r>
    <n v="719"/>
    <s v="Norway"/>
    <s v="M"/>
    <n v="29"/>
    <s v="B"/>
    <s v="Outlier"/>
    <x v="2"/>
  </r>
  <r>
    <n v="720"/>
    <s v="Italy"/>
    <s v="M"/>
    <n v="36"/>
    <s v="B"/>
    <s v="Outlier"/>
    <x v="0"/>
  </r>
  <r>
    <n v="721"/>
    <s v="India"/>
    <s v="M"/>
    <n v="46"/>
    <s v="B"/>
    <s v="Outlier"/>
    <x v="1"/>
  </r>
  <r>
    <n v="722"/>
    <s v="USA"/>
    <s v="F"/>
    <n v="27"/>
    <s v="B"/>
    <s v="Outlier"/>
    <x v="2"/>
  </r>
  <r>
    <n v="723"/>
    <s v="Denmark"/>
    <s v="F"/>
    <n v="80"/>
    <s v="B"/>
    <s v="Outlier"/>
    <x v="1"/>
  </r>
  <r>
    <n v="724"/>
    <s v="USA"/>
    <s v="M"/>
    <n v="30"/>
    <s v="B"/>
    <s v="Outlier"/>
    <x v="2"/>
  </r>
  <r>
    <n v="725"/>
    <s v="USA"/>
    <s v="M"/>
    <n v="22"/>
    <s v="B"/>
    <s v="Outlier"/>
    <x v="2"/>
  </r>
  <r>
    <n v="726"/>
    <s v="USA"/>
    <s v="M"/>
    <n v="73"/>
    <s v="B"/>
    <s v="Outlier"/>
    <x v="1"/>
  </r>
  <r>
    <n v="727"/>
    <s v="France"/>
    <s v="M"/>
    <n v="64"/>
    <s v="B"/>
    <s v="Outlier"/>
    <x v="1"/>
  </r>
  <r>
    <n v="728"/>
    <s v="India"/>
    <s v="F"/>
    <n v="64"/>
    <s v="B"/>
    <s v="Outlier"/>
    <x v="1"/>
  </r>
  <r>
    <n v="729"/>
    <s v="Italy"/>
    <s v="M"/>
    <n v="66"/>
    <s v="B"/>
    <s v="Outlier"/>
    <x v="1"/>
  </r>
  <r>
    <n v="730"/>
    <s v="Austria"/>
    <s v="F"/>
    <n v="61"/>
    <s v="B"/>
    <s v="Outlier"/>
    <x v="1"/>
  </r>
  <r>
    <n v="731"/>
    <s v="France"/>
    <s v="M"/>
    <n v="78"/>
    <s v="B"/>
    <s v="Outlier"/>
    <x v="1"/>
  </r>
  <r>
    <n v="732"/>
    <s v="India"/>
    <s v="F"/>
    <n v="86"/>
    <s v="B"/>
    <s v="Outlier"/>
    <x v="1"/>
  </r>
  <r>
    <n v="733"/>
    <s v="USA"/>
    <s v="M"/>
    <n v="83"/>
    <s v="B"/>
    <s v="Outlier"/>
    <x v="1"/>
  </r>
  <r>
    <n v="734"/>
    <s v="Italy"/>
    <s v="F"/>
    <n v="75"/>
    <s v="B"/>
    <s v="Outlier"/>
    <x v="1"/>
  </r>
  <r>
    <n v="735"/>
    <s v="India"/>
    <s v="F"/>
    <n v="42"/>
    <s v="B"/>
    <s v="Outlier"/>
    <x v="1"/>
  </r>
  <r>
    <n v="736"/>
    <s v="USA"/>
    <s v="M"/>
    <n v="50"/>
    <s v="B"/>
    <s v="Outlier"/>
    <x v="1"/>
  </r>
  <r>
    <n v="737"/>
    <s v="India"/>
    <s v="M"/>
    <n v="42"/>
    <s v="B"/>
    <s v="Outlier"/>
    <x v="1"/>
  </r>
  <r>
    <n v="738"/>
    <s v="France"/>
    <s v="M"/>
    <n v="25"/>
    <s v="B"/>
    <s v="Outlier"/>
    <x v="2"/>
  </r>
  <r>
    <n v="739"/>
    <s v="India"/>
    <s v="F"/>
    <n v="51"/>
    <s v="B"/>
    <s v="Outlier"/>
    <x v="1"/>
  </r>
  <r>
    <n v="740"/>
    <s v="India"/>
    <s v="M"/>
    <n v="64"/>
    <s v="B"/>
    <s v="Outlier"/>
    <x v="1"/>
  </r>
  <r>
    <n v="741"/>
    <s v="USA"/>
    <s v="F"/>
    <n v="25"/>
    <s v="B"/>
    <s v="Outlier"/>
    <x v="2"/>
  </r>
  <r>
    <n v="742"/>
    <s v="USA"/>
    <s v="F"/>
    <n v="63"/>
    <s v="B"/>
    <s v="Outlier"/>
    <x v="1"/>
  </r>
  <r>
    <n v="743"/>
    <s v="USA"/>
    <s v="F"/>
    <n v="29"/>
    <s v="B"/>
    <s v="Outlier"/>
    <x v="2"/>
  </r>
  <r>
    <n v="744"/>
    <s v="Finland"/>
    <s v="M"/>
    <n v="33"/>
    <s v="B"/>
    <s v="Outlier"/>
    <x v="0"/>
  </r>
  <r>
    <n v="745"/>
    <s v="Australia"/>
    <s v="M"/>
    <n v="27"/>
    <s v="B"/>
    <s v="Outlier"/>
    <x v="2"/>
  </r>
  <r>
    <n v="746"/>
    <s v="USA"/>
    <s v="F"/>
    <n v="75"/>
    <s v="B"/>
    <s v="Outlier"/>
    <x v="1"/>
  </r>
  <r>
    <n v="747"/>
    <s v="Italy"/>
    <s v="F"/>
    <n v="64"/>
    <s v="B"/>
    <s v="Outlier"/>
    <x v="1"/>
  </r>
  <r>
    <n v="748"/>
    <s v="USA"/>
    <s v="F"/>
    <n v="40"/>
    <s v="B"/>
    <s v="Outlier"/>
    <x v="0"/>
  </r>
  <r>
    <n v="749"/>
    <s v="Singapore"/>
    <s v="F"/>
    <n v="82"/>
    <s v="B"/>
    <s v="Outlier"/>
    <x v="1"/>
  </r>
  <r>
    <n v="750"/>
    <s v="Finland"/>
    <s v="M"/>
    <n v="40"/>
    <s v="B"/>
    <s v="Outlier"/>
    <x v="0"/>
  </r>
  <r>
    <n v="751"/>
    <s v="India"/>
    <s v="M"/>
    <n v="82"/>
    <s v="B"/>
    <s v="Outlier"/>
    <x v="1"/>
  </r>
  <r>
    <n v="752"/>
    <s v="Austria"/>
    <s v="M"/>
    <n v="42"/>
    <s v="B"/>
    <s v="Outlier"/>
    <x v="1"/>
  </r>
  <r>
    <n v="753"/>
    <s v="USA"/>
    <s v="M"/>
    <n v="18"/>
    <s v="B"/>
    <s v="Outlier"/>
    <x v="3"/>
  </r>
  <r>
    <n v="754"/>
    <s v="Italy"/>
    <s v="F"/>
    <n v="58"/>
    <s v="B"/>
    <s v="Outlier"/>
    <x v="1"/>
  </r>
  <r>
    <n v="755"/>
    <s v="USA"/>
    <s v="M"/>
    <n v="54"/>
    <s v="B"/>
    <s v="Outlier"/>
    <x v="1"/>
  </r>
  <r>
    <n v="756"/>
    <s v="Germany"/>
    <s v="F"/>
    <n v="42"/>
    <s v="B"/>
    <s v="Outlier"/>
    <x v="1"/>
  </r>
  <r>
    <n v="757"/>
    <s v="USA"/>
    <s v="F"/>
    <n v="59"/>
    <s v="B"/>
    <s v="Outlier"/>
    <x v="1"/>
  </r>
  <r>
    <n v="758"/>
    <s v="USA"/>
    <s v="F"/>
    <n v="22"/>
    <s v="B"/>
    <s v="Outlier"/>
    <x v="2"/>
  </r>
  <r>
    <n v="759"/>
    <s v="USA"/>
    <s v="M"/>
    <n v="19"/>
    <s v="B"/>
    <s v="Outlier"/>
    <x v="3"/>
  </r>
  <r>
    <n v="760"/>
    <s v="India"/>
    <s v="M"/>
    <n v="22"/>
    <s v="B"/>
    <s v="Outlier"/>
    <x v="2"/>
  </r>
  <r>
    <n v="761"/>
    <s v="Denmark"/>
    <s v="M"/>
    <n v="42"/>
    <s v="B"/>
    <s v="Outlier"/>
    <x v="1"/>
  </r>
  <r>
    <n v="762"/>
    <s v="Denmark"/>
    <s v="F"/>
    <n v="21"/>
    <s v="B"/>
    <s v="Outlier"/>
    <x v="2"/>
  </r>
  <r>
    <n v="763"/>
    <s v="USA"/>
    <s v="M"/>
    <n v="86"/>
    <s v="B"/>
    <s v="Outlier"/>
    <x v="1"/>
  </r>
  <r>
    <n v="764"/>
    <s v="France"/>
    <s v="F"/>
    <n v="28"/>
    <s v="B"/>
    <s v="Outlier"/>
    <x v="2"/>
  </r>
  <r>
    <n v="765"/>
    <s v="Norway"/>
    <s v="F"/>
    <n v="46"/>
    <s v="B"/>
    <s v="Outlier"/>
    <x v="1"/>
  </r>
  <r>
    <n v="766"/>
    <s v="USA"/>
    <s v="F"/>
    <n v="89"/>
    <s v="B"/>
    <s v="Outlier"/>
    <x v="1"/>
  </r>
  <r>
    <n v="767"/>
    <s v="USA"/>
    <s v="M"/>
    <n v="30"/>
    <s v="B"/>
    <s v="Outlier"/>
    <x v="2"/>
  </r>
  <r>
    <n v="768"/>
    <s v="USA"/>
    <s v="F"/>
    <n v="38"/>
    <s v="B"/>
    <s v="Outlier"/>
    <x v="0"/>
  </r>
  <r>
    <n v="769"/>
    <s v="France"/>
    <s v="M"/>
    <n v="22"/>
    <s v="B"/>
    <s v="Outlier"/>
    <x v="2"/>
  </r>
  <r>
    <n v="770"/>
    <s v="India"/>
    <s v="M"/>
    <n v="72"/>
    <s v="B"/>
    <s v="Outlier"/>
    <x v="1"/>
  </r>
  <r>
    <n v="771"/>
    <s v="Denmark"/>
    <s v="M"/>
    <n v="82"/>
    <s v="B"/>
    <s v="Outlier"/>
    <x v="1"/>
  </r>
  <r>
    <n v="772"/>
    <s v="France"/>
    <s v="F"/>
    <n v="37"/>
    <s v="B"/>
    <s v="Outlier"/>
    <x v="0"/>
  </r>
  <r>
    <n v="773"/>
    <s v="USA"/>
    <s v="M"/>
    <n v="77"/>
    <s v="B"/>
    <s v="Outlier"/>
    <x v="1"/>
  </r>
  <r>
    <n v="774"/>
    <s v="India"/>
    <s v="M"/>
    <n v="84"/>
    <s v="B"/>
    <s v="Outlier"/>
    <x v="1"/>
  </r>
  <r>
    <n v="775"/>
    <s v="Singapore"/>
    <s v="M"/>
    <n v="68"/>
    <s v="B"/>
    <s v="Outlier"/>
    <x v="1"/>
  </r>
  <r>
    <n v="776"/>
    <s v="Italy"/>
    <s v="M"/>
    <n v="38"/>
    <s v="B"/>
    <s v="Outlier"/>
    <x v="0"/>
  </r>
  <r>
    <n v="777"/>
    <s v="USA"/>
    <s v="M"/>
    <n v="53"/>
    <s v="B"/>
    <s v="Outlier"/>
    <x v="1"/>
  </r>
  <r>
    <n v="778"/>
    <s v="France"/>
    <s v="F"/>
    <n v="26"/>
    <s v="B"/>
    <s v="Outlier"/>
    <x v="2"/>
  </r>
  <r>
    <n v="779"/>
    <s v="USA"/>
    <s v="M"/>
    <n v="41"/>
    <s v="B"/>
    <s v="Outlier"/>
    <x v="1"/>
  </r>
  <r>
    <n v="780"/>
    <s v="India"/>
    <s v="M"/>
    <n v="43"/>
    <s v="B"/>
    <s v="Outlier"/>
    <x v="1"/>
  </r>
  <r>
    <n v="781"/>
    <s v="Finland"/>
    <s v="F"/>
    <n v="66"/>
    <s v="B"/>
    <s v="Outlier"/>
    <x v="1"/>
  </r>
  <r>
    <n v="782"/>
    <s v="USA"/>
    <s v="F"/>
    <n v="74"/>
    <s v="B"/>
    <s v="Outlier"/>
    <x v="1"/>
  </r>
  <r>
    <n v="783"/>
    <s v="USA"/>
    <s v="F"/>
    <n v="42"/>
    <s v="B"/>
    <s v="Outlier"/>
    <x v="1"/>
  </r>
  <r>
    <n v="784"/>
    <s v="USA"/>
    <s v="M"/>
    <n v="38"/>
    <s v="B"/>
    <s v="Outlier"/>
    <x v="0"/>
  </r>
  <r>
    <n v="785"/>
    <s v="Ireland"/>
    <s v="M"/>
    <n v="44"/>
    <s v="B"/>
    <s v="Outlier"/>
    <x v="1"/>
  </r>
  <r>
    <n v="786"/>
    <s v="Denmark"/>
    <s v="M"/>
    <n v="61"/>
    <s v="B"/>
    <s v="Outlier"/>
    <x v="1"/>
  </r>
  <r>
    <n v="787"/>
    <s v="Austria"/>
    <s v="F"/>
    <n v="40"/>
    <s v="B"/>
    <s v="Outlier"/>
    <x v="0"/>
  </r>
  <r>
    <n v="788"/>
    <s v="Australia"/>
    <s v="M"/>
    <n v="57"/>
    <s v="B"/>
    <s v="Outlier"/>
    <x v="1"/>
  </r>
  <r>
    <n v="789"/>
    <s v="France"/>
    <s v="M"/>
    <n v="62"/>
    <s v="B"/>
    <s v="Outlier"/>
    <x v="1"/>
  </r>
  <r>
    <n v="790"/>
    <s v="India"/>
    <s v="M"/>
    <n v="85"/>
    <s v="B"/>
    <s v="Outlier"/>
    <x v="1"/>
  </r>
  <r>
    <n v="791"/>
    <s v="USA"/>
    <s v="M"/>
    <n v="72"/>
    <s v="B"/>
    <s v="Outlier"/>
    <x v="1"/>
  </r>
  <r>
    <n v="792"/>
    <s v="USA"/>
    <s v="F"/>
    <n v="23"/>
    <s v="B"/>
    <s v="Outlier"/>
    <x v="2"/>
  </r>
  <r>
    <n v="793"/>
    <s v="USA"/>
    <s v="F"/>
    <n v="87"/>
    <s v="B"/>
    <s v="Outlier"/>
    <x v="1"/>
  </r>
  <r>
    <n v="794"/>
    <s v="Finland"/>
    <s v="M"/>
    <n v="58"/>
    <s v="B"/>
    <s v="Outlier"/>
    <x v="1"/>
  </r>
  <r>
    <n v="795"/>
    <s v="Finland"/>
    <s v="M"/>
    <n v="83"/>
    <s v="B"/>
    <s v="Outlier"/>
    <x v="1"/>
  </r>
  <r>
    <n v="796"/>
    <s v="Finland"/>
    <s v="F"/>
    <n v="27"/>
    <s v="B"/>
    <s v="Outlier"/>
    <x v="2"/>
  </r>
  <r>
    <n v="797"/>
    <s v="USA"/>
    <s v="F"/>
    <n v="45"/>
    <s v="B"/>
    <s v="Outlier"/>
    <x v="1"/>
  </r>
  <r>
    <n v="798"/>
    <s v="USA"/>
    <s v="M"/>
    <n v="52"/>
    <s v="B"/>
    <s v="Outlier"/>
    <x v="1"/>
  </r>
  <r>
    <n v="799"/>
    <s v="USA"/>
    <s v="F"/>
    <n v="59"/>
    <s v="B"/>
    <s v="Outlier"/>
    <x v="1"/>
  </r>
  <r>
    <n v="800"/>
    <s v="Ireland"/>
    <s v="M"/>
    <n v="87"/>
    <s v="B"/>
    <s v="Outlier"/>
    <x v="1"/>
  </r>
  <r>
    <n v="801"/>
    <s v="France"/>
    <s v="M"/>
    <n v="77"/>
    <s v="B"/>
    <s v="Outlier"/>
    <x v="1"/>
  </r>
  <r>
    <n v="802"/>
    <s v="France"/>
    <s v="F"/>
    <n v="89"/>
    <s v="B"/>
    <s v="Outlier"/>
    <x v="1"/>
  </r>
  <r>
    <n v="803"/>
    <s v="Finland"/>
    <s v="M"/>
    <n v="43"/>
    <s v="B"/>
    <s v="Outlier"/>
    <x v="1"/>
  </r>
  <r>
    <n v="804"/>
    <s v="Germany"/>
    <s v="F"/>
    <n v="56"/>
    <s v="B"/>
    <s v="Outlier"/>
    <x v="1"/>
  </r>
  <r>
    <n v="805"/>
    <s v="Italy"/>
    <s v="M"/>
    <n v="18"/>
    <s v="B"/>
    <s v="Outlier"/>
    <x v="3"/>
  </r>
  <r>
    <n v="806"/>
    <s v="Denmark"/>
    <s v="M"/>
    <n v="43"/>
    <s v="B"/>
    <s v="Outlier"/>
    <x v="1"/>
  </r>
  <r>
    <n v="807"/>
    <s v="Finland"/>
    <s v="F"/>
    <n v="56"/>
    <s v="B"/>
    <s v="Outlier"/>
    <x v="1"/>
  </r>
  <r>
    <n v="808"/>
    <s v="USA"/>
    <s v="F"/>
    <n v="41"/>
    <s v="B"/>
    <s v="Outlier"/>
    <x v="1"/>
  </r>
  <r>
    <n v="809"/>
    <s v="USA"/>
    <s v="M"/>
    <n v="87"/>
    <s v="B"/>
    <s v="Outlier"/>
    <x v="1"/>
  </r>
  <r>
    <n v="810"/>
    <s v="Italy"/>
    <s v="M"/>
    <n v="45"/>
    <s v="B"/>
    <s v="Outlier"/>
    <x v="1"/>
  </r>
  <r>
    <n v="811"/>
    <s v="India"/>
    <s v="F"/>
    <n v="32"/>
    <s v="B"/>
    <s v="Outlier"/>
    <x v="0"/>
  </r>
  <r>
    <n v="812"/>
    <s v="Finland"/>
    <s v="F"/>
    <n v="90"/>
    <s v="B"/>
    <s v="Outlier"/>
    <x v="1"/>
  </r>
  <r>
    <n v="813"/>
    <s v="Singapore"/>
    <s v="M"/>
    <n v="51"/>
    <s v="B"/>
    <s v="Outlier"/>
    <x v="1"/>
  </r>
  <r>
    <n v="814"/>
    <s v="USA"/>
    <s v="F"/>
    <n v="60"/>
    <s v="B"/>
    <s v="Outlier"/>
    <x v="1"/>
  </r>
  <r>
    <n v="815"/>
    <s v="USA"/>
    <s v="M"/>
    <n v="65"/>
    <s v="B"/>
    <s v="Outlier"/>
    <x v="1"/>
  </r>
  <r>
    <n v="816"/>
    <s v="India"/>
    <s v="M"/>
    <n v="46"/>
    <s v="B"/>
    <s v="Outlier"/>
    <x v="1"/>
  </r>
  <r>
    <n v="817"/>
    <s v="USA"/>
    <s v="M"/>
    <n v="39"/>
    <s v="B"/>
    <s v="Outlier"/>
    <x v="0"/>
  </r>
  <r>
    <n v="818"/>
    <s v="France"/>
    <s v="F"/>
    <n v="87"/>
    <s v="B"/>
    <s v="Outlier"/>
    <x v="1"/>
  </r>
  <r>
    <n v="819"/>
    <s v="Ireland"/>
    <s v="F"/>
    <n v="75"/>
    <s v="B"/>
    <s v="Outlier"/>
    <x v="1"/>
  </r>
  <r>
    <n v="820"/>
    <s v="Italy"/>
    <s v="M"/>
    <n v="29"/>
    <s v="B"/>
    <s v="Outlier"/>
    <x v="2"/>
  </r>
  <r>
    <n v="821"/>
    <s v="Italy"/>
    <s v="F"/>
    <n v="53"/>
    <s v="B"/>
    <s v="Outlier"/>
    <x v="1"/>
  </r>
  <r>
    <n v="822"/>
    <s v="USA"/>
    <s v="F"/>
    <n v="18"/>
    <s v="B"/>
    <s v="Outlier"/>
    <x v="3"/>
  </r>
  <r>
    <n v="823"/>
    <s v="France"/>
    <s v="F"/>
    <n v="63"/>
    <s v="B"/>
    <s v="Outlier"/>
    <x v="1"/>
  </r>
  <r>
    <n v="824"/>
    <s v="USA"/>
    <s v="F"/>
    <n v="35"/>
    <s v="B"/>
    <s v="Outlier"/>
    <x v="0"/>
  </r>
  <r>
    <n v="825"/>
    <s v="Austria"/>
    <s v="M"/>
    <n v="90"/>
    <s v="B"/>
    <s v="Outlier"/>
    <x v="1"/>
  </r>
  <r>
    <n v="826"/>
    <s v="Austria"/>
    <s v="M"/>
    <n v="25"/>
    <s v="B"/>
    <s v="Outlier"/>
    <x v="2"/>
  </r>
  <r>
    <n v="827"/>
    <s v="Singapore"/>
    <s v="M"/>
    <n v="40"/>
    <s v="B"/>
    <s v="Outlier"/>
    <x v="0"/>
  </r>
  <r>
    <n v="828"/>
    <s v="USA"/>
    <s v="F"/>
    <n v="48"/>
    <s v="B"/>
    <s v="Outlier"/>
    <x v="1"/>
  </r>
  <r>
    <n v="829"/>
    <s v="USA"/>
    <s v="F"/>
    <n v="65"/>
    <s v="B"/>
    <s v="Outlier"/>
    <x v="1"/>
  </r>
  <r>
    <n v="830"/>
    <s v="France"/>
    <s v="M"/>
    <n v="75"/>
    <s v="B"/>
    <s v="Outlier"/>
    <x v="1"/>
  </r>
  <r>
    <n v="831"/>
    <s v="Italy"/>
    <s v="F"/>
    <n v="69"/>
    <s v="B"/>
    <s v="Outlier"/>
    <x v="1"/>
  </r>
  <r>
    <n v="832"/>
    <s v="Finland"/>
    <s v="M"/>
    <n v="30"/>
    <s v="B"/>
    <s v="Outlier"/>
    <x v="2"/>
  </r>
  <r>
    <n v="833"/>
    <s v="Switzerland"/>
    <s v="F"/>
    <n v="52"/>
    <s v="B"/>
    <s v="Outlier"/>
    <x v="1"/>
  </r>
  <r>
    <n v="834"/>
    <s v="Finland"/>
    <s v="M"/>
    <n v="76"/>
    <s v="B"/>
    <s v="Outlier"/>
    <x v="1"/>
  </r>
  <r>
    <n v="835"/>
    <s v="Australia"/>
    <s v="F"/>
    <n v="50"/>
    <s v="B"/>
    <s v="Outlier"/>
    <x v="1"/>
  </r>
  <r>
    <n v="836"/>
    <s v="India"/>
    <s v="M"/>
    <n v="70"/>
    <s v="B"/>
    <s v="Outlier"/>
    <x v="1"/>
  </r>
  <r>
    <n v="837"/>
    <s v="Australia"/>
    <s v="F"/>
    <n v="55"/>
    <s v="B"/>
    <s v="Outlier"/>
    <x v="1"/>
  </r>
  <r>
    <n v="838"/>
    <s v="Italy"/>
    <s v="F"/>
    <n v="73"/>
    <s v="B"/>
    <s v="Outlier"/>
    <x v="1"/>
  </r>
  <r>
    <n v="839"/>
    <s v="India"/>
    <s v="M"/>
    <n v="36"/>
    <s v="B"/>
    <s v="Outlier"/>
    <x v="0"/>
  </r>
  <r>
    <n v="840"/>
    <s v="Finland"/>
    <s v="F"/>
    <n v="47"/>
    <s v="B"/>
    <s v="Outlier"/>
    <x v="1"/>
  </r>
  <r>
    <n v="841"/>
    <s v="USA"/>
    <s v="F"/>
    <n v="42"/>
    <s v="B"/>
    <s v="Outlier"/>
    <x v="1"/>
  </r>
  <r>
    <n v="842"/>
    <s v="France"/>
    <s v="M"/>
    <n v="41"/>
    <s v="B"/>
    <s v="Outlier"/>
    <x v="1"/>
  </r>
  <r>
    <n v="843"/>
    <s v="USA"/>
    <s v="F"/>
    <n v="37"/>
    <s v="B"/>
    <s v="Outlier"/>
    <x v="0"/>
  </r>
  <r>
    <n v="844"/>
    <s v="Italy"/>
    <s v="M"/>
    <n v="90"/>
    <s v="B"/>
    <s v="Outlier"/>
    <x v="1"/>
  </r>
  <r>
    <n v="845"/>
    <s v="Austria"/>
    <s v="M"/>
    <n v="26"/>
    <s v="B"/>
    <s v="Outlier"/>
    <x v="2"/>
  </r>
  <r>
    <n v="846"/>
    <s v="USA"/>
    <s v="M"/>
    <n v="80"/>
    <s v="B"/>
    <s v="Outlier"/>
    <x v="1"/>
  </r>
  <r>
    <n v="847"/>
    <s v="India"/>
    <s v="M"/>
    <n v="76"/>
    <s v="B"/>
    <s v="Outlier"/>
    <x v="1"/>
  </r>
  <r>
    <n v="848"/>
    <s v="USA"/>
    <s v="F"/>
    <n v="44"/>
    <s v="B"/>
    <s v="Outlier"/>
    <x v="1"/>
  </r>
  <r>
    <n v="849"/>
    <s v="France"/>
    <s v="M"/>
    <n v="19"/>
    <s v="B"/>
    <s v="Outlier"/>
    <x v="3"/>
  </r>
  <r>
    <n v="850"/>
    <s v="USA"/>
    <s v="F"/>
    <n v="52"/>
    <s v="B"/>
    <s v="Outlier"/>
    <x v="1"/>
  </r>
  <r>
    <n v="851"/>
    <s v="Singapore"/>
    <s v="F"/>
    <n v="58"/>
    <s v="B"/>
    <s v="Outlier"/>
    <x v="1"/>
  </r>
  <r>
    <n v="852"/>
    <s v="USA"/>
    <s v="M"/>
    <n v="84"/>
    <s v="B"/>
    <s v="Outlier"/>
    <x v="1"/>
  </r>
  <r>
    <n v="853"/>
    <s v="USA"/>
    <s v="M"/>
    <n v="57"/>
    <s v="B"/>
    <s v="Outlier"/>
    <x v="1"/>
  </r>
  <r>
    <n v="854"/>
    <s v="USA"/>
    <s v="F"/>
    <n v="61"/>
    <s v="B"/>
    <s v="Outlier"/>
    <x v="1"/>
  </r>
  <r>
    <n v="855"/>
    <s v="Australia"/>
    <s v="M"/>
    <n v="43"/>
    <s v="B"/>
    <s v="Outlier"/>
    <x v="1"/>
  </r>
  <r>
    <n v="856"/>
    <s v="USA"/>
    <s v="M"/>
    <n v="59"/>
    <s v="B"/>
    <s v="Outlier"/>
    <x v="1"/>
  </r>
  <r>
    <n v="857"/>
    <s v="USA"/>
    <s v="F"/>
    <n v="34"/>
    <s v="B"/>
    <s v="Outlier"/>
    <x v="0"/>
  </r>
  <r>
    <n v="858"/>
    <s v="USA"/>
    <s v="F"/>
    <n v="35"/>
    <s v="B"/>
    <s v="Outlier"/>
    <x v="0"/>
  </r>
  <r>
    <n v="859"/>
    <s v="USA"/>
    <s v="M"/>
    <n v="34"/>
    <s v="B"/>
    <s v="Outlier"/>
    <x v="0"/>
  </r>
  <r>
    <n v="860"/>
    <s v="Austria"/>
    <s v="M"/>
    <n v="84"/>
    <s v="B"/>
    <s v="Outlier"/>
    <x v="1"/>
  </r>
  <r>
    <n v="861"/>
    <s v="USA"/>
    <s v="F"/>
    <n v="78"/>
    <s v="B"/>
    <s v="Outlier"/>
    <x v="1"/>
  </r>
  <r>
    <n v="862"/>
    <s v="USA"/>
    <s v="F"/>
    <n v="68"/>
    <s v="B"/>
    <s v="Outlier"/>
    <x v="1"/>
  </r>
  <r>
    <n v="863"/>
    <s v="Ireland"/>
    <s v="F"/>
    <n v="63"/>
    <s v="B"/>
    <s v="Outlier"/>
    <x v="1"/>
  </r>
  <r>
    <n v="864"/>
    <s v="USA"/>
    <s v="F"/>
    <n v="78"/>
    <s v="B"/>
    <s v="Outlier"/>
    <x v="1"/>
  </r>
  <r>
    <n v="865"/>
    <s v="USA"/>
    <s v="M"/>
    <n v="20"/>
    <s v="B"/>
    <s v="Outlier"/>
    <x v="2"/>
  </r>
  <r>
    <n v="866"/>
    <s v="Singapore"/>
    <s v="F"/>
    <n v="66"/>
    <s v="B"/>
    <s v="Outlier"/>
    <x v="1"/>
  </r>
  <r>
    <n v="867"/>
    <s v="USA"/>
    <s v="F"/>
    <n v="76"/>
    <s v="B"/>
    <s v="Outlier"/>
    <x v="1"/>
  </r>
  <r>
    <n v="868"/>
    <s v="Switzerland"/>
    <s v="F"/>
    <n v="31"/>
    <s v="B"/>
    <s v="Outlier"/>
    <x v="0"/>
  </r>
  <r>
    <n v="869"/>
    <s v="Austria"/>
    <s v="F"/>
    <n v="56"/>
    <s v="B"/>
    <s v="Outlier"/>
    <x v="1"/>
  </r>
  <r>
    <n v="870"/>
    <s v="India"/>
    <s v="M"/>
    <n v="65"/>
    <s v="B"/>
    <s v="Outlier"/>
    <x v="1"/>
  </r>
  <r>
    <n v="871"/>
    <s v="Italy"/>
    <s v="F"/>
    <n v="76"/>
    <s v="B"/>
    <s v="Outlier"/>
    <x v="1"/>
  </r>
  <r>
    <n v="872"/>
    <s v="France"/>
    <s v="F"/>
    <n v="20"/>
    <s v="B"/>
    <s v="Outlier"/>
    <x v="2"/>
  </r>
  <r>
    <n v="873"/>
    <s v="Finland"/>
    <s v="M"/>
    <n v="75"/>
    <s v="B"/>
    <s v="Outlier"/>
    <x v="1"/>
  </r>
  <r>
    <n v="874"/>
    <s v="USA"/>
    <s v="F"/>
    <n v="40"/>
    <s v="B"/>
    <s v="Outlier"/>
    <x v="0"/>
  </r>
  <r>
    <n v="875"/>
    <s v="USA"/>
    <s v="M"/>
    <n v="54"/>
    <s v="B"/>
    <s v="Outlier"/>
    <x v="1"/>
  </r>
  <r>
    <n v="876"/>
    <s v="USA"/>
    <s v="M"/>
    <n v="76"/>
    <s v="B"/>
    <s v="Outlier"/>
    <x v="1"/>
  </r>
  <r>
    <n v="877"/>
    <s v="India"/>
    <s v="M"/>
    <n v="78"/>
    <s v="B"/>
    <s v="Outlier"/>
    <x v="1"/>
  </r>
  <r>
    <n v="878"/>
    <s v="India"/>
    <s v="F"/>
    <n v="45"/>
    <s v="B"/>
    <s v="Outlier"/>
    <x v="1"/>
  </r>
  <r>
    <n v="879"/>
    <s v="USA"/>
    <s v="F"/>
    <n v="70"/>
    <s v="B"/>
    <s v="Outlier"/>
    <x v="1"/>
  </r>
  <r>
    <n v="880"/>
    <s v="India"/>
    <s v="M"/>
    <n v="44"/>
    <s v="B"/>
    <s v="Outlier"/>
    <x v="1"/>
  </r>
  <r>
    <n v="881"/>
    <s v="France"/>
    <s v="M"/>
    <n v="67"/>
    <s v="B"/>
    <s v="Outlier"/>
    <x v="1"/>
  </r>
  <r>
    <n v="882"/>
    <s v="Singapore"/>
    <s v="M"/>
    <n v="20"/>
    <s v="B"/>
    <s v="Outlier"/>
    <x v="2"/>
  </r>
  <r>
    <n v="883"/>
    <s v="USA"/>
    <s v="M"/>
    <n v="81"/>
    <s v="B"/>
    <s v="Outlier"/>
    <x v="1"/>
  </r>
  <r>
    <n v="884"/>
    <s v="India"/>
    <s v="M"/>
    <n v="53"/>
    <s v="B"/>
    <s v="Outlier"/>
    <x v="1"/>
  </r>
  <r>
    <n v="885"/>
    <s v="Germany"/>
    <s v="F"/>
    <n v="53"/>
    <s v="B"/>
    <s v="Outlier"/>
    <x v="1"/>
  </r>
  <r>
    <n v="886"/>
    <s v="USA"/>
    <s v="M"/>
    <n v="72"/>
    <s v="B"/>
    <s v="Outlier"/>
    <x v="1"/>
  </r>
  <r>
    <n v="887"/>
    <s v="USA"/>
    <s v="F"/>
    <n v="28"/>
    <s v="B"/>
    <s v="Outlier"/>
    <x v="2"/>
  </r>
  <r>
    <n v="888"/>
    <s v="Denmark"/>
    <s v="M"/>
    <n v="71"/>
    <s v="B"/>
    <s v="Outlier"/>
    <x v="1"/>
  </r>
  <r>
    <n v="889"/>
    <s v="Italy"/>
    <s v="F"/>
    <n v="30"/>
    <s v="B"/>
    <s v="Outlier"/>
    <x v="2"/>
  </r>
  <r>
    <n v="890"/>
    <s v="USA"/>
    <s v="F"/>
    <n v="84"/>
    <s v="B"/>
    <s v="Outlier"/>
    <x v="1"/>
  </r>
  <r>
    <n v="891"/>
    <s v="USA"/>
    <s v="M"/>
    <n v="45"/>
    <s v="B"/>
    <s v="Outlier"/>
    <x v="1"/>
  </r>
  <r>
    <n v="892"/>
    <s v="USA"/>
    <s v="F"/>
    <n v="34"/>
    <s v="B"/>
    <s v="Outlier"/>
    <x v="0"/>
  </r>
  <r>
    <n v="893"/>
    <s v="USA"/>
    <s v="M"/>
    <n v="53"/>
    <s v="B"/>
    <s v="Outlier"/>
    <x v="1"/>
  </r>
  <r>
    <n v="894"/>
    <s v="Australia"/>
    <s v="F"/>
    <n v="37"/>
    <s v="B"/>
    <s v="Outlier"/>
    <x v="0"/>
  </r>
  <r>
    <n v="895"/>
    <s v="Switzerland"/>
    <s v="M"/>
    <n v="38"/>
    <s v="B"/>
    <s v="Outlier"/>
    <x v="0"/>
  </r>
  <r>
    <n v="896"/>
    <s v="Australia"/>
    <s v="F"/>
    <n v="79"/>
    <s v="B"/>
    <s v="Outlier"/>
    <x v="1"/>
  </r>
  <r>
    <n v="897"/>
    <s v="USA"/>
    <s v="M"/>
    <n v="46"/>
    <s v="B"/>
    <s v="Outlier"/>
    <x v="1"/>
  </r>
  <r>
    <n v="898"/>
    <s v="USA"/>
    <s v="M"/>
    <n v="64"/>
    <s v="B"/>
    <s v="Outlier"/>
    <x v="1"/>
  </r>
  <r>
    <n v="899"/>
    <s v="USA"/>
    <s v="F"/>
    <n v="75"/>
    <s v="B"/>
    <s v="Outlier"/>
    <x v="1"/>
  </r>
  <r>
    <n v="900"/>
    <s v="USA"/>
    <s v="M"/>
    <n v="54"/>
    <s v="B"/>
    <s v="Outlier"/>
    <x v="1"/>
  </r>
  <r>
    <n v="901"/>
    <s v="USA"/>
    <s v="F"/>
    <n v="44"/>
    <s v="B"/>
    <s v="Outlier"/>
    <x v="1"/>
  </r>
  <r>
    <n v="902"/>
    <s v="USA"/>
    <s v="F"/>
    <n v="82"/>
    <s v="B"/>
    <s v="Outlier"/>
    <x v="1"/>
  </r>
  <r>
    <n v="903"/>
    <s v="USA"/>
    <s v="M"/>
    <n v="27"/>
    <s v="B"/>
    <s v="Outlier"/>
    <x v="2"/>
  </r>
  <r>
    <n v="904"/>
    <s v="India"/>
    <s v="F"/>
    <n v="34"/>
    <s v="B"/>
    <s v="Outlier"/>
    <x v="0"/>
  </r>
  <r>
    <n v="905"/>
    <s v="USA"/>
    <s v="F"/>
    <n v="25"/>
    <s v="B"/>
    <s v="Outlier"/>
    <x v="2"/>
  </r>
  <r>
    <n v="906"/>
    <s v="France"/>
    <s v="M"/>
    <n v="79"/>
    <s v="B"/>
    <s v="Outlier"/>
    <x v="1"/>
  </r>
  <r>
    <n v="907"/>
    <s v="Denmark"/>
    <s v="M"/>
    <n v="55"/>
    <s v="B"/>
    <s v="Outlier"/>
    <x v="1"/>
  </r>
  <r>
    <n v="908"/>
    <s v="USA"/>
    <s v="F"/>
    <n v="75"/>
    <s v="B"/>
    <s v="Outlier"/>
    <x v="1"/>
  </r>
  <r>
    <n v="909"/>
    <s v="India"/>
    <s v="M"/>
    <n v="71"/>
    <s v="B"/>
    <s v="Outlier"/>
    <x v="1"/>
  </r>
  <r>
    <n v="910"/>
    <s v="USA"/>
    <s v="M"/>
    <n v="68"/>
    <s v="B"/>
    <s v="Outlier"/>
    <x v="1"/>
  </r>
  <r>
    <n v="911"/>
    <s v="USA"/>
    <s v="F"/>
    <n v="27"/>
    <s v="B"/>
    <s v="Outlier"/>
    <x v="2"/>
  </r>
  <r>
    <n v="912"/>
    <s v="USA"/>
    <s v="M"/>
    <n v="33"/>
    <s v="B"/>
    <s v="Outlier"/>
    <x v="0"/>
  </r>
  <r>
    <n v="913"/>
    <s v="USA"/>
    <s v="F"/>
    <n v="28"/>
    <s v="B"/>
    <s v="Outlier"/>
    <x v="2"/>
  </r>
  <r>
    <n v="914"/>
    <s v="USA"/>
    <s v="F"/>
    <n v="80"/>
    <s v="B"/>
    <s v="Outlier"/>
    <x v="1"/>
  </r>
  <r>
    <n v="915"/>
    <s v="France"/>
    <s v="M"/>
    <n v="39"/>
    <s v="B"/>
    <s v="Outlier"/>
    <x v="0"/>
  </r>
  <r>
    <n v="916"/>
    <s v="France"/>
    <s v="M"/>
    <n v="61"/>
    <s v="B"/>
    <s v="Outlier"/>
    <x v="1"/>
  </r>
  <r>
    <n v="917"/>
    <s v="Norway"/>
    <s v="F"/>
    <n v="41"/>
    <s v="B"/>
    <s v="Outlier"/>
    <x v="1"/>
  </r>
  <r>
    <n v="918"/>
    <s v="Australia"/>
    <s v="M"/>
    <n v="75"/>
    <s v="B"/>
    <s v="Outlier"/>
    <x v="1"/>
  </r>
  <r>
    <n v="919"/>
    <s v="Denmark"/>
    <s v="M"/>
    <n v="27"/>
    <s v="B"/>
    <s v="Outlier"/>
    <x v="2"/>
  </r>
  <r>
    <n v="920"/>
    <s v="USA"/>
    <s v="M"/>
    <n v="67"/>
    <s v="B"/>
    <s v="Outlier"/>
    <x v="1"/>
  </r>
  <r>
    <n v="921"/>
    <s v="USA"/>
    <s v="F"/>
    <n v="52"/>
    <s v="B"/>
    <s v="Outlier"/>
    <x v="1"/>
  </r>
  <r>
    <n v="922"/>
    <s v="Switzerland"/>
    <s v="F"/>
    <n v="31"/>
    <s v="B"/>
    <s v="Outlier"/>
    <x v="0"/>
  </r>
  <r>
    <n v="923"/>
    <s v="USA"/>
    <s v="F"/>
    <n v="44"/>
    <s v="B"/>
    <s v="Outlier"/>
    <x v="1"/>
  </r>
  <r>
    <n v="924"/>
    <s v="India"/>
    <s v="M"/>
    <n v="64"/>
    <s v="B"/>
    <s v="Outlier"/>
    <x v="1"/>
  </r>
  <r>
    <n v="925"/>
    <s v="USA"/>
    <s v="F"/>
    <n v="34"/>
    <s v="B"/>
    <s v="Outlier"/>
    <x v="0"/>
  </r>
  <r>
    <n v="926"/>
    <s v="USA"/>
    <s v="F"/>
    <n v="19"/>
    <s v="B"/>
    <s v="Outlier"/>
    <x v="3"/>
  </r>
  <r>
    <n v="927"/>
    <s v="India"/>
    <s v="M"/>
    <n v="77"/>
    <s v="B"/>
    <s v="Outlier"/>
    <x v="1"/>
  </r>
  <r>
    <n v="928"/>
    <s v="Austria"/>
    <s v="F"/>
    <n v="56"/>
    <s v="B"/>
    <s v="Outlier"/>
    <x v="1"/>
  </r>
  <r>
    <n v="929"/>
    <s v="USA"/>
    <s v="M"/>
    <n v="18"/>
    <s v="B"/>
    <s v="Outlier"/>
    <x v="3"/>
  </r>
  <r>
    <n v="930"/>
    <s v="Australia"/>
    <s v="M"/>
    <n v="21"/>
    <s v="B"/>
    <s v="Outlier"/>
    <x v="2"/>
  </r>
  <r>
    <n v="931"/>
    <s v="USA"/>
    <s v="F"/>
    <n v="58"/>
    <s v="B"/>
    <s v="Outlier"/>
    <x v="1"/>
  </r>
  <r>
    <n v="932"/>
    <s v="Switzerland"/>
    <s v="F"/>
    <n v="61"/>
    <s v="B"/>
    <s v="Outlier"/>
    <x v="1"/>
  </r>
  <r>
    <n v="933"/>
    <s v="USA"/>
    <s v="F"/>
    <n v="24"/>
    <s v="B"/>
    <s v="Outlier"/>
    <x v="2"/>
  </r>
  <r>
    <n v="934"/>
    <s v="USA"/>
    <s v="M"/>
    <n v="70"/>
    <s v="B"/>
    <s v="Outlier"/>
    <x v="1"/>
  </r>
  <r>
    <n v="935"/>
    <s v="France"/>
    <s v="M"/>
    <n v="38"/>
    <s v="B"/>
    <s v="Outlier"/>
    <x v="0"/>
  </r>
  <r>
    <n v="936"/>
    <s v="Singapore"/>
    <s v="M"/>
    <n v="34"/>
    <s v="B"/>
    <s v="Outlier"/>
    <x v="0"/>
  </r>
  <r>
    <n v="937"/>
    <s v="Germany"/>
    <s v="F"/>
    <n v="21"/>
    <s v="B"/>
    <s v="Outlier"/>
    <x v="2"/>
  </r>
  <r>
    <n v="938"/>
    <s v="Germany"/>
    <s v="F"/>
    <n v="42"/>
    <s v="B"/>
    <s v="Outlier"/>
    <x v="1"/>
  </r>
  <r>
    <n v="939"/>
    <s v="USA"/>
    <s v="M"/>
    <n v="73"/>
    <s v="B"/>
    <s v="Outlier"/>
    <x v="1"/>
  </r>
  <r>
    <n v="940"/>
    <s v="USA"/>
    <s v="M"/>
    <n v="79"/>
    <s v="B"/>
    <s v="Outlier"/>
    <x v="1"/>
  </r>
  <r>
    <n v="941"/>
    <s v="USA"/>
    <s v="M"/>
    <n v="81"/>
    <s v="B"/>
    <s v="Outlier"/>
    <x v="1"/>
  </r>
  <r>
    <n v="942"/>
    <s v="USA"/>
    <s v="F"/>
    <n v="72"/>
    <s v="B"/>
    <s v="Outlier"/>
    <x v="1"/>
  </r>
  <r>
    <n v="943"/>
    <s v="USA"/>
    <s v="F"/>
    <n v="48"/>
    <s v="B"/>
    <s v="Outlier"/>
    <x v="1"/>
  </r>
  <r>
    <n v="944"/>
    <s v="India"/>
    <s v="M"/>
    <n v="38"/>
    <s v="B"/>
    <s v="Outlier"/>
    <x v="0"/>
  </r>
  <r>
    <n v="945"/>
    <s v="France"/>
    <s v="M"/>
    <n v="34"/>
    <s v="B"/>
    <s v="Outlier"/>
    <x v="0"/>
  </r>
  <r>
    <n v="946"/>
    <s v="India"/>
    <s v="M"/>
    <n v="27"/>
    <s v="B"/>
    <s v="Outlier"/>
    <x v="2"/>
  </r>
  <r>
    <n v="947"/>
    <s v="Australia"/>
    <s v="F"/>
    <n v="22"/>
    <s v="B"/>
    <s v="Outlier"/>
    <x v="2"/>
  </r>
  <r>
    <n v="948"/>
    <s v="Finland"/>
    <s v="M"/>
    <n v="27"/>
    <s v="B"/>
    <s v="Outlier"/>
    <x v="2"/>
  </r>
  <r>
    <n v="949"/>
    <s v="Norway"/>
    <s v="M"/>
    <n v="71"/>
    <s v="B"/>
    <s v="Outlier"/>
    <x v="1"/>
  </r>
  <r>
    <n v="950"/>
    <s v="France"/>
    <s v="M"/>
    <n v="72"/>
    <s v="B"/>
    <s v="Outlier"/>
    <x v="1"/>
  </r>
  <r>
    <n v="951"/>
    <s v="Germany"/>
    <s v="M"/>
    <n v="22"/>
    <s v="B"/>
    <s v="Outlier"/>
    <x v="2"/>
  </r>
  <r>
    <n v="952"/>
    <s v="Austria"/>
    <s v="F"/>
    <n v="40"/>
    <s v="B"/>
    <s v="Outlier"/>
    <x v="0"/>
  </r>
  <r>
    <n v="953"/>
    <s v="USA"/>
    <s v="F"/>
    <n v="67"/>
    <s v="B"/>
    <s v="Outlier"/>
    <x v="1"/>
  </r>
  <r>
    <n v="954"/>
    <s v="India"/>
    <s v="M"/>
    <n v="35"/>
    <s v="B"/>
    <s v="Outlier"/>
    <x v="0"/>
  </r>
  <r>
    <n v="955"/>
    <s v="India"/>
    <s v="M"/>
    <n v="85"/>
    <s v="B"/>
    <s v="Outlier"/>
    <x v="1"/>
  </r>
  <r>
    <n v="956"/>
    <s v="France"/>
    <s v="M"/>
    <n v="27"/>
    <s v="B"/>
    <s v="Outlier"/>
    <x v="2"/>
  </r>
  <r>
    <n v="957"/>
    <s v="Norway"/>
    <s v="F"/>
    <n v="24"/>
    <s v="B"/>
    <s v="Outlier"/>
    <x v="2"/>
  </r>
  <r>
    <n v="958"/>
    <s v="USA"/>
    <s v="M"/>
    <n v="89"/>
    <s v="B"/>
    <s v="Outlier"/>
    <x v="1"/>
  </r>
  <r>
    <n v="959"/>
    <s v="USA"/>
    <s v="F"/>
    <n v="72"/>
    <s v="B"/>
    <s v="Outlier"/>
    <x v="1"/>
  </r>
  <r>
    <n v="960"/>
    <s v="USA"/>
    <s v="F"/>
    <n v="69"/>
    <s v="B"/>
    <s v="Outlier"/>
    <x v="1"/>
  </r>
  <r>
    <n v="961"/>
    <s v="USA"/>
    <s v="F"/>
    <n v="82"/>
    <s v="B"/>
    <s v="Outlier"/>
    <x v="1"/>
  </r>
  <r>
    <n v="962"/>
    <s v="USA"/>
    <s v="F"/>
    <n v="75"/>
    <s v="B"/>
    <s v="Outlier"/>
    <x v="1"/>
  </r>
  <r>
    <n v="963"/>
    <s v="USA"/>
    <s v="F"/>
    <n v="67"/>
    <s v="B"/>
    <s v="Outlier"/>
    <x v="1"/>
  </r>
  <r>
    <n v="964"/>
    <s v="France"/>
    <s v="F"/>
    <n v="53"/>
    <s v="B"/>
    <s v="Outlier"/>
    <x v="1"/>
  </r>
  <r>
    <n v="965"/>
    <s v="Australia"/>
    <s v="F"/>
    <n v="50"/>
    <s v="B"/>
    <s v="Outlier"/>
    <x v="1"/>
  </r>
  <r>
    <n v="966"/>
    <s v="USA"/>
    <s v="F"/>
    <n v="49"/>
    <s v="B"/>
    <s v="Outlier"/>
    <x v="1"/>
  </r>
  <r>
    <n v="967"/>
    <s v="Australia"/>
    <s v="F"/>
    <n v="54"/>
    <s v="B"/>
    <s v="Outlier"/>
    <x v="1"/>
  </r>
  <r>
    <n v="968"/>
    <s v="Denmark"/>
    <s v="F"/>
    <n v="44"/>
    <s v="B"/>
    <s v="Outlier"/>
    <x v="1"/>
  </r>
  <r>
    <n v="969"/>
    <s v="USA"/>
    <s v="F"/>
    <n v="27"/>
    <s v="B"/>
    <s v="Outlier"/>
    <x v="2"/>
  </r>
  <r>
    <n v="970"/>
    <s v="USA"/>
    <s v="M"/>
    <n v="72"/>
    <s v="B"/>
    <s v="Outlier"/>
    <x v="1"/>
  </r>
  <r>
    <n v="971"/>
    <s v="France"/>
    <s v="M"/>
    <n v="22"/>
    <s v="B"/>
    <s v="Outlier"/>
    <x v="2"/>
  </r>
  <r>
    <n v="972"/>
    <s v="France"/>
    <s v="F"/>
    <n v="35"/>
    <s v="B"/>
    <s v="Outlier"/>
    <x v="0"/>
  </r>
  <r>
    <n v="973"/>
    <s v="USA"/>
    <s v="M"/>
    <n v="50"/>
    <s v="B"/>
    <s v="Outlier"/>
    <x v="1"/>
  </r>
  <r>
    <n v="974"/>
    <s v="France"/>
    <s v="M"/>
    <n v="60"/>
    <s v="B"/>
    <s v="Outlier"/>
    <x v="1"/>
  </r>
  <r>
    <n v="975"/>
    <s v="France"/>
    <s v="M"/>
    <n v="45"/>
    <s v="B"/>
    <s v="Outlier"/>
    <x v="1"/>
  </r>
  <r>
    <n v="976"/>
    <s v="Singapore"/>
    <s v="F"/>
    <n v="48"/>
    <s v="B"/>
    <s v="Outlier"/>
    <x v="1"/>
  </r>
  <r>
    <n v="977"/>
    <s v="India"/>
    <s v="M"/>
    <n v="31"/>
    <s v="B"/>
    <s v="Outlier"/>
    <x v="0"/>
  </r>
  <r>
    <n v="978"/>
    <s v="USA"/>
    <s v="M"/>
    <n v="80"/>
    <s v="B"/>
    <s v="Outlier"/>
    <x v="1"/>
  </r>
  <r>
    <n v="979"/>
    <s v="Australia"/>
    <s v="F"/>
    <n v="47"/>
    <s v="B"/>
    <s v="Outlier"/>
    <x v="1"/>
  </r>
  <r>
    <n v="980"/>
    <s v="USA"/>
    <s v="F"/>
    <n v="31"/>
    <s v="B"/>
    <s v="Outlier"/>
    <x v="0"/>
  </r>
  <r>
    <n v="981"/>
    <s v="USA"/>
    <s v="F"/>
    <n v="78"/>
    <s v="B"/>
    <s v="Outlier"/>
    <x v="1"/>
  </r>
  <r>
    <n v="982"/>
    <s v="USA"/>
    <s v="F"/>
    <n v="35"/>
    <s v="B"/>
    <s v="Outlier"/>
    <x v="0"/>
  </r>
  <r>
    <n v="983"/>
    <s v="USA"/>
    <s v="M"/>
    <n v="58"/>
    <s v="B"/>
    <s v="Outlier"/>
    <x v="1"/>
  </r>
  <r>
    <n v="984"/>
    <s v="France"/>
    <s v="F"/>
    <n v="33"/>
    <s v="B"/>
    <s v="Outlier"/>
    <x v="0"/>
  </r>
  <r>
    <n v="985"/>
    <s v="USA"/>
    <s v="M"/>
    <n v="69"/>
    <s v="B"/>
    <s v="Outlier"/>
    <x v="1"/>
  </r>
  <r>
    <n v="986"/>
    <s v="Australia"/>
    <s v="F"/>
    <n v="44"/>
    <s v="B"/>
    <s v="Outlier"/>
    <x v="1"/>
  </r>
  <r>
    <n v="987"/>
    <s v="USA"/>
    <s v="F"/>
    <n v="23"/>
    <s v="B"/>
    <s v="Outlier"/>
    <x v="2"/>
  </r>
  <r>
    <n v="988"/>
    <s v="USA"/>
    <s v="M"/>
    <n v="62"/>
    <s v="B"/>
    <s v="Outlier"/>
    <x v="1"/>
  </r>
  <r>
    <n v="989"/>
    <s v="India"/>
    <s v="F"/>
    <n v="32"/>
    <s v="B"/>
    <s v="Outlier"/>
    <x v="0"/>
  </r>
  <r>
    <n v="990"/>
    <s v="Germany"/>
    <s v="M"/>
    <n v="37"/>
    <s v="B"/>
    <s v="Outlier"/>
    <x v="0"/>
  </r>
  <r>
    <n v="991"/>
    <s v="USA"/>
    <s v="F"/>
    <n v="55"/>
    <s v="B"/>
    <s v="Outlier"/>
    <x v="1"/>
  </r>
  <r>
    <n v="992"/>
    <s v="USA"/>
    <s v="M"/>
    <n v="51"/>
    <s v="B"/>
    <s v="Outlier"/>
    <x v="1"/>
  </r>
  <r>
    <n v="993"/>
    <s v="Finland"/>
    <s v="F"/>
    <n v="86"/>
    <s v="B"/>
    <s v="Outlier"/>
    <x v="1"/>
  </r>
  <r>
    <n v="994"/>
    <s v="USA"/>
    <s v="M"/>
    <n v="37"/>
    <s v="B"/>
    <s v="Outlier"/>
    <x v="0"/>
  </r>
  <r>
    <n v="995"/>
    <s v="France"/>
    <s v="F"/>
    <n v="82"/>
    <s v="B"/>
    <s v="Outlier"/>
    <x v="1"/>
  </r>
  <r>
    <n v="996"/>
    <s v="India"/>
    <s v="F"/>
    <n v="27"/>
    <s v="B"/>
    <s v="Outlier"/>
    <x v="2"/>
  </r>
  <r>
    <n v="997"/>
    <s v="India"/>
    <s v="F"/>
    <n v="58"/>
    <s v="B"/>
    <s v="Outlier"/>
    <x v="1"/>
  </r>
  <r>
    <n v="998"/>
    <s v="Norway"/>
    <s v="F"/>
    <n v="89"/>
    <s v="B"/>
    <s v="Outlier"/>
    <x v="1"/>
  </r>
  <r>
    <n v="999"/>
    <s v="USA"/>
    <s v="M"/>
    <n v="74"/>
    <s v="B"/>
    <s v="Outlier"/>
    <x v="1"/>
  </r>
  <r>
    <n v="1000"/>
    <s v="India"/>
    <s v="F"/>
    <n v="69"/>
    <s v="B"/>
    <s v="Outlier"/>
    <x v="1"/>
  </r>
  <r>
    <n v="1001"/>
    <s v="USA"/>
    <s v="F"/>
    <n v="41"/>
    <s v="C"/>
    <s v="Outlier"/>
    <x v="1"/>
  </r>
  <r>
    <n v="1002"/>
    <s v="India"/>
    <s v="M"/>
    <n v="86"/>
    <s v="C"/>
    <s v="Outlier"/>
    <x v="1"/>
  </r>
  <r>
    <n v="1003"/>
    <s v="USA"/>
    <s v="F"/>
    <n v="64"/>
    <s v="C"/>
    <s v="Outlier"/>
    <x v="1"/>
  </r>
  <r>
    <n v="1004"/>
    <s v="USA"/>
    <s v="M"/>
    <n v="55"/>
    <s v="C"/>
    <s v="Outlier"/>
    <x v="1"/>
  </r>
  <r>
    <n v="1005"/>
    <s v="France"/>
    <s v="M"/>
    <n v="60"/>
    <s v="C"/>
    <s v="Outlier"/>
    <x v="1"/>
  </r>
  <r>
    <n v="1006"/>
    <s v="Australia"/>
    <s v="F"/>
    <n v="18"/>
    <s v="C"/>
    <s v="Outlier"/>
    <x v="3"/>
  </r>
  <r>
    <n v="1007"/>
    <s v="USA"/>
    <s v="F"/>
    <n v="62"/>
    <s v="C"/>
    <s v="Outlier"/>
    <x v="1"/>
  </r>
  <r>
    <n v="1008"/>
    <s v="Singapore"/>
    <s v="F"/>
    <n v="27"/>
    <s v="C"/>
    <s v="Outlier"/>
    <x v="2"/>
  </r>
  <r>
    <n v="1009"/>
    <s v="USA"/>
    <s v="F"/>
    <n v="44"/>
    <s v="C"/>
    <s v="Outlier"/>
    <x v="1"/>
  </r>
  <r>
    <n v="1010"/>
    <s v="Spain"/>
    <s v="F"/>
    <n v="28"/>
    <s v="C"/>
    <s v="Outlier"/>
    <x v="2"/>
  </r>
  <r>
    <n v="1011"/>
    <s v="France"/>
    <s v="M"/>
    <n v="20"/>
    <s v="C"/>
    <s v="Outlier"/>
    <x v="2"/>
  </r>
  <r>
    <n v="1012"/>
    <s v="Spain"/>
    <s v="M"/>
    <n v="42"/>
    <s v="C"/>
    <s v="Outlier"/>
    <x v="1"/>
  </r>
  <r>
    <n v="1013"/>
    <s v="India"/>
    <s v="F"/>
    <n v="54"/>
    <s v="C"/>
    <s v="Outlier"/>
    <x v="1"/>
  </r>
  <r>
    <n v="1014"/>
    <s v="India"/>
    <s v="F"/>
    <n v="69"/>
    <s v="C"/>
    <s v="Outlier"/>
    <x v="1"/>
  </r>
  <r>
    <n v="1015"/>
    <s v="Italy"/>
    <s v="F"/>
    <n v="50"/>
    <s v="C"/>
    <s v="Outlier"/>
    <x v="1"/>
  </r>
  <r>
    <n v="1016"/>
    <s v="India"/>
    <s v="F"/>
    <n v="23"/>
    <s v="C"/>
    <s v="Outlier"/>
    <x v="2"/>
  </r>
  <r>
    <n v="1017"/>
    <s v="India"/>
    <s v="M"/>
    <n v="38"/>
    <s v="C"/>
    <s v="Outlier"/>
    <x v="0"/>
  </r>
  <r>
    <n v="1018"/>
    <s v="France"/>
    <s v="F"/>
    <n v="52"/>
    <s v="C"/>
    <s v="Outlier"/>
    <x v="1"/>
  </r>
  <r>
    <n v="1019"/>
    <s v="Italy"/>
    <s v="F"/>
    <n v="64"/>
    <s v="C"/>
    <s v="Outlier"/>
    <x v="1"/>
  </r>
  <r>
    <n v="1020"/>
    <s v="Australia"/>
    <s v="F"/>
    <n v="86"/>
    <s v="C"/>
    <s v="Outlier"/>
    <x v="1"/>
  </r>
  <r>
    <n v="1021"/>
    <s v="Singapore"/>
    <s v="M"/>
    <n v="49"/>
    <s v="C"/>
    <s v="Outlier"/>
    <x v="1"/>
  </r>
  <r>
    <n v="1022"/>
    <s v="India"/>
    <s v="F"/>
    <n v="60"/>
    <s v="C"/>
    <s v="Outlier"/>
    <x v="1"/>
  </r>
  <r>
    <n v="1023"/>
    <s v="Germany"/>
    <s v="M"/>
    <n v="52"/>
    <s v="C"/>
    <s v="Outlier"/>
    <x v="1"/>
  </r>
  <r>
    <n v="1024"/>
    <s v="Spain"/>
    <s v="F"/>
    <n v="80"/>
    <s v="C"/>
    <s v="Outlier"/>
    <x v="1"/>
  </r>
  <r>
    <n v="1025"/>
    <s v="Australia"/>
    <s v="M"/>
    <n v="48"/>
    <s v="C"/>
    <s v="Outlier"/>
    <x v="1"/>
  </r>
  <r>
    <n v="1026"/>
    <s v="Denmark"/>
    <s v="F"/>
    <n v="62"/>
    <s v="C"/>
    <s v="Outlier"/>
    <x v="1"/>
  </r>
  <r>
    <n v="1027"/>
    <s v="Spain"/>
    <s v="M"/>
    <n v="45"/>
    <s v="C"/>
    <s v="Outlier"/>
    <x v="1"/>
  </r>
  <r>
    <n v="1028"/>
    <s v="India"/>
    <s v="F"/>
    <n v="82"/>
    <s v="C"/>
    <s v="Outlier"/>
    <x v="1"/>
  </r>
  <r>
    <n v="1029"/>
    <s v="Spain"/>
    <s v="F"/>
    <n v="45"/>
    <s v="C"/>
    <s v="Outlier"/>
    <x v="1"/>
  </r>
  <r>
    <n v="1030"/>
    <s v="India"/>
    <s v="F"/>
    <n v="68"/>
    <s v="C"/>
    <s v="Outlier"/>
    <x v="1"/>
  </r>
  <r>
    <n v="1031"/>
    <s v="Australia"/>
    <s v="M"/>
    <n v="40"/>
    <s v="C"/>
    <s v="Outlier"/>
    <x v="0"/>
  </r>
  <r>
    <n v="1032"/>
    <s v="France"/>
    <s v="M"/>
    <n v="21"/>
    <s v="C"/>
    <s v="Outlier"/>
    <x v="2"/>
  </r>
  <r>
    <n v="1033"/>
    <s v="India"/>
    <s v="F"/>
    <n v="56"/>
    <s v="C"/>
    <s v="Outlier"/>
    <x v="1"/>
  </r>
  <r>
    <n v="1034"/>
    <s v="Italy"/>
    <s v="F"/>
    <n v="31"/>
    <s v="C"/>
    <s v="Outlier"/>
    <x v="0"/>
  </r>
  <r>
    <n v="1035"/>
    <s v="India"/>
    <s v="M"/>
    <n v="56"/>
    <s v="C"/>
    <s v="Outlier"/>
    <x v="1"/>
  </r>
  <r>
    <n v="1036"/>
    <s v="India"/>
    <s v="F"/>
    <n v="29"/>
    <s v="C"/>
    <s v="Outlier"/>
    <x v="2"/>
  </r>
  <r>
    <n v="1037"/>
    <s v="India"/>
    <s v="F"/>
    <n v="21"/>
    <s v="C"/>
    <s v="Outlier"/>
    <x v="2"/>
  </r>
  <r>
    <n v="1038"/>
    <s v="France"/>
    <s v="M"/>
    <n v="32"/>
    <s v="C"/>
    <s v="Outlier"/>
    <x v="0"/>
  </r>
  <r>
    <n v="1039"/>
    <s v="Spain"/>
    <s v="F"/>
    <n v="66"/>
    <s v="C"/>
    <s v="Outlier"/>
    <x v="1"/>
  </r>
  <r>
    <n v="1040"/>
    <s v="India"/>
    <s v="F"/>
    <n v="63"/>
    <s v="C"/>
    <s v="Outlier"/>
    <x v="1"/>
  </r>
  <r>
    <n v="1041"/>
    <s v="Italy"/>
    <s v="M"/>
    <n v="30"/>
    <s v="C"/>
    <s v="Outlier"/>
    <x v="2"/>
  </r>
  <r>
    <n v="1042"/>
    <s v="France"/>
    <s v="M"/>
    <n v="57"/>
    <s v="C"/>
    <s v="Outlier"/>
    <x v="1"/>
  </r>
  <r>
    <n v="1043"/>
    <s v="India"/>
    <s v="F"/>
    <n v="42"/>
    <s v="C"/>
    <s v="Outlier"/>
    <x v="1"/>
  </r>
  <r>
    <n v="1044"/>
    <s v="India"/>
    <s v="M"/>
    <n v="26"/>
    <s v="C"/>
    <s v="Outlier"/>
    <x v="2"/>
  </r>
  <r>
    <n v="1045"/>
    <s v="Spain"/>
    <s v="F"/>
    <n v="19"/>
    <s v="C"/>
    <s v="Outlier"/>
    <x v="3"/>
  </r>
  <r>
    <n v="1046"/>
    <s v="India"/>
    <s v="M"/>
    <n v="52"/>
    <s v="C"/>
    <s v="Outlier"/>
    <x v="1"/>
  </r>
  <r>
    <n v="1047"/>
    <s v="Italy"/>
    <s v="F"/>
    <n v="20"/>
    <s v="C"/>
    <s v="Outlier"/>
    <x v="2"/>
  </r>
  <r>
    <n v="1048"/>
    <s v="India"/>
    <s v="F"/>
    <n v="26"/>
    <s v="C"/>
    <s v="Outlier"/>
    <x v="2"/>
  </r>
  <r>
    <n v="1049"/>
    <s v="Spain"/>
    <s v="M"/>
    <n v="83"/>
    <s v="C"/>
    <s v="Outlier"/>
    <x v="1"/>
  </r>
  <r>
    <n v="1050"/>
    <s v="France"/>
    <s v="F"/>
    <n v="31"/>
    <s v="C"/>
    <s v="Outlier"/>
    <x v="0"/>
  </r>
  <r>
    <n v="1051"/>
    <s v="Spain"/>
    <s v="M"/>
    <n v="36"/>
    <s v="C"/>
    <s v="Outlier"/>
    <x v="0"/>
  </r>
  <r>
    <n v="1052"/>
    <s v="Germany"/>
    <s v="M"/>
    <n v="66"/>
    <s v="C"/>
    <s v="Outlier"/>
    <x v="1"/>
  </r>
  <r>
    <n v="1053"/>
    <s v="India"/>
    <s v="F"/>
    <n v="67"/>
    <s v="C"/>
    <s v="Outlier"/>
    <x v="1"/>
  </r>
  <r>
    <n v="1054"/>
    <s v="India"/>
    <s v="M"/>
    <n v="86"/>
    <s v="C"/>
    <s v="Outlier"/>
    <x v="1"/>
  </r>
  <r>
    <n v="1055"/>
    <s v="India"/>
    <s v="M"/>
    <n v="21"/>
    <s v="C"/>
    <s v="Outlier"/>
    <x v="2"/>
  </r>
  <r>
    <n v="1056"/>
    <s v="Spain"/>
    <s v="M"/>
    <n v="83"/>
    <s v="C"/>
    <s v="Outlier"/>
    <x v="1"/>
  </r>
  <r>
    <n v="1057"/>
    <s v="Spain"/>
    <s v="M"/>
    <n v="71"/>
    <s v="C"/>
    <s v="Outlier"/>
    <x v="1"/>
  </r>
  <r>
    <n v="1058"/>
    <s v="India"/>
    <s v="F"/>
    <n v="74"/>
    <s v="C"/>
    <s v="Outlier"/>
    <x v="1"/>
  </r>
  <r>
    <n v="1059"/>
    <s v="India"/>
    <s v="F"/>
    <n v="75"/>
    <s v="C"/>
    <s v="Outlier"/>
    <x v="1"/>
  </r>
  <r>
    <n v="1060"/>
    <s v="India"/>
    <s v="F"/>
    <n v="62"/>
    <s v="C"/>
    <s v="Outlier"/>
    <x v="1"/>
  </r>
  <r>
    <n v="1061"/>
    <s v="Finland"/>
    <s v="F"/>
    <n v="61"/>
    <s v="C"/>
    <s v="Outlier"/>
    <x v="1"/>
  </r>
  <r>
    <n v="1062"/>
    <s v="India"/>
    <s v="F"/>
    <n v="68"/>
    <s v="C"/>
    <s v="Outlier"/>
    <x v="1"/>
  </r>
  <r>
    <n v="1063"/>
    <s v="India"/>
    <s v="F"/>
    <n v="82"/>
    <s v="C"/>
    <s v="Outlier"/>
    <x v="1"/>
  </r>
  <r>
    <n v="1064"/>
    <s v="Austria"/>
    <s v="M"/>
    <n v="75"/>
    <s v="C"/>
    <s v="Outlier"/>
    <x v="1"/>
  </r>
  <r>
    <n v="1065"/>
    <s v="Norway"/>
    <s v="F"/>
    <n v="25"/>
    <s v="C"/>
    <s v="Outlier"/>
    <x v="2"/>
  </r>
  <r>
    <n v="1066"/>
    <s v="India"/>
    <s v="M"/>
    <n v="70"/>
    <s v="C"/>
    <s v="Outlier"/>
    <x v="1"/>
  </r>
  <r>
    <n v="1067"/>
    <s v="India"/>
    <s v="F"/>
    <n v="60"/>
    <s v="C"/>
    <s v="Outlier"/>
    <x v="1"/>
  </r>
  <r>
    <n v="1068"/>
    <s v="Spain"/>
    <s v="M"/>
    <n v="56"/>
    <s v="C"/>
    <s v="Outlier"/>
    <x v="1"/>
  </r>
  <r>
    <n v="1069"/>
    <s v="Australia"/>
    <s v="M"/>
    <n v="80"/>
    <s v="C"/>
    <s v="Outlier"/>
    <x v="1"/>
  </r>
  <r>
    <n v="1070"/>
    <s v="Singapore"/>
    <s v="F"/>
    <n v="60"/>
    <s v="C"/>
    <s v="Outlier"/>
    <x v="1"/>
  </r>
  <r>
    <n v="1071"/>
    <s v="India"/>
    <s v="F"/>
    <n v="32"/>
    <s v="C"/>
    <s v="Outlier"/>
    <x v="0"/>
  </r>
  <r>
    <n v="1072"/>
    <s v="India"/>
    <s v="F"/>
    <n v="78"/>
    <s v="C"/>
    <s v="Outlier"/>
    <x v="1"/>
  </r>
  <r>
    <n v="1073"/>
    <s v="Spain"/>
    <s v="F"/>
    <n v="60"/>
    <s v="C"/>
    <s v="Outlier"/>
    <x v="1"/>
  </r>
  <r>
    <n v="1074"/>
    <s v="Spain"/>
    <s v="F"/>
    <n v="48"/>
    <s v="C"/>
    <s v="Outlier"/>
    <x v="1"/>
  </r>
  <r>
    <n v="1075"/>
    <s v="Denmark"/>
    <s v="M"/>
    <n v="55"/>
    <s v="C"/>
    <s v="Outlier"/>
    <x v="1"/>
  </r>
  <r>
    <n v="1076"/>
    <s v="India"/>
    <s v="F"/>
    <n v="18"/>
    <s v="C"/>
    <s v="Outlier"/>
    <x v="3"/>
  </r>
  <r>
    <n v="1077"/>
    <s v="India"/>
    <s v="M"/>
    <n v="24"/>
    <s v="C"/>
    <s v="Outlier"/>
    <x v="2"/>
  </r>
  <r>
    <n v="1078"/>
    <s v="Australia"/>
    <s v="F"/>
    <n v="55"/>
    <s v="C"/>
    <s v="Outlier"/>
    <x v="1"/>
  </r>
  <r>
    <n v="1079"/>
    <s v="India"/>
    <s v="F"/>
    <n v="29"/>
    <s v="C"/>
    <s v="Outlier"/>
    <x v="2"/>
  </r>
  <r>
    <n v="1080"/>
    <s v="India"/>
    <s v="M"/>
    <n v="78"/>
    <s v="C"/>
    <s v="Outlier"/>
    <x v="1"/>
  </r>
  <r>
    <n v="1081"/>
    <s v="Italy"/>
    <s v="F"/>
    <n v="77"/>
    <s v="C"/>
    <s v="Outlier"/>
    <x v="1"/>
  </r>
  <r>
    <n v="1082"/>
    <s v="India"/>
    <s v="M"/>
    <n v="70"/>
    <s v="C"/>
    <s v="Outlier"/>
    <x v="1"/>
  </r>
  <r>
    <n v="1083"/>
    <s v="Spain"/>
    <s v="F"/>
    <n v="25"/>
    <s v="C"/>
    <s v="Outlier"/>
    <x v="2"/>
  </r>
  <r>
    <n v="1084"/>
    <s v="India"/>
    <s v="M"/>
    <n v="75"/>
    <s v="C"/>
    <s v="Outlier"/>
    <x v="1"/>
  </r>
  <r>
    <n v="1085"/>
    <s v="Spain"/>
    <s v="M"/>
    <n v="78"/>
    <s v="C"/>
    <s v="Outlier"/>
    <x v="1"/>
  </r>
  <r>
    <n v="1086"/>
    <s v="France"/>
    <s v="M"/>
    <n v="63"/>
    <s v="C"/>
    <s v="Outlier"/>
    <x v="1"/>
  </r>
  <r>
    <n v="1087"/>
    <s v="India"/>
    <s v="F"/>
    <n v="32"/>
    <s v="C"/>
    <s v="Outlier"/>
    <x v="0"/>
  </r>
  <r>
    <n v="1088"/>
    <s v="India"/>
    <s v="F"/>
    <n v="72"/>
    <s v="C"/>
    <s v="Outlier"/>
    <x v="1"/>
  </r>
  <r>
    <n v="1089"/>
    <s v="France"/>
    <s v="M"/>
    <n v="28"/>
    <s v="C"/>
    <s v="Outlier"/>
    <x v="2"/>
  </r>
  <r>
    <n v="1090"/>
    <s v="France"/>
    <s v="F"/>
    <n v="19"/>
    <s v="C"/>
    <s v="Outlier"/>
    <x v="3"/>
  </r>
  <r>
    <n v="1091"/>
    <s v="France"/>
    <s v="F"/>
    <n v="26"/>
    <s v="C"/>
    <s v="Outlier"/>
    <x v="2"/>
  </r>
  <r>
    <n v="1092"/>
    <s v="India"/>
    <s v="M"/>
    <n v="35"/>
    <s v="C"/>
    <s v="Outlier"/>
    <x v="0"/>
  </r>
  <r>
    <n v="1093"/>
    <s v="India"/>
    <s v="F"/>
    <n v="34"/>
    <s v="C"/>
    <s v="Outlier"/>
    <x v="0"/>
  </r>
  <r>
    <n v="1094"/>
    <s v="India"/>
    <s v="M"/>
    <n v="66"/>
    <s v="C"/>
    <s v="Outlier"/>
    <x v="1"/>
  </r>
  <r>
    <n v="1095"/>
    <s v="India"/>
    <s v="M"/>
    <n v="58"/>
    <s v="C"/>
    <s v="Outlier"/>
    <x v="1"/>
  </r>
  <r>
    <n v="1096"/>
    <s v="Spain"/>
    <s v="M"/>
    <n v="87"/>
    <s v="C"/>
    <s v="Outlier"/>
    <x v="1"/>
  </r>
  <r>
    <n v="1097"/>
    <s v="India"/>
    <s v="F"/>
    <n v="81"/>
    <s v="C"/>
    <s v="Outlier"/>
    <x v="1"/>
  </r>
  <r>
    <n v="1098"/>
    <s v="Singapore"/>
    <s v="M"/>
    <n v="31"/>
    <s v="C"/>
    <s v="Outlier"/>
    <x v="0"/>
  </r>
  <r>
    <n v="1099"/>
    <s v="France"/>
    <s v="F"/>
    <n v="76"/>
    <s v="C"/>
    <s v="Outlier"/>
    <x v="1"/>
  </r>
  <r>
    <n v="1100"/>
    <s v="Spain"/>
    <s v="F"/>
    <n v="30"/>
    <s v="C"/>
    <s v="Outlier"/>
    <x v="2"/>
  </r>
  <r>
    <n v="1101"/>
    <s v="India"/>
    <s v="F"/>
    <n v="27"/>
    <s v="C"/>
    <s v="Outlier"/>
    <x v="2"/>
  </r>
  <r>
    <n v="1102"/>
    <s v="India"/>
    <s v="M"/>
    <n v="66"/>
    <s v="C"/>
    <s v="Outlier"/>
    <x v="1"/>
  </r>
  <r>
    <n v="1103"/>
    <s v="India"/>
    <s v="F"/>
    <n v="32"/>
    <s v="C"/>
    <s v="Outlier"/>
    <x v="0"/>
  </r>
  <r>
    <n v="1104"/>
    <s v="Spain"/>
    <s v="F"/>
    <n v="21"/>
    <s v="C"/>
    <s v="Outlier"/>
    <x v="2"/>
  </r>
  <r>
    <n v="1105"/>
    <s v="France"/>
    <s v="F"/>
    <n v="79"/>
    <s v="C"/>
    <s v="Outlier"/>
    <x v="1"/>
  </r>
  <r>
    <n v="1106"/>
    <s v="Singapore"/>
    <s v="M"/>
    <n v="70"/>
    <s v="C"/>
    <s v="Outlier"/>
    <x v="1"/>
  </r>
  <r>
    <n v="1107"/>
    <s v="India"/>
    <s v="F"/>
    <n v="40"/>
    <s v="C"/>
    <s v="Outlier"/>
    <x v="0"/>
  </r>
  <r>
    <n v="1108"/>
    <s v="India"/>
    <s v="F"/>
    <n v="47"/>
    <s v="C"/>
    <s v="Outlier"/>
    <x v="1"/>
  </r>
  <r>
    <n v="1109"/>
    <s v="India"/>
    <s v="F"/>
    <n v="86"/>
    <s v="C"/>
    <s v="Outlier"/>
    <x v="1"/>
  </r>
  <r>
    <n v="1110"/>
    <s v="Denmark"/>
    <s v="F"/>
    <n v="43"/>
    <s v="C"/>
    <s v="Outlier"/>
    <x v="1"/>
  </r>
  <r>
    <n v="1111"/>
    <s v="Switzerland"/>
    <s v="F"/>
    <n v="31"/>
    <s v="C"/>
    <s v="Outlier"/>
    <x v="0"/>
  </r>
  <r>
    <n v="1112"/>
    <s v="Spain"/>
    <s v="F"/>
    <n v="30"/>
    <s v="C"/>
    <s v="Outlier"/>
    <x v="2"/>
  </r>
  <r>
    <n v="1113"/>
    <s v="Singapore"/>
    <s v="F"/>
    <n v="39"/>
    <s v="C"/>
    <s v="Outlier"/>
    <x v="0"/>
  </r>
  <r>
    <n v="1114"/>
    <s v="India"/>
    <s v="F"/>
    <n v="39"/>
    <s v="C"/>
    <s v="Outlier"/>
    <x v="0"/>
  </r>
  <r>
    <n v="1115"/>
    <s v="Finland"/>
    <s v="M"/>
    <n v="22"/>
    <s v="C"/>
    <s v="Outlier"/>
    <x v="2"/>
  </r>
  <r>
    <n v="1116"/>
    <s v="France"/>
    <s v="M"/>
    <n v="79"/>
    <s v="C"/>
    <s v="Outlier"/>
    <x v="1"/>
  </r>
  <r>
    <n v="1117"/>
    <s v="Australia"/>
    <s v="F"/>
    <n v="63"/>
    <s v="C"/>
    <s v="Outlier"/>
    <x v="1"/>
  </r>
  <r>
    <n v="1118"/>
    <s v="Australia"/>
    <s v="M"/>
    <n v="45"/>
    <s v="C"/>
    <s v="Outlier"/>
    <x v="1"/>
  </r>
  <r>
    <n v="1119"/>
    <s v="Australia"/>
    <s v="M"/>
    <n v="89"/>
    <s v="C"/>
    <s v="Outlier"/>
    <x v="1"/>
  </r>
  <r>
    <n v="1120"/>
    <s v="Denmark"/>
    <s v="F"/>
    <n v="53"/>
    <s v="C"/>
    <s v="Outlier"/>
    <x v="1"/>
  </r>
  <r>
    <n v="1121"/>
    <s v="India"/>
    <s v="F"/>
    <n v="51"/>
    <s v="C"/>
    <s v="Outlier"/>
    <x v="1"/>
  </r>
  <r>
    <n v="1122"/>
    <s v="Germany"/>
    <s v="M"/>
    <n v="33"/>
    <s v="C"/>
    <s v="Outlier"/>
    <x v="0"/>
  </r>
  <r>
    <n v="1123"/>
    <s v="France"/>
    <s v="F"/>
    <n v="54"/>
    <s v="C"/>
    <s v="Outlier"/>
    <x v="1"/>
  </r>
  <r>
    <n v="1124"/>
    <s v="Spain"/>
    <s v="M"/>
    <n v="36"/>
    <s v="C"/>
    <s v="Outlier"/>
    <x v="0"/>
  </r>
  <r>
    <n v="1125"/>
    <s v="Singapore"/>
    <s v="M"/>
    <n v="18"/>
    <s v="C"/>
    <s v="Outlier"/>
    <x v="3"/>
  </r>
  <r>
    <n v="1126"/>
    <s v="France"/>
    <s v="M"/>
    <n v="65"/>
    <s v="C"/>
    <s v="Outlier"/>
    <x v="1"/>
  </r>
  <r>
    <n v="1127"/>
    <s v="Norway"/>
    <s v="F"/>
    <n v="83"/>
    <s v="C"/>
    <s v="Outlier"/>
    <x v="1"/>
  </r>
  <r>
    <n v="1128"/>
    <s v="France"/>
    <s v="F"/>
    <n v="18"/>
    <s v="C"/>
    <s v="Outlier"/>
    <x v="3"/>
  </r>
  <r>
    <n v="1129"/>
    <s v="India"/>
    <s v="M"/>
    <n v="67"/>
    <s v="C"/>
    <s v="Outlier"/>
    <x v="1"/>
  </r>
  <r>
    <n v="1130"/>
    <s v="India"/>
    <s v="M"/>
    <n v="30"/>
    <s v="C"/>
    <s v="Outlier"/>
    <x v="2"/>
  </r>
  <r>
    <n v="1131"/>
    <s v="Australia"/>
    <s v="F"/>
    <n v="38"/>
    <s v="C"/>
    <s v="Outlier"/>
    <x v="0"/>
  </r>
  <r>
    <n v="1132"/>
    <s v="France"/>
    <s v="M"/>
    <n v="27"/>
    <s v="C"/>
    <s v="Outlier"/>
    <x v="2"/>
  </r>
  <r>
    <n v="1133"/>
    <s v="India"/>
    <s v="F"/>
    <n v="59"/>
    <s v="C"/>
    <s v="Outlier"/>
    <x v="1"/>
  </r>
  <r>
    <n v="1134"/>
    <s v="Italy"/>
    <s v="M"/>
    <n v="53"/>
    <s v="C"/>
    <s v="Outlier"/>
    <x v="1"/>
  </r>
  <r>
    <n v="1135"/>
    <s v="India"/>
    <s v="M"/>
    <n v="74"/>
    <s v="C"/>
    <s v="Outlier"/>
    <x v="1"/>
  </r>
  <r>
    <n v="1136"/>
    <s v="Singapore"/>
    <s v="F"/>
    <n v="89"/>
    <s v="C"/>
    <s v="Outlier"/>
    <x v="1"/>
  </r>
  <r>
    <n v="1137"/>
    <s v="France"/>
    <s v="M"/>
    <n v="52"/>
    <s v="C"/>
    <s v="Outlier"/>
    <x v="1"/>
  </r>
  <r>
    <n v="1138"/>
    <s v="Australia"/>
    <s v="F"/>
    <n v="83"/>
    <s v="C"/>
    <s v="Outlier"/>
    <x v="1"/>
  </r>
  <r>
    <n v="1139"/>
    <s v="USA"/>
    <s v="F"/>
    <n v="84"/>
    <s v="C"/>
    <s v="Outlier"/>
    <x v="1"/>
  </r>
  <r>
    <n v="1140"/>
    <s v="Finland"/>
    <s v="M"/>
    <n v="69"/>
    <s v="C"/>
    <s v="Outlier"/>
    <x v="1"/>
  </r>
  <r>
    <n v="1141"/>
    <s v="France"/>
    <s v="M"/>
    <n v="60"/>
    <s v="C"/>
    <s v="Outlier"/>
    <x v="1"/>
  </r>
  <r>
    <n v="1142"/>
    <s v="USA"/>
    <s v="F"/>
    <n v="59"/>
    <s v="C"/>
    <s v="Outlier"/>
    <x v="1"/>
  </r>
  <r>
    <n v="1143"/>
    <s v="Italy"/>
    <s v="M"/>
    <n v="59"/>
    <s v="C"/>
    <s v="Outlier"/>
    <x v="1"/>
  </r>
  <r>
    <n v="1144"/>
    <s v="USA"/>
    <s v="F"/>
    <n v="61"/>
    <s v="C"/>
    <s v="Outlier"/>
    <x v="1"/>
  </r>
  <r>
    <n v="1145"/>
    <s v="USA"/>
    <s v="F"/>
    <n v="50"/>
    <s v="C"/>
    <s v="Outlier"/>
    <x v="1"/>
  </r>
  <r>
    <n v="1146"/>
    <s v="USA"/>
    <s v="M"/>
    <n v="23"/>
    <s v="C"/>
    <s v="Outlier"/>
    <x v="2"/>
  </r>
  <r>
    <n v="1147"/>
    <s v="France"/>
    <s v="M"/>
    <n v="53"/>
    <s v="C"/>
    <s v="Outlier"/>
    <x v="1"/>
  </r>
  <r>
    <n v="1148"/>
    <s v="Finland"/>
    <s v="F"/>
    <n v="53"/>
    <s v="C"/>
    <s v="Outlier"/>
    <x v="1"/>
  </r>
  <r>
    <n v="1149"/>
    <s v="USA"/>
    <s v="M"/>
    <n v="31"/>
    <s v="C"/>
    <s v="Outlier"/>
    <x v="0"/>
  </r>
  <r>
    <n v="1150"/>
    <s v="USA"/>
    <s v="M"/>
    <n v="77"/>
    <s v="C"/>
    <s v="Outlier"/>
    <x v="1"/>
  </r>
  <r>
    <n v="1151"/>
    <s v="Australia"/>
    <s v="F"/>
    <n v="76"/>
    <s v="C"/>
    <s v="Outlier"/>
    <x v="1"/>
  </r>
  <r>
    <n v="1152"/>
    <s v="Spain"/>
    <s v="M"/>
    <n v="67"/>
    <s v="C"/>
    <s v="Outlier"/>
    <x v="1"/>
  </r>
  <r>
    <n v="1153"/>
    <s v="Italy"/>
    <s v="F"/>
    <n v="39"/>
    <s v="C"/>
    <s v="Outlier"/>
    <x v="0"/>
  </r>
  <r>
    <n v="1154"/>
    <s v="Spain"/>
    <s v="M"/>
    <n v="88"/>
    <s v="C"/>
    <s v="Outlier"/>
    <x v="1"/>
  </r>
  <r>
    <n v="1155"/>
    <s v="Spain"/>
    <s v="M"/>
    <n v="58"/>
    <s v="C"/>
    <s v="Outlier"/>
    <x v="1"/>
  </r>
  <r>
    <n v="1156"/>
    <s v="Norway"/>
    <s v="M"/>
    <n v="35"/>
    <s v="C"/>
    <s v="Outlier"/>
    <x v="0"/>
  </r>
  <r>
    <n v="1157"/>
    <s v="Singapore"/>
    <s v="F"/>
    <n v="70"/>
    <s v="C"/>
    <s v="Outlier"/>
    <x v="1"/>
  </r>
  <r>
    <n v="1158"/>
    <s v="Norway"/>
    <s v="M"/>
    <n v="59"/>
    <s v="C"/>
    <s v="Outlier"/>
    <x v="1"/>
  </r>
  <r>
    <n v="1159"/>
    <s v="USA"/>
    <s v="F"/>
    <n v="58"/>
    <s v="C"/>
    <s v="Outlier"/>
    <x v="1"/>
  </r>
  <r>
    <n v="1160"/>
    <s v="Australia"/>
    <s v="M"/>
    <n v="58"/>
    <s v="C"/>
    <s v="Outlier"/>
    <x v="1"/>
  </r>
  <r>
    <n v="1161"/>
    <s v="Spain"/>
    <s v="F"/>
    <n v="36"/>
    <s v="C"/>
    <s v="Outlier"/>
    <x v="0"/>
  </r>
  <r>
    <n v="1162"/>
    <s v="USA"/>
    <s v="F"/>
    <n v="87"/>
    <s v="C"/>
    <s v="Outlier"/>
    <x v="1"/>
  </r>
  <r>
    <n v="1163"/>
    <s v="Denmark"/>
    <s v="F"/>
    <n v="72"/>
    <s v="C"/>
    <s v="Outlier"/>
    <x v="1"/>
  </r>
  <r>
    <n v="1164"/>
    <s v="USA"/>
    <s v="M"/>
    <n v="63"/>
    <s v="C"/>
    <s v="Outlier"/>
    <x v="1"/>
  </r>
  <r>
    <n v="1165"/>
    <s v="Spain"/>
    <s v="M"/>
    <n v="28"/>
    <s v="C"/>
    <s v="Outlier"/>
    <x v="2"/>
  </r>
  <r>
    <n v="1166"/>
    <s v="USA"/>
    <s v="F"/>
    <n v="31"/>
    <s v="C"/>
    <s v="Outlier"/>
    <x v="0"/>
  </r>
  <r>
    <n v="1167"/>
    <s v="USA"/>
    <s v="M"/>
    <n v="78"/>
    <s v="C"/>
    <s v="Outlier"/>
    <x v="1"/>
  </r>
  <r>
    <n v="1168"/>
    <s v="USA"/>
    <s v="F"/>
    <n v="41"/>
    <s v="C"/>
    <s v="Outlier"/>
    <x v="1"/>
  </r>
  <r>
    <n v="1169"/>
    <s v="France"/>
    <s v="M"/>
    <n v="26"/>
    <s v="C"/>
    <s v="Outlier"/>
    <x v="2"/>
  </r>
  <r>
    <n v="1170"/>
    <s v="Germany"/>
    <s v="F"/>
    <n v="65"/>
    <s v="C"/>
    <s v="Outlier"/>
    <x v="1"/>
  </r>
  <r>
    <n v="1171"/>
    <s v="France"/>
    <s v="M"/>
    <n v="53"/>
    <s v="C"/>
    <s v="Outlier"/>
    <x v="1"/>
  </r>
  <r>
    <n v="1172"/>
    <s v="Australia"/>
    <s v="F"/>
    <n v="23"/>
    <s v="C"/>
    <s v="Outlier"/>
    <x v="2"/>
  </r>
  <r>
    <n v="1173"/>
    <s v="USA"/>
    <s v="M"/>
    <n v="84"/>
    <s v="C"/>
    <s v="Outlier"/>
    <x v="1"/>
  </r>
  <r>
    <n v="1174"/>
    <s v="USA"/>
    <s v="M"/>
    <n v="60"/>
    <s v="C"/>
    <s v="Outlier"/>
    <x v="1"/>
  </r>
  <r>
    <n v="1175"/>
    <s v="Germany"/>
    <s v="F"/>
    <n v="87"/>
    <s v="C"/>
    <s v="Outlier"/>
    <x v="1"/>
  </r>
  <r>
    <n v="1176"/>
    <s v="USA"/>
    <s v="F"/>
    <n v="89"/>
    <s v="C"/>
    <s v="Outlier"/>
    <x v="1"/>
  </r>
  <r>
    <n v="1177"/>
    <s v="Denmark"/>
    <s v="F"/>
    <n v="90"/>
    <s v="C"/>
    <s v="Outlier"/>
    <x v="1"/>
  </r>
  <r>
    <n v="1178"/>
    <s v="Australia"/>
    <s v="F"/>
    <n v="56"/>
    <s v="C"/>
    <s v="Outlier"/>
    <x v="1"/>
  </r>
  <r>
    <n v="1179"/>
    <s v="Spain"/>
    <s v="F"/>
    <n v="49"/>
    <s v="C"/>
    <s v="Outlier"/>
    <x v="1"/>
  </r>
  <r>
    <n v="1180"/>
    <s v="Spain"/>
    <s v="F"/>
    <n v="85"/>
    <s v="C"/>
    <s v="Outlier"/>
    <x v="1"/>
  </r>
  <r>
    <n v="1181"/>
    <s v="Singapore"/>
    <s v="F"/>
    <n v="68"/>
    <s v="C"/>
    <s v="Outlier"/>
    <x v="1"/>
  </r>
  <r>
    <n v="1182"/>
    <s v="USA"/>
    <s v="M"/>
    <n v="36"/>
    <s v="C"/>
    <s v="Outlier"/>
    <x v="0"/>
  </r>
  <r>
    <n v="1183"/>
    <s v="France"/>
    <s v="M"/>
    <n v="66"/>
    <s v="C"/>
    <s v="Outlier"/>
    <x v="1"/>
  </r>
  <r>
    <n v="1184"/>
    <s v="France"/>
    <s v="F"/>
    <n v="64"/>
    <s v="C"/>
    <s v="Outlier"/>
    <x v="1"/>
  </r>
  <r>
    <n v="1185"/>
    <s v="Australia"/>
    <s v="F"/>
    <n v="34"/>
    <s v="C"/>
    <s v="Outlier"/>
    <x v="0"/>
  </r>
  <r>
    <n v="1186"/>
    <s v="Singapore"/>
    <s v="M"/>
    <n v="89"/>
    <s v="C"/>
    <s v="Outlier"/>
    <x v="1"/>
  </r>
  <r>
    <n v="1187"/>
    <s v="Australia"/>
    <s v="M"/>
    <n v="31"/>
    <s v="C"/>
    <s v="Outlier"/>
    <x v="0"/>
  </r>
  <r>
    <n v="1188"/>
    <s v="USA"/>
    <s v="M"/>
    <n v="89"/>
    <s v="C"/>
    <s v="Outlier"/>
    <x v="1"/>
  </r>
  <r>
    <n v="1189"/>
    <s v="France"/>
    <s v="F"/>
    <n v="69"/>
    <s v="C"/>
    <s v="Outlier"/>
    <x v="1"/>
  </r>
  <r>
    <n v="1190"/>
    <s v="Norway"/>
    <s v="M"/>
    <n v="50"/>
    <s v="C"/>
    <s v="Outlier"/>
    <x v="1"/>
  </r>
  <r>
    <n v="1191"/>
    <s v="Australia"/>
    <s v="M"/>
    <n v="48"/>
    <s v="C"/>
    <s v="Outlier"/>
    <x v="1"/>
  </r>
  <r>
    <n v="1192"/>
    <s v="USA"/>
    <s v="F"/>
    <n v="87"/>
    <s v="C"/>
    <s v="Outlier"/>
    <x v="1"/>
  </r>
  <r>
    <n v="1193"/>
    <s v="Italy"/>
    <s v="M"/>
    <n v="69"/>
    <s v="C"/>
    <s v="Outlier"/>
    <x v="1"/>
  </r>
  <r>
    <n v="1194"/>
    <s v="Austria"/>
    <s v="M"/>
    <n v="64"/>
    <s v="C"/>
    <s v="Outlier"/>
    <x v="1"/>
  </r>
  <r>
    <n v="1195"/>
    <s v="Spain"/>
    <s v="M"/>
    <n v="35"/>
    <s v="C"/>
    <s v="Outlier"/>
    <x v="0"/>
  </r>
  <r>
    <n v="1196"/>
    <s v="USA"/>
    <s v="M"/>
    <n v="82"/>
    <s v="C"/>
    <s v="Outlier"/>
    <x v="1"/>
  </r>
  <r>
    <n v="1197"/>
    <s v="Singapore"/>
    <s v="F"/>
    <n v="55"/>
    <s v="C"/>
    <s v="Outlier"/>
    <x v="1"/>
  </r>
  <r>
    <n v="1198"/>
    <s v="USA"/>
    <s v="M"/>
    <n v="63"/>
    <s v="C"/>
    <s v="Outlier"/>
    <x v="1"/>
  </r>
  <r>
    <n v="1199"/>
    <s v="Italy"/>
    <s v="M"/>
    <n v="38"/>
    <s v="C"/>
    <s v="Outlier"/>
    <x v="0"/>
  </r>
  <r>
    <n v="1200"/>
    <s v="USA"/>
    <s v="F"/>
    <n v="31"/>
    <s v="C"/>
    <s v="Outlier"/>
    <x v="0"/>
  </r>
  <r>
    <n v="1201"/>
    <s v="France"/>
    <s v="M"/>
    <n v="89"/>
    <s v="C"/>
    <s v="Outlier"/>
    <x v="1"/>
  </r>
  <r>
    <n v="1202"/>
    <s v="France"/>
    <s v="F"/>
    <n v="25"/>
    <s v="C"/>
    <s v="Outlier"/>
    <x v="2"/>
  </r>
  <r>
    <n v="1203"/>
    <s v="USA"/>
    <s v="M"/>
    <n v="64"/>
    <s v="C"/>
    <s v="Outlier"/>
    <x v="1"/>
  </r>
  <r>
    <n v="1204"/>
    <s v="USA"/>
    <s v="F"/>
    <n v="89"/>
    <s v="C"/>
    <s v="Outlier"/>
    <x v="1"/>
  </r>
  <r>
    <n v="1205"/>
    <s v="Spain"/>
    <s v="F"/>
    <n v="89"/>
    <s v="C"/>
    <s v="Outlier"/>
    <x v="1"/>
  </r>
  <r>
    <n v="1206"/>
    <s v="USA"/>
    <s v="F"/>
    <n v="89"/>
    <s v="C"/>
    <s v="Outlier"/>
    <x v="1"/>
  </r>
  <r>
    <n v="1207"/>
    <s v="Italy"/>
    <s v="F"/>
    <n v="44"/>
    <s v="C"/>
    <s v="Outlier"/>
    <x v="1"/>
  </r>
  <r>
    <n v="1208"/>
    <s v="USA"/>
    <s v="M"/>
    <n v="73"/>
    <s v="C"/>
    <s v="Outlier"/>
    <x v="1"/>
  </r>
  <r>
    <n v="1209"/>
    <s v="Finland"/>
    <s v="M"/>
    <n v="38"/>
    <s v="C"/>
    <s v="Outlier"/>
    <x v="0"/>
  </r>
  <r>
    <n v="1210"/>
    <s v="Spain"/>
    <s v="M"/>
    <n v="88"/>
    <s v="C"/>
    <s v="Outlier"/>
    <x v="1"/>
  </r>
  <r>
    <n v="1211"/>
    <s v="USA"/>
    <s v="F"/>
    <n v="41"/>
    <s v="C"/>
    <s v="Outlier"/>
    <x v="1"/>
  </r>
  <r>
    <n v="1212"/>
    <s v="Singapore"/>
    <s v="F"/>
    <n v="43"/>
    <s v="C"/>
    <s v="Outlier"/>
    <x v="1"/>
  </r>
  <r>
    <n v="1213"/>
    <s v="Spain"/>
    <s v="F"/>
    <n v="75"/>
    <s v="C"/>
    <s v="Outlier"/>
    <x v="1"/>
  </r>
  <r>
    <n v="1214"/>
    <s v="France"/>
    <s v="M"/>
    <n v="29"/>
    <s v="C"/>
    <s v="Outlier"/>
    <x v="2"/>
  </r>
  <r>
    <n v="1215"/>
    <s v="USA"/>
    <s v="M"/>
    <n v="33"/>
    <s v="C"/>
    <s v="Outlier"/>
    <x v="0"/>
  </r>
  <r>
    <n v="1216"/>
    <s v="Australia"/>
    <s v="M"/>
    <n v="63"/>
    <s v="C"/>
    <s v="Outlier"/>
    <x v="1"/>
  </r>
  <r>
    <n v="1217"/>
    <s v="USA"/>
    <s v="F"/>
    <n v="68"/>
    <s v="C"/>
    <s v="Outlier"/>
    <x v="1"/>
  </r>
  <r>
    <n v="1218"/>
    <s v="USA"/>
    <s v="M"/>
    <n v="68"/>
    <s v="C"/>
    <s v="Outlier"/>
    <x v="1"/>
  </r>
  <r>
    <n v="1219"/>
    <s v="USA"/>
    <s v="M"/>
    <n v="19"/>
    <s v="C"/>
    <s v="Outlier"/>
    <x v="3"/>
  </r>
  <r>
    <n v="1220"/>
    <s v="USA"/>
    <s v="M"/>
    <n v="58"/>
    <s v="C"/>
    <s v="Outlier"/>
    <x v="1"/>
  </r>
  <r>
    <n v="1221"/>
    <s v="Denmark"/>
    <s v="M"/>
    <n v="54"/>
    <s v="C"/>
    <s v="Outlier"/>
    <x v="1"/>
  </r>
  <r>
    <n v="1222"/>
    <s v="Spain"/>
    <s v="F"/>
    <n v="58"/>
    <s v="C"/>
    <s v="Outlier"/>
    <x v="1"/>
  </r>
  <r>
    <n v="1223"/>
    <s v="USA"/>
    <s v="M"/>
    <n v="63"/>
    <s v="C"/>
    <s v="Outlier"/>
    <x v="1"/>
  </r>
  <r>
    <n v="1224"/>
    <s v="France"/>
    <s v="F"/>
    <n v="71"/>
    <s v="C"/>
    <s v="Outlier"/>
    <x v="1"/>
  </r>
  <r>
    <n v="1225"/>
    <s v="Spain"/>
    <s v="M"/>
    <n v="84"/>
    <s v="C"/>
    <s v="Outlier"/>
    <x v="1"/>
  </r>
  <r>
    <n v="1226"/>
    <s v="Norway"/>
    <s v="M"/>
    <n v="55"/>
    <s v="C"/>
    <s v="Outlier"/>
    <x v="1"/>
  </r>
  <r>
    <n v="1227"/>
    <s v="USA"/>
    <s v="F"/>
    <n v="40"/>
    <s v="C"/>
    <s v="Outlier"/>
    <x v="0"/>
  </r>
  <r>
    <n v="1228"/>
    <s v="USA"/>
    <s v="M"/>
    <n v="87"/>
    <s v="C"/>
    <s v="Outlier"/>
    <x v="1"/>
  </r>
  <r>
    <n v="1229"/>
    <s v="Australia"/>
    <s v="F"/>
    <n v="67"/>
    <s v="C"/>
    <s v="Outlier"/>
    <x v="1"/>
  </r>
  <r>
    <n v="1230"/>
    <s v="Spain"/>
    <s v="F"/>
    <n v="80"/>
    <s v="C"/>
    <s v="Outlier"/>
    <x v="1"/>
  </r>
  <r>
    <n v="1231"/>
    <s v="Austria"/>
    <s v="M"/>
    <n v="83"/>
    <s v="C"/>
    <s v="Outlier"/>
    <x v="1"/>
  </r>
  <r>
    <n v="1232"/>
    <s v="Spain"/>
    <s v="M"/>
    <n v="31"/>
    <s v="C"/>
    <s v="Outlier"/>
    <x v="0"/>
  </r>
  <r>
    <n v="1233"/>
    <s v="Ireland"/>
    <s v="F"/>
    <n v="47"/>
    <s v="C"/>
    <s v="Outlier"/>
    <x v="1"/>
  </r>
  <r>
    <n v="1234"/>
    <s v="USA"/>
    <s v="M"/>
    <n v="89"/>
    <s v="C"/>
    <s v="Outlier"/>
    <x v="1"/>
  </r>
  <r>
    <n v="1235"/>
    <s v="Singapore"/>
    <s v="M"/>
    <n v="69"/>
    <s v="C"/>
    <s v="Outlier"/>
    <x v="1"/>
  </r>
  <r>
    <n v="1236"/>
    <s v="USA"/>
    <s v="M"/>
    <n v="47"/>
    <s v="C"/>
    <s v="Outlier"/>
    <x v="1"/>
  </r>
  <r>
    <n v="1237"/>
    <s v="USA"/>
    <s v="F"/>
    <n v="87"/>
    <s v="C"/>
    <s v="Outlier"/>
    <x v="1"/>
  </r>
  <r>
    <n v="1238"/>
    <s v="USA"/>
    <s v="F"/>
    <n v="65"/>
    <s v="C"/>
    <s v="Outlier"/>
    <x v="1"/>
  </r>
  <r>
    <n v="1239"/>
    <s v="Spain"/>
    <s v="F"/>
    <n v="86"/>
    <s v="C"/>
    <s v="Outlier"/>
    <x v="1"/>
  </r>
  <r>
    <n v="1240"/>
    <s v="Germany"/>
    <s v="M"/>
    <n v="24"/>
    <s v="C"/>
    <s v="Outlier"/>
    <x v="2"/>
  </r>
  <r>
    <n v="1241"/>
    <s v="Austria"/>
    <s v="F"/>
    <n v="34"/>
    <s v="C"/>
    <s v="Outlier"/>
    <x v="0"/>
  </r>
  <r>
    <n v="1242"/>
    <s v="Spain"/>
    <s v="F"/>
    <n v="55"/>
    <s v="C"/>
    <s v="Outlier"/>
    <x v="1"/>
  </r>
  <r>
    <n v="1243"/>
    <s v="Spain"/>
    <s v="M"/>
    <n v="24"/>
    <s v="C"/>
    <s v="Outlier"/>
    <x v="2"/>
  </r>
  <r>
    <n v="1244"/>
    <s v="Spain"/>
    <s v="F"/>
    <n v="20"/>
    <s v="C"/>
    <s v="Outlier"/>
    <x v="2"/>
  </r>
  <r>
    <n v="1245"/>
    <s v="Spain"/>
    <s v="F"/>
    <n v="62"/>
    <s v="C"/>
    <s v="Outlier"/>
    <x v="1"/>
  </r>
  <r>
    <n v="1246"/>
    <s v="France"/>
    <s v="M"/>
    <n v="85"/>
    <s v="C"/>
    <s v="Outlier"/>
    <x v="1"/>
  </r>
  <r>
    <n v="1247"/>
    <s v="USA"/>
    <s v="F"/>
    <n v="24"/>
    <s v="C"/>
    <s v="Outlier"/>
    <x v="2"/>
  </r>
  <r>
    <n v="1248"/>
    <s v="USA"/>
    <s v="M"/>
    <n v="87"/>
    <s v="C"/>
    <s v="Outlier"/>
    <x v="1"/>
  </r>
  <r>
    <n v="1249"/>
    <s v="USA"/>
    <s v="F"/>
    <n v="76"/>
    <s v="C"/>
    <s v="Outlier"/>
    <x v="1"/>
  </r>
  <r>
    <n v="1250"/>
    <s v="USA"/>
    <s v="M"/>
    <n v="57"/>
    <s v="C"/>
    <s v="Outlier"/>
    <x v="1"/>
  </r>
  <r>
    <n v="1251"/>
    <s v="USA"/>
    <s v="M"/>
    <n v="31"/>
    <s v="C"/>
    <s v="Outlier"/>
    <x v="0"/>
  </r>
  <r>
    <n v="1252"/>
    <s v="USA"/>
    <s v="F"/>
    <n v="66"/>
    <s v="C"/>
    <s v="Outlier"/>
    <x v="1"/>
  </r>
  <r>
    <n v="1253"/>
    <s v="USA"/>
    <s v="F"/>
    <n v="79"/>
    <s v="C"/>
    <s v="Outlier"/>
    <x v="1"/>
  </r>
  <r>
    <n v="1254"/>
    <s v="France"/>
    <s v="M"/>
    <n v="71"/>
    <s v="C"/>
    <s v="Outlier"/>
    <x v="1"/>
  </r>
  <r>
    <n v="1255"/>
    <s v="Spain"/>
    <s v="M"/>
    <n v="77"/>
    <s v="C"/>
    <s v="Outlier"/>
    <x v="1"/>
  </r>
  <r>
    <n v="1256"/>
    <s v="Spain"/>
    <s v="M"/>
    <n v="29"/>
    <s v="C"/>
    <s v="Outlier"/>
    <x v="2"/>
  </r>
  <r>
    <n v="1257"/>
    <s v="USA"/>
    <s v="M"/>
    <n v="69"/>
    <s v="C"/>
    <s v="Outlier"/>
    <x v="1"/>
  </r>
  <r>
    <n v="1258"/>
    <s v="USA"/>
    <s v="M"/>
    <n v="87"/>
    <s v="C"/>
    <s v="Outlier"/>
    <x v="1"/>
  </r>
  <r>
    <n v="1259"/>
    <s v="USA"/>
    <s v="M"/>
    <n v="45"/>
    <s v="C"/>
    <s v="Outlier"/>
    <x v="1"/>
  </r>
  <r>
    <n v="1260"/>
    <s v="France"/>
    <s v="M"/>
    <n v="67"/>
    <s v="C"/>
    <s v="Outlier"/>
    <x v="1"/>
  </r>
  <r>
    <n v="1261"/>
    <s v="USA"/>
    <s v="M"/>
    <n v="49"/>
    <s v="C"/>
    <s v="Outlier"/>
    <x v="1"/>
  </r>
  <r>
    <n v="1262"/>
    <s v="USA"/>
    <s v="M"/>
    <n v="41"/>
    <s v="C"/>
    <s v="Outlier"/>
    <x v="1"/>
  </r>
  <r>
    <n v="1263"/>
    <s v="USA"/>
    <s v="F"/>
    <n v="78"/>
    <s v="C"/>
    <s v="Outlier"/>
    <x v="1"/>
  </r>
  <r>
    <n v="1264"/>
    <s v="Italy"/>
    <s v="F"/>
    <n v="47"/>
    <s v="C"/>
    <s v="Outlier"/>
    <x v="1"/>
  </r>
  <r>
    <n v="1265"/>
    <s v="USA"/>
    <s v="M"/>
    <n v="72"/>
    <s v="C"/>
    <s v="Outlier"/>
    <x v="1"/>
  </r>
  <r>
    <n v="1266"/>
    <s v="USA"/>
    <s v="M"/>
    <n v="42"/>
    <s v="C"/>
    <s v="Outlier"/>
    <x v="1"/>
  </r>
  <r>
    <n v="1267"/>
    <s v="Italy"/>
    <s v="M"/>
    <n v="62"/>
    <s v="C"/>
    <s v="Outlier"/>
    <x v="1"/>
  </r>
  <r>
    <n v="1268"/>
    <s v="USA"/>
    <s v="M"/>
    <n v="48"/>
    <s v="C"/>
    <s v="Outlier"/>
    <x v="1"/>
  </r>
  <r>
    <n v="1269"/>
    <s v="Switzerland"/>
    <s v="M"/>
    <n v="48"/>
    <s v="C"/>
    <s v="Outlier"/>
    <x v="1"/>
  </r>
  <r>
    <n v="1270"/>
    <s v="USA"/>
    <s v="M"/>
    <n v="48"/>
    <s v="C"/>
    <s v="Outlier"/>
    <x v="1"/>
  </r>
  <r>
    <n v="1271"/>
    <s v="France"/>
    <s v="F"/>
    <n v="43"/>
    <s v="C"/>
    <s v="Outlier"/>
    <x v="1"/>
  </r>
  <r>
    <n v="1272"/>
    <s v="Australia"/>
    <s v="F"/>
    <n v="39"/>
    <s v="C"/>
    <s v="Outlier"/>
    <x v="0"/>
  </r>
  <r>
    <n v="1273"/>
    <s v="Spain"/>
    <s v="F"/>
    <n v="18"/>
    <s v="C"/>
    <s v="Outlier"/>
    <x v="3"/>
  </r>
  <r>
    <n v="1274"/>
    <s v="USA"/>
    <s v="F"/>
    <n v="78"/>
    <s v="C"/>
    <s v="Outlier"/>
    <x v="1"/>
  </r>
  <r>
    <n v="1275"/>
    <s v="Singapore"/>
    <s v="F"/>
    <n v="88"/>
    <s v="C"/>
    <s v="Outlier"/>
    <x v="1"/>
  </r>
  <r>
    <n v="1276"/>
    <s v="France"/>
    <s v="M"/>
    <n v="88"/>
    <s v="C"/>
    <s v="Outlier"/>
    <x v="1"/>
  </r>
  <r>
    <n v="1277"/>
    <s v="Switzerland"/>
    <s v="F"/>
    <n v="73"/>
    <s v="C"/>
    <s v="Outlier"/>
    <x v="1"/>
  </r>
  <r>
    <n v="1278"/>
    <s v="USA"/>
    <s v="F"/>
    <n v="69"/>
    <s v="C"/>
    <s v="Outlier"/>
    <x v="1"/>
  </r>
  <r>
    <n v="1279"/>
    <s v="USA"/>
    <s v="F"/>
    <n v="52"/>
    <s v="C"/>
    <s v="Outlier"/>
    <x v="1"/>
  </r>
  <r>
    <n v="1280"/>
    <s v="USA"/>
    <s v="M"/>
    <n v="69"/>
    <s v="C"/>
    <s v="Outlier"/>
    <x v="1"/>
  </r>
  <r>
    <n v="1281"/>
    <s v="Spain"/>
    <s v="F"/>
    <n v="61"/>
    <s v="C"/>
    <s v="Outlier"/>
    <x v="1"/>
  </r>
  <r>
    <n v="1282"/>
    <s v="France"/>
    <s v="M"/>
    <n v="35"/>
    <s v="C"/>
    <s v="Outlier"/>
    <x v="0"/>
  </r>
  <r>
    <n v="1283"/>
    <s v="USA"/>
    <s v="M"/>
    <n v="30"/>
    <s v="C"/>
    <s v="Outlier"/>
    <x v="2"/>
  </r>
  <r>
    <n v="1284"/>
    <s v="Spain"/>
    <s v="M"/>
    <n v="73"/>
    <s v="C"/>
    <s v="Outlier"/>
    <x v="1"/>
  </r>
  <r>
    <n v="1285"/>
    <s v="Spain"/>
    <s v="F"/>
    <n v="56"/>
    <s v="C"/>
    <s v="Outlier"/>
    <x v="1"/>
  </r>
  <r>
    <n v="1286"/>
    <s v="USA"/>
    <s v="M"/>
    <n v="61"/>
    <s v="C"/>
    <s v="Outlier"/>
    <x v="1"/>
  </r>
  <r>
    <n v="1287"/>
    <s v="USA"/>
    <s v="M"/>
    <n v="55"/>
    <s v="C"/>
    <s v="Outlier"/>
    <x v="1"/>
  </r>
  <r>
    <n v="1288"/>
    <s v="USA"/>
    <s v="M"/>
    <n v="39"/>
    <s v="C"/>
    <s v="Outlier"/>
    <x v="0"/>
  </r>
  <r>
    <n v="1289"/>
    <s v="USA"/>
    <s v="F"/>
    <n v="30"/>
    <s v="C"/>
    <s v="Outlier"/>
    <x v="2"/>
  </r>
  <r>
    <n v="1290"/>
    <s v="USA"/>
    <s v="M"/>
    <n v="31"/>
    <s v="C"/>
    <s v="Outlier"/>
    <x v="0"/>
  </r>
  <r>
    <n v="1291"/>
    <s v="USA"/>
    <s v="F"/>
    <n v="72"/>
    <s v="C"/>
    <s v="Outlier"/>
    <x v="1"/>
  </r>
  <r>
    <n v="1292"/>
    <s v="USA"/>
    <s v="F"/>
    <n v="38"/>
    <s v="C"/>
    <s v="Outlier"/>
    <x v="0"/>
  </r>
  <r>
    <n v="1293"/>
    <s v="USA"/>
    <s v="M"/>
    <n v="38"/>
    <s v="C"/>
    <s v="Outlier"/>
    <x v="0"/>
  </r>
  <r>
    <n v="1294"/>
    <s v="France"/>
    <s v="F"/>
    <n v="54"/>
    <s v="C"/>
    <s v="Outlier"/>
    <x v="1"/>
  </r>
  <r>
    <n v="1295"/>
    <s v="Finland"/>
    <s v="F"/>
    <n v="86"/>
    <s v="C"/>
    <s v="Outlier"/>
    <x v="1"/>
  </r>
  <r>
    <n v="1296"/>
    <s v="Spain"/>
    <s v="M"/>
    <n v="20"/>
    <s v="C"/>
    <s v="Outlier"/>
    <x v="2"/>
  </r>
  <r>
    <n v="1297"/>
    <s v="USA"/>
    <s v="F"/>
    <n v="86"/>
    <s v="C"/>
    <s v="Outlier"/>
    <x v="1"/>
  </r>
  <r>
    <n v="1298"/>
    <s v="Australia"/>
    <s v="M"/>
    <n v="31"/>
    <s v="C"/>
    <s v="Outlier"/>
    <x v="0"/>
  </r>
  <r>
    <n v="1299"/>
    <s v="USA"/>
    <s v="M"/>
    <n v="44"/>
    <s v="C"/>
    <s v="Outlier"/>
    <x v="1"/>
  </r>
  <r>
    <n v="1300"/>
    <s v="Germany"/>
    <s v="M"/>
    <n v="74"/>
    <s v="C"/>
    <s v="Outlier"/>
    <x v="1"/>
  </r>
  <r>
    <n v="1301"/>
    <s v="Spain"/>
    <s v="M"/>
    <n v="84"/>
    <s v="C"/>
    <s v="Outlier"/>
    <x v="1"/>
  </r>
  <r>
    <n v="1302"/>
    <s v="France"/>
    <s v="F"/>
    <n v="28"/>
    <s v="C"/>
    <s v="Outlier"/>
    <x v="2"/>
  </r>
  <r>
    <n v="1303"/>
    <s v="Spain"/>
    <s v="M"/>
    <n v="81"/>
    <s v="C"/>
    <s v="Outlier"/>
    <x v="1"/>
  </r>
  <r>
    <n v="1304"/>
    <s v="Italy"/>
    <s v="F"/>
    <n v="18"/>
    <s v="C"/>
    <s v="Outlier"/>
    <x v="3"/>
  </r>
  <r>
    <n v="1305"/>
    <s v="France"/>
    <s v="M"/>
    <n v="58"/>
    <s v="C"/>
    <s v="Outlier"/>
    <x v="1"/>
  </r>
  <r>
    <n v="1306"/>
    <s v="USA"/>
    <s v="M"/>
    <n v="65"/>
    <s v="C"/>
    <s v="Outlier"/>
    <x v="1"/>
  </r>
  <r>
    <n v="1307"/>
    <s v="France"/>
    <s v="F"/>
    <n v="78"/>
    <s v="C"/>
    <s v="Outlier"/>
    <x v="1"/>
  </r>
  <r>
    <n v="1308"/>
    <s v="Spain"/>
    <s v="F"/>
    <n v="56"/>
    <s v="C"/>
    <s v="Outlier"/>
    <x v="1"/>
  </r>
  <r>
    <n v="1309"/>
    <s v="USA"/>
    <s v="F"/>
    <n v="88"/>
    <s v="C"/>
    <s v="Outlier"/>
    <x v="1"/>
  </r>
  <r>
    <n v="1310"/>
    <s v="Spain"/>
    <s v="M"/>
    <n v="70"/>
    <s v="C"/>
    <s v="Outlier"/>
    <x v="1"/>
  </r>
  <r>
    <n v="1311"/>
    <s v="USA"/>
    <s v="M"/>
    <n v="20"/>
    <s v="C"/>
    <s v="Outlier"/>
    <x v="2"/>
  </r>
  <r>
    <n v="1312"/>
    <s v="USA"/>
    <s v="F"/>
    <n v="59"/>
    <s v="C"/>
    <s v="Outlier"/>
    <x v="1"/>
  </r>
  <r>
    <n v="1313"/>
    <s v="USA"/>
    <s v="M"/>
    <n v="61"/>
    <s v="C"/>
    <s v="Outlier"/>
    <x v="1"/>
  </r>
  <r>
    <n v="1314"/>
    <s v="USA"/>
    <s v="F"/>
    <n v="86"/>
    <s v="C"/>
    <s v="Outlier"/>
    <x v="1"/>
  </r>
  <r>
    <n v="1315"/>
    <s v="USA"/>
    <s v="F"/>
    <n v="76"/>
    <s v="C"/>
    <s v="Outlier"/>
    <x v="1"/>
  </r>
  <r>
    <n v="1316"/>
    <s v="Australia"/>
    <s v="F"/>
    <n v="70"/>
    <s v="C"/>
    <s v="Outlier"/>
    <x v="1"/>
  </r>
  <r>
    <n v="1317"/>
    <s v="France"/>
    <s v="M"/>
    <n v="54"/>
    <s v="C"/>
    <s v="Outlier"/>
    <x v="1"/>
  </r>
  <r>
    <n v="1318"/>
    <s v="USA"/>
    <s v="M"/>
    <n v="24"/>
    <s v="C"/>
    <s v="Outlier"/>
    <x v="2"/>
  </r>
  <r>
    <n v="1319"/>
    <s v="USA"/>
    <s v="F"/>
    <n v="19"/>
    <s v="C"/>
    <s v="Outlier"/>
    <x v="3"/>
  </r>
  <r>
    <n v="1320"/>
    <s v="Germany"/>
    <s v="M"/>
    <n v="71"/>
    <s v="C"/>
    <s v="Outlier"/>
    <x v="1"/>
  </r>
  <r>
    <n v="1321"/>
    <s v="Italy"/>
    <s v="F"/>
    <n v="83"/>
    <s v="C"/>
    <s v="Outlier"/>
    <x v="1"/>
  </r>
  <r>
    <n v="1322"/>
    <s v="USA"/>
    <s v="F"/>
    <n v="49"/>
    <s v="C"/>
    <s v="Outlier"/>
    <x v="1"/>
  </r>
  <r>
    <n v="1323"/>
    <s v="Switzerland"/>
    <s v="F"/>
    <n v="81"/>
    <s v="C"/>
    <s v="Outlier"/>
    <x v="1"/>
  </r>
  <r>
    <n v="1324"/>
    <s v="USA"/>
    <s v="M"/>
    <n v="67"/>
    <s v="C"/>
    <s v="Outlier"/>
    <x v="1"/>
  </r>
  <r>
    <n v="1325"/>
    <s v="Spain"/>
    <s v="F"/>
    <n v="29"/>
    <s v="C"/>
    <s v="Outlier"/>
    <x v="2"/>
  </r>
  <r>
    <n v="1326"/>
    <s v="France"/>
    <s v="M"/>
    <n v="84"/>
    <s v="C"/>
    <s v="Outlier"/>
    <x v="1"/>
  </r>
  <r>
    <n v="1327"/>
    <s v="France"/>
    <s v="M"/>
    <n v="34"/>
    <s v="C"/>
    <s v="Outlier"/>
    <x v="0"/>
  </r>
  <r>
    <n v="1328"/>
    <s v="USA"/>
    <s v="M"/>
    <n v="38"/>
    <s v="C"/>
    <s v="Outlier"/>
    <x v="0"/>
  </r>
  <r>
    <n v="1329"/>
    <s v="USA"/>
    <s v="M"/>
    <n v="62"/>
    <s v="C"/>
    <s v="Outlier"/>
    <x v="1"/>
  </r>
  <r>
    <n v="1330"/>
    <s v="Australia"/>
    <s v="M"/>
    <n v="59"/>
    <s v="C"/>
    <s v="Outlier"/>
    <x v="1"/>
  </r>
  <r>
    <n v="1331"/>
    <s v="USA"/>
    <s v="F"/>
    <n v="84"/>
    <s v="C"/>
    <s v="Outlier"/>
    <x v="1"/>
  </r>
  <r>
    <n v="1332"/>
    <s v="Finland"/>
    <s v="M"/>
    <n v="49"/>
    <s v="C"/>
    <s v="Outlier"/>
    <x v="1"/>
  </r>
  <r>
    <n v="1333"/>
    <s v="USA"/>
    <s v="M"/>
    <n v="31"/>
    <s v="C"/>
    <s v="Outlier"/>
    <x v="0"/>
  </r>
  <r>
    <n v="1334"/>
    <s v="USA"/>
    <s v="F"/>
    <n v="30"/>
    <s v="C"/>
    <s v="Outlier"/>
    <x v="2"/>
  </r>
  <r>
    <n v="1335"/>
    <s v="USA"/>
    <s v="F"/>
    <n v="70"/>
    <s v="C"/>
    <s v="Outlier"/>
    <x v="1"/>
  </r>
  <r>
    <n v="1336"/>
    <s v="USA"/>
    <s v="M"/>
    <n v="89"/>
    <s v="C"/>
    <s v="Outlier"/>
    <x v="1"/>
  </r>
  <r>
    <n v="1337"/>
    <s v="Spain"/>
    <s v="F"/>
    <n v="54"/>
    <s v="C"/>
    <s v="Outlier"/>
    <x v="1"/>
  </r>
  <r>
    <n v="1338"/>
    <s v="Italy"/>
    <s v="M"/>
    <n v="37"/>
    <s v="C"/>
    <s v="Outlier"/>
    <x v="0"/>
  </r>
  <r>
    <n v="1339"/>
    <s v="France"/>
    <s v="M"/>
    <n v="34"/>
    <s v="C"/>
    <s v="Outlier"/>
    <x v="0"/>
  </r>
  <r>
    <n v="1340"/>
    <s v="Italy"/>
    <s v="F"/>
    <n v="40"/>
    <s v="C"/>
    <s v="Outlier"/>
    <x v="0"/>
  </r>
  <r>
    <n v="1341"/>
    <s v="France"/>
    <s v="F"/>
    <n v="56"/>
    <s v="C"/>
    <s v="Outlier"/>
    <x v="1"/>
  </r>
  <r>
    <n v="1342"/>
    <s v="USA"/>
    <s v="M"/>
    <n v="24"/>
    <s v="C"/>
    <s v="Outlier"/>
    <x v="2"/>
  </r>
  <r>
    <n v="1343"/>
    <s v="USA"/>
    <s v="F"/>
    <n v="32"/>
    <s v="C"/>
    <s v="Outlier"/>
    <x v="0"/>
  </r>
  <r>
    <n v="1344"/>
    <s v="Spain"/>
    <s v="M"/>
    <n v="40"/>
    <s v="C"/>
    <s v="Outlier"/>
    <x v="0"/>
  </r>
  <r>
    <n v="1345"/>
    <s v="USA"/>
    <s v="M"/>
    <n v="58"/>
    <s v="C"/>
    <s v="Outlier"/>
    <x v="1"/>
  </r>
  <r>
    <n v="1346"/>
    <s v="USA"/>
    <s v="M"/>
    <n v="81"/>
    <s v="C"/>
    <s v="Outlier"/>
    <x v="1"/>
  </r>
  <r>
    <n v="1347"/>
    <s v="France"/>
    <s v="M"/>
    <n v="55"/>
    <s v="C"/>
    <s v="Outlier"/>
    <x v="1"/>
  </r>
  <r>
    <n v="1348"/>
    <s v="USA"/>
    <s v="M"/>
    <n v="87"/>
    <s v="C"/>
    <s v="Outlier"/>
    <x v="1"/>
  </r>
  <r>
    <n v="1349"/>
    <s v="Australia"/>
    <s v="M"/>
    <n v="66"/>
    <s v="C"/>
    <s v="Outlier"/>
    <x v="1"/>
  </r>
  <r>
    <n v="1350"/>
    <s v="Spain"/>
    <s v="M"/>
    <n v="51"/>
    <s v="C"/>
    <s v="Outlier"/>
    <x v="1"/>
  </r>
  <r>
    <n v="1351"/>
    <s v="Spain"/>
    <s v="F"/>
    <n v="42"/>
    <s v="C"/>
    <s v="Outlier"/>
    <x v="1"/>
  </r>
  <r>
    <n v="1352"/>
    <s v="USA"/>
    <s v="F"/>
    <n v="20"/>
    <s v="C"/>
    <s v="Outlier"/>
    <x v="2"/>
  </r>
  <r>
    <n v="1353"/>
    <s v="USA"/>
    <s v="M"/>
    <n v="27"/>
    <s v="C"/>
    <s v="Outlier"/>
    <x v="2"/>
  </r>
  <r>
    <n v="1354"/>
    <s v="Singapore"/>
    <s v="M"/>
    <n v="68"/>
    <s v="C"/>
    <s v="Outlier"/>
    <x v="1"/>
  </r>
  <r>
    <n v="1355"/>
    <s v="Spain"/>
    <s v="M"/>
    <n v="83"/>
    <s v="C"/>
    <s v="Outlier"/>
    <x v="1"/>
  </r>
  <r>
    <n v="1356"/>
    <s v="Spain"/>
    <s v="M"/>
    <n v="26"/>
    <s v="C"/>
    <s v="Outlier"/>
    <x v="2"/>
  </r>
  <r>
    <n v="1357"/>
    <s v="Ireland"/>
    <s v="M"/>
    <n v="43"/>
    <s v="C"/>
    <s v="Outlier"/>
    <x v="1"/>
  </r>
  <r>
    <n v="1358"/>
    <s v="Australia"/>
    <s v="F"/>
    <n v="60"/>
    <s v="C"/>
    <s v="Outlier"/>
    <x v="1"/>
  </r>
  <r>
    <n v="1359"/>
    <s v="USA"/>
    <s v="M"/>
    <n v="78"/>
    <s v="C"/>
    <s v="Outlier"/>
    <x v="1"/>
  </r>
  <r>
    <n v="1360"/>
    <s v="Spain"/>
    <s v="F"/>
    <n v="40"/>
    <s v="C"/>
    <s v="Outlier"/>
    <x v="0"/>
  </r>
  <r>
    <n v="1361"/>
    <s v="Spain"/>
    <s v="F"/>
    <n v="50"/>
    <s v="C"/>
    <s v="Outlier"/>
    <x v="1"/>
  </r>
  <r>
    <n v="1362"/>
    <s v="Finland"/>
    <s v="M"/>
    <n v="40"/>
    <s v="C"/>
    <s v="Outlier"/>
    <x v="0"/>
  </r>
  <r>
    <n v="1363"/>
    <s v="France"/>
    <s v="F"/>
    <n v="81"/>
    <s v="C"/>
    <s v="Outlier"/>
    <x v="1"/>
  </r>
  <r>
    <n v="1364"/>
    <s v="France"/>
    <s v="M"/>
    <n v="82"/>
    <s v="C"/>
    <s v="Outlier"/>
    <x v="1"/>
  </r>
  <r>
    <n v="1365"/>
    <s v="USA"/>
    <s v="F"/>
    <n v="53"/>
    <s v="C"/>
    <s v="Outlier"/>
    <x v="1"/>
  </r>
  <r>
    <n v="1366"/>
    <s v="USA"/>
    <s v="M"/>
    <n v="44"/>
    <s v="C"/>
    <s v="Outlier"/>
    <x v="1"/>
  </r>
  <r>
    <n v="1367"/>
    <s v="Italy"/>
    <s v="F"/>
    <n v="25"/>
    <s v="C"/>
    <s v="Outlier"/>
    <x v="2"/>
  </r>
  <r>
    <n v="1368"/>
    <s v="USA"/>
    <s v="M"/>
    <n v="54"/>
    <s v="C"/>
    <s v="Outlier"/>
    <x v="1"/>
  </r>
  <r>
    <n v="1369"/>
    <s v="USA"/>
    <s v="F"/>
    <n v="87"/>
    <s v="C"/>
    <s v="Outlier"/>
    <x v="1"/>
  </r>
  <r>
    <n v="1370"/>
    <s v="Ireland"/>
    <s v="M"/>
    <n v="89"/>
    <s v="C"/>
    <s v="Outlier"/>
    <x v="1"/>
  </r>
  <r>
    <n v="1371"/>
    <s v="USA"/>
    <s v="M"/>
    <n v="29"/>
    <s v="C"/>
    <s v="Outlier"/>
    <x v="2"/>
  </r>
  <r>
    <n v="1372"/>
    <s v="France"/>
    <s v="M"/>
    <n v="28"/>
    <s v="C"/>
    <s v="Outlier"/>
    <x v="2"/>
  </r>
  <r>
    <n v="1373"/>
    <s v="Australia"/>
    <s v="F"/>
    <n v="43"/>
    <s v="C"/>
    <s v="Outlier"/>
    <x v="1"/>
  </r>
  <r>
    <n v="1374"/>
    <s v="France"/>
    <s v="M"/>
    <n v="80"/>
    <s v="C"/>
    <s v="Outlier"/>
    <x v="1"/>
  </r>
  <r>
    <n v="1375"/>
    <s v="USA"/>
    <s v="M"/>
    <n v="59"/>
    <s v="C"/>
    <s v="Outlier"/>
    <x v="1"/>
  </r>
  <r>
    <n v="1376"/>
    <s v="USA"/>
    <s v="F"/>
    <n v="74"/>
    <s v="C"/>
    <s v="Outlier"/>
    <x v="1"/>
  </r>
  <r>
    <n v="1377"/>
    <s v="Germany"/>
    <s v="M"/>
    <n v="33"/>
    <s v="C"/>
    <s v="Outlier"/>
    <x v="0"/>
  </r>
  <r>
    <n v="1378"/>
    <s v="Spain"/>
    <s v="M"/>
    <n v="31"/>
    <s v="C"/>
    <s v="Outlier"/>
    <x v="0"/>
  </r>
  <r>
    <n v="1379"/>
    <s v="USA"/>
    <s v="M"/>
    <n v="62"/>
    <s v="C"/>
    <s v="Outlier"/>
    <x v="1"/>
  </r>
  <r>
    <n v="1380"/>
    <s v="USA"/>
    <s v="F"/>
    <n v="68"/>
    <s v="C"/>
    <s v="Outlier"/>
    <x v="1"/>
  </r>
  <r>
    <n v="1381"/>
    <s v="USA"/>
    <s v="M"/>
    <n v="28"/>
    <s v="C"/>
    <s v="Outlier"/>
    <x v="2"/>
  </r>
  <r>
    <n v="1382"/>
    <s v="Spain"/>
    <s v="M"/>
    <n v="69"/>
    <s v="C"/>
    <s v="Outlier"/>
    <x v="1"/>
  </r>
  <r>
    <n v="1383"/>
    <s v="France"/>
    <s v="M"/>
    <n v="50"/>
    <s v="C"/>
    <s v="Outlier"/>
    <x v="1"/>
  </r>
  <r>
    <n v="1384"/>
    <s v="USA"/>
    <s v="F"/>
    <n v="39"/>
    <s v="C"/>
    <s v="Outlier"/>
    <x v="0"/>
  </r>
  <r>
    <n v="1385"/>
    <s v="USA"/>
    <s v="M"/>
    <n v="32"/>
    <s v="C"/>
    <s v="Outlier"/>
    <x v="0"/>
  </r>
  <r>
    <n v="1386"/>
    <s v="Austria"/>
    <s v="M"/>
    <n v="18"/>
    <s v="C"/>
    <s v="Outlier"/>
    <x v="3"/>
  </r>
  <r>
    <n v="1387"/>
    <s v="USA"/>
    <s v="M"/>
    <n v="90"/>
    <s v="C"/>
    <s v="Outlier"/>
    <x v="1"/>
  </r>
  <r>
    <n v="1388"/>
    <s v="Singapore"/>
    <s v="F"/>
    <n v="65"/>
    <s v="C"/>
    <s v="Outlier"/>
    <x v="1"/>
  </r>
  <r>
    <n v="1389"/>
    <s v="USA"/>
    <s v="F"/>
    <n v="29"/>
    <s v="C"/>
    <s v="Outlier"/>
    <x v="2"/>
  </r>
  <r>
    <n v="1390"/>
    <s v="Italy"/>
    <s v="F"/>
    <n v="27"/>
    <s v="C"/>
    <s v="Outlier"/>
    <x v="2"/>
  </r>
  <r>
    <n v="1391"/>
    <s v="USA"/>
    <s v="M"/>
    <n v="61"/>
    <s v="C"/>
    <s v="Outlier"/>
    <x v="1"/>
  </r>
  <r>
    <n v="1392"/>
    <s v="Ireland"/>
    <s v="F"/>
    <n v="81"/>
    <s v="C"/>
    <s v="Outlier"/>
    <x v="1"/>
  </r>
  <r>
    <n v="1393"/>
    <s v="Italy"/>
    <s v="F"/>
    <n v="76"/>
    <s v="C"/>
    <s v="Outlier"/>
    <x v="1"/>
  </r>
  <r>
    <n v="1394"/>
    <s v="USA"/>
    <s v="F"/>
    <n v="58"/>
    <s v="C"/>
    <s v="Outlier"/>
    <x v="1"/>
  </r>
  <r>
    <n v="1395"/>
    <s v="USA"/>
    <s v="F"/>
    <n v="63"/>
    <s v="C"/>
    <s v="Outlier"/>
    <x v="1"/>
  </r>
  <r>
    <n v="1396"/>
    <s v="USA"/>
    <s v="M"/>
    <n v="90"/>
    <s v="C"/>
    <s v="Outlier"/>
    <x v="1"/>
  </r>
  <r>
    <n v="1397"/>
    <s v="Spain"/>
    <s v="M"/>
    <n v="22"/>
    <s v="C"/>
    <s v="Outlier"/>
    <x v="2"/>
  </r>
  <r>
    <n v="1398"/>
    <s v="Denmark"/>
    <s v="F"/>
    <n v="44"/>
    <s v="C"/>
    <s v="Outlier"/>
    <x v="1"/>
  </r>
  <r>
    <n v="1399"/>
    <s v="Australia"/>
    <s v="F"/>
    <n v="24"/>
    <s v="C"/>
    <s v="Outlier"/>
    <x v="2"/>
  </r>
  <r>
    <n v="1400"/>
    <s v="USA"/>
    <s v="F"/>
    <n v="34"/>
    <s v="C"/>
    <s v="Outlier"/>
    <x v="0"/>
  </r>
  <r>
    <n v="1401"/>
    <s v="Finland"/>
    <s v="M"/>
    <n v="53"/>
    <s v="C"/>
    <s v="Outlier"/>
    <x v="1"/>
  </r>
  <r>
    <n v="1402"/>
    <s v="USA"/>
    <s v="M"/>
    <n v="80"/>
    <s v="C"/>
    <s v="Outlier"/>
    <x v="1"/>
  </r>
  <r>
    <n v="1403"/>
    <s v="USA"/>
    <s v="M"/>
    <n v="81"/>
    <s v="C"/>
    <s v="Outlier"/>
    <x v="1"/>
  </r>
  <r>
    <n v="1404"/>
    <s v="USA"/>
    <s v="F"/>
    <n v="59"/>
    <s v="C"/>
    <s v="Outlier"/>
    <x v="1"/>
  </r>
  <r>
    <n v="1405"/>
    <s v="USA"/>
    <s v="F"/>
    <n v="65"/>
    <s v="C"/>
    <s v="Outlier"/>
    <x v="1"/>
  </r>
  <r>
    <n v="1406"/>
    <s v="Australia"/>
    <s v="M"/>
    <n v="18"/>
    <s v="C"/>
    <s v="Outlier"/>
    <x v="3"/>
  </r>
  <r>
    <n v="1407"/>
    <s v="USA"/>
    <s v="F"/>
    <n v="37"/>
    <s v="C"/>
    <s v="Outlier"/>
    <x v="0"/>
  </r>
  <r>
    <n v="1408"/>
    <s v="USA"/>
    <s v="F"/>
    <n v="68"/>
    <s v="C"/>
    <s v="Outlier"/>
    <x v="1"/>
  </r>
  <r>
    <n v="1409"/>
    <s v="USA"/>
    <s v="F"/>
    <n v="63"/>
    <s v="C"/>
    <s v="Outlier"/>
    <x v="1"/>
  </r>
  <r>
    <n v="1410"/>
    <s v="USA"/>
    <s v="M"/>
    <n v="55"/>
    <s v="C"/>
    <s v="Outlier"/>
    <x v="1"/>
  </r>
  <r>
    <n v="1411"/>
    <s v="Spain"/>
    <s v="F"/>
    <n v="52"/>
    <s v="C"/>
    <s v="Outlier"/>
    <x v="1"/>
  </r>
  <r>
    <n v="1412"/>
    <s v="Italy"/>
    <s v="F"/>
    <n v="33"/>
    <s v="C"/>
    <s v="Outlier"/>
    <x v="0"/>
  </r>
  <r>
    <n v="1413"/>
    <s v="Spain"/>
    <s v="M"/>
    <n v="26"/>
    <s v="C"/>
    <s v="Outlier"/>
    <x v="2"/>
  </r>
  <r>
    <n v="1414"/>
    <s v="USA"/>
    <s v="F"/>
    <n v="28"/>
    <s v="C"/>
    <s v="Outlier"/>
    <x v="2"/>
  </r>
  <r>
    <n v="1415"/>
    <s v="France"/>
    <s v="F"/>
    <n v="71"/>
    <s v="C"/>
    <s v="Outlier"/>
    <x v="1"/>
  </r>
  <r>
    <n v="1416"/>
    <s v="USA"/>
    <s v="F"/>
    <n v="84"/>
    <s v="C"/>
    <s v="Outlier"/>
    <x v="1"/>
  </r>
  <r>
    <n v="1417"/>
    <s v="France"/>
    <s v="F"/>
    <n v="73"/>
    <s v="C"/>
    <s v="Outlier"/>
    <x v="1"/>
  </r>
  <r>
    <n v="1418"/>
    <s v="USA"/>
    <s v="M"/>
    <n v="24"/>
    <s v="C"/>
    <s v="Outlier"/>
    <x v="2"/>
  </r>
  <r>
    <n v="1419"/>
    <s v="USA"/>
    <s v="F"/>
    <n v="50"/>
    <s v="C"/>
    <s v="Outlier"/>
    <x v="1"/>
  </r>
  <r>
    <n v="1420"/>
    <s v="USA"/>
    <s v="M"/>
    <n v="28"/>
    <s v="C"/>
    <s v="Outlier"/>
    <x v="2"/>
  </r>
  <r>
    <n v="1421"/>
    <s v="Spain"/>
    <s v="M"/>
    <n v="21"/>
    <s v="C"/>
    <s v="Outlier"/>
    <x v="2"/>
  </r>
  <r>
    <n v="1422"/>
    <s v="USA"/>
    <s v="M"/>
    <n v="61"/>
    <s v="C"/>
    <s v="Outlier"/>
    <x v="1"/>
  </r>
  <r>
    <n v="1423"/>
    <s v="USA"/>
    <s v="M"/>
    <n v="78"/>
    <s v="C"/>
    <s v="Outlier"/>
    <x v="1"/>
  </r>
  <r>
    <n v="1424"/>
    <s v="Spain"/>
    <s v="M"/>
    <n v="39"/>
    <s v="C"/>
    <s v="Outlier"/>
    <x v="0"/>
  </r>
  <r>
    <n v="1425"/>
    <s v="Australia"/>
    <s v="F"/>
    <n v="79"/>
    <s v="C"/>
    <s v="Outlier"/>
    <x v="1"/>
  </r>
  <r>
    <n v="1426"/>
    <s v="USA"/>
    <s v="F"/>
    <n v="37"/>
    <s v="C"/>
    <s v="Outlier"/>
    <x v="0"/>
  </r>
  <r>
    <n v="1427"/>
    <s v="Italy"/>
    <s v="F"/>
    <n v="18"/>
    <s v="C"/>
    <s v="Outlier"/>
    <x v="3"/>
  </r>
  <r>
    <n v="1428"/>
    <s v="France"/>
    <s v="F"/>
    <n v="57"/>
    <s v="C"/>
    <s v="Outlier"/>
    <x v="1"/>
  </r>
  <r>
    <n v="1429"/>
    <s v="Austria"/>
    <s v="F"/>
    <n v="47"/>
    <s v="C"/>
    <s v="Outlier"/>
    <x v="1"/>
  </r>
  <r>
    <n v="1430"/>
    <s v="USA"/>
    <s v="F"/>
    <n v="82"/>
    <s v="C"/>
    <s v="Outlier"/>
    <x v="1"/>
  </r>
  <r>
    <n v="1431"/>
    <s v="USA"/>
    <s v="M"/>
    <n v="63"/>
    <s v="C"/>
    <s v="Outlier"/>
    <x v="1"/>
  </r>
  <r>
    <n v="1432"/>
    <s v="USA"/>
    <s v="F"/>
    <n v="30"/>
    <s v="C"/>
    <s v="Outlier"/>
    <x v="2"/>
  </r>
  <r>
    <n v="1433"/>
    <s v="Australia"/>
    <s v="F"/>
    <n v="28"/>
    <s v="C"/>
    <s v="Outlier"/>
    <x v="2"/>
  </r>
  <r>
    <n v="1434"/>
    <s v="USA"/>
    <s v="F"/>
    <n v="65"/>
    <s v="C"/>
    <s v="Outlier"/>
    <x v="1"/>
  </r>
  <r>
    <n v="1435"/>
    <s v="France"/>
    <s v="F"/>
    <n v="45"/>
    <s v="C"/>
    <s v="Outlier"/>
    <x v="1"/>
  </r>
  <r>
    <n v="1436"/>
    <s v="Spain"/>
    <s v="M"/>
    <n v="40"/>
    <s v="C"/>
    <s v="Outlier"/>
    <x v="0"/>
  </r>
  <r>
    <n v="1437"/>
    <s v="USA"/>
    <s v="M"/>
    <n v="80"/>
    <s v="C"/>
    <s v="Outlier"/>
    <x v="1"/>
  </r>
  <r>
    <n v="1438"/>
    <s v="Singapore"/>
    <s v="M"/>
    <n v="35"/>
    <s v="C"/>
    <s v="Outlier"/>
    <x v="0"/>
  </r>
  <r>
    <n v="1439"/>
    <s v="Spain"/>
    <s v="M"/>
    <n v="40"/>
    <s v="C"/>
    <s v="Outlier"/>
    <x v="0"/>
  </r>
  <r>
    <n v="1440"/>
    <s v="Spain"/>
    <s v="F"/>
    <n v="60"/>
    <s v="C"/>
    <s v="Outlier"/>
    <x v="1"/>
  </r>
  <r>
    <n v="1441"/>
    <s v="Australia"/>
    <s v="M"/>
    <n v="65"/>
    <s v="C"/>
    <s v="Outlier"/>
    <x v="1"/>
  </r>
  <r>
    <n v="1442"/>
    <s v="USA"/>
    <s v="M"/>
    <n v="82"/>
    <s v="C"/>
    <s v="Outlier"/>
    <x v="1"/>
  </r>
  <r>
    <n v="1443"/>
    <s v="USA"/>
    <s v="F"/>
    <n v="43"/>
    <s v="C"/>
    <s v="Outlier"/>
    <x v="1"/>
  </r>
  <r>
    <n v="1444"/>
    <s v="Spain"/>
    <s v="M"/>
    <n v="65"/>
    <s v="C"/>
    <s v="Outlier"/>
    <x v="1"/>
  </r>
  <r>
    <n v="1445"/>
    <s v="USA"/>
    <s v="M"/>
    <n v="51"/>
    <s v="C"/>
    <s v="Outlier"/>
    <x v="1"/>
  </r>
  <r>
    <n v="1446"/>
    <s v="Germany"/>
    <s v="F"/>
    <n v="52"/>
    <s v="C"/>
    <s v="Outlier"/>
    <x v="1"/>
  </r>
  <r>
    <n v="1447"/>
    <s v="Singapore"/>
    <s v="F"/>
    <n v="20"/>
    <s v="C"/>
    <s v="Outlier"/>
    <x v="2"/>
  </r>
  <r>
    <n v="1448"/>
    <s v="Denmark"/>
    <s v="M"/>
    <n v="84"/>
    <s v="C"/>
    <s v="Outlier"/>
    <x v="1"/>
  </r>
  <r>
    <n v="1449"/>
    <s v="USA"/>
    <s v="F"/>
    <n v="82"/>
    <s v="C"/>
    <s v="Outlier"/>
    <x v="1"/>
  </r>
  <r>
    <n v="1450"/>
    <s v="France"/>
    <s v="M"/>
    <n v="27"/>
    <s v="C"/>
    <s v="Outlier"/>
    <x v="2"/>
  </r>
  <r>
    <n v="1451"/>
    <s v="USA"/>
    <s v="F"/>
    <n v="51"/>
    <s v="C"/>
    <s v="Outlier"/>
    <x v="1"/>
  </r>
  <r>
    <n v="1452"/>
    <s v="France"/>
    <s v="F"/>
    <n v="22"/>
    <s v="C"/>
    <s v="Outlier"/>
    <x v="2"/>
  </r>
  <r>
    <n v="1453"/>
    <s v="Singapore"/>
    <s v="M"/>
    <n v="24"/>
    <s v="C"/>
    <s v="Outlier"/>
    <x v="2"/>
  </r>
  <r>
    <n v="1454"/>
    <s v="Spain"/>
    <s v="F"/>
    <n v="71"/>
    <s v="C"/>
    <s v="Outlier"/>
    <x v="1"/>
  </r>
  <r>
    <n v="1455"/>
    <s v="USA"/>
    <s v="F"/>
    <n v="87"/>
    <s v="C"/>
    <s v="Outlier"/>
    <x v="1"/>
  </r>
  <r>
    <n v="1456"/>
    <s v="Spain"/>
    <s v="F"/>
    <n v="35"/>
    <s v="C"/>
    <s v="Outlier"/>
    <x v="0"/>
  </r>
  <r>
    <n v="1457"/>
    <s v="Australia"/>
    <s v="M"/>
    <n v="49"/>
    <s v="C"/>
    <s v="Outlier"/>
    <x v="1"/>
  </r>
  <r>
    <n v="1458"/>
    <s v="France"/>
    <s v="M"/>
    <n v="67"/>
    <s v="C"/>
    <s v="Outlier"/>
    <x v="1"/>
  </r>
  <r>
    <n v="1459"/>
    <s v="France"/>
    <s v="M"/>
    <n v="59"/>
    <s v="C"/>
    <s v="Outlier"/>
    <x v="1"/>
  </r>
  <r>
    <n v="1460"/>
    <s v="Italy"/>
    <s v="M"/>
    <n v="63"/>
    <s v="C"/>
    <s v="Outlier"/>
    <x v="1"/>
  </r>
  <r>
    <n v="1461"/>
    <s v="USA"/>
    <s v="M"/>
    <n v="77"/>
    <s v="C"/>
    <s v="Outlier"/>
    <x v="1"/>
  </r>
  <r>
    <n v="1462"/>
    <s v="USA"/>
    <s v="M"/>
    <n v="65"/>
    <s v="C"/>
    <s v="Outlier"/>
    <x v="1"/>
  </r>
  <r>
    <n v="1463"/>
    <s v="Australia"/>
    <s v="F"/>
    <n v="31"/>
    <s v="C"/>
    <s v="Outlier"/>
    <x v="0"/>
  </r>
  <r>
    <n v="1464"/>
    <s v="France"/>
    <s v="F"/>
    <n v="73"/>
    <s v="C"/>
    <s v="Outlier"/>
    <x v="1"/>
  </r>
  <r>
    <n v="1465"/>
    <s v="France"/>
    <s v="M"/>
    <n v="71"/>
    <s v="C"/>
    <s v="Outlier"/>
    <x v="1"/>
  </r>
  <r>
    <n v="1466"/>
    <s v="Ireland"/>
    <s v="F"/>
    <n v="39"/>
    <s v="C"/>
    <s v="Outlier"/>
    <x v="0"/>
  </r>
  <r>
    <n v="1467"/>
    <s v="USA"/>
    <s v="F"/>
    <n v="18"/>
    <s v="C"/>
    <s v="Outlier"/>
    <x v="3"/>
  </r>
  <r>
    <n v="1468"/>
    <s v="USA"/>
    <s v="F"/>
    <n v="71"/>
    <s v="C"/>
    <s v="Outlier"/>
    <x v="1"/>
  </r>
  <r>
    <n v="1469"/>
    <s v="Italy"/>
    <s v="F"/>
    <n v="38"/>
    <s v="C"/>
    <s v="Outlier"/>
    <x v="0"/>
  </r>
  <r>
    <n v="1470"/>
    <s v="USA"/>
    <s v="F"/>
    <n v="34"/>
    <s v="C"/>
    <s v="Outlier"/>
    <x v="0"/>
  </r>
  <r>
    <n v="1471"/>
    <s v="Italy"/>
    <s v="F"/>
    <n v="69"/>
    <s v="C"/>
    <s v="Outlier"/>
    <x v="1"/>
  </r>
  <r>
    <n v="1472"/>
    <s v="USA"/>
    <s v="F"/>
    <n v="83"/>
    <s v="C"/>
    <s v="Outlier"/>
    <x v="1"/>
  </r>
  <r>
    <n v="1473"/>
    <s v="USA"/>
    <s v="F"/>
    <n v="40"/>
    <s v="C"/>
    <s v="Outlier"/>
    <x v="0"/>
  </r>
  <r>
    <n v="1474"/>
    <s v="USA"/>
    <s v="M"/>
    <n v="25"/>
    <s v="C"/>
    <s v="Outlier"/>
    <x v="2"/>
  </r>
  <r>
    <n v="1475"/>
    <s v="Spain"/>
    <s v="F"/>
    <n v="25"/>
    <s v="C"/>
    <s v="Outlier"/>
    <x v="2"/>
  </r>
  <r>
    <n v="1476"/>
    <s v="Italy"/>
    <s v="M"/>
    <n v="23"/>
    <s v="C"/>
    <s v="Outlier"/>
    <x v="2"/>
  </r>
  <r>
    <n v="1477"/>
    <s v="Spain"/>
    <s v="F"/>
    <n v="73"/>
    <s v="C"/>
    <s v="Outlier"/>
    <x v="1"/>
  </r>
  <r>
    <n v="1478"/>
    <s v="Austria"/>
    <s v="M"/>
    <n v="43"/>
    <s v="C"/>
    <s v="Outlier"/>
    <x v="1"/>
  </r>
  <r>
    <n v="1479"/>
    <s v="USA"/>
    <s v="F"/>
    <n v="87"/>
    <s v="C"/>
    <s v="Outlier"/>
    <x v="1"/>
  </r>
  <r>
    <n v="1480"/>
    <s v="Finland"/>
    <s v="M"/>
    <n v="43"/>
    <s v="C"/>
    <s v="Outlier"/>
    <x v="1"/>
  </r>
  <r>
    <n v="1481"/>
    <s v="USA"/>
    <s v="M"/>
    <n v="53"/>
    <s v="C"/>
    <s v="Outlier"/>
    <x v="1"/>
  </r>
  <r>
    <n v="1482"/>
    <s v="France"/>
    <s v="M"/>
    <n v="24"/>
    <s v="C"/>
    <s v="Outlier"/>
    <x v="2"/>
  </r>
  <r>
    <n v="1483"/>
    <s v="USA"/>
    <s v="M"/>
    <n v="82"/>
    <s v="C"/>
    <s v="Outlier"/>
    <x v="1"/>
  </r>
  <r>
    <n v="1484"/>
    <s v="USA"/>
    <s v="F"/>
    <n v="84"/>
    <s v="C"/>
    <s v="Outlier"/>
    <x v="1"/>
  </r>
  <r>
    <n v="1485"/>
    <s v="Spain"/>
    <s v="F"/>
    <n v="38"/>
    <s v="C"/>
    <s v="Outlier"/>
    <x v="0"/>
  </r>
  <r>
    <n v="1486"/>
    <s v="USA"/>
    <s v="F"/>
    <n v="30"/>
    <s v="C"/>
    <s v="Outlier"/>
    <x v="2"/>
  </r>
  <r>
    <n v="1487"/>
    <s v="Italy"/>
    <s v="M"/>
    <n v="76"/>
    <s v="C"/>
    <s v="Outlier"/>
    <x v="1"/>
  </r>
  <r>
    <n v="1488"/>
    <s v="USA"/>
    <s v="M"/>
    <n v="35"/>
    <s v="C"/>
    <s v="Outlier"/>
    <x v="0"/>
  </r>
  <r>
    <n v="1489"/>
    <s v="Spain"/>
    <s v="F"/>
    <n v="46"/>
    <s v="C"/>
    <s v="Outlier"/>
    <x v="1"/>
  </r>
  <r>
    <n v="1490"/>
    <s v="Spain"/>
    <s v="F"/>
    <n v="30"/>
    <s v="C"/>
    <s v="Outlier"/>
    <x v="2"/>
  </r>
  <r>
    <n v="1491"/>
    <s v="USA"/>
    <s v="F"/>
    <n v="67"/>
    <s v="C"/>
    <s v="Outlier"/>
    <x v="1"/>
  </r>
  <r>
    <n v="1492"/>
    <s v="USA"/>
    <s v="F"/>
    <n v="78"/>
    <s v="C"/>
    <s v="Outlier"/>
    <x v="1"/>
  </r>
  <r>
    <n v="1493"/>
    <s v="Denmark"/>
    <s v="F"/>
    <n v="25"/>
    <s v="C"/>
    <s v="Outlier"/>
    <x v="2"/>
  </r>
  <r>
    <n v="1494"/>
    <s v="Spain"/>
    <s v="M"/>
    <n v="35"/>
    <s v="C"/>
    <s v="Outlier"/>
    <x v="0"/>
  </r>
  <r>
    <n v="1495"/>
    <s v="Denmark"/>
    <s v="M"/>
    <n v="34"/>
    <s v="C"/>
    <s v="Outlier"/>
    <x v="0"/>
  </r>
  <r>
    <n v="1496"/>
    <s v="USA"/>
    <s v="F"/>
    <n v="74"/>
    <s v="C"/>
    <s v="Outlier"/>
    <x v="1"/>
  </r>
  <r>
    <n v="1497"/>
    <s v="Spain"/>
    <s v="F"/>
    <n v="48"/>
    <s v="C"/>
    <s v="Outlier"/>
    <x v="1"/>
  </r>
  <r>
    <n v="1498"/>
    <s v="Germany"/>
    <s v="F"/>
    <n v="75"/>
    <s v="C"/>
    <s v="Outlier"/>
    <x v="1"/>
  </r>
  <r>
    <n v="1499"/>
    <s v="USA"/>
    <s v="F"/>
    <n v="48"/>
    <s v="C"/>
    <s v="Outlier"/>
    <x v="1"/>
  </r>
  <r>
    <n v="1500"/>
    <s v="USA"/>
    <s v="M"/>
    <n v="19"/>
    <s v="C"/>
    <s v="Outlier"/>
    <x v="3"/>
  </r>
  <r>
    <n v="1501"/>
    <s v="USA"/>
    <s v="M"/>
    <n v="51"/>
    <s v="D"/>
    <s v="Outlier"/>
    <x v="1"/>
  </r>
  <r>
    <n v="1502"/>
    <s v="Spain"/>
    <s v="F"/>
    <n v="33"/>
    <s v="D"/>
    <s v="Outlier"/>
    <x v="0"/>
  </r>
  <r>
    <n v="1503"/>
    <s v="Norway"/>
    <s v="F"/>
    <n v="79"/>
    <s v="D"/>
    <s v="Outlier"/>
    <x v="1"/>
  </r>
  <r>
    <n v="1504"/>
    <s v="France"/>
    <s v="F"/>
    <n v="33"/>
    <s v="D"/>
    <s v="Outlier"/>
    <x v="0"/>
  </r>
  <r>
    <n v="1505"/>
    <s v="USA"/>
    <s v="M"/>
    <n v="48"/>
    <s v="D"/>
    <s v="Outlier"/>
    <x v="1"/>
  </r>
  <r>
    <n v="1506"/>
    <s v="USA"/>
    <s v="M"/>
    <n v="18"/>
    <s v="D"/>
    <s v="Outlier"/>
    <x v="3"/>
  </r>
  <r>
    <n v="1507"/>
    <s v="USA"/>
    <s v="F"/>
    <n v="78"/>
    <s v="D"/>
    <s v="Outlier"/>
    <x v="1"/>
  </r>
  <r>
    <n v="1508"/>
    <s v="USA"/>
    <s v="M"/>
    <n v="73"/>
    <s v="D"/>
    <s v="Outlier"/>
    <x v="1"/>
  </r>
  <r>
    <n v="1509"/>
    <s v="USA"/>
    <s v="M"/>
    <n v="31"/>
    <s v="D"/>
    <s v="Outlier"/>
    <x v="0"/>
  </r>
  <r>
    <n v="1510"/>
    <s v="Norway"/>
    <s v="M"/>
    <n v="23"/>
    <s v="D"/>
    <s v="Outlier"/>
    <x v="2"/>
  </r>
  <r>
    <n v="1511"/>
    <s v="USA"/>
    <s v="M"/>
    <n v="19"/>
    <s v="D"/>
    <s v="Outlier"/>
    <x v="3"/>
  </r>
  <r>
    <n v="1512"/>
    <s v="Denmark"/>
    <s v="F"/>
    <n v="28"/>
    <s v="D"/>
    <s v="Outlier"/>
    <x v="2"/>
  </r>
  <r>
    <n v="1513"/>
    <s v="USA"/>
    <s v="F"/>
    <n v="76"/>
    <s v="D"/>
    <s v="Outlier"/>
    <x v="1"/>
  </r>
  <r>
    <n v="1514"/>
    <s v="France"/>
    <s v="M"/>
    <n v="42"/>
    <s v="D"/>
    <s v="Outlier"/>
    <x v="1"/>
  </r>
  <r>
    <n v="1515"/>
    <s v="USA"/>
    <s v="M"/>
    <n v="54"/>
    <s v="D"/>
    <s v="Outlier"/>
    <x v="1"/>
  </r>
  <r>
    <n v="1516"/>
    <s v="Norway"/>
    <s v="F"/>
    <n v="25"/>
    <s v="D"/>
    <s v="Outlier"/>
    <x v="2"/>
  </r>
  <r>
    <n v="1517"/>
    <s v="France"/>
    <s v="F"/>
    <n v="48"/>
    <s v="D"/>
    <s v="Outlier"/>
    <x v="1"/>
  </r>
  <r>
    <n v="1518"/>
    <s v="USA"/>
    <s v="F"/>
    <n v="66"/>
    <s v="D"/>
    <s v="Outlier"/>
    <x v="1"/>
  </r>
  <r>
    <n v="1519"/>
    <s v="Spain"/>
    <s v="M"/>
    <n v="20"/>
    <s v="D"/>
    <s v="Outlier"/>
    <x v="2"/>
  </r>
  <r>
    <n v="1520"/>
    <s v="USA"/>
    <s v="F"/>
    <n v="28"/>
    <s v="D"/>
    <s v="Outlier"/>
    <x v="2"/>
  </r>
  <r>
    <n v="1521"/>
    <s v="USA"/>
    <s v="F"/>
    <n v="88"/>
    <s v="D"/>
    <s v="Outlier"/>
    <x v="1"/>
  </r>
  <r>
    <n v="1522"/>
    <s v="USA"/>
    <s v="M"/>
    <n v="81"/>
    <s v="D"/>
    <s v="Outlier"/>
    <x v="1"/>
  </r>
  <r>
    <n v="1523"/>
    <s v="Spain"/>
    <s v="M"/>
    <n v="50"/>
    <s v="D"/>
    <s v="Outlier"/>
    <x v="1"/>
  </r>
  <r>
    <n v="1524"/>
    <s v="France"/>
    <s v="F"/>
    <n v="75"/>
    <s v="D"/>
    <s v="Outlier"/>
    <x v="1"/>
  </r>
  <r>
    <n v="1525"/>
    <s v="Italy"/>
    <s v="F"/>
    <n v="87"/>
    <s v="D"/>
    <s v="Outlier"/>
    <x v="1"/>
  </r>
  <r>
    <n v="1526"/>
    <s v="USA"/>
    <s v="F"/>
    <n v="50"/>
    <s v="D"/>
    <s v="Outlier"/>
    <x v="1"/>
  </r>
  <r>
    <n v="1527"/>
    <s v="Italy"/>
    <s v="F"/>
    <n v="73"/>
    <s v="D"/>
    <s v="Outlier"/>
    <x v="1"/>
  </r>
  <r>
    <n v="1528"/>
    <s v="USA"/>
    <s v="F"/>
    <n v="58"/>
    <s v="D"/>
    <s v="Outlier"/>
    <x v="1"/>
  </r>
  <r>
    <n v="1529"/>
    <s v="Finland"/>
    <s v="M"/>
    <n v="27"/>
    <s v="D"/>
    <s v="Outlier"/>
    <x v="2"/>
  </r>
  <r>
    <n v="1530"/>
    <s v="Austria"/>
    <s v="F"/>
    <n v="79"/>
    <s v="D"/>
    <s v="Outlier"/>
    <x v="1"/>
  </r>
  <r>
    <n v="1531"/>
    <s v="Singapore"/>
    <s v="F"/>
    <n v="41"/>
    <s v="D"/>
    <s v="Outlier"/>
    <x v="1"/>
  </r>
  <r>
    <n v="1532"/>
    <s v="Spain"/>
    <s v="M"/>
    <n v="43"/>
    <s v="D"/>
    <s v="Outlier"/>
    <x v="1"/>
  </r>
  <r>
    <n v="1533"/>
    <s v="Finland"/>
    <s v="M"/>
    <n v="49"/>
    <s v="D"/>
    <s v="Outlier"/>
    <x v="1"/>
  </r>
  <r>
    <n v="1534"/>
    <s v="USA"/>
    <s v="F"/>
    <n v="18"/>
    <s v="D"/>
    <s v="Outlier"/>
    <x v="3"/>
  </r>
  <r>
    <n v="1535"/>
    <s v="France"/>
    <s v="M"/>
    <n v="41"/>
    <s v="D"/>
    <s v="Outlier"/>
    <x v="1"/>
  </r>
  <r>
    <n v="1536"/>
    <s v="USA"/>
    <s v="F"/>
    <n v="50"/>
    <s v="D"/>
    <s v="Outlier"/>
    <x v="1"/>
  </r>
  <r>
    <n v="1537"/>
    <s v="USA"/>
    <s v="F"/>
    <n v="83"/>
    <s v="D"/>
    <s v="Outlier"/>
    <x v="1"/>
  </r>
  <r>
    <n v="1538"/>
    <s v="USA"/>
    <s v="F"/>
    <n v="21"/>
    <s v="D"/>
    <s v="Outlier"/>
    <x v="2"/>
  </r>
  <r>
    <n v="1539"/>
    <s v="USA"/>
    <s v="F"/>
    <n v="73"/>
    <s v="D"/>
    <s v="Outlier"/>
    <x v="1"/>
  </r>
  <r>
    <n v="1540"/>
    <s v="Australia"/>
    <s v="M"/>
    <n v="58"/>
    <s v="D"/>
    <s v="Outlier"/>
    <x v="1"/>
  </r>
  <r>
    <n v="1541"/>
    <s v="France"/>
    <s v="M"/>
    <n v="50"/>
    <s v="D"/>
    <s v="Outlier"/>
    <x v="1"/>
  </r>
  <r>
    <n v="1542"/>
    <s v="France"/>
    <s v="M"/>
    <n v="65"/>
    <s v="D"/>
    <s v="Outlier"/>
    <x v="1"/>
  </r>
  <r>
    <n v="1543"/>
    <s v="USA"/>
    <s v="M"/>
    <n v="68"/>
    <s v="D"/>
    <s v="Outlier"/>
    <x v="1"/>
  </r>
  <r>
    <n v="1544"/>
    <s v="USA"/>
    <s v="M"/>
    <n v="77"/>
    <s v="D"/>
    <s v="Outlier"/>
    <x v="1"/>
  </r>
  <r>
    <n v="1545"/>
    <s v="Norway"/>
    <s v="F"/>
    <n v="30"/>
    <s v="D"/>
    <s v="Outlier"/>
    <x v="2"/>
  </r>
  <r>
    <n v="1546"/>
    <s v="Austria"/>
    <s v="F"/>
    <n v="33"/>
    <s v="D"/>
    <s v="Outlier"/>
    <x v="0"/>
  </r>
  <r>
    <n v="1547"/>
    <s v="France"/>
    <s v="M"/>
    <n v="37"/>
    <s v="D"/>
    <s v="Outlier"/>
    <x v="0"/>
  </r>
  <r>
    <n v="1548"/>
    <s v="France"/>
    <s v="M"/>
    <n v="46"/>
    <s v="D"/>
    <s v="Outlier"/>
    <x v="1"/>
  </r>
  <r>
    <n v="1549"/>
    <s v="USA"/>
    <s v="F"/>
    <n v="70"/>
    <s v="D"/>
    <s v="Outlier"/>
    <x v="1"/>
  </r>
  <r>
    <n v="1550"/>
    <s v="USA"/>
    <s v="M"/>
    <n v="67"/>
    <s v="D"/>
    <s v="Outlier"/>
    <x v="1"/>
  </r>
  <r>
    <n v="1551"/>
    <s v="USA"/>
    <s v="M"/>
    <n v="21"/>
    <s v="D"/>
    <s v="Outlier"/>
    <x v="2"/>
  </r>
  <r>
    <n v="1552"/>
    <s v="Italy"/>
    <s v="F"/>
    <n v="37"/>
    <s v="D"/>
    <s v="Outlier"/>
    <x v="0"/>
  </r>
  <r>
    <n v="1553"/>
    <s v="France"/>
    <s v="M"/>
    <n v="81"/>
    <s v="D"/>
    <s v="Outlier"/>
    <x v="1"/>
  </r>
  <r>
    <n v="1554"/>
    <s v="Germany"/>
    <s v="F"/>
    <n v="52"/>
    <s v="D"/>
    <s v="Outlier"/>
    <x v="1"/>
  </r>
  <r>
    <n v="1555"/>
    <s v="USA"/>
    <s v="F"/>
    <n v="28"/>
    <s v="D"/>
    <s v="Outlier"/>
    <x v="2"/>
  </r>
  <r>
    <n v="1556"/>
    <s v="Australia"/>
    <s v="F"/>
    <n v="76"/>
    <s v="D"/>
    <s v="Outlier"/>
    <x v="1"/>
  </r>
  <r>
    <n v="1557"/>
    <s v="USA"/>
    <s v="M"/>
    <n v="28"/>
    <s v="D"/>
    <s v="Outlier"/>
    <x v="2"/>
  </r>
  <r>
    <n v="1558"/>
    <s v="Finland"/>
    <s v="F"/>
    <n v="83"/>
    <s v="D"/>
    <s v="Outlier"/>
    <x v="1"/>
  </r>
  <r>
    <n v="1559"/>
    <s v="Spain"/>
    <s v="F"/>
    <n v="68"/>
    <s v="D"/>
    <s v="Outlier"/>
    <x v="1"/>
  </r>
  <r>
    <n v="1560"/>
    <s v="Singapore"/>
    <s v="M"/>
    <n v="36"/>
    <s v="D"/>
    <s v="Outlier"/>
    <x v="0"/>
  </r>
  <r>
    <n v="1561"/>
    <s v="Switzerland"/>
    <s v="F"/>
    <n v="28"/>
    <s v="D"/>
    <s v="Outlier"/>
    <x v="2"/>
  </r>
  <r>
    <n v="1562"/>
    <s v="Spain"/>
    <s v="M"/>
    <n v="20"/>
    <s v="D"/>
    <s v="Outlier"/>
    <x v="2"/>
  </r>
  <r>
    <n v="1563"/>
    <s v="Norway"/>
    <s v="F"/>
    <n v="65"/>
    <s v="D"/>
    <s v="Outlier"/>
    <x v="1"/>
  </r>
  <r>
    <n v="1564"/>
    <s v="Singapore"/>
    <s v="M"/>
    <n v="89"/>
    <s v="D"/>
    <s v="Outlier"/>
    <x v="1"/>
  </r>
  <r>
    <n v="1565"/>
    <s v="Finland"/>
    <s v="M"/>
    <n v="64"/>
    <s v="D"/>
    <s v="Outlier"/>
    <x v="1"/>
  </r>
  <r>
    <n v="1566"/>
    <s v="USA"/>
    <s v="M"/>
    <n v="64"/>
    <s v="D"/>
    <s v="Outlier"/>
    <x v="1"/>
  </r>
  <r>
    <n v="1567"/>
    <s v="USA"/>
    <s v="M"/>
    <n v="25"/>
    <s v="D"/>
    <s v="Outlier"/>
    <x v="2"/>
  </r>
  <r>
    <n v="1568"/>
    <s v="Spain"/>
    <s v="F"/>
    <n v="47"/>
    <s v="D"/>
    <s v="Outlier"/>
    <x v="1"/>
  </r>
  <r>
    <n v="1569"/>
    <s v="Spain"/>
    <s v="F"/>
    <n v="20"/>
    <s v="D"/>
    <s v="Outlier"/>
    <x v="2"/>
  </r>
  <r>
    <n v="1570"/>
    <s v="USA"/>
    <s v="M"/>
    <n v="46"/>
    <s v="D"/>
    <s v="Outlier"/>
    <x v="1"/>
  </r>
  <r>
    <n v="1571"/>
    <s v="USA"/>
    <s v="F"/>
    <n v="71"/>
    <s v="D"/>
    <s v="Outlier"/>
    <x v="1"/>
  </r>
  <r>
    <n v="1572"/>
    <s v="USA"/>
    <s v="F"/>
    <n v="47"/>
    <s v="D"/>
    <s v="Outlier"/>
    <x v="1"/>
  </r>
  <r>
    <n v="1573"/>
    <s v="Italy"/>
    <s v="F"/>
    <n v="72"/>
    <s v="D"/>
    <s v="Outlier"/>
    <x v="1"/>
  </r>
  <r>
    <n v="1574"/>
    <s v="Austria"/>
    <s v="F"/>
    <n v="36"/>
    <s v="D"/>
    <s v="Outlier"/>
    <x v="0"/>
  </r>
  <r>
    <n v="1575"/>
    <s v="USA"/>
    <s v="M"/>
    <n v="84"/>
    <s v="D"/>
    <s v="Outlier"/>
    <x v="1"/>
  </r>
  <r>
    <n v="1576"/>
    <s v="USA"/>
    <s v="M"/>
    <n v="70"/>
    <s v="D"/>
    <s v="Outlier"/>
    <x v="1"/>
  </r>
  <r>
    <n v="1577"/>
    <s v="France"/>
    <s v="M"/>
    <n v="55"/>
    <s v="D"/>
    <s v="Outlier"/>
    <x v="1"/>
  </r>
  <r>
    <n v="1578"/>
    <s v="Italy"/>
    <s v="M"/>
    <n v="24"/>
    <s v="D"/>
    <s v="Outlier"/>
    <x v="2"/>
  </r>
  <r>
    <n v="1579"/>
    <s v="France"/>
    <s v="F"/>
    <n v="74"/>
    <s v="D"/>
    <s v="Outlier"/>
    <x v="1"/>
  </r>
  <r>
    <n v="1580"/>
    <s v="Australia"/>
    <s v="M"/>
    <n v="85"/>
    <s v="D"/>
    <s v="Outlier"/>
    <x v="1"/>
  </r>
  <r>
    <n v="1581"/>
    <s v="USA"/>
    <s v="M"/>
    <n v="79"/>
    <s v="D"/>
    <s v="Outlier"/>
    <x v="1"/>
  </r>
  <r>
    <n v="1582"/>
    <s v="France"/>
    <s v="M"/>
    <n v="69"/>
    <s v="D"/>
    <s v="Outlier"/>
    <x v="1"/>
  </r>
  <r>
    <n v="1583"/>
    <s v="Singapore"/>
    <s v="F"/>
    <n v="73"/>
    <s v="D"/>
    <s v="Outlier"/>
    <x v="1"/>
  </r>
  <r>
    <n v="1584"/>
    <s v="USA"/>
    <s v="F"/>
    <n v="30"/>
    <s v="D"/>
    <s v="Outlier"/>
    <x v="2"/>
  </r>
  <r>
    <n v="1585"/>
    <s v="France"/>
    <s v="F"/>
    <n v="51"/>
    <s v="D"/>
    <s v="Outlier"/>
    <x v="1"/>
  </r>
  <r>
    <n v="1586"/>
    <s v="France"/>
    <s v="F"/>
    <n v="42"/>
    <s v="D"/>
    <s v="Outlier"/>
    <x v="1"/>
  </r>
  <r>
    <n v="1587"/>
    <s v="USA"/>
    <s v="M"/>
    <n v="41"/>
    <s v="D"/>
    <s v="Outlier"/>
    <x v="1"/>
  </r>
  <r>
    <n v="1588"/>
    <s v="France"/>
    <s v="M"/>
    <n v="74"/>
    <s v="D"/>
    <s v="Outlier"/>
    <x v="1"/>
  </r>
  <r>
    <n v="1589"/>
    <s v="USA"/>
    <s v="F"/>
    <n v="20"/>
    <s v="D"/>
    <s v="Outlier"/>
    <x v="2"/>
  </r>
  <r>
    <n v="1590"/>
    <s v="Singapore"/>
    <s v="M"/>
    <n v="69"/>
    <s v="D"/>
    <s v="Outlier"/>
    <x v="1"/>
  </r>
  <r>
    <n v="1591"/>
    <s v="USA"/>
    <s v="M"/>
    <n v="61"/>
    <s v="D"/>
    <s v="Outlier"/>
    <x v="1"/>
  </r>
  <r>
    <n v="1592"/>
    <s v="Australia"/>
    <s v="M"/>
    <n v="67"/>
    <s v="D"/>
    <s v="Outlier"/>
    <x v="1"/>
  </r>
  <r>
    <n v="1593"/>
    <s v="France"/>
    <s v="F"/>
    <n v="34"/>
    <s v="D"/>
    <s v="Outlier"/>
    <x v="0"/>
  </r>
  <r>
    <n v="1594"/>
    <s v="Australia"/>
    <s v="M"/>
    <n v="27"/>
    <s v="D"/>
    <s v="Outlier"/>
    <x v="2"/>
  </r>
  <r>
    <n v="1595"/>
    <s v="USA"/>
    <s v="F"/>
    <n v="67"/>
    <s v="D"/>
    <s v="Outlier"/>
    <x v="1"/>
  </r>
  <r>
    <n v="1596"/>
    <s v="USA"/>
    <s v="F"/>
    <n v="44"/>
    <s v="D"/>
    <s v="Outlier"/>
    <x v="1"/>
  </r>
  <r>
    <n v="1597"/>
    <s v="Denmark"/>
    <s v="F"/>
    <n v="44"/>
    <s v="D"/>
    <s v="Outlier"/>
    <x v="1"/>
  </r>
  <r>
    <n v="1598"/>
    <s v="Switzerland"/>
    <s v="F"/>
    <n v="29"/>
    <s v="D"/>
    <s v="Outlier"/>
    <x v="2"/>
  </r>
  <r>
    <n v="1599"/>
    <s v="USA"/>
    <s v="M"/>
    <n v="81"/>
    <s v="D"/>
    <s v="Outlier"/>
    <x v="1"/>
  </r>
  <r>
    <n v="1600"/>
    <s v="Spain"/>
    <s v="F"/>
    <n v="87"/>
    <s v="D"/>
    <s v="Outlier"/>
    <x v="1"/>
  </r>
  <r>
    <n v="1601"/>
    <s v="France"/>
    <s v="F"/>
    <n v="22"/>
    <s v="D"/>
    <s v="Outlier"/>
    <x v="2"/>
  </r>
  <r>
    <n v="1602"/>
    <s v="USA"/>
    <s v="M"/>
    <n v="53"/>
    <s v="D"/>
    <s v="Outlier"/>
    <x v="1"/>
  </r>
  <r>
    <n v="1603"/>
    <s v="USA"/>
    <s v="M"/>
    <n v="73"/>
    <s v="D"/>
    <s v="Outlier"/>
    <x v="1"/>
  </r>
  <r>
    <n v="1604"/>
    <s v="Spain"/>
    <s v="F"/>
    <n v="76"/>
    <s v="D"/>
    <s v="Outlier"/>
    <x v="1"/>
  </r>
  <r>
    <n v="1605"/>
    <s v="Spain"/>
    <s v="F"/>
    <n v="45"/>
    <s v="D"/>
    <s v="Outlier"/>
    <x v="1"/>
  </r>
  <r>
    <n v="1606"/>
    <s v="France"/>
    <s v="M"/>
    <n v="23"/>
    <s v="D"/>
    <s v="Outlier"/>
    <x v="2"/>
  </r>
  <r>
    <n v="1607"/>
    <s v="Australia"/>
    <s v="M"/>
    <n v="65"/>
    <s v="D"/>
    <s v="Outlier"/>
    <x v="1"/>
  </r>
  <r>
    <n v="1608"/>
    <s v="USA"/>
    <s v="M"/>
    <n v="43"/>
    <s v="D"/>
    <s v="Outlier"/>
    <x v="1"/>
  </r>
  <r>
    <n v="1609"/>
    <s v="USA"/>
    <s v="F"/>
    <n v="64"/>
    <s v="D"/>
    <s v="Outlier"/>
    <x v="1"/>
  </r>
  <r>
    <n v="1610"/>
    <s v="Australia"/>
    <s v="F"/>
    <n v="72"/>
    <s v="D"/>
    <s v="Outlier"/>
    <x v="1"/>
  </r>
  <r>
    <n v="1611"/>
    <s v="France"/>
    <s v="M"/>
    <n v="37"/>
    <s v="D"/>
    <s v="Outlier"/>
    <x v="0"/>
  </r>
  <r>
    <n v="1612"/>
    <s v="Spain"/>
    <s v="M"/>
    <n v="75"/>
    <s v="D"/>
    <s v="Outlier"/>
    <x v="1"/>
  </r>
  <r>
    <n v="1613"/>
    <s v="USA"/>
    <s v="M"/>
    <n v="71"/>
    <s v="D"/>
    <s v="Outlier"/>
    <x v="1"/>
  </r>
  <r>
    <n v="1614"/>
    <s v="USA"/>
    <s v="M"/>
    <n v="37"/>
    <s v="D"/>
    <s v="Outlier"/>
    <x v="0"/>
  </r>
  <r>
    <n v="1615"/>
    <s v="Spain"/>
    <s v="M"/>
    <n v="64"/>
    <s v="D"/>
    <s v="Outlier"/>
    <x v="1"/>
  </r>
  <r>
    <n v="1616"/>
    <s v="USA"/>
    <s v="F"/>
    <n v="38"/>
    <s v="D"/>
    <s v="Outlier"/>
    <x v="0"/>
  </r>
  <r>
    <n v="1617"/>
    <s v="Austria"/>
    <s v="M"/>
    <n v="50"/>
    <s v="D"/>
    <s v="Outlier"/>
    <x v="1"/>
  </r>
  <r>
    <n v="1618"/>
    <s v="USA"/>
    <s v="M"/>
    <n v="50"/>
    <s v="D"/>
    <s v="Outlier"/>
    <x v="1"/>
  </r>
  <r>
    <n v="1619"/>
    <s v="USA"/>
    <s v="M"/>
    <n v="56"/>
    <s v="D"/>
    <s v="Outlier"/>
    <x v="1"/>
  </r>
  <r>
    <n v="1620"/>
    <s v="USA"/>
    <s v="F"/>
    <n v="61"/>
    <s v="D"/>
    <s v="Outlier"/>
    <x v="1"/>
  </r>
  <r>
    <n v="1621"/>
    <s v="Australia"/>
    <s v="M"/>
    <n v="21"/>
    <s v="D"/>
    <s v="Outlier"/>
    <x v="2"/>
  </r>
  <r>
    <n v="1622"/>
    <s v="France"/>
    <s v="F"/>
    <n v="87"/>
    <s v="D"/>
    <s v="Outlier"/>
    <x v="1"/>
  </r>
  <r>
    <n v="1623"/>
    <s v="Spain"/>
    <s v="M"/>
    <n v="46"/>
    <s v="D"/>
    <s v="Outlier"/>
    <x v="1"/>
  </r>
  <r>
    <n v="1624"/>
    <s v="USA"/>
    <s v="M"/>
    <n v="32"/>
    <s v="D"/>
    <s v="Outlier"/>
    <x v="0"/>
  </r>
  <r>
    <n v="1625"/>
    <s v="Germany"/>
    <s v="F"/>
    <n v="61"/>
    <s v="D"/>
    <s v="Outlier"/>
    <x v="1"/>
  </r>
  <r>
    <n v="1626"/>
    <s v="USA"/>
    <s v="F"/>
    <n v="31"/>
    <s v="D"/>
    <s v="Outlier"/>
    <x v="0"/>
  </r>
  <r>
    <n v="1627"/>
    <s v="Australia"/>
    <s v="F"/>
    <n v="61"/>
    <s v="D"/>
    <s v="Outlier"/>
    <x v="1"/>
  </r>
  <r>
    <n v="1628"/>
    <s v="USA"/>
    <s v="F"/>
    <n v="79"/>
    <s v="D"/>
    <s v="Outlier"/>
    <x v="1"/>
  </r>
  <r>
    <n v="1629"/>
    <s v="USA"/>
    <s v="F"/>
    <n v="73"/>
    <s v="D"/>
    <s v="Outlier"/>
    <x v="1"/>
  </r>
  <r>
    <n v="1630"/>
    <s v="France"/>
    <s v="F"/>
    <n v="21"/>
    <s v="D"/>
    <s v="Outlier"/>
    <x v="2"/>
  </r>
  <r>
    <n v="1631"/>
    <s v="USA"/>
    <s v="F"/>
    <n v="80"/>
    <s v="D"/>
    <s v="Outlier"/>
    <x v="1"/>
  </r>
  <r>
    <n v="1632"/>
    <s v="Spain"/>
    <s v="F"/>
    <n v="27"/>
    <s v="D"/>
    <s v="Outlier"/>
    <x v="2"/>
  </r>
  <r>
    <n v="1633"/>
    <s v="Australia"/>
    <s v="M"/>
    <n v="64"/>
    <s v="D"/>
    <s v="Outlier"/>
    <x v="1"/>
  </r>
  <r>
    <n v="1634"/>
    <s v="Spain"/>
    <s v="M"/>
    <n v="34"/>
    <s v="D"/>
    <s v="Outlier"/>
    <x v="0"/>
  </r>
  <r>
    <n v="1635"/>
    <s v="USA"/>
    <s v="M"/>
    <n v="41"/>
    <s v="D"/>
    <s v="Outlier"/>
    <x v="1"/>
  </r>
  <r>
    <n v="1636"/>
    <s v="Austria"/>
    <s v="F"/>
    <n v="20"/>
    <s v="D"/>
    <s v="Outlier"/>
    <x v="2"/>
  </r>
  <r>
    <n v="1637"/>
    <s v="Germany"/>
    <s v="F"/>
    <n v="55"/>
    <s v="D"/>
    <s v="Outlier"/>
    <x v="1"/>
  </r>
  <r>
    <n v="1638"/>
    <s v="France"/>
    <s v="M"/>
    <n v="86"/>
    <s v="D"/>
    <s v="Outlier"/>
    <x v="1"/>
  </r>
  <r>
    <n v="1639"/>
    <s v="Australia"/>
    <s v="M"/>
    <n v="57"/>
    <s v="D"/>
    <s v="Outlier"/>
    <x v="1"/>
  </r>
  <r>
    <n v="1640"/>
    <s v="Spain"/>
    <s v="F"/>
    <n v="22"/>
    <s v="D"/>
    <s v="Outlier"/>
    <x v="2"/>
  </r>
  <r>
    <n v="1641"/>
    <s v="Germany"/>
    <s v="M"/>
    <n v="85"/>
    <s v="D"/>
    <s v="Outlier"/>
    <x v="1"/>
  </r>
  <r>
    <n v="1642"/>
    <s v="Italy"/>
    <s v="M"/>
    <n v="28"/>
    <s v="D"/>
    <s v="Outlier"/>
    <x v="2"/>
  </r>
  <r>
    <n v="1643"/>
    <s v="Australia"/>
    <s v="F"/>
    <n v="29"/>
    <s v="D"/>
    <s v="Outlier"/>
    <x v="2"/>
  </r>
  <r>
    <n v="1644"/>
    <s v="Australia"/>
    <s v="F"/>
    <n v="25"/>
    <s v="D"/>
    <s v="Outlier"/>
    <x v="2"/>
  </r>
  <r>
    <n v="1645"/>
    <s v="Australia"/>
    <s v="M"/>
    <n v="86"/>
    <s v="D"/>
    <s v="Outlier"/>
    <x v="1"/>
  </r>
  <r>
    <n v="1646"/>
    <s v="Spain"/>
    <s v="F"/>
    <n v="51"/>
    <s v="D"/>
    <s v="Outlier"/>
    <x v="1"/>
  </r>
  <r>
    <n v="1647"/>
    <s v="USA"/>
    <s v="F"/>
    <n v="22"/>
    <s v="D"/>
    <s v="Outlier"/>
    <x v="2"/>
  </r>
  <r>
    <n v="1648"/>
    <s v="Germany"/>
    <s v="M"/>
    <n v="78"/>
    <s v="D"/>
    <s v="Outlier"/>
    <x v="1"/>
  </r>
  <r>
    <n v="1649"/>
    <s v="USA"/>
    <s v="M"/>
    <n v="27"/>
    <s v="D"/>
    <s v="Outlier"/>
    <x v="2"/>
  </r>
  <r>
    <n v="1650"/>
    <s v="Spain"/>
    <s v="M"/>
    <n v="42"/>
    <s v="D"/>
    <s v="Outlier"/>
    <x v="1"/>
  </r>
  <r>
    <n v="1651"/>
    <s v="Australia"/>
    <s v="M"/>
    <n v="53"/>
    <s v="D"/>
    <s v="Outlier"/>
    <x v="1"/>
  </r>
  <r>
    <n v="1652"/>
    <s v="USA"/>
    <s v="F"/>
    <n v="83"/>
    <s v="D"/>
    <s v="Outlier"/>
    <x v="1"/>
  </r>
  <r>
    <n v="1653"/>
    <s v="France"/>
    <s v="M"/>
    <n v="30"/>
    <s v="D"/>
    <s v="Outlier"/>
    <x v="2"/>
  </r>
  <r>
    <n v="1654"/>
    <s v="USA"/>
    <s v="F"/>
    <n v="56"/>
    <s v="D"/>
    <s v="Outlier"/>
    <x v="1"/>
  </r>
  <r>
    <n v="1655"/>
    <s v="USA"/>
    <s v="F"/>
    <n v="72"/>
    <s v="D"/>
    <s v="Outlier"/>
    <x v="1"/>
  </r>
  <r>
    <n v="1656"/>
    <s v="USA"/>
    <s v="F"/>
    <n v="24"/>
    <s v="D"/>
    <s v="Outlier"/>
    <x v="2"/>
  </r>
  <r>
    <n v="1657"/>
    <s v="Germany"/>
    <s v="F"/>
    <n v="21"/>
    <s v="D"/>
    <s v="Outlier"/>
    <x v="2"/>
  </r>
  <r>
    <n v="1658"/>
    <s v="USA"/>
    <s v="F"/>
    <n v="41"/>
    <s v="D"/>
    <s v="Outlier"/>
    <x v="1"/>
  </r>
  <r>
    <n v="1659"/>
    <s v="Spain"/>
    <s v="M"/>
    <n v="59"/>
    <s v="D"/>
    <s v="Outlier"/>
    <x v="1"/>
  </r>
  <r>
    <n v="1660"/>
    <s v="Australia"/>
    <s v="M"/>
    <n v="38"/>
    <s v="D"/>
    <s v="Outlier"/>
    <x v="0"/>
  </r>
  <r>
    <n v="1661"/>
    <s v="France"/>
    <s v="F"/>
    <n v="33"/>
    <s v="D"/>
    <s v="Outlier"/>
    <x v="0"/>
  </r>
  <r>
    <n v="1662"/>
    <s v="Australia"/>
    <s v="F"/>
    <n v="25"/>
    <s v="D"/>
    <s v="Outlier"/>
    <x v="2"/>
  </r>
  <r>
    <n v="1663"/>
    <s v="Austria"/>
    <s v="F"/>
    <n v="60"/>
    <s v="D"/>
    <s v="Outlier"/>
    <x v="1"/>
  </r>
  <r>
    <n v="1664"/>
    <s v="USA"/>
    <s v="M"/>
    <n v="27"/>
    <s v="D"/>
    <s v="Outlier"/>
    <x v="2"/>
  </r>
  <r>
    <n v="1665"/>
    <s v="Switzerland"/>
    <s v="F"/>
    <n v="19"/>
    <s v="D"/>
    <s v="Outlier"/>
    <x v="3"/>
  </r>
  <r>
    <n v="1666"/>
    <s v="Spain"/>
    <s v="F"/>
    <n v="21"/>
    <s v="D"/>
    <s v="Outlier"/>
    <x v="2"/>
  </r>
  <r>
    <n v="1667"/>
    <s v="France"/>
    <s v="F"/>
    <n v="73"/>
    <s v="D"/>
    <s v="Outlier"/>
    <x v="1"/>
  </r>
  <r>
    <n v="1668"/>
    <s v="USA"/>
    <s v="F"/>
    <n v="68"/>
    <s v="D"/>
    <s v="Outlier"/>
    <x v="1"/>
  </r>
  <r>
    <n v="1669"/>
    <s v="Australia"/>
    <s v="M"/>
    <n v="28"/>
    <s v="D"/>
    <s v="Outlier"/>
    <x v="2"/>
  </r>
  <r>
    <n v="1670"/>
    <s v="USA"/>
    <s v="F"/>
    <n v="80"/>
    <s v="D"/>
    <s v="Outlier"/>
    <x v="1"/>
  </r>
  <r>
    <n v="1671"/>
    <s v="USA"/>
    <s v="M"/>
    <n v="56"/>
    <s v="D"/>
    <s v="Outlier"/>
    <x v="1"/>
  </r>
  <r>
    <n v="1672"/>
    <s v="Austria"/>
    <s v="M"/>
    <n v="84"/>
    <s v="D"/>
    <s v="Outlier"/>
    <x v="1"/>
  </r>
  <r>
    <n v="1673"/>
    <s v="Spain"/>
    <s v="M"/>
    <n v="30"/>
    <s v="D"/>
    <s v="Outlier"/>
    <x v="2"/>
  </r>
  <r>
    <n v="1674"/>
    <s v="France"/>
    <s v="M"/>
    <n v="88"/>
    <s v="D"/>
    <s v="Outlier"/>
    <x v="1"/>
  </r>
  <r>
    <n v="1675"/>
    <s v="USA"/>
    <s v="F"/>
    <n v="57"/>
    <s v="D"/>
    <s v="Outlier"/>
    <x v="1"/>
  </r>
  <r>
    <n v="1676"/>
    <s v="Austria"/>
    <s v="M"/>
    <n v="25"/>
    <s v="D"/>
    <s v="Outlier"/>
    <x v="2"/>
  </r>
  <r>
    <n v="1677"/>
    <s v="Italy"/>
    <s v="F"/>
    <n v="51"/>
    <s v="D"/>
    <s v="Outlier"/>
    <x v="1"/>
  </r>
  <r>
    <n v="1678"/>
    <s v="USA"/>
    <s v="F"/>
    <n v="25"/>
    <s v="D"/>
    <s v="Outlier"/>
    <x v="2"/>
  </r>
  <r>
    <n v="1679"/>
    <s v="Australia"/>
    <s v="F"/>
    <n v="59"/>
    <s v="D"/>
    <s v="Outlier"/>
    <x v="1"/>
  </r>
  <r>
    <n v="1680"/>
    <s v="USA"/>
    <s v="M"/>
    <n v="41"/>
    <s v="D"/>
    <s v="Outlier"/>
    <x v="1"/>
  </r>
  <r>
    <n v="1681"/>
    <s v="Spain"/>
    <s v="F"/>
    <n v="38"/>
    <s v="D"/>
    <s v="Outlier"/>
    <x v="0"/>
  </r>
  <r>
    <n v="1682"/>
    <s v="France"/>
    <s v="M"/>
    <n v="72"/>
    <s v="D"/>
    <s v="Outlier"/>
    <x v="1"/>
  </r>
  <r>
    <n v="1683"/>
    <s v="Denmark"/>
    <s v="M"/>
    <n v="37"/>
    <s v="D"/>
    <s v="Outlier"/>
    <x v="0"/>
  </r>
  <r>
    <n v="1684"/>
    <s v="USA"/>
    <s v="M"/>
    <n v="81"/>
    <s v="D"/>
    <s v="Outlier"/>
    <x v="1"/>
  </r>
  <r>
    <n v="1685"/>
    <s v="USA"/>
    <s v="F"/>
    <n v="74"/>
    <s v="D"/>
    <s v="Outlier"/>
    <x v="1"/>
  </r>
  <r>
    <n v="1686"/>
    <s v="France"/>
    <s v="M"/>
    <n v="53"/>
    <s v="D"/>
    <s v="Outlier"/>
    <x v="1"/>
  </r>
  <r>
    <n v="1687"/>
    <s v="Australia"/>
    <s v="M"/>
    <n v="38"/>
    <s v="D"/>
    <s v="Outlier"/>
    <x v="0"/>
  </r>
  <r>
    <n v="1688"/>
    <s v="Australia"/>
    <s v="F"/>
    <n v="49"/>
    <s v="D"/>
    <s v="Outlier"/>
    <x v="1"/>
  </r>
  <r>
    <n v="1689"/>
    <s v="Australia"/>
    <s v="M"/>
    <n v="50"/>
    <s v="D"/>
    <s v="Outlier"/>
    <x v="1"/>
  </r>
  <r>
    <n v="1690"/>
    <s v="Australia"/>
    <s v="F"/>
    <n v="57"/>
    <s v="D"/>
    <s v="Outlier"/>
    <x v="1"/>
  </r>
  <r>
    <n v="1691"/>
    <s v="USA"/>
    <s v="M"/>
    <n v="43"/>
    <s v="D"/>
    <s v="Outlier"/>
    <x v="1"/>
  </r>
  <r>
    <n v="1692"/>
    <s v="USA"/>
    <s v="F"/>
    <n v="78"/>
    <s v="D"/>
    <s v="Outlier"/>
    <x v="1"/>
  </r>
  <r>
    <n v="1693"/>
    <s v="France"/>
    <s v="F"/>
    <n v="63"/>
    <s v="D"/>
    <s v="Outlier"/>
    <x v="1"/>
  </r>
  <r>
    <n v="1694"/>
    <s v="Ireland"/>
    <s v="M"/>
    <n v="83"/>
    <s v="D"/>
    <s v="Outlier"/>
    <x v="1"/>
  </r>
  <r>
    <n v="1695"/>
    <s v="Spain"/>
    <s v="F"/>
    <n v="37"/>
    <s v="D"/>
    <s v="Outlier"/>
    <x v="0"/>
  </r>
  <r>
    <n v="1696"/>
    <s v="USA"/>
    <s v="M"/>
    <n v="68"/>
    <s v="D"/>
    <s v="Outlier"/>
    <x v="1"/>
  </r>
  <r>
    <n v="1697"/>
    <s v="France"/>
    <s v="F"/>
    <n v="65"/>
    <s v="D"/>
    <s v="Outlier"/>
    <x v="1"/>
  </r>
  <r>
    <n v="1698"/>
    <s v="France"/>
    <s v="F"/>
    <n v="34"/>
    <s v="D"/>
    <s v="Outlier"/>
    <x v="0"/>
  </r>
  <r>
    <n v="1699"/>
    <s v="Australia"/>
    <s v="F"/>
    <n v="21"/>
    <s v="D"/>
    <s v="Outlier"/>
    <x v="2"/>
  </r>
  <r>
    <n v="1700"/>
    <s v="USA"/>
    <s v="M"/>
    <n v="37"/>
    <s v="D"/>
    <s v="Outlier"/>
    <x v="0"/>
  </r>
  <r>
    <n v="1701"/>
    <s v="USA"/>
    <s v="F"/>
    <n v="41"/>
    <s v="D"/>
    <s v="Outlier"/>
    <x v="1"/>
  </r>
  <r>
    <n v="1702"/>
    <s v="Italy"/>
    <s v="M"/>
    <n v="26"/>
    <s v="D"/>
    <s v="Outlier"/>
    <x v="2"/>
  </r>
  <r>
    <n v="1703"/>
    <s v="France"/>
    <s v="F"/>
    <n v="85"/>
    <s v="D"/>
    <s v="Outlier"/>
    <x v="1"/>
  </r>
  <r>
    <n v="1704"/>
    <s v="USA"/>
    <s v="M"/>
    <n v="67"/>
    <s v="D"/>
    <s v="Outlier"/>
    <x v="1"/>
  </r>
  <r>
    <n v="1705"/>
    <s v="France"/>
    <s v="F"/>
    <n v="30"/>
    <s v="D"/>
    <s v="Outlier"/>
    <x v="2"/>
  </r>
  <r>
    <n v="1706"/>
    <s v="USA"/>
    <s v="F"/>
    <n v="47"/>
    <s v="D"/>
    <s v="Outlier"/>
    <x v="1"/>
  </r>
  <r>
    <n v="1707"/>
    <s v="France"/>
    <s v="F"/>
    <n v="85"/>
    <s v="D"/>
    <s v="Outlier"/>
    <x v="1"/>
  </r>
  <r>
    <n v="1708"/>
    <s v="France"/>
    <s v="M"/>
    <n v="87"/>
    <s v="D"/>
    <s v="Outlier"/>
    <x v="1"/>
  </r>
  <r>
    <n v="1709"/>
    <s v="USA"/>
    <s v="M"/>
    <n v="26"/>
    <s v="D"/>
    <s v="Outlier"/>
    <x v="2"/>
  </r>
  <r>
    <n v="1710"/>
    <s v="Spain"/>
    <s v="F"/>
    <n v="84"/>
    <s v="D"/>
    <s v="Outlier"/>
    <x v="1"/>
  </r>
  <r>
    <n v="1711"/>
    <s v="USA"/>
    <s v="F"/>
    <n v="39"/>
    <s v="D"/>
    <s v="Outlier"/>
    <x v="0"/>
  </r>
  <r>
    <n v="1712"/>
    <s v="Germany"/>
    <s v="F"/>
    <n v="82"/>
    <s v="D"/>
    <s v="Outlier"/>
    <x v="1"/>
  </r>
  <r>
    <n v="1713"/>
    <s v="France"/>
    <s v="M"/>
    <n v="87"/>
    <s v="D"/>
    <s v="Outlier"/>
    <x v="1"/>
  </r>
  <r>
    <n v="1714"/>
    <s v="Spain"/>
    <s v="M"/>
    <n v="33"/>
    <s v="D"/>
    <s v="Outlier"/>
    <x v="0"/>
  </r>
  <r>
    <n v="1715"/>
    <s v="USA"/>
    <s v="M"/>
    <n v="41"/>
    <s v="D"/>
    <s v="Outlier"/>
    <x v="1"/>
  </r>
  <r>
    <n v="1716"/>
    <s v="USA"/>
    <s v="F"/>
    <n v="18"/>
    <s v="D"/>
    <s v="Outlier"/>
    <x v="3"/>
  </r>
  <r>
    <n v="1717"/>
    <s v="Australia"/>
    <s v="M"/>
    <n v="33"/>
    <s v="D"/>
    <s v="Outlier"/>
    <x v="0"/>
  </r>
  <r>
    <n v="1718"/>
    <s v="USA"/>
    <s v="M"/>
    <n v="26"/>
    <s v="D"/>
    <s v="Outlier"/>
    <x v="2"/>
  </r>
  <r>
    <n v="1719"/>
    <s v="Italy"/>
    <s v="F"/>
    <n v="23"/>
    <s v="D"/>
    <s v="Outlier"/>
    <x v="2"/>
  </r>
  <r>
    <n v="1720"/>
    <s v="USA"/>
    <s v="M"/>
    <n v="85"/>
    <s v="D"/>
    <s v="Outlier"/>
    <x v="1"/>
  </r>
  <r>
    <n v="1721"/>
    <s v="Germany"/>
    <s v="F"/>
    <n v="22"/>
    <s v="D"/>
    <s v="Outlier"/>
    <x v="2"/>
  </r>
  <r>
    <n v="1722"/>
    <s v="USA"/>
    <s v="M"/>
    <n v="46"/>
    <s v="D"/>
    <s v="Outlier"/>
    <x v="1"/>
  </r>
  <r>
    <n v="1723"/>
    <s v="Spain"/>
    <s v="M"/>
    <n v="82"/>
    <s v="D"/>
    <s v="Outlier"/>
    <x v="1"/>
  </r>
  <r>
    <n v="1724"/>
    <s v="Australia"/>
    <s v="M"/>
    <n v="76"/>
    <s v="D"/>
    <s v="Outlier"/>
    <x v="1"/>
  </r>
  <r>
    <n v="1725"/>
    <s v="USA"/>
    <s v="M"/>
    <n v="81"/>
    <s v="D"/>
    <s v="Outlier"/>
    <x v="1"/>
  </r>
  <r>
    <n v="1726"/>
    <s v="Spain"/>
    <s v="F"/>
    <n v="36"/>
    <s v="D"/>
    <s v="Outlier"/>
    <x v="0"/>
  </r>
  <r>
    <n v="1727"/>
    <s v="USA"/>
    <s v="M"/>
    <n v="75"/>
    <s v="D"/>
    <s v="Outlier"/>
    <x v="1"/>
  </r>
  <r>
    <n v="1728"/>
    <s v="France"/>
    <s v="F"/>
    <n v="27"/>
    <s v="D"/>
    <s v="Outlier"/>
    <x v="2"/>
  </r>
  <r>
    <n v="1729"/>
    <s v="Australia"/>
    <s v="M"/>
    <n v="72"/>
    <s v="D"/>
    <s v="Outlier"/>
    <x v="1"/>
  </r>
  <r>
    <n v="1730"/>
    <s v="France"/>
    <s v="F"/>
    <n v="73"/>
    <s v="D"/>
    <s v="Outlier"/>
    <x v="1"/>
  </r>
  <r>
    <n v="1731"/>
    <s v="Spain"/>
    <s v="M"/>
    <n v="65"/>
    <s v="D"/>
    <s v="Outlier"/>
    <x v="1"/>
  </r>
  <r>
    <n v="1732"/>
    <s v="USA"/>
    <s v="M"/>
    <n v="90"/>
    <s v="D"/>
    <s v="Outlier"/>
    <x v="1"/>
  </r>
  <r>
    <n v="1733"/>
    <s v="Italy"/>
    <s v="M"/>
    <n v="32"/>
    <s v="D"/>
    <s v="Outlier"/>
    <x v="0"/>
  </r>
  <r>
    <n v="1734"/>
    <s v="USA"/>
    <s v="M"/>
    <n v="62"/>
    <s v="D"/>
    <s v="Outlier"/>
    <x v="1"/>
  </r>
  <r>
    <n v="1735"/>
    <s v="Finland"/>
    <s v="M"/>
    <n v="76"/>
    <s v="D"/>
    <s v="Outlier"/>
    <x v="1"/>
  </r>
  <r>
    <n v="1736"/>
    <s v="USA"/>
    <s v="M"/>
    <n v="23"/>
    <s v="D"/>
    <s v="Outlier"/>
    <x v="2"/>
  </r>
  <r>
    <n v="1737"/>
    <s v="Singapore"/>
    <s v="M"/>
    <n v="60"/>
    <s v="D"/>
    <s v="Outlier"/>
    <x v="1"/>
  </r>
  <r>
    <n v="1738"/>
    <s v="France"/>
    <s v="M"/>
    <n v="27"/>
    <s v="D"/>
    <s v="Outlier"/>
    <x v="2"/>
  </r>
  <r>
    <n v="1739"/>
    <s v="Spain"/>
    <s v="F"/>
    <n v="44"/>
    <s v="D"/>
    <s v="Outlier"/>
    <x v="1"/>
  </r>
  <r>
    <n v="1740"/>
    <s v="USA"/>
    <s v="F"/>
    <n v="25"/>
    <s v="D"/>
    <s v="Outlier"/>
    <x v="2"/>
  </r>
  <r>
    <n v="1741"/>
    <s v="USA"/>
    <s v="F"/>
    <n v="71"/>
    <s v="D"/>
    <s v="Outlier"/>
    <x v="1"/>
  </r>
  <r>
    <n v="1742"/>
    <s v="USA"/>
    <s v="F"/>
    <n v="49"/>
    <s v="D"/>
    <s v="Outlier"/>
    <x v="1"/>
  </r>
  <r>
    <n v="1743"/>
    <s v="USA"/>
    <s v="F"/>
    <n v="30"/>
    <s v="D"/>
    <s v="Outlier"/>
    <x v="2"/>
  </r>
  <r>
    <n v="1744"/>
    <s v="USA"/>
    <s v="F"/>
    <n v="36"/>
    <s v="D"/>
    <s v="Outlier"/>
    <x v="0"/>
  </r>
  <r>
    <n v="1745"/>
    <s v="USA"/>
    <s v="F"/>
    <n v="54"/>
    <s v="D"/>
    <s v="Outlier"/>
    <x v="1"/>
  </r>
  <r>
    <n v="1746"/>
    <s v="Italy"/>
    <s v="M"/>
    <n v="66"/>
    <s v="D"/>
    <s v="Outlier"/>
    <x v="1"/>
  </r>
  <r>
    <n v="1747"/>
    <s v="USA"/>
    <s v="F"/>
    <n v="61"/>
    <s v="D"/>
    <s v="Outlier"/>
    <x v="1"/>
  </r>
  <r>
    <n v="1748"/>
    <s v="France"/>
    <s v="M"/>
    <n v="44"/>
    <s v="D"/>
    <s v="Outlier"/>
    <x v="1"/>
  </r>
  <r>
    <n v="1749"/>
    <s v="Austria"/>
    <s v="M"/>
    <n v="30"/>
    <s v="D"/>
    <s v="Outlier"/>
    <x v="2"/>
  </r>
  <r>
    <n v="1750"/>
    <s v="Finland"/>
    <s v="F"/>
    <n v="85"/>
    <s v="D"/>
    <s v="Outlier"/>
    <x v="1"/>
  </r>
  <r>
    <n v="1751"/>
    <s v="USA"/>
    <s v="M"/>
    <n v="78"/>
    <s v="D"/>
    <s v="Outlier"/>
    <x v="1"/>
  </r>
  <r>
    <n v="1752"/>
    <s v="Australia"/>
    <s v="F"/>
    <n v="50"/>
    <s v="D"/>
    <s v="Outlier"/>
    <x v="1"/>
  </r>
  <r>
    <n v="1753"/>
    <s v="USA"/>
    <s v="F"/>
    <n v="68"/>
    <s v="D"/>
    <s v="Outlier"/>
    <x v="1"/>
  </r>
  <r>
    <n v="1754"/>
    <s v="USA"/>
    <s v="F"/>
    <n v="63"/>
    <s v="D"/>
    <s v="Outlier"/>
    <x v="1"/>
  </r>
  <r>
    <n v="1755"/>
    <s v="Spain"/>
    <s v="M"/>
    <n v="66"/>
    <s v="D"/>
    <s v="Outlier"/>
    <x v="1"/>
  </r>
  <r>
    <n v="1756"/>
    <s v="USA"/>
    <s v="F"/>
    <n v="54"/>
    <s v="D"/>
    <s v="Outlier"/>
    <x v="1"/>
  </r>
  <r>
    <n v="1757"/>
    <s v="Spain"/>
    <s v="M"/>
    <n v="20"/>
    <s v="D"/>
    <s v="Outlier"/>
    <x v="2"/>
  </r>
  <r>
    <n v="1758"/>
    <s v="USA"/>
    <s v="F"/>
    <n v="81"/>
    <s v="D"/>
    <s v="Outlier"/>
    <x v="1"/>
  </r>
  <r>
    <n v="1759"/>
    <s v="Spain"/>
    <s v="F"/>
    <n v="22"/>
    <s v="D"/>
    <s v="Outlier"/>
    <x v="2"/>
  </r>
  <r>
    <n v="1760"/>
    <s v="France"/>
    <s v="F"/>
    <n v="19"/>
    <s v="D"/>
    <s v="Outlier"/>
    <x v="3"/>
  </r>
  <r>
    <n v="1761"/>
    <s v="Spain"/>
    <s v="F"/>
    <n v="30"/>
    <s v="D"/>
    <s v="Outlier"/>
    <x v="2"/>
  </r>
  <r>
    <n v="1762"/>
    <s v="USA"/>
    <s v="M"/>
    <n v="29"/>
    <s v="D"/>
    <s v="Outlier"/>
    <x v="2"/>
  </r>
  <r>
    <n v="1763"/>
    <s v="USA"/>
    <s v="F"/>
    <n v="84"/>
    <s v="D"/>
    <s v="Outlier"/>
    <x v="1"/>
  </r>
  <r>
    <n v="1764"/>
    <s v="Finland"/>
    <s v="F"/>
    <n v="37"/>
    <s v="D"/>
    <s v="Outlier"/>
    <x v="0"/>
  </r>
  <r>
    <n v="1765"/>
    <s v="USA"/>
    <s v="F"/>
    <n v="18"/>
    <s v="D"/>
    <s v="Outlier"/>
    <x v="3"/>
  </r>
  <r>
    <n v="1766"/>
    <s v="Spain"/>
    <s v="M"/>
    <n v="42"/>
    <s v="D"/>
    <s v="Outlier"/>
    <x v="1"/>
  </r>
  <r>
    <n v="1767"/>
    <s v="France"/>
    <s v="F"/>
    <n v="52"/>
    <s v="D"/>
    <s v="Outlier"/>
    <x v="1"/>
  </r>
  <r>
    <n v="1768"/>
    <s v="USA"/>
    <s v="F"/>
    <n v="81"/>
    <s v="D"/>
    <s v="Outlier"/>
    <x v="1"/>
  </r>
  <r>
    <n v="1769"/>
    <s v="Spain"/>
    <s v="M"/>
    <n v="27"/>
    <s v="D"/>
    <s v="Outlier"/>
    <x v="2"/>
  </r>
  <r>
    <n v="1770"/>
    <s v="Austria"/>
    <s v="M"/>
    <n v="88"/>
    <s v="D"/>
    <s v="Outlier"/>
    <x v="1"/>
  </r>
  <r>
    <n v="1771"/>
    <s v="Italy"/>
    <s v="M"/>
    <n v="80"/>
    <s v="D"/>
    <s v="Outlier"/>
    <x v="1"/>
  </r>
  <r>
    <n v="1772"/>
    <s v="USA"/>
    <s v="M"/>
    <n v="42"/>
    <s v="D"/>
    <s v="Outlier"/>
    <x v="1"/>
  </r>
  <r>
    <n v="1773"/>
    <s v="USA"/>
    <s v="F"/>
    <n v="22"/>
    <s v="D"/>
    <s v="Outlier"/>
    <x v="2"/>
  </r>
  <r>
    <n v="1774"/>
    <s v="USA"/>
    <s v="M"/>
    <n v="46"/>
    <s v="D"/>
    <s v="Outlier"/>
    <x v="1"/>
  </r>
  <r>
    <n v="1775"/>
    <s v="USA"/>
    <s v="F"/>
    <n v="42"/>
    <s v="D"/>
    <s v="Outlier"/>
    <x v="1"/>
  </r>
  <r>
    <n v="1776"/>
    <s v="USA"/>
    <s v="F"/>
    <n v="77"/>
    <s v="D"/>
    <s v="Outlier"/>
    <x v="1"/>
  </r>
  <r>
    <n v="1777"/>
    <s v="USA"/>
    <s v="F"/>
    <n v="58"/>
    <s v="D"/>
    <s v="Outlier"/>
    <x v="1"/>
  </r>
  <r>
    <n v="1778"/>
    <s v="USA"/>
    <s v="M"/>
    <n v="20"/>
    <s v="D"/>
    <s v="Outlier"/>
    <x v="2"/>
  </r>
  <r>
    <n v="1779"/>
    <s v="USA"/>
    <s v="F"/>
    <n v="88"/>
    <s v="D"/>
    <s v="Outlier"/>
    <x v="1"/>
  </r>
  <r>
    <n v="1780"/>
    <s v="Singapore"/>
    <s v="F"/>
    <n v="49"/>
    <s v="D"/>
    <s v="Outlier"/>
    <x v="1"/>
  </r>
  <r>
    <n v="1781"/>
    <s v="Denmark"/>
    <s v="F"/>
    <n v="29"/>
    <s v="D"/>
    <s v="Outlier"/>
    <x v="2"/>
  </r>
  <r>
    <n v="1782"/>
    <s v="Spain"/>
    <s v="M"/>
    <n v="50"/>
    <s v="D"/>
    <s v="Outlier"/>
    <x v="1"/>
  </r>
  <r>
    <n v="1783"/>
    <s v="USA"/>
    <s v="M"/>
    <n v="27"/>
    <s v="D"/>
    <s v="Outlier"/>
    <x v="2"/>
  </r>
  <r>
    <n v="1784"/>
    <s v="USA"/>
    <s v="M"/>
    <n v="57"/>
    <s v="D"/>
    <s v="Outlier"/>
    <x v="1"/>
  </r>
  <r>
    <n v="1785"/>
    <s v="Singapore"/>
    <s v="F"/>
    <n v="42"/>
    <s v="D"/>
    <s v="Outlier"/>
    <x v="1"/>
  </r>
  <r>
    <n v="1786"/>
    <s v="Singapore"/>
    <s v="F"/>
    <n v="78"/>
    <s v="D"/>
    <s v="Outlier"/>
    <x v="1"/>
  </r>
  <r>
    <n v="1787"/>
    <s v="France"/>
    <s v="F"/>
    <n v="48"/>
    <s v="D"/>
    <s v="Outlier"/>
    <x v="1"/>
  </r>
  <r>
    <n v="1788"/>
    <s v="France"/>
    <s v="F"/>
    <n v="82"/>
    <s v="D"/>
    <s v="Outlier"/>
    <x v="1"/>
  </r>
  <r>
    <n v="1789"/>
    <s v="Germany"/>
    <s v="F"/>
    <n v="35"/>
    <s v="D"/>
    <s v="Outlier"/>
    <x v="0"/>
  </r>
  <r>
    <n v="1790"/>
    <s v="USA"/>
    <s v="M"/>
    <n v="85"/>
    <s v="D"/>
    <s v="Outlier"/>
    <x v="1"/>
  </r>
  <r>
    <n v="1791"/>
    <s v="USA"/>
    <s v="M"/>
    <n v="33"/>
    <s v="D"/>
    <s v="Outlier"/>
    <x v="0"/>
  </r>
  <r>
    <n v="1792"/>
    <s v="Denmark"/>
    <s v="M"/>
    <n v="59"/>
    <s v="D"/>
    <s v="Outlier"/>
    <x v="1"/>
  </r>
  <r>
    <n v="1793"/>
    <s v="France"/>
    <s v="F"/>
    <n v="66"/>
    <s v="D"/>
    <s v="Outlier"/>
    <x v="1"/>
  </r>
  <r>
    <n v="1794"/>
    <s v="Australia"/>
    <s v="M"/>
    <n v="41"/>
    <s v="D"/>
    <s v="Outlier"/>
    <x v="1"/>
  </r>
  <r>
    <n v="1795"/>
    <s v="France"/>
    <s v="M"/>
    <n v="53"/>
    <s v="D"/>
    <s v="Outlier"/>
    <x v="1"/>
  </r>
  <r>
    <n v="1796"/>
    <s v="Denmark"/>
    <s v="F"/>
    <n v="86"/>
    <s v="D"/>
    <s v="Outlier"/>
    <x v="1"/>
  </r>
  <r>
    <n v="1797"/>
    <s v="USA"/>
    <s v="M"/>
    <n v="45"/>
    <s v="D"/>
    <s v="Outlier"/>
    <x v="1"/>
  </r>
  <r>
    <n v="1798"/>
    <s v="USA"/>
    <s v="M"/>
    <n v="31"/>
    <s v="D"/>
    <s v="Outlier"/>
    <x v="0"/>
  </r>
  <r>
    <n v="1799"/>
    <s v="France"/>
    <s v="F"/>
    <n v="75"/>
    <s v="D"/>
    <s v="Outlier"/>
    <x v="1"/>
  </r>
  <r>
    <n v="1800"/>
    <s v="Australia"/>
    <s v="M"/>
    <n v="63"/>
    <s v="D"/>
    <s v="Outlier"/>
    <x v="1"/>
  </r>
  <r>
    <n v="1801"/>
    <s v="Spain"/>
    <s v="F"/>
    <n v="53"/>
    <s v="D"/>
    <s v="Outlier"/>
    <x v="1"/>
  </r>
  <r>
    <n v="1802"/>
    <s v="France"/>
    <s v="F"/>
    <n v="61"/>
    <s v="D"/>
    <s v="Outlier"/>
    <x v="1"/>
  </r>
  <r>
    <n v="1803"/>
    <s v="Spain"/>
    <s v="F"/>
    <n v="59"/>
    <s v="D"/>
    <s v="Outlier"/>
    <x v="1"/>
  </r>
  <r>
    <n v="1804"/>
    <s v="Australia"/>
    <s v="F"/>
    <n v="81"/>
    <s v="D"/>
    <s v="Outlier"/>
    <x v="1"/>
  </r>
  <r>
    <n v="1805"/>
    <s v="France"/>
    <s v="F"/>
    <n v="39"/>
    <s v="D"/>
    <s v="Outlier"/>
    <x v="0"/>
  </r>
  <r>
    <n v="1806"/>
    <s v="USA"/>
    <s v="M"/>
    <n v="35"/>
    <s v="D"/>
    <s v="Outlier"/>
    <x v="0"/>
  </r>
  <r>
    <n v="1807"/>
    <s v="Australia"/>
    <s v="F"/>
    <n v="77"/>
    <s v="D"/>
    <s v="Outlier"/>
    <x v="1"/>
  </r>
  <r>
    <n v="1808"/>
    <s v="Italy"/>
    <s v="F"/>
    <n v="28"/>
    <s v="D"/>
    <s v="Outlier"/>
    <x v="2"/>
  </r>
  <r>
    <n v="1809"/>
    <s v="USA"/>
    <s v="F"/>
    <n v="57"/>
    <s v="D"/>
    <s v="Outlier"/>
    <x v="1"/>
  </r>
  <r>
    <n v="1810"/>
    <s v="USA"/>
    <s v="M"/>
    <n v="86"/>
    <s v="D"/>
    <s v="Outlier"/>
    <x v="1"/>
  </r>
  <r>
    <n v="1811"/>
    <s v="USA"/>
    <s v="F"/>
    <n v="79"/>
    <s v="D"/>
    <s v="Outlier"/>
    <x v="1"/>
  </r>
  <r>
    <n v="1812"/>
    <s v="Spain"/>
    <s v="M"/>
    <n v="49"/>
    <s v="D"/>
    <s v="Outlier"/>
    <x v="1"/>
  </r>
  <r>
    <n v="1813"/>
    <s v="USA"/>
    <s v="M"/>
    <n v="21"/>
    <s v="D"/>
    <s v="Outlier"/>
    <x v="2"/>
  </r>
  <r>
    <n v="1814"/>
    <s v="USA"/>
    <s v="M"/>
    <n v="86"/>
    <s v="D"/>
    <s v="Outlier"/>
    <x v="1"/>
  </r>
  <r>
    <n v="1815"/>
    <s v="Austria"/>
    <s v="M"/>
    <n v="43"/>
    <s v="D"/>
    <s v="Outlier"/>
    <x v="1"/>
  </r>
  <r>
    <n v="1816"/>
    <s v="Spain"/>
    <s v="M"/>
    <n v="75"/>
    <s v="D"/>
    <s v="Outlier"/>
    <x v="1"/>
  </r>
  <r>
    <n v="1817"/>
    <s v="USA"/>
    <s v="M"/>
    <n v="21"/>
    <s v="D"/>
    <s v="Outlier"/>
    <x v="2"/>
  </r>
  <r>
    <n v="1818"/>
    <s v="USA"/>
    <s v="M"/>
    <n v="20"/>
    <s v="D"/>
    <s v="Outlier"/>
    <x v="2"/>
  </r>
  <r>
    <n v="1819"/>
    <s v="USA"/>
    <s v="M"/>
    <n v="82"/>
    <s v="D"/>
    <s v="Outlier"/>
    <x v="1"/>
  </r>
  <r>
    <n v="1820"/>
    <s v="USA"/>
    <s v="M"/>
    <n v="71"/>
    <s v="D"/>
    <s v="Outlier"/>
    <x v="1"/>
  </r>
  <r>
    <n v="1821"/>
    <s v="USA"/>
    <s v="F"/>
    <n v="32"/>
    <s v="D"/>
    <s v="Outlier"/>
    <x v="0"/>
  </r>
  <r>
    <n v="1822"/>
    <s v="USA"/>
    <s v="M"/>
    <n v="56"/>
    <s v="D"/>
    <s v="Outlier"/>
    <x v="1"/>
  </r>
  <r>
    <n v="1823"/>
    <s v="Spain"/>
    <s v="M"/>
    <n v="18"/>
    <s v="D"/>
    <s v="Outlier"/>
    <x v="3"/>
  </r>
  <r>
    <n v="1824"/>
    <s v="USA"/>
    <s v="F"/>
    <n v="35"/>
    <s v="D"/>
    <s v="Outlier"/>
    <x v="0"/>
  </r>
  <r>
    <n v="1825"/>
    <s v="Australia"/>
    <s v="F"/>
    <n v="22"/>
    <s v="D"/>
    <s v="Outlier"/>
    <x v="2"/>
  </r>
  <r>
    <n v="1826"/>
    <s v="Italy"/>
    <s v="M"/>
    <n v="21"/>
    <s v="D"/>
    <s v="Outlier"/>
    <x v="2"/>
  </r>
  <r>
    <n v="1827"/>
    <s v="USA"/>
    <s v="M"/>
    <n v="61"/>
    <s v="D"/>
    <s v="Outlier"/>
    <x v="1"/>
  </r>
  <r>
    <n v="1828"/>
    <s v="Finland"/>
    <s v="F"/>
    <n v="51"/>
    <s v="D"/>
    <s v="Outlier"/>
    <x v="1"/>
  </r>
  <r>
    <n v="1829"/>
    <s v="Australia"/>
    <s v="M"/>
    <n v="82"/>
    <s v="D"/>
    <s v="Outlier"/>
    <x v="1"/>
  </r>
  <r>
    <n v="1830"/>
    <s v="Australia"/>
    <s v="F"/>
    <n v="44"/>
    <s v="D"/>
    <s v="Outlier"/>
    <x v="1"/>
  </r>
  <r>
    <n v="1831"/>
    <s v="USA"/>
    <s v="M"/>
    <n v="48"/>
    <s v="D"/>
    <s v="Outlier"/>
    <x v="1"/>
  </r>
  <r>
    <n v="1832"/>
    <s v="USA"/>
    <s v="F"/>
    <n v="82"/>
    <s v="D"/>
    <s v="Outlier"/>
    <x v="1"/>
  </r>
  <r>
    <n v="1833"/>
    <s v="Singapore"/>
    <s v="F"/>
    <n v="29"/>
    <s v="D"/>
    <s v="Outlier"/>
    <x v="2"/>
  </r>
  <r>
    <n v="1834"/>
    <s v="Australia"/>
    <s v="M"/>
    <n v="60"/>
    <s v="D"/>
    <s v="Outlier"/>
    <x v="1"/>
  </r>
  <r>
    <n v="1835"/>
    <s v="Finland"/>
    <s v="M"/>
    <n v="43"/>
    <s v="D"/>
    <s v="Outlier"/>
    <x v="1"/>
  </r>
  <r>
    <n v="1836"/>
    <s v="France"/>
    <s v="M"/>
    <n v="36"/>
    <s v="D"/>
    <s v="Outlier"/>
    <x v="0"/>
  </r>
  <r>
    <n v="1837"/>
    <s v="Switzerland"/>
    <s v="F"/>
    <n v="87"/>
    <s v="D"/>
    <s v="Outlier"/>
    <x v="1"/>
  </r>
  <r>
    <n v="1838"/>
    <s v="USA"/>
    <s v="F"/>
    <n v="48"/>
    <s v="D"/>
    <s v="Outlier"/>
    <x v="1"/>
  </r>
  <r>
    <n v="1839"/>
    <s v="Germany"/>
    <s v="F"/>
    <n v="33"/>
    <s v="D"/>
    <s v="Outlier"/>
    <x v="0"/>
  </r>
  <r>
    <n v="1840"/>
    <s v="USA"/>
    <s v="M"/>
    <n v="83"/>
    <s v="D"/>
    <s v="Outlier"/>
    <x v="1"/>
  </r>
  <r>
    <n v="1841"/>
    <s v="Singapore"/>
    <s v="M"/>
    <n v="82"/>
    <s v="D"/>
    <s v="Outlier"/>
    <x v="1"/>
  </r>
  <r>
    <n v="1842"/>
    <s v="Singapore"/>
    <s v="M"/>
    <n v="61"/>
    <s v="D"/>
    <s v="Outlier"/>
    <x v="1"/>
  </r>
  <r>
    <n v="1843"/>
    <s v="USA"/>
    <s v="F"/>
    <n v="20"/>
    <s v="D"/>
    <s v="Outlier"/>
    <x v="2"/>
  </r>
  <r>
    <n v="1844"/>
    <s v="Singapore"/>
    <s v="F"/>
    <n v="88"/>
    <s v="D"/>
    <s v="Outlier"/>
    <x v="1"/>
  </r>
  <r>
    <n v="1845"/>
    <s v="Finland"/>
    <s v="F"/>
    <n v="83"/>
    <s v="D"/>
    <s v="Outlier"/>
    <x v="1"/>
  </r>
  <r>
    <n v="1846"/>
    <s v="Australia"/>
    <s v="M"/>
    <n v="41"/>
    <s v="D"/>
    <s v="Outlier"/>
    <x v="1"/>
  </r>
  <r>
    <n v="1847"/>
    <s v="France"/>
    <s v="M"/>
    <n v="33"/>
    <s v="D"/>
    <s v="Outlier"/>
    <x v="0"/>
  </r>
  <r>
    <n v="1848"/>
    <s v="USA"/>
    <s v="M"/>
    <n v="63"/>
    <s v="D"/>
    <s v="Outlier"/>
    <x v="1"/>
  </r>
  <r>
    <n v="1849"/>
    <s v="Denmark"/>
    <s v="M"/>
    <n v="35"/>
    <s v="D"/>
    <s v="Outlier"/>
    <x v="0"/>
  </r>
  <r>
    <n v="1850"/>
    <s v="Germany"/>
    <s v="M"/>
    <n v="60"/>
    <s v="D"/>
    <s v="Outlier"/>
    <x v="1"/>
  </r>
  <r>
    <n v="1851"/>
    <s v="Spain"/>
    <s v="F"/>
    <n v="76"/>
    <s v="D"/>
    <s v="Outlier"/>
    <x v="1"/>
  </r>
  <r>
    <n v="1852"/>
    <s v="Italy"/>
    <s v="M"/>
    <n v="87"/>
    <s v="D"/>
    <s v="Outlier"/>
    <x v="1"/>
  </r>
  <r>
    <n v="1853"/>
    <s v="France"/>
    <s v="M"/>
    <n v="65"/>
    <s v="D"/>
    <s v="Outlier"/>
    <x v="1"/>
  </r>
  <r>
    <n v="1854"/>
    <s v="USA"/>
    <s v="F"/>
    <n v="87"/>
    <s v="D"/>
    <s v="Outlier"/>
    <x v="1"/>
  </r>
  <r>
    <n v="1855"/>
    <s v="Denmark"/>
    <s v="F"/>
    <n v="44"/>
    <s v="D"/>
    <s v="Outlier"/>
    <x v="1"/>
  </r>
  <r>
    <n v="1856"/>
    <s v="USA"/>
    <s v="F"/>
    <n v="78"/>
    <s v="D"/>
    <s v="Outlier"/>
    <x v="1"/>
  </r>
  <r>
    <n v="1857"/>
    <s v="France"/>
    <s v="F"/>
    <n v="75"/>
    <s v="D"/>
    <s v="Outlier"/>
    <x v="1"/>
  </r>
  <r>
    <n v="1858"/>
    <s v="USA"/>
    <s v="F"/>
    <n v="59"/>
    <s v="D"/>
    <s v="Outlier"/>
    <x v="1"/>
  </r>
  <r>
    <n v="1859"/>
    <s v="Spain"/>
    <s v="F"/>
    <n v="64"/>
    <s v="D"/>
    <s v="Outlier"/>
    <x v="1"/>
  </r>
  <r>
    <n v="1860"/>
    <s v="Spain"/>
    <s v="F"/>
    <n v="61"/>
    <s v="D"/>
    <s v="Outlier"/>
    <x v="1"/>
  </r>
  <r>
    <n v="1861"/>
    <s v="USA"/>
    <s v="M"/>
    <n v="84"/>
    <s v="D"/>
    <s v="Outlier"/>
    <x v="1"/>
  </r>
  <r>
    <n v="1862"/>
    <s v="Australia"/>
    <s v="F"/>
    <n v="70"/>
    <s v="D"/>
    <s v="Outlier"/>
    <x v="1"/>
  </r>
  <r>
    <n v="1863"/>
    <s v="Spain"/>
    <s v="F"/>
    <n v="21"/>
    <s v="D"/>
    <s v="Outlier"/>
    <x v="2"/>
  </r>
  <r>
    <n v="1864"/>
    <s v="Australia"/>
    <s v="F"/>
    <n v="83"/>
    <s v="D"/>
    <s v="Outlier"/>
    <x v="1"/>
  </r>
  <r>
    <n v="1865"/>
    <s v="France"/>
    <s v="M"/>
    <n v="90"/>
    <s v="D"/>
    <s v="Outlier"/>
    <x v="1"/>
  </r>
  <r>
    <n v="1866"/>
    <s v="Spain"/>
    <s v="M"/>
    <n v="53"/>
    <s v="D"/>
    <s v="Outlier"/>
    <x v="1"/>
  </r>
  <r>
    <n v="1867"/>
    <s v="USA"/>
    <s v="M"/>
    <n v="57"/>
    <s v="D"/>
    <s v="Outlier"/>
    <x v="1"/>
  </r>
  <r>
    <n v="1868"/>
    <s v="France"/>
    <s v="M"/>
    <n v="49"/>
    <s v="D"/>
    <s v="Outlier"/>
    <x v="1"/>
  </r>
  <r>
    <n v="1869"/>
    <s v="Singapore"/>
    <s v="F"/>
    <n v="60"/>
    <s v="D"/>
    <s v="Outlier"/>
    <x v="1"/>
  </r>
  <r>
    <n v="1870"/>
    <s v="USA"/>
    <s v="F"/>
    <n v="39"/>
    <s v="D"/>
    <s v="Outlier"/>
    <x v="0"/>
  </r>
  <r>
    <n v="1871"/>
    <s v="Italy"/>
    <s v="F"/>
    <n v="49"/>
    <s v="D"/>
    <s v="Outlier"/>
    <x v="1"/>
  </r>
  <r>
    <n v="1872"/>
    <s v="France"/>
    <s v="F"/>
    <n v="34"/>
    <s v="D"/>
    <s v="Outlier"/>
    <x v="0"/>
  </r>
  <r>
    <n v="1873"/>
    <s v="Australia"/>
    <s v="F"/>
    <n v="20"/>
    <s v="D"/>
    <s v="Outlier"/>
    <x v="2"/>
  </r>
  <r>
    <n v="1874"/>
    <s v="USA"/>
    <s v="M"/>
    <n v="51"/>
    <s v="D"/>
    <s v="Outlier"/>
    <x v="1"/>
  </r>
  <r>
    <n v="1875"/>
    <s v="France"/>
    <s v="F"/>
    <n v="62"/>
    <s v="D"/>
    <s v="Outlier"/>
    <x v="1"/>
  </r>
  <r>
    <n v="1876"/>
    <s v="Norway"/>
    <s v="M"/>
    <n v="27"/>
    <s v="D"/>
    <s v="Outlier"/>
    <x v="2"/>
  </r>
  <r>
    <n v="1877"/>
    <s v="Spain"/>
    <s v="M"/>
    <n v="22"/>
    <s v="D"/>
    <s v="Outlier"/>
    <x v="2"/>
  </r>
  <r>
    <n v="1878"/>
    <s v="Spain"/>
    <s v="M"/>
    <n v="24"/>
    <s v="D"/>
    <s v="Outlier"/>
    <x v="2"/>
  </r>
  <r>
    <n v="1879"/>
    <s v="USA"/>
    <s v="M"/>
    <n v="76"/>
    <s v="D"/>
    <s v="Outlier"/>
    <x v="1"/>
  </r>
  <r>
    <n v="1880"/>
    <s v="Spain"/>
    <s v="F"/>
    <n v="73"/>
    <s v="D"/>
    <s v="Outlier"/>
    <x v="1"/>
  </r>
  <r>
    <n v="1881"/>
    <s v="France"/>
    <s v="F"/>
    <n v="83"/>
    <s v="D"/>
    <s v="Outlier"/>
    <x v="1"/>
  </r>
  <r>
    <n v="1882"/>
    <s v="USA"/>
    <s v="M"/>
    <n v="18"/>
    <s v="D"/>
    <s v="Outlier"/>
    <x v="3"/>
  </r>
  <r>
    <n v="1883"/>
    <s v="USA"/>
    <s v="M"/>
    <n v="20"/>
    <s v="D"/>
    <s v="Outlier"/>
    <x v="2"/>
  </r>
  <r>
    <n v="1884"/>
    <s v="USA"/>
    <s v="F"/>
    <n v="31"/>
    <s v="D"/>
    <s v="Outlier"/>
    <x v="0"/>
  </r>
  <r>
    <n v="1885"/>
    <s v="Austria"/>
    <s v="F"/>
    <n v="27"/>
    <s v="D"/>
    <s v="Outlier"/>
    <x v="2"/>
  </r>
  <r>
    <n v="1886"/>
    <s v="Australia"/>
    <s v="F"/>
    <n v="28"/>
    <s v="D"/>
    <s v="Outlier"/>
    <x v="2"/>
  </r>
  <r>
    <n v="1887"/>
    <s v="Spain"/>
    <s v="M"/>
    <n v="89"/>
    <s v="D"/>
    <s v="Outlier"/>
    <x v="1"/>
  </r>
  <r>
    <n v="1888"/>
    <s v="Australia"/>
    <s v="M"/>
    <n v="71"/>
    <s v="D"/>
    <s v="Outlier"/>
    <x v="1"/>
  </r>
  <r>
    <n v="1889"/>
    <s v="Singapore"/>
    <s v="M"/>
    <n v="42"/>
    <s v="D"/>
    <s v="Outlier"/>
    <x v="1"/>
  </r>
  <r>
    <n v="1890"/>
    <s v="USA"/>
    <s v="M"/>
    <n v="87"/>
    <s v="D"/>
    <s v="Outlier"/>
    <x v="1"/>
  </r>
  <r>
    <n v="1891"/>
    <s v="Singapore"/>
    <s v="M"/>
    <n v="54"/>
    <s v="D"/>
    <s v="Outlier"/>
    <x v="1"/>
  </r>
  <r>
    <n v="1892"/>
    <s v="USA"/>
    <s v="M"/>
    <n v="64"/>
    <s v="D"/>
    <s v="Outlier"/>
    <x v="1"/>
  </r>
  <r>
    <n v="1893"/>
    <s v="Australia"/>
    <s v="M"/>
    <n v="47"/>
    <s v="D"/>
    <s v="Outlier"/>
    <x v="1"/>
  </r>
  <r>
    <n v="1894"/>
    <s v="Spain"/>
    <s v="M"/>
    <n v="69"/>
    <s v="D"/>
    <s v="Outlier"/>
    <x v="1"/>
  </r>
  <r>
    <n v="1895"/>
    <s v="France"/>
    <s v="M"/>
    <n v="60"/>
    <s v="D"/>
    <s v="Outlier"/>
    <x v="1"/>
  </r>
  <r>
    <n v="1896"/>
    <s v="France"/>
    <s v="F"/>
    <n v="22"/>
    <s v="D"/>
    <s v="Outlier"/>
    <x v="2"/>
  </r>
  <r>
    <n v="1897"/>
    <s v="USA"/>
    <s v="F"/>
    <n v="28"/>
    <s v="D"/>
    <s v="Outlier"/>
    <x v="2"/>
  </r>
  <r>
    <n v="1898"/>
    <s v="Australia"/>
    <s v="M"/>
    <n v="74"/>
    <s v="D"/>
    <s v="Outlier"/>
    <x v="1"/>
  </r>
  <r>
    <n v="1899"/>
    <s v="USA"/>
    <s v="F"/>
    <n v="63"/>
    <s v="D"/>
    <s v="Outlier"/>
    <x v="1"/>
  </r>
  <r>
    <n v="1900"/>
    <s v="Singapore"/>
    <s v="F"/>
    <n v="28"/>
    <s v="D"/>
    <s v="Outlier"/>
    <x v="2"/>
  </r>
  <r>
    <n v="1901"/>
    <s v="USA"/>
    <s v="F"/>
    <n v="34"/>
    <s v="D"/>
    <s v="Outlier"/>
    <x v="0"/>
  </r>
  <r>
    <n v="1902"/>
    <s v="Austria"/>
    <s v="F"/>
    <n v="46"/>
    <s v="D"/>
    <s v="Outlier"/>
    <x v="1"/>
  </r>
  <r>
    <n v="1903"/>
    <s v="Australia"/>
    <s v="M"/>
    <n v="71"/>
    <s v="D"/>
    <s v="Outlier"/>
    <x v="1"/>
  </r>
  <r>
    <n v="1904"/>
    <s v="Denmark"/>
    <s v="M"/>
    <n v="70"/>
    <s v="D"/>
    <s v="Outlier"/>
    <x v="1"/>
  </r>
  <r>
    <n v="1905"/>
    <s v="Spain"/>
    <s v="M"/>
    <n v="48"/>
    <s v="D"/>
    <s v="Outlier"/>
    <x v="1"/>
  </r>
  <r>
    <n v="1906"/>
    <s v="Switzerland"/>
    <s v="F"/>
    <n v="81"/>
    <s v="D"/>
    <s v="Outlier"/>
    <x v="1"/>
  </r>
  <r>
    <n v="1907"/>
    <s v="Australia"/>
    <s v="F"/>
    <n v="83"/>
    <s v="D"/>
    <s v="Outlier"/>
    <x v="1"/>
  </r>
  <r>
    <n v="1908"/>
    <s v="USA"/>
    <s v="M"/>
    <n v="20"/>
    <s v="D"/>
    <s v="Outlier"/>
    <x v="2"/>
  </r>
  <r>
    <n v="1909"/>
    <s v="Denmark"/>
    <s v="M"/>
    <n v="40"/>
    <s v="D"/>
    <s v="Outlier"/>
    <x v="0"/>
  </r>
  <r>
    <n v="1910"/>
    <s v="France"/>
    <s v="M"/>
    <n v="51"/>
    <s v="D"/>
    <s v="Outlier"/>
    <x v="1"/>
  </r>
  <r>
    <n v="1911"/>
    <s v="Australia"/>
    <s v="F"/>
    <n v="78"/>
    <s v="D"/>
    <s v="Outlier"/>
    <x v="1"/>
  </r>
  <r>
    <n v="1912"/>
    <s v="Australia"/>
    <s v="F"/>
    <n v="90"/>
    <s v="D"/>
    <s v="Outlier"/>
    <x v="1"/>
  </r>
  <r>
    <n v="1913"/>
    <s v="Italy"/>
    <s v="F"/>
    <n v="51"/>
    <s v="D"/>
    <s v="Outlier"/>
    <x v="1"/>
  </r>
  <r>
    <n v="1914"/>
    <s v="Australia"/>
    <s v="M"/>
    <n v="34"/>
    <s v="D"/>
    <s v="Outlier"/>
    <x v="0"/>
  </r>
  <r>
    <n v="1915"/>
    <s v="USA"/>
    <s v="M"/>
    <n v="74"/>
    <s v="D"/>
    <s v="Outlier"/>
    <x v="1"/>
  </r>
  <r>
    <n v="1916"/>
    <s v="Switzerland"/>
    <s v="M"/>
    <n v="34"/>
    <s v="D"/>
    <s v="Outlier"/>
    <x v="0"/>
  </r>
  <r>
    <n v="1917"/>
    <s v="USA"/>
    <s v="F"/>
    <n v="63"/>
    <s v="D"/>
    <s v="Outlier"/>
    <x v="1"/>
  </r>
  <r>
    <n v="1918"/>
    <s v="France"/>
    <s v="M"/>
    <n v="57"/>
    <s v="D"/>
    <s v="Outlier"/>
    <x v="1"/>
  </r>
  <r>
    <n v="1919"/>
    <s v="France"/>
    <s v="M"/>
    <n v="86"/>
    <s v="D"/>
    <s v="Outlier"/>
    <x v="1"/>
  </r>
  <r>
    <n v="1920"/>
    <s v="USA"/>
    <s v="M"/>
    <n v="43"/>
    <s v="D"/>
    <s v="Outlier"/>
    <x v="1"/>
  </r>
  <r>
    <n v="1921"/>
    <s v="USA"/>
    <s v="F"/>
    <n v="62"/>
    <s v="D"/>
    <s v="Outlier"/>
    <x v="1"/>
  </r>
  <r>
    <n v="1922"/>
    <s v="Spain"/>
    <s v="F"/>
    <n v="59"/>
    <s v="D"/>
    <s v="Outlier"/>
    <x v="1"/>
  </r>
  <r>
    <n v="1923"/>
    <s v="Italy"/>
    <s v="M"/>
    <n v="29"/>
    <s v="D"/>
    <s v="Outlier"/>
    <x v="2"/>
  </r>
  <r>
    <n v="1924"/>
    <s v="Italy"/>
    <s v="F"/>
    <n v="48"/>
    <s v="D"/>
    <s v="Outlier"/>
    <x v="1"/>
  </r>
  <r>
    <n v="1925"/>
    <s v="USA"/>
    <s v="M"/>
    <n v="65"/>
    <s v="D"/>
    <s v="Outlier"/>
    <x v="1"/>
  </r>
  <r>
    <n v="1926"/>
    <s v="Spain"/>
    <s v="F"/>
    <n v="24"/>
    <s v="D"/>
    <s v="Outlier"/>
    <x v="2"/>
  </r>
  <r>
    <n v="1927"/>
    <s v="Spain"/>
    <s v="F"/>
    <n v="52"/>
    <s v="D"/>
    <s v="Outlier"/>
    <x v="1"/>
  </r>
  <r>
    <n v="1928"/>
    <s v="Australia"/>
    <s v="M"/>
    <n v="62"/>
    <s v="D"/>
    <s v="Outlier"/>
    <x v="1"/>
  </r>
  <r>
    <n v="1929"/>
    <s v="France"/>
    <s v="F"/>
    <n v="69"/>
    <s v="D"/>
    <s v="Outlier"/>
    <x v="1"/>
  </r>
  <r>
    <n v="1930"/>
    <s v="USA"/>
    <s v="F"/>
    <n v="40"/>
    <s v="D"/>
    <s v="Outlier"/>
    <x v="0"/>
  </r>
  <r>
    <n v="1931"/>
    <s v="USA"/>
    <s v="F"/>
    <n v="76"/>
    <s v="D"/>
    <s v="Outlier"/>
    <x v="1"/>
  </r>
  <r>
    <n v="1932"/>
    <s v="Norway"/>
    <s v="F"/>
    <n v="72"/>
    <s v="D"/>
    <s v="Outlier"/>
    <x v="1"/>
  </r>
  <r>
    <n v="1933"/>
    <s v="Spain"/>
    <s v="M"/>
    <n v="62"/>
    <s v="D"/>
    <s v="Outlier"/>
    <x v="1"/>
  </r>
  <r>
    <n v="1934"/>
    <s v="Spain"/>
    <s v="M"/>
    <n v="25"/>
    <s v="D"/>
    <s v="Outlier"/>
    <x v="2"/>
  </r>
  <r>
    <n v="1935"/>
    <s v="Spain"/>
    <s v="F"/>
    <n v="77"/>
    <s v="D"/>
    <s v="Outlier"/>
    <x v="1"/>
  </r>
  <r>
    <n v="1936"/>
    <s v="Australia"/>
    <s v="F"/>
    <n v="78"/>
    <s v="D"/>
    <s v="Outlier"/>
    <x v="1"/>
  </r>
  <r>
    <n v="1937"/>
    <s v="Austria"/>
    <s v="F"/>
    <n v="27"/>
    <s v="D"/>
    <s v="Outlier"/>
    <x v="2"/>
  </r>
  <r>
    <n v="1938"/>
    <s v="USA"/>
    <s v="M"/>
    <n v="70"/>
    <s v="D"/>
    <s v="Outlier"/>
    <x v="1"/>
  </r>
  <r>
    <n v="1939"/>
    <s v="USA"/>
    <s v="M"/>
    <n v="44"/>
    <s v="D"/>
    <s v="Outlier"/>
    <x v="1"/>
  </r>
  <r>
    <n v="1940"/>
    <s v="Spain"/>
    <s v="M"/>
    <n v="46"/>
    <s v="D"/>
    <s v="Outlier"/>
    <x v="1"/>
  </r>
  <r>
    <n v="1941"/>
    <s v="Spain"/>
    <s v="F"/>
    <n v="86"/>
    <s v="D"/>
    <s v="Outlier"/>
    <x v="1"/>
  </r>
  <r>
    <n v="1942"/>
    <s v="USA"/>
    <s v="F"/>
    <n v="30"/>
    <s v="D"/>
    <s v="Outlier"/>
    <x v="2"/>
  </r>
  <r>
    <n v="1943"/>
    <s v="USA"/>
    <s v="F"/>
    <n v="72"/>
    <s v="D"/>
    <s v="Outlier"/>
    <x v="1"/>
  </r>
  <r>
    <n v="1944"/>
    <s v="Spain"/>
    <s v="M"/>
    <n v="82"/>
    <s v="D"/>
    <s v="Outlier"/>
    <x v="1"/>
  </r>
  <r>
    <n v="1945"/>
    <s v="USA"/>
    <s v="M"/>
    <n v="62"/>
    <s v="D"/>
    <s v="Outlier"/>
    <x v="1"/>
  </r>
  <r>
    <n v="1946"/>
    <s v="USA"/>
    <s v="M"/>
    <n v="75"/>
    <s v="D"/>
    <s v="Outlier"/>
    <x v="1"/>
  </r>
  <r>
    <n v="1947"/>
    <s v="Spain"/>
    <s v="F"/>
    <n v="33"/>
    <s v="D"/>
    <s v="Outlier"/>
    <x v="0"/>
  </r>
  <r>
    <n v="1948"/>
    <s v="USA"/>
    <s v="F"/>
    <n v="79"/>
    <s v="D"/>
    <s v="Outlier"/>
    <x v="1"/>
  </r>
  <r>
    <n v="1949"/>
    <s v="Austria"/>
    <s v="M"/>
    <n v="57"/>
    <s v="D"/>
    <s v="Outlier"/>
    <x v="1"/>
  </r>
  <r>
    <n v="1950"/>
    <s v="Singapore"/>
    <s v="F"/>
    <n v="87"/>
    <s v="D"/>
    <s v="Outlier"/>
    <x v="1"/>
  </r>
  <r>
    <n v="1951"/>
    <s v="Denmark"/>
    <s v="M"/>
    <n v="28"/>
    <s v="D"/>
    <s v="Outlier"/>
    <x v="2"/>
  </r>
  <r>
    <n v="1952"/>
    <s v="USA"/>
    <s v="M"/>
    <n v="49"/>
    <s v="D"/>
    <s v="Outlier"/>
    <x v="1"/>
  </r>
  <r>
    <n v="1953"/>
    <s v="USA"/>
    <s v="M"/>
    <n v="19"/>
    <s v="D"/>
    <s v="Outlier"/>
    <x v="3"/>
  </r>
  <r>
    <n v="1954"/>
    <s v="Finland"/>
    <s v="F"/>
    <n v="55"/>
    <s v="D"/>
    <s v="Outlier"/>
    <x v="1"/>
  </r>
  <r>
    <n v="1955"/>
    <s v="Spain"/>
    <s v="F"/>
    <n v="68"/>
    <s v="D"/>
    <s v="Outlier"/>
    <x v="1"/>
  </r>
  <r>
    <n v="1956"/>
    <s v="Austria"/>
    <s v="M"/>
    <n v="41"/>
    <s v="D"/>
    <s v="Outlier"/>
    <x v="1"/>
  </r>
  <r>
    <n v="1957"/>
    <s v="USA"/>
    <s v="F"/>
    <n v="42"/>
    <s v="D"/>
    <s v="Outlier"/>
    <x v="1"/>
  </r>
  <r>
    <n v="1958"/>
    <s v="Ireland"/>
    <s v="F"/>
    <n v="23"/>
    <s v="D"/>
    <s v="Outlier"/>
    <x v="2"/>
  </r>
  <r>
    <n v="1959"/>
    <s v="Germany"/>
    <s v="M"/>
    <n v="28"/>
    <s v="D"/>
    <s v="Outlier"/>
    <x v="2"/>
  </r>
  <r>
    <n v="1960"/>
    <s v="Ireland"/>
    <s v="F"/>
    <n v="33"/>
    <s v="D"/>
    <s v="Outlier"/>
    <x v="0"/>
  </r>
  <r>
    <n v="1961"/>
    <s v="Germany"/>
    <s v="M"/>
    <n v="87"/>
    <s v="D"/>
    <s v="Outlier"/>
    <x v="1"/>
  </r>
  <r>
    <n v="1962"/>
    <s v="USA"/>
    <s v="M"/>
    <n v="23"/>
    <s v="D"/>
    <s v="Outlier"/>
    <x v="2"/>
  </r>
  <r>
    <n v="1963"/>
    <s v="Australia"/>
    <s v="F"/>
    <n v="25"/>
    <s v="D"/>
    <s v="Outlier"/>
    <x v="2"/>
  </r>
  <r>
    <n v="1964"/>
    <s v="Spain"/>
    <s v="F"/>
    <n v="32"/>
    <s v="D"/>
    <s v="Outlier"/>
    <x v="0"/>
  </r>
  <r>
    <n v="1965"/>
    <s v="France"/>
    <s v="M"/>
    <n v="84"/>
    <s v="D"/>
    <s v="Outlier"/>
    <x v="1"/>
  </r>
  <r>
    <n v="1966"/>
    <s v="Italy"/>
    <s v="M"/>
    <n v="82"/>
    <s v="D"/>
    <s v="Outlier"/>
    <x v="1"/>
  </r>
  <r>
    <n v="1967"/>
    <s v="Spain"/>
    <s v="M"/>
    <n v="89"/>
    <s v="D"/>
    <s v="Outlier"/>
    <x v="1"/>
  </r>
  <r>
    <n v="1968"/>
    <s v="USA"/>
    <s v="F"/>
    <n v="20"/>
    <s v="D"/>
    <s v="Outlier"/>
    <x v="2"/>
  </r>
  <r>
    <n v="1969"/>
    <s v="Spain"/>
    <s v="M"/>
    <n v="41"/>
    <s v="D"/>
    <s v="Outlier"/>
    <x v="1"/>
  </r>
  <r>
    <n v="1970"/>
    <s v="France"/>
    <s v="M"/>
    <n v="79"/>
    <s v="D"/>
    <s v="Outlier"/>
    <x v="1"/>
  </r>
  <r>
    <n v="1971"/>
    <s v="Spain"/>
    <s v="F"/>
    <n v="44"/>
    <s v="D"/>
    <s v="Outlier"/>
    <x v="1"/>
  </r>
  <r>
    <n v="1972"/>
    <s v="USA"/>
    <s v="M"/>
    <n v="37"/>
    <s v="D"/>
    <s v="Outlier"/>
    <x v="0"/>
  </r>
  <r>
    <n v="1973"/>
    <s v="USA"/>
    <s v="M"/>
    <n v="64"/>
    <s v="D"/>
    <s v="Outlier"/>
    <x v="1"/>
  </r>
  <r>
    <n v="1974"/>
    <s v="USA"/>
    <s v="F"/>
    <n v="74"/>
    <s v="D"/>
    <s v="Outlier"/>
    <x v="1"/>
  </r>
  <r>
    <n v="1975"/>
    <s v="USA"/>
    <s v="M"/>
    <n v="40"/>
    <s v="D"/>
    <s v="Outlier"/>
    <x v="0"/>
  </r>
  <r>
    <n v="1976"/>
    <s v="Spain"/>
    <s v="F"/>
    <n v="73"/>
    <s v="D"/>
    <s v="Outlier"/>
    <x v="1"/>
  </r>
  <r>
    <n v="1977"/>
    <s v="USA"/>
    <s v="F"/>
    <n v="79"/>
    <s v="D"/>
    <s v="Outlier"/>
    <x v="1"/>
  </r>
  <r>
    <n v="1978"/>
    <s v="Spain"/>
    <s v="F"/>
    <n v="23"/>
    <s v="D"/>
    <s v="Outlier"/>
    <x v="2"/>
  </r>
  <r>
    <n v="1979"/>
    <s v="Finland"/>
    <s v="F"/>
    <n v="21"/>
    <s v="D"/>
    <s v="Outlier"/>
    <x v="2"/>
  </r>
  <r>
    <n v="1980"/>
    <s v="Switzerland"/>
    <s v="M"/>
    <n v="57"/>
    <s v="D"/>
    <s v="Outlier"/>
    <x v="1"/>
  </r>
  <r>
    <n v="1981"/>
    <s v="USA"/>
    <s v="M"/>
    <n v="26"/>
    <s v="D"/>
    <s v="Outlier"/>
    <x v="2"/>
  </r>
  <r>
    <n v="1982"/>
    <s v="Italy"/>
    <s v="F"/>
    <n v="74"/>
    <s v="D"/>
    <s v="Outlier"/>
    <x v="1"/>
  </r>
  <r>
    <n v="1983"/>
    <s v="Spain"/>
    <s v="F"/>
    <n v="35"/>
    <s v="D"/>
    <s v="Outlier"/>
    <x v="0"/>
  </r>
  <r>
    <n v="1984"/>
    <s v="Australia"/>
    <s v="M"/>
    <n v="45"/>
    <s v="D"/>
    <s v="Outlier"/>
    <x v="1"/>
  </r>
  <r>
    <n v="1985"/>
    <s v="France"/>
    <s v="M"/>
    <n v="49"/>
    <s v="D"/>
    <s v="Outlier"/>
    <x v="1"/>
  </r>
  <r>
    <n v="1986"/>
    <s v="France"/>
    <s v="M"/>
    <n v="21"/>
    <s v="D"/>
    <s v="Outlier"/>
    <x v="2"/>
  </r>
  <r>
    <n v="1987"/>
    <s v="France"/>
    <s v="M"/>
    <n v="48"/>
    <s v="D"/>
    <s v="Outlier"/>
    <x v="1"/>
  </r>
  <r>
    <n v="1988"/>
    <s v="USA"/>
    <s v="M"/>
    <n v="66"/>
    <s v="D"/>
    <s v="Outlier"/>
    <x v="1"/>
  </r>
  <r>
    <n v="1989"/>
    <s v="USA"/>
    <s v="M"/>
    <n v="89"/>
    <s v="D"/>
    <s v="Outlier"/>
    <x v="1"/>
  </r>
  <r>
    <n v="1990"/>
    <s v="USA"/>
    <s v="F"/>
    <n v="89"/>
    <s v="D"/>
    <s v="Outlier"/>
    <x v="1"/>
  </r>
  <r>
    <n v="1991"/>
    <s v="USA"/>
    <s v="F"/>
    <n v="49"/>
    <s v="D"/>
    <s v="Outlier"/>
    <x v="1"/>
  </r>
  <r>
    <n v="1992"/>
    <s v="Denmark"/>
    <s v="F"/>
    <n v="66"/>
    <s v="D"/>
    <s v="Outlier"/>
    <x v="1"/>
  </r>
  <r>
    <n v="1993"/>
    <s v="USA"/>
    <s v="M"/>
    <n v="61"/>
    <s v="D"/>
    <s v="Outlier"/>
    <x v="1"/>
  </r>
  <r>
    <n v="1994"/>
    <s v="Singapore"/>
    <s v="M"/>
    <n v="43"/>
    <s v="D"/>
    <s v="Outlier"/>
    <x v="1"/>
  </r>
  <r>
    <n v="1995"/>
    <s v="USA"/>
    <s v="M"/>
    <n v="45"/>
    <s v="D"/>
    <s v="Outlier"/>
    <x v="1"/>
  </r>
  <r>
    <n v="1996"/>
    <s v="USA"/>
    <s v="M"/>
    <n v="83"/>
    <s v="D"/>
    <s v="Outlier"/>
    <x v="1"/>
  </r>
  <r>
    <n v="1997"/>
    <s v="Spain"/>
    <s v="F"/>
    <n v="79"/>
    <s v="D"/>
    <s v="Outlier"/>
    <x v="1"/>
  </r>
  <r>
    <n v="1998"/>
    <s v="Australia"/>
    <s v="M"/>
    <n v="82"/>
    <s v="D"/>
    <s v="Outlier"/>
    <x v="1"/>
  </r>
  <r>
    <n v="1999"/>
    <s v="Italy"/>
    <s v="M"/>
    <n v="72"/>
    <s v="D"/>
    <s v="Outlier"/>
    <x v="1"/>
  </r>
  <r>
    <n v="2000"/>
    <s v="USA"/>
    <s v="F"/>
    <n v="39"/>
    <s v="D"/>
    <s v="Outlier"/>
    <x v="0"/>
  </r>
  <r>
    <n v="2001"/>
    <s v="Spain"/>
    <s v="F"/>
    <n v="59"/>
    <s v="E"/>
    <s v="Outlier"/>
    <x v="1"/>
  </r>
  <r>
    <n v="2002"/>
    <s v="USA"/>
    <s v="F"/>
    <n v="53"/>
    <s v="E"/>
    <s v="Outlier"/>
    <x v="1"/>
  </r>
  <r>
    <n v="2003"/>
    <s v="USA"/>
    <s v="M"/>
    <n v="23"/>
    <s v="E"/>
    <s v="Outlier"/>
    <x v="2"/>
  </r>
  <r>
    <n v="2004"/>
    <s v="USA"/>
    <s v="F"/>
    <n v="40"/>
    <s v="E"/>
    <s v="Outlier"/>
    <x v="0"/>
  </r>
  <r>
    <n v="2005"/>
    <s v="Spain"/>
    <s v="M"/>
    <n v="38"/>
    <s v="E"/>
    <s v="Outlier"/>
    <x v="0"/>
  </r>
  <r>
    <n v="2006"/>
    <s v="USA"/>
    <s v="M"/>
    <n v="21"/>
    <s v="E"/>
    <s v="Outlier"/>
    <x v="2"/>
  </r>
  <r>
    <n v="2007"/>
    <s v="Italy"/>
    <s v="M"/>
    <n v="58"/>
    <s v="E"/>
    <s v="Outlier"/>
    <x v="1"/>
  </r>
  <r>
    <n v="2008"/>
    <s v="Australia"/>
    <s v="M"/>
    <n v="67"/>
    <s v="E"/>
    <s v="Outlier"/>
    <x v="1"/>
  </r>
  <r>
    <n v="2009"/>
    <s v="USA"/>
    <s v="F"/>
    <n v="42"/>
    <s v="E"/>
    <s v="Outlier"/>
    <x v="1"/>
  </r>
  <r>
    <n v="2010"/>
    <s v="France"/>
    <s v="M"/>
    <n v="50"/>
    <s v="E"/>
    <s v="Outlier"/>
    <x v="1"/>
  </r>
  <r>
    <n v="2011"/>
    <s v="USA"/>
    <s v="M"/>
    <n v="18"/>
    <s v="E"/>
    <s v="Outlier"/>
    <x v="3"/>
  </r>
  <r>
    <n v="2012"/>
    <s v="USA"/>
    <s v="M"/>
    <n v="42"/>
    <s v="E"/>
    <s v="Outlier"/>
    <x v="1"/>
  </r>
  <r>
    <n v="2013"/>
    <s v="USA"/>
    <s v="M"/>
    <n v="39"/>
    <s v="E"/>
    <s v="Outlier"/>
    <x v="0"/>
  </r>
  <r>
    <n v="2014"/>
    <s v="France"/>
    <s v="F"/>
    <n v="41"/>
    <s v="E"/>
    <s v="Outlier"/>
    <x v="1"/>
  </r>
  <r>
    <n v="2015"/>
    <s v="France"/>
    <s v="M"/>
    <n v="55"/>
    <s v="E"/>
    <s v="Outlier"/>
    <x v="1"/>
  </r>
  <r>
    <n v="2016"/>
    <s v="Spain"/>
    <s v="F"/>
    <n v="71"/>
    <s v="E"/>
    <s v="Outlier"/>
    <x v="1"/>
  </r>
  <r>
    <n v="2017"/>
    <s v="USA"/>
    <s v="M"/>
    <n v="76"/>
    <s v="E"/>
    <s v="Outlier"/>
    <x v="1"/>
  </r>
  <r>
    <n v="2018"/>
    <s v="Spain"/>
    <s v="M"/>
    <n v="44"/>
    <s v="E"/>
    <s v="Outlier"/>
    <x v="1"/>
  </r>
  <r>
    <n v="2019"/>
    <s v="USA"/>
    <s v="M"/>
    <n v="57"/>
    <s v="E"/>
    <s v="Outlier"/>
    <x v="1"/>
  </r>
  <r>
    <n v="2020"/>
    <s v="France"/>
    <s v="M"/>
    <n v="58"/>
    <s v="E"/>
    <s v="Outlier"/>
    <x v="1"/>
  </r>
  <r>
    <n v="2021"/>
    <s v="Spain"/>
    <s v="F"/>
    <n v="26"/>
    <s v="E"/>
    <s v="Outlier"/>
    <x v="2"/>
  </r>
  <r>
    <n v="2022"/>
    <s v="USA"/>
    <s v="F"/>
    <n v="52"/>
    <s v="E"/>
    <s v="Outlier"/>
    <x v="1"/>
  </r>
  <r>
    <n v="2023"/>
    <s v="USA"/>
    <s v="M"/>
    <n v="73"/>
    <s v="E"/>
    <s v="Outlier"/>
    <x v="1"/>
  </r>
  <r>
    <n v="2024"/>
    <s v="Spain"/>
    <s v="F"/>
    <n v="78"/>
    <s v="E"/>
    <s v="Outlier"/>
    <x v="1"/>
  </r>
  <r>
    <n v="2025"/>
    <s v="USA"/>
    <s v="F"/>
    <n v="21"/>
    <s v="E"/>
    <s v="Outlier"/>
    <x v="2"/>
  </r>
  <r>
    <n v="2026"/>
    <s v="France"/>
    <s v="F"/>
    <n v="58"/>
    <s v="E"/>
    <s v="Outlier"/>
    <x v="1"/>
  </r>
  <r>
    <n v="2027"/>
    <s v="Spain"/>
    <s v="F"/>
    <n v="89"/>
    <s v="E"/>
    <s v="Outlier"/>
    <x v="1"/>
  </r>
  <r>
    <n v="2028"/>
    <s v="USA"/>
    <s v="F"/>
    <n v="39"/>
    <s v="E"/>
    <s v="Outlier"/>
    <x v="0"/>
  </r>
  <r>
    <n v="2029"/>
    <s v="USA"/>
    <s v="M"/>
    <n v="48"/>
    <s v="E"/>
    <s v="Outlier"/>
    <x v="1"/>
  </r>
  <r>
    <n v="2030"/>
    <s v="Austria"/>
    <s v="M"/>
    <n v="72"/>
    <s v="E"/>
    <s v="Outlier"/>
    <x v="1"/>
  </r>
  <r>
    <n v="2031"/>
    <s v="Spain"/>
    <s v="F"/>
    <n v="54"/>
    <s v="E"/>
    <s v="Outlier"/>
    <x v="1"/>
  </r>
  <r>
    <n v="2032"/>
    <s v="Singapore"/>
    <s v="F"/>
    <n v="83"/>
    <s v="E"/>
    <s v="Outlier"/>
    <x v="1"/>
  </r>
  <r>
    <n v="2033"/>
    <s v="USA"/>
    <s v="M"/>
    <n v="21"/>
    <s v="E"/>
    <s v="Outlier"/>
    <x v="2"/>
  </r>
  <r>
    <n v="2034"/>
    <s v="USA"/>
    <s v="F"/>
    <n v="39"/>
    <s v="E"/>
    <s v="Outlier"/>
    <x v="0"/>
  </r>
  <r>
    <n v="2035"/>
    <s v="France"/>
    <s v="F"/>
    <n v="42"/>
    <s v="E"/>
    <s v="Outlier"/>
    <x v="1"/>
  </r>
  <r>
    <n v="2036"/>
    <s v="USA"/>
    <s v="M"/>
    <n v="83"/>
    <s v="E"/>
    <s v="Outlier"/>
    <x v="1"/>
  </r>
  <r>
    <n v="2037"/>
    <s v="Italy"/>
    <s v="F"/>
    <n v="22"/>
    <s v="E"/>
    <s v="Outlier"/>
    <x v="2"/>
  </r>
  <r>
    <n v="2038"/>
    <s v="Finland"/>
    <s v="M"/>
    <n v="56"/>
    <s v="E"/>
    <s v="Outlier"/>
    <x v="1"/>
  </r>
  <r>
    <n v="2039"/>
    <s v="Denmark"/>
    <s v="F"/>
    <n v="55"/>
    <s v="E"/>
    <s v="Outlier"/>
    <x v="1"/>
  </r>
  <r>
    <n v="2040"/>
    <s v="Germany"/>
    <s v="M"/>
    <n v="38"/>
    <s v="E"/>
    <s v="Outlier"/>
    <x v="0"/>
  </r>
  <r>
    <n v="2041"/>
    <s v="Australia"/>
    <s v="M"/>
    <n v="70"/>
    <s v="E"/>
    <s v="Outlier"/>
    <x v="1"/>
  </r>
  <r>
    <n v="2042"/>
    <s v="Austria"/>
    <s v="F"/>
    <n v="57"/>
    <s v="E"/>
    <s v="Outlier"/>
    <x v="1"/>
  </r>
  <r>
    <n v="2043"/>
    <s v="Spain"/>
    <s v="M"/>
    <n v="51"/>
    <s v="E"/>
    <s v="Outlier"/>
    <x v="1"/>
  </r>
  <r>
    <n v="2044"/>
    <s v="USA"/>
    <s v="F"/>
    <n v="39"/>
    <s v="E"/>
    <s v="Outlier"/>
    <x v="0"/>
  </r>
  <r>
    <n v="2045"/>
    <s v="Spain"/>
    <s v="M"/>
    <n v="56"/>
    <s v="E"/>
    <s v="Outlier"/>
    <x v="1"/>
  </r>
  <r>
    <n v="2046"/>
    <s v="France"/>
    <s v="F"/>
    <n v="43"/>
    <s v="E"/>
    <s v="Outlier"/>
    <x v="1"/>
  </r>
  <r>
    <n v="2047"/>
    <s v="USA"/>
    <s v="F"/>
    <n v="87"/>
    <s v="E"/>
    <s v="Outlier"/>
    <x v="1"/>
  </r>
  <r>
    <n v="2048"/>
    <s v="USA"/>
    <s v="M"/>
    <n v="63"/>
    <s v="E"/>
    <s v="Outlier"/>
    <x v="1"/>
  </r>
  <r>
    <n v="2049"/>
    <s v="USA"/>
    <s v="M"/>
    <n v="67"/>
    <s v="E"/>
    <s v="Outlier"/>
    <x v="1"/>
  </r>
  <r>
    <n v="2050"/>
    <s v="Finland"/>
    <s v="F"/>
    <n v="34"/>
    <s v="E"/>
    <s v="Outlier"/>
    <x v="0"/>
  </r>
  <r>
    <n v="2051"/>
    <s v="Switzerland"/>
    <s v="F"/>
    <n v="90"/>
    <s v="E"/>
    <s v="Outlier"/>
    <x v="1"/>
  </r>
  <r>
    <n v="2052"/>
    <s v="Italy"/>
    <s v="M"/>
    <n v="65"/>
    <s v="E"/>
    <s v="Outlier"/>
    <x v="1"/>
  </r>
  <r>
    <n v="2053"/>
    <s v="USA"/>
    <s v="M"/>
    <n v="38"/>
    <s v="E"/>
    <s v="Outlier"/>
    <x v="0"/>
  </r>
  <r>
    <n v="2054"/>
    <s v="Spain"/>
    <s v="F"/>
    <n v="28"/>
    <s v="E"/>
    <s v="Outlier"/>
    <x v="2"/>
  </r>
  <r>
    <n v="2055"/>
    <s v="USA"/>
    <s v="F"/>
    <n v="33"/>
    <s v="E"/>
    <s v="Outlier"/>
    <x v="0"/>
  </r>
  <r>
    <n v="2056"/>
    <s v="USA"/>
    <s v="M"/>
    <n v="79"/>
    <s v="E"/>
    <s v="Outlier"/>
    <x v="1"/>
  </r>
  <r>
    <n v="2057"/>
    <s v="France"/>
    <s v="M"/>
    <n v="41"/>
    <s v="E"/>
    <s v="Outlier"/>
    <x v="1"/>
  </r>
  <r>
    <n v="2058"/>
    <s v="USA"/>
    <s v="M"/>
    <n v="30"/>
    <s v="E"/>
    <s v="Outlier"/>
    <x v="2"/>
  </r>
  <r>
    <n v="2059"/>
    <s v="Denmark"/>
    <s v="M"/>
    <n v="27"/>
    <s v="E"/>
    <s v="Outlier"/>
    <x v="2"/>
  </r>
  <r>
    <n v="2060"/>
    <s v="France"/>
    <s v="F"/>
    <n v="42"/>
    <s v="E"/>
    <s v="Outlier"/>
    <x v="1"/>
  </r>
  <r>
    <n v="2061"/>
    <s v="USA"/>
    <s v="M"/>
    <n v="78"/>
    <s v="E"/>
    <s v="Outlier"/>
    <x v="1"/>
  </r>
  <r>
    <n v="2062"/>
    <s v="Australia"/>
    <s v="M"/>
    <n v="52"/>
    <s v="E"/>
    <s v="Outlier"/>
    <x v="1"/>
  </r>
  <r>
    <n v="2063"/>
    <s v="Australia"/>
    <s v="M"/>
    <n v="23"/>
    <s v="E"/>
    <s v="Outlier"/>
    <x v="2"/>
  </r>
  <r>
    <n v="2064"/>
    <s v="Finland"/>
    <s v="M"/>
    <n v="47"/>
    <s v="E"/>
    <s v="Outlier"/>
    <x v="1"/>
  </r>
  <r>
    <n v="2065"/>
    <s v="Australia"/>
    <s v="F"/>
    <n v="58"/>
    <s v="E"/>
    <s v="Outlier"/>
    <x v="1"/>
  </r>
  <r>
    <n v="2066"/>
    <s v="Spain"/>
    <s v="M"/>
    <n v="69"/>
    <s v="E"/>
    <s v="Outlier"/>
    <x v="1"/>
  </r>
  <r>
    <n v="2067"/>
    <s v="Finland"/>
    <s v="F"/>
    <n v="70"/>
    <s v="E"/>
    <s v="Outlier"/>
    <x v="1"/>
  </r>
  <r>
    <n v="2068"/>
    <s v="USA"/>
    <s v="M"/>
    <n v="70"/>
    <s v="E"/>
    <s v="Outlier"/>
    <x v="1"/>
  </r>
  <r>
    <n v="2069"/>
    <s v="Switzerland"/>
    <s v="F"/>
    <n v="61"/>
    <s v="E"/>
    <s v="Outlier"/>
    <x v="1"/>
  </r>
  <r>
    <n v="2070"/>
    <s v="Spain"/>
    <s v="M"/>
    <n v="41"/>
    <s v="E"/>
    <s v="Outlier"/>
    <x v="1"/>
  </r>
  <r>
    <n v="2071"/>
    <s v="Spain"/>
    <s v="M"/>
    <n v="46"/>
    <s v="E"/>
    <s v="Outlier"/>
    <x v="1"/>
  </r>
  <r>
    <n v="2072"/>
    <s v="USA"/>
    <s v="M"/>
    <n v="80"/>
    <s v="E"/>
    <s v="Outlier"/>
    <x v="1"/>
  </r>
  <r>
    <n v="2073"/>
    <s v="Austria"/>
    <s v="F"/>
    <n v="30"/>
    <s v="E"/>
    <s v="Outlier"/>
    <x v="2"/>
  </r>
  <r>
    <n v="2074"/>
    <s v="USA"/>
    <s v="F"/>
    <n v="86"/>
    <s v="E"/>
    <s v="Outlier"/>
    <x v="1"/>
  </r>
  <r>
    <n v="2075"/>
    <s v="USA"/>
    <s v="M"/>
    <n v="81"/>
    <s v="E"/>
    <s v="Outlier"/>
    <x v="1"/>
  </r>
  <r>
    <n v="2076"/>
    <s v="USA"/>
    <s v="F"/>
    <n v="55"/>
    <s v="E"/>
    <s v="Outlier"/>
    <x v="1"/>
  </r>
  <r>
    <n v="2077"/>
    <s v="Spain"/>
    <s v="F"/>
    <n v="61"/>
    <s v="E"/>
    <s v="Outlier"/>
    <x v="1"/>
  </r>
  <r>
    <n v="2078"/>
    <s v="Austria"/>
    <s v="M"/>
    <n v="63"/>
    <s v="E"/>
    <s v="Outlier"/>
    <x v="1"/>
  </r>
  <r>
    <n v="2079"/>
    <s v="USA"/>
    <s v="M"/>
    <n v="55"/>
    <s v="E"/>
    <s v="Outlier"/>
    <x v="1"/>
  </r>
  <r>
    <n v="2080"/>
    <s v="USA"/>
    <s v="M"/>
    <n v="73"/>
    <s v="E"/>
    <s v="Outlier"/>
    <x v="1"/>
  </r>
  <r>
    <n v="2081"/>
    <s v="Singapore"/>
    <s v="F"/>
    <n v="82"/>
    <s v="E"/>
    <s v="Outlier"/>
    <x v="1"/>
  </r>
  <r>
    <n v="2082"/>
    <s v="Germany"/>
    <s v="M"/>
    <n v="70"/>
    <s v="E"/>
    <s v="Outlier"/>
    <x v="1"/>
  </r>
  <r>
    <n v="2083"/>
    <s v="USA"/>
    <s v="M"/>
    <n v="22"/>
    <s v="E"/>
    <s v="Outlier"/>
    <x v="2"/>
  </r>
  <r>
    <n v="2084"/>
    <s v="USA"/>
    <s v="F"/>
    <n v="75"/>
    <s v="E"/>
    <s v="Outlier"/>
    <x v="1"/>
  </r>
  <r>
    <n v="2085"/>
    <s v="France"/>
    <s v="F"/>
    <n v="23"/>
    <s v="E"/>
    <s v="Outlier"/>
    <x v="2"/>
  </r>
  <r>
    <n v="2086"/>
    <s v="USA"/>
    <s v="F"/>
    <n v="48"/>
    <s v="E"/>
    <s v="Outlier"/>
    <x v="1"/>
  </r>
  <r>
    <n v="2087"/>
    <s v="USA"/>
    <s v="F"/>
    <n v="49"/>
    <s v="E"/>
    <s v="Outlier"/>
    <x v="1"/>
  </r>
  <r>
    <n v="2088"/>
    <s v="USA"/>
    <s v="M"/>
    <n v="56"/>
    <s v="E"/>
    <s v="Outlier"/>
    <x v="1"/>
  </r>
  <r>
    <n v="2089"/>
    <s v="USA"/>
    <s v="M"/>
    <n v="28"/>
    <s v="E"/>
    <s v="Outlier"/>
    <x v="2"/>
  </r>
  <r>
    <n v="2090"/>
    <s v="USA"/>
    <s v="F"/>
    <n v="74"/>
    <s v="E"/>
    <s v="Outlier"/>
    <x v="1"/>
  </r>
  <r>
    <n v="2091"/>
    <s v="USA"/>
    <s v="M"/>
    <n v="66"/>
    <s v="E"/>
    <s v="Outlier"/>
    <x v="1"/>
  </r>
  <r>
    <n v="2092"/>
    <s v="USA"/>
    <s v="M"/>
    <n v="90"/>
    <s v="E"/>
    <s v="Outlier"/>
    <x v="1"/>
  </r>
  <r>
    <n v="2093"/>
    <s v="France"/>
    <s v="F"/>
    <n v="41"/>
    <s v="E"/>
    <s v="Outlier"/>
    <x v="1"/>
  </r>
  <r>
    <n v="2094"/>
    <s v="Australia"/>
    <s v="F"/>
    <n v="24"/>
    <s v="E"/>
    <s v="Outlier"/>
    <x v="2"/>
  </r>
  <r>
    <n v="2095"/>
    <s v="USA"/>
    <s v="F"/>
    <n v="29"/>
    <s v="E"/>
    <s v="Outlier"/>
    <x v="2"/>
  </r>
  <r>
    <n v="2096"/>
    <s v="USA"/>
    <s v="M"/>
    <n v="36"/>
    <s v="E"/>
    <s v="Outlier"/>
    <x v="0"/>
  </r>
  <r>
    <n v="2097"/>
    <s v="France"/>
    <s v="M"/>
    <n v="30"/>
    <s v="E"/>
    <s v="Outlier"/>
    <x v="2"/>
  </r>
  <r>
    <n v="2098"/>
    <s v="Italy"/>
    <s v="M"/>
    <n v="35"/>
    <s v="E"/>
    <s v="Outlier"/>
    <x v="0"/>
  </r>
  <r>
    <n v="2099"/>
    <s v="Singapore"/>
    <s v="F"/>
    <n v="76"/>
    <s v="E"/>
    <s v="Outlier"/>
    <x v="1"/>
  </r>
  <r>
    <n v="2100"/>
    <s v="France"/>
    <s v="M"/>
    <n v="82"/>
    <s v="E"/>
    <s v="Outlier"/>
    <x v="1"/>
  </r>
  <r>
    <n v="2101"/>
    <s v="Italy"/>
    <s v="M"/>
    <n v="57"/>
    <s v="E"/>
    <s v="Outlier"/>
    <x v="1"/>
  </r>
  <r>
    <n v="2102"/>
    <s v="USA"/>
    <s v="F"/>
    <n v="57"/>
    <s v="E"/>
    <s v="Outlier"/>
    <x v="1"/>
  </r>
  <r>
    <n v="2103"/>
    <s v="USA"/>
    <s v="M"/>
    <n v="87"/>
    <s v="E"/>
    <s v="Outlier"/>
    <x v="1"/>
  </r>
  <r>
    <n v="2104"/>
    <s v="USA"/>
    <s v="M"/>
    <n v="59"/>
    <s v="E"/>
    <s v="Outlier"/>
    <x v="1"/>
  </r>
  <r>
    <n v="2105"/>
    <s v="Denmark"/>
    <s v="M"/>
    <n v="33"/>
    <s v="E"/>
    <s v="Outlier"/>
    <x v="0"/>
  </r>
  <r>
    <n v="2106"/>
    <s v="Italy"/>
    <s v="M"/>
    <n v="36"/>
    <s v="E"/>
    <s v="Outlier"/>
    <x v="0"/>
  </r>
  <r>
    <n v="2107"/>
    <s v="Spain"/>
    <s v="M"/>
    <n v="56"/>
    <s v="E"/>
    <s v="Outlier"/>
    <x v="1"/>
  </r>
  <r>
    <n v="2108"/>
    <s v="USA"/>
    <s v="M"/>
    <n v="37"/>
    <s v="E"/>
    <s v="Outlier"/>
    <x v="0"/>
  </r>
  <r>
    <n v="2109"/>
    <s v="USA"/>
    <s v="M"/>
    <n v="62"/>
    <s v="E"/>
    <s v="Outlier"/>
    <x v="1"/>
  </r>
  <r>
    <n v="2110"/>
    <s v="France"/>
    <s v="M"/>
    <n v="84"/>
    <s v="E"/>
    <s v="Outlier"/>
    <x v="1"/>
  </r>
  <r>
    <n v="2111"/>
    <s v="France"/>
    <s v="F"/>
    <n v="42"/>
    <s v="E"/>
    <s v="Outlier"/>
    <x v="1"/>
  </r>
  <r>
    <n v="2112"/>
    <s v="USA"/>
    <s v="M"/>
    <n v="70"/>
    <s v="E"/>
    <s v="Outlier"/>
    <x v="1"/>
  </r>
  <r>
    <n v="2113"/>
    <s v="USA"/>
    <s v="F"/>
    <n v="32"/>
    <s v="E"/>
    <s v="Outlier"/>
    <x v="0"/>
  </r>
  <r>
    <n v="2114"/>
    <s v="France"/>
    <s v="M"/>
    <n v="62"/>
    <s v="E"/>
    <s v="Outlier"/>
    <x v="1"/>
  </r>
  <r>
    <n v="2115"/>
    <s v="USA"/>
    <s v="F"/>
    <n v="45"/>
    <s v="E"/>
    <s v="Outlier"/>
    <x v="1"/>
  </r>
  <r>
    <n v="2116"/>
    <s v="Switzerland"/>
    <s v="F"/>
    <n v="84"/>
    <s v="E"/>
    <s v="Outlier"/>
    <x v="1"/>
  </r>
  <r>
    <n v="2117"/>
    <s v="USA"/>
    <s v="F"/>
    <n v="21"/>
    <s v="E"/>
    <s v="Outlier"/>
    <x v="2"/>
  </r>
  <r>
    <n v="2118"/>
    <s v="USA"/>
    <s v="M"/>
    <n v="68"/>
    <s v="E"/>
    <s v="Outlier"/>
    <x v="1"/>
  </r>
  <r>
    <n v="2119"/>
    <s v="USA"/>
    <s v="F"/>
    <n v="68"/>
    <s v="E"/>
    <s v="Outlier"/>
    <x v="1"/>
  </r>
  <r>
    <n v="2120"/>
    <s v="USA"/>
    <s v="F"/>
    <n v="26"/>
    <s v="E"/>
    <s v="Outlier"/>
    <x v="2"/>
  </r>
  <r>
    <n v="2121"/>
    <s v="Norway"/>
    <s v="M"/>
    <n v="29"/>
    <s v="E"/>
    <s v="Outlier"/>
    <x v="2"/>
  </r>
  <r>
    <n v="2122"/>
    <s v="France"/>
    <s v="M"/>
    <n v="84"/>
    <s v="E"/>
    <s v="Outlier"/>
    <x v="1"/>
  </r>
  <r>
    <n v="2123"/>
    <s v="Italy"/>
    <s v="F"/>
    <n v="54"/>
    <s v="E"/>
    <s v="Outlier"/>
    <x v="1"/>
  </r>
  <r>
    <n v="2124"/>
    <s v="France"/>
    <s v="F"/>
    <n v="83"/>
    <s v="E"/>
    <s v="Outlier"/>
    <x v="1"/>
  </r>
  <r>
    <n v="2125"/>
    <s v="USA"/>
    <s v="F"/>
    <n v="69"/>
    <s v="E"/>
    <s v="Outlier"/>
    <x v="1"/>
  </r>
  <r>
    <n v="2126"/>
    <s v="USA"/>
    <s v="F"/>
    <n v="76"/>
    <s v="E"/>
    <s v="Outlier"/>
    <x v="1"/>
  </r>
  <r>
    <n v="2127"/>
    <s v="USA"/>
    <s v="F"/>
    <n v="37"/>
    <s v="E"/>
    <s v="Outlier"/>
    <x v="0"/>
  </r>
  <r>
    <n v="2128"/>
    <s v="France"/>
    <s v="F"/>
    <n v="56"/>
    <s v="E"/>
    <s v="Outlier"/>
    <x v="1"/>
  </r>
  <r>
    <n v="2129"/>
    <s v="Germany"/>
    <s v="F"/>
    <n v="67"/>
    <s v="E"/>
    <s v="Outlier"/>
    <x v="1"/>
  </r>
  <r>
    <n v="2130"/>
    <s v="Germany"/>
    <s v="F"/>
    <n v="20"/>
    <s v="E"/>
    <s v="Outlier"/>
    <x v="2"/>
  </r>
  <r>
    <n v="2131"/>
    <s v="France"/>
    <s v="F"/>
    <n v="89"/>
    <s v="E"/>
    <s v="Outlier"/>
    <x v="1"/>
  </r>
  <r>
    <n v="2132"/>
    <s v="Spain"/>
    <s v="F"/>
    <n v="55"/>
    <s v="E"/>
    <s v="Outlier"/>
    <x v="1"/>
  </r>
  <r>
    <n v="2133"/>
    <s v="Austria"/>
    <s v="M"/>
    <n v="69"/>
    <s v="E"/>
    <s v="Outlier"/>
    <x v="1"/>
  </r>
  <r>
    <n v="2134"/>
    <s v="Singapore"/>
    <s v="F"/>
    <n v="69"/>
    <s v="E"/>
    <s v="Outlier"/>
    <x v="1"/>
  </r>
  <r>
    <n v="2135"/>
    <s v="France"/>
    <s v="M"/>
    <n v="61"/>
    <s v="E"/>
    <s v="Outlier"/>
    <x v="1"/>
  </r>
  <r>
    <n v="2136"/>
    <s v="USA"/>
    <s v="M"/>
    <n v="83"/>
    <s v="E"/>
    <s v="Outlier"/>
    <x v="1"/>
  </r>
  <r>
    <n v="2137"/>
    <s v="Italy"/>
    <s v="M"/>
    <n v="62"/>
    <s v="E"/>
    <s v="Outlier"/>
    <x v="1"/>
  </r>
  <r>
    <n v="2138"/>
    <s v="USA"/>
    <s v="M"/>
    <n v="87"/>
    <s v="E"/>
    <s v="Outlier"/>
    <x v="1"/>
  </r>
  <r>
    <n v="2139"/>
    <s v="Australia"/>
    <s v="F"/>
    <n v="24"/>
    <s v="E"/>
    <s v="Outlier"/>
    <x v="2"/>
  </r>
  <r>
    <n v="2140"/>
    <s v="USA"/>
    <s v="M"/>
    <n v="53"/>
    <s v="E"/>
    <s v="Outlier"/>
    <x v="1"/>
  </r>
  <r>
    <n v="2141"/>
    <s v="USA"/>
    <s v="M"/>
    <n v="53"/>
    <s v="E"/>
    <s v="Outlier"/>
    <x v="1"/>
  </r>
  <r>
    <n v="2142"/>
    <s v="France"/>
    <s v="M"/>
    <n v="37"/>
    <s v="E"/>
    <s v="Outlier"/>
    <x v="0"/>
  </r>
  <r>
    <n v="2143"/>
    <s v="USA"/>
    <s v="F"/>
    <n v="59"/>
    <s v="E"/>
    <s v="Outlier"/>
    <x v="1"/>
  </r>
  <r>
    <n v="2144"/>
    <s v="Spain"/>
    <s v="M"/>
    <n v="59"/>
    <s v="E"/>
    <s v="Outlier"/>
    <x v="1"/>
  </r>
  <r>
    <n v="2145"/>
    <s v="USA"/>
    <s v="F"/>
    <n v="60"/>
    <s v="E"/>
    <s v="Outlier"/>
    <x v="1"/>
  </r>
  <r>
    <n v="2146"/>
    <s v="USA"/>
    <s v="F"/>
    <n v="28"/>
    <s v="E"/>
    <s v="Outlier"/>
    <x v="2"/>
  </r>
  <r>
    <n v="2147"/>
    <s v="Singapore"/>
    <s v="M"/>
    <n v="52"/>
    <s v="E"/>
    <s v="Outlier"/>
    <x v="1"/>
  </r>
  <r>
    <n v="2148"/>
    <s v="USA"/>
    <s v="F"/>
    <n v="44"/>
    <s v="E"/>
    <s v="Outlier"/>
    <x v="1"/>
  </r>
  <r>
    <n v="2149"/>
    <s v="France"/>
    <s v="F"/>
    <n v="72"/>
    <s v="E"/>
    <s v="Outlier"/>
    <x v="1"/>
  </r>
  <r>
    <n v="2150"/>
    <s v="USA"/>
    <s v="F"/>
    <n v="18"/>
    <s v="E"/>
    <s v="Outlier"/>
    <x v="3"/>
  </r>
  <r>
    <n v="2151"/>
    <s v="Switzerland"/>
    <s v="M"/>
    <n v="41"/>
    <s v="E"/>
    <s v="Outlier"/>
    <x v="1"/>
  </r>
  <r>
    <n v="2152"/>
    <s v="USA"/>
    <s v="F"/>
    <n v="77"/>
    <s v="E"/>
    <s v="Outlier"/>
    <x v="1"/>
  </r>
  <r>
    <n v="2153"/>
    <s v="Spain"/>
    <s v="M"/>
    <n v="87"/>
    <s v="E"/>
    <s v="Outlier"/>
    <x v="1"/>
  </r>
  <r>
    <n v="2154"/>
    <s v="Spain"/>
    <s v="M"/>
    <n v="38"/>
    <s v="E"/>
    <s v="Outlier"/>
    <x v="0"/>
  </r>
  <r>
    <n v="2155"/>
    <s v="France"/>
    <s v="M"/>
    <n v="62"/>
    <s v="E"/>
    <s v="Outlier"/>
    <x v="1"/>
  </r>
  <r>
    <n v="2156"/>
    <s v="USA"/>
    <s v="F"/>
    <n v="74"/>
    <s v="E"/>
    <s v="Outlier"/>
    <x v="1"/>
  </r>
  <r>
    <n v="2157"/>
    <s v="USA"/>
    <s v="M"/>
    <n v="58"/>
    <s v="E"/>
    <s v="Outlier"/>
    <x v="1"/>
  </r>
  <r>
    <n v="2158"/>
    <s v="USA"/>
    <s v="M"/>
    <n v="57"/>
    <s v="E"/>
    <s v="Outlier"/>
    <x v="1"/>
  </r>
  <r>
    <n v="2159"/>
    <s v="Australia"/>
    <s v="F"/>
    <n v="58"/>
    <s v="E"/>
    <s v="Outlier"/>
    <x v="1"/>
  </r>
  <r>
    <n v="2160"/>
    <s v="Spain"/>
    <s v="F"/>
    <n v="58"/>
    <s v="E"/>
    <s v="Outlier"/>
    <x v="1"/>
  </r>
  <r>
    <n v="2161"/>
    <s v="Spain"/>
    <s v="F"/>
    <n v="20"/>
    <s v="E"/>
    <s v="Outlier"/>
    <x v="2"/>
  </r>
  <r>
    <n v="2162"/>
    <s v="USA"/>
    <s v="M"/>
    <n v="42"/>
    <s v="E"/>
    <s v="Outlier"/>
    <x v="1"/>
  </r>
  <r>
    <n v="2163"/>
    <s v="Austria"/>
    <s v="M"/>
    <n v="68"/>
    <s v="E"/>
    <s v="Outlier"/>
    <x v="1"/>
  </r>
  <r>
    <n v="2164"/>
    <s v="France"/>
    <s v="M"/>
    <n v="47"/>
    <s v="E"/>
    <s v="Outlier"/>
    <x v="1"/>
  </r>
  <r>
    <n v="2165"/>
    <s v="Australia"/>
    <s v="M"/>
    <n v="23"/>
    <s v="E"/>
    <s v="Outlier"/>
    <x v="2"/>
  </r>
  <r>
    <n v="2166"/>
    <s v="Finland"/>
    <s v="F"/>
    <n v="18"/>
    <s v="E"/>
    <s v="Outlier"/>
    <x v="3"/>
  </r>
  <r>
    <n v="2167"/>
    <s v="USA"/>
    <s v="F"/>
    <n v="55"/>
    <s v="E"/>
    <s v="Outlier"/>
    <x v="1"/>
  </r>
  <r>
    <n v="2168"/>
    <s v="Ireland"/>
    <s v="M"/>
    <n v="73"/>
    <s v="E"/>
    <s v="Outlier"/>
    <x v="1"/>
  </r>
  <r>
    <n v="2169"/>
    <s v="USA"/>
    <s v="M"/>
    <n v="44"/>
    <s v="E"/>
    <s v="Outlier"/>
    <x v="1"/>
  </r>
  <r>
    <n v="2170"/>
    <s v="USA"/>
    <s v="F"/>
    <n v="46"/>
    <s v="E"/>
    <s v="Outlier"/>
    <x v="1"/>
  </r>
  <r>
    <n v="2171"/>
    <s v="France"/>
    <s v="M"/>
    <n v="57"/>
    <s v="E"/>
    <s v="Outlier"/>
    <x v="1"/>
  </r>
  <r>
    <n v="2172"/>
    <s v="Australia"/>
    <s v="M"/>
    <n v="64"/>
    <s v="E"/>
    <s v="Outlier"/>
    <x v="1"/>
  </r>
  <r>
    <n v="2173"/>
    <s v="USA"/>
    <s v="M"/>
    <n v="49"/>
    <s v="E"/>
    <s v="Outlier"/>
    <x v="1"/>
  </r>
  <r>
    <n v="2174"/>
    <s v="USA"/>
    <s v="F"/>
    <n v="38"/>
    <s v="E"/>
    <s v="Outlier"/>
    <x v="0"/>
  </r>
  <r>
    <n v="2175"/>
    <s v="USA"/>
    <s v="M"/>
    <n v="41"/>
    <s v="E"/>
    <s v="Outlier"/>
    <x v="1"/>
  </r>
  <r>
    <n v="2176"/>
    <s v="USA"/>
    <s v="M"/>
    <n v="36"/>
    <s v="E"/>
    <s v="Outlier"/>
    <x v="0"/>
  </r>
  <r>
    <n v="2177"/>
    <s v="Spain"/>
    <s v="F"/>
    <n v="68"/>
    <s v="E"/>
    <s v="Outlier"/>
    <x v="1"/>
  </r>
  <r>
    <n v="2178"/>
    <s v="France"/>
    <s v="M"/>
    <n v="73"/>
    <s v="E"/>
    <s v="Outlier"/>
    <x v="1"/>
  </r>
  <r>
    <n v="2179"/>
    <s v="Germany"/>
    <s v="M"/>
    <n v="69"/>
    <s v="E"/>
    <s v="Outlier"/>
    <x v="1"/>
  </r>
  <r>
    <n v="2180"/>
    <s v="USA"/>
    <s v="F"/>
    <n v="28"/>
    <s v="E"/>
    <s v="Outlier"/>
    <x v="2"/>
  </r>
  <r>
    <n v="2181"/>
    <s v="USA"/>
    <s v="F"/>
    <n v="26"/>
    <s v="E"/>
    <s v="Outlier"/>
    <x v="2"/>
  </r>
  <r>
    <n v="2182"/>
    <s v="USA"/>
    <s v="F"/>
    <n v="64"/>
    <s v="E"/>
    <s v="Outlier"/>
    <x v="1"/>
  </r>
  <r>
    <n v="2183"/>
    <s v="USA"/>
    <s v="F"/>
    <n v="53"/>
    <s v="E"/>
    <s v="Outlier"/>
    <x v="1"/>
  </r>
  <r>
    <n v="2184"/>
    <s v="Italy"/>
    <s v="M"/>
    <n v="28"/>
    <s v="E"/>
    <s v="Outlier"/>
    <x v="2"/>
  </r>
  <r>
    <n v="2185"/>
    <s v="Australia"/>
    <s v="M"/>
    <n v="45"/>
    <s v="E"/>
    <s v="Outlier"/>
    <x v="1"/>
  </r>
  <r>
    <n v="2186"/>
    <s v="USA"/>
    <s v="M"/>
    <n v="39"/>
    <s v="E"/>
    <s v="Outlier"/>
    <x v="0"/>
  </r>
  <r>
    <n v="2187"/>
    <s v="France"/>
    <s v="M"/>
    <n v="83"/>
    <s v="E"/>
    <s v="Outlier"/>
    <x v="1"/>
  </r>
  <r>
    <n v="2188"/>
    <s v="Spain"/>
    <s v="M"/>
    <n v="39"/>
    <s v="E"/>
    <s v="Outlier"/>
    <x v="0"/>
  </r>
  <r>
    <n v="2189"/>
    <s v="USA"/>
    <s v="M"/>
    <n v="62"/>
    <s v="E"/>
    <s v="Outlier"/>
    <x v="1"/>
  </r>
  <r>
    <n v="2190"/>
    <s v="France"/>
    <s v="F"/>
    <n v="70"/>
    <s v="E"/>
    <s v="Outlier"/>
    <x v="1"/>
  </r>
  <r>
    <n v="2191"/>
    <s v="Switzerland"/>
    <s v="M"/>
    <n v="26"/>
    <s v="E"/>
    <s v="Outlier"/>
    <x v="2"/>
  </r>
  <r>
    <n v="2192"/>
    <s v="USA"/>
    <s v="M"/>
    <n v="28"/>
    <s v="E"/>
    <s v="Outlier"/>
    <x v="2"/>
  </r>
  <r>
    <n v="2193"/>
    <s v="USA"/>
    <s v="M"/>
    <n v="24"/>
    <s v="E"/>
    <s v="Outlier"/>
    <x v="2"/>
  </r>
  <r>
    <n v="2194"/>
    <s v="USA"/>
    <s v="F"/>
    <n v="81"/>
    <s v="E"/>
    <s v="Outlier"/>
    <x v="1"/>
  </r>
  <r>
    <n v="2195"/>
    <s v="USA"/>
    <s v="F"/>
    <n v="49"/>
    <s v="E"/>
    <s v="Outlier"/>
    <x v="1"/>
  </r>
  <r>
    <n v="2196"/>
    <s v="Spain"/>
    <s v="F"/>
    <n v="79"/>
    <s v="E"/>
    <s v="Outlier"/>
    <x v="1"/>
  </r>
  <r>
    <n v="2197"/>
    <s v="France"/>
    <s v="M"/>
    <n v="85"/>
    <s v="E"/>
    <s v="Outlier"/>
    <x v="1"/>
  </r>
  <r>
    <n v="2198"/>
    <s v="Spain"/>
    <s v="F"/>
    <n v="30"/>
    <s v="E"/>
    <s v="Outlier"/>
    <x v="2"/>
  </r>
  <r>
    <n v="2199"/>
    <s v="Germany"/>
    <s v="M"/>
    <n v="50"/>
    <s v="E"/>
    <s v="Outlier"/>
    <x v="1"/>
  </r>
  <r>
    <n v="2200"/>
    <s v="France"/>
    <s v="F"/>
    <n v="52"/>
    <s v="E"/>
    <s v="Outlier"/>
    <x v="1"/>
  </r>
  <r>
    <n v="2201"/>
    <s v="Finland"/>
    <s v="F"/>
    <n v="80"/>
    <s v="E"/>
    <s v="Outlier"/>
    <x v="1"/>
  </r>
  <r>
    <n v="2202"/>
    <s v="Singapore"/>
    <s v="M"/>
    <n v="40"/>
    <s v="E"/>
    <s v="Outlier"/>
    <x v="0"/>
  </r>
  <r>
    <n v="2203"/>
    <s v="France"/>
    <s v="M"/>
    <n v="43"/>
    <s v="E"/>
    <s v="Outlier"/>
    <x v="1"/>
  </r>
  <r>
    <n v="2204"/>
    <s v="USA"/>
    <s v="F"/>
    <n v="67"/>
    <s v="E"/>
    <s v="Outlier"/>
    <x v="1"/>
  </r>
  <r>
    <n v="2205"/>
    <s v="Spain"/>
    <s v="F"/>
    <n v="67"/>
    <s v="E"/>
    <s v="Outlier"/>
    <x v="1"/>
  </r>
  <r>
    <n v="2206"/>
    <s v="Italy"/>
    <s v="F"/>
    <n v="37"/>
    <s v="E"/>
    <s v="Outlier"/>
    <x v="0"/>
  </r>
  <r>
    <n v="2207"/>
    <s v="Spain"/>
    <s v="F"/>
    <n v="57"/>
    <s v="E"/>
    <s v="Outlier"/>
    <x v="1"/>
  </r>
  <r>
    <n v="2208"/>
    <s v="USA"/>
    <s v="F"/>
    <n v="61"/>
    <s v="E"/>
    <s v="Outlier"/>
    <x v="1"/>
  </r>
  <r>
    <n v="2209"/>
    <s v="Denmark"/>
    <s v="F"/>
    <n v="86"/>
    <s v="E"/>
    <s v="Outlier"/>
    <x v="1"/>
  </r>
  <r>
    <n v="2210"/>
    <s v="Australia"/>
    <s v="M"/>
    <n v="67"/>
    <s v="E"/>
    <s v="Outlier"/>
    <x v="1"/>
  </r>
  <r>
    <n v="2211"/>
    <s v="Italy"/>
    <s v="M"/>
    <n v="53"/>
    <s v="E"/>
    <s v="Outlier"/>
    <x v="1"/>
  </r>
  <r>
    <n v="2212"/>
    <s v="France"/>
    <s v="M"/>
    <n v="80"/>
    <s v="E"/>
    <s v="Outlier"/>
    <x v="1"/>
  </r>
  <r>
    <n v="2213"/>
    <s v="Australia"/>
    <s v="F"/>
    <n v="79"/>
    <s v="E"/>
    <s v="Outlier"/>
    <x v="1"/>
  </r>
  <r>
    <n v="2214"/>
    <s v="USA"/>
    <s v="M"/>
    <n v="32"/>
    <s v="E"/>
    <s v="Outlier"/>
    <x v="0"/>
  </r>
  <r>
    <n v="2215"/>
    <s v="Spain"/>
    <s v="M"/>
    <n v="73"/>
    <s v="E"/>
    <s v="Outlier"/>
    <x v="1"/>
  </r>
  <r>
    <n v="2216"/>
    <s v="USA"/>
    <s v="F"/>
    <n v="36"/>
    <s v="E"/>
    <s v="Outlier"/>
    <x v="0"/>
  </r>
  <r>
    <n v="2217"/>
    <s v="Spain"/>
    <s v="F"/>
    <n v="18"/>
    <s v="E"/>
    <s v="Outlier"/>
    <x v="3"/>
  </r>
  <r>
    <n v="2218"/>
    <s v="USA"/>
    <s v="M"/>
    <n v="37"/>
    <s v="E"/>
    <s v="Outlier"/>
    <x v="0"/>
  </r>
  <r>
    <n v="2219"/>
    <s v="Austria"/>
    <s v="M"/>
    <n v="19"/>
    <s v="E"/>
    <s v="Outlier"/>
    <x v="3"/>
  </r>
  <r>
    <n v="2220"/>
    <s v="Australia"/>
    <s v="F"/>
    <n v="25"/>
    <s v="E"/>
    <s v="Outlier"/>
    <x v="2"/>
  </r>
  <r>
    <n v="2221"/>
    <s v="Australia"/>
    <s v="F"/>
    <n v="69"/>
    <s v="E"/>
    <s v="Outlier"/>
    <x v="1"/>
  </r>
  <r>
    <n v="2222"/>
    <s v="USA"/>
    <s v="F"/>
    <n v="23"/>
    <s v="E"/>
    <s v="Outlier"/>
    <x v="2"/>
  </r>
  <r>
    <n v="2223"/>
    <s v="USA"/>
    <s v="M"/>
    <n v="85"/>
    <s v="E"/>
    <s v="Outlier"/>
    <x v="1"/>
  </r>
  <r>
    <n v="2224"/>
    <s v="USA"/>
    <s v="M"/>
    <n v="82"/>
    <s v="E"/>
    <s v="Outlier"/>
    <x v="1"/>
  </r>
  <r>
    <n v="2225"/>
    <s v="USA"/>
    <s v="F"/>
    <n v="89"/>
    <s v="E"/>
    <s v="Outlier"/>
    <x v="1"/>
  </r>
  <r>
    <n v="2226"/>
    <s v="France"/>
    <s v="F"/>
    <n v="66"/>
    <s v="E"/>
    <s v="Outlier"/>
    <x v="1"/>
  </r>
  <r>
    <n v="2227"/>
    <s v="USA"/>
    <s v="F"/>
    <n v="70"/>
    <s v="E"/>
    <s v="Outlier"/>
    <x v="1"/>
  </r>
  <r>
    <n v="2228"/>
    <s v="Italy"/>
    <s v="F"/>
    <n v="46"/>
    <s v="E"/>
    <s v="Outlier"/>
    <x v="1"/>
  </r>
  <r>
    <n v="2229"/>
    <s v="Denmark"/>
    <s v="F"/>
    <n v="38"/>
    <s v="E"/>
    <s v="Outlier"/>
    <x v="0"/>
  </r>
  <r>
    <n v="2230"/>
    <s v="Australia"/>
    <s v="F"/>
    <n v="65"/>
    <s v="E"/>
    <s v="Outlier"/>
    <x v="1"/>
  </r>
  <r>
    <n v="2231"/>
    <s v="France"/>
    <s v="M"/>
    <n v="76"/>
    <s v="E"/>
    <s v="Outlier"/>
    <x v="1"/>
  </r>
  <r>
    <n v="2232"/>
    <s v="USA"/>
    <s v="M"/>
    <n v="57"/>
    <s v="E"/>
    <s v="Outlier"/>
    <x v="1"/>
  </r>
  <r>
    <n v="2233"/>
    <s v="Germany"/>
    <s v="F"/>
    <n v="52"/>
    <s v="E"/>
    <s v="Outlier"/>
    <x v="1"/>
  </r>
  <r>
    <n v="2234"/>
    <s v="Switzerland"/>
    <s v="M"/>
    <n v="47"/>
    <s v="E"/>
    <s v="Outlier"/>
    <x v="1"/>
  </r>
  <r>
    <n v="2235"/>
    <s v="Spain"/>
    <s v="M"/>
    <n v="65"/>
    <s v="E"/>
    <s v="Outlier"/>
    <x v="1"/>
  </r>
  <r>
    <n v="2236"/>
    <s v="USA"/>
    <s v="F"/>
    <n v="80"/>
    <s v="E"/>
    <s v="Outlier"/>
    <x v="1"/>
  </r>
  <r>
    <n v="2237"/>
    <s v="Spain"/>
    <s v="F"/>
    <n v="65"/>
    <s v="E"/>
    <s v="Outlier"/>
    <x v="1"/>
  </r>
  <r>
    <n v="2238"/>
    <s v="Singapore"/>
    <s v="M"/>
    <n v="43"/>
    <s v="E"/>
    <s v="Outlier"/>
    <x v="1"/>
  </r>
  <r>
    <n v="2239"/>
    <s v="USA"/>
    <s v="F"/>
    <n v="36"/>
    <s v="E"/>
    <s v="Outlier"/>
    <x v="0"/>
  </r>
  <r>
    <n v="2240"/>
    <s v="France"/>
    <s v="F"/>
    <n v="83"/>
    <s v="E"/>
    <s v="Outlier"/>
    <x v="1"/>
  </r>
  <r>
    <n v="2241"/>
    <s v="Spain"/>
    <s v="M"/>
    <n v="67"/>
    <s v="E"/>
    <s v="Outlier"/>
    <x v="1"/>
  </r>
  <r>
    <n v="2242"/>
    <s v="France"/>
    <s v="F"/>
    <n v="77"/>
    <s v="E"/>
    <s v="Outlier"/>
    <x v="1"/>
  </r>
  <r>
    <n v="2243"/>
    <s v="Spain"/>
    <s v="M"/>
    <n v="79"/>
    <s v="E"/>
    <s v="Outlier"/>
    <x v="1"/>
  </r>
  <r>
    <n v="2244"/>
    <s v="USA"/>
    <s v="F"/>
    <n v="51"/>
    <s v="E"/>
    <s v="Outlier"/>
    <x v="1"/>
  </r>
  <r>
    <n v="2245"/>
    <s v="Spain"/>
    <s v="M"/>
    <n v="61"/>
    <s v="E"/>
    <s v="Outlier"/>
    <x v="1"/>
  </r>
  <r>
    <n v="2246"/>
    <s v="Australia"/>
    <s v="M"/>
    <n v="76"/>
    <s v="E"/>
    <s v="Outlier"/>
    <x v="1"/>
  </r>
  <r>
    <n v="2247"/>
    <s v="Denmark"/>
    <s v="F"/>
    <n v="71"/>
    <s v="E"/>
    <s v="Outlier"/>
    <x v="1"/>
  </r>
  <r>
    <n v="2248"/>
    <s v="USA"/>
    <s v="F"/>
    <n v="68"/>
    <s v="E"/>
    <s v="Outlier"/>
    <x v="1"/>
  </r>
  <r>
    <n v="2249"/>
    <s v="Germany"/>
    <s v="M"/>
    <n v="35"/>
    <s v="E"/>
    <s v="Outlier"/>
    <x v="0"/>
  </r>
  <r>
    <n v="2250"/>
    <s v="USA"/>
    <s v="M"/>
    <n v="79"/>
    <s v="E"/>
    <s v="Outlier"/>
    <x v="1"/>
  </r>
  <r>
    <n v="2251"/>
    <s v="France"/>
    <s v="M"/>
    <n v="75"/>
    <s v="E"/>
    <s v="Outlier"/>
    <x v="1"/>
  </r>
  <r>
    <n v="2252"/>
    <s v="Austria"/>
    <s v="M"/>
    <n v="21"/>
    <s v="E"/>
    <s v="Outlier"/>
    <x v="2"/>
  </r>
  <r>
    <n v="2253"/>
    <s v="USA"/>
    <s v="M"/>
    <n v="26"/>
    <s v="E"/>
    <s v="Outlier"/>
    <x v="2"/>
  </r>
  <r>
    <n v="2254"/>
    <s v="USA"/>
    <s v="F"/>
    <n v="38"/>
    <s v="E"/>
    <s v="Outlier"/>
    <x v="0"/>
  </r>
  <r>
    <n v="2255"/>
    <s v="Italy"/>
    <s v="F"/>
    <n v="45"/>
    <s v="E"/>
    <s v="Outlier"/>
    <x v="1"/>
  </r>
  <r>
    <n v="2256"/>
    <s v="USA"/>
    <s v="M"/>
    <n v="43"/>
    <s v="E"/>
    <s v="Outlier"/>
    <x v="1"/>
  </r>
  <r>
    <n v="2257"/>
    <s v="USA"/>
    <s v="F"/>
    <n v="59"/>
    <s v="E"/>
    <s v="Outlier"/>
    <x v="1"/>
  </r>
  <r>
    <n v="2258"/>
    <s v="Singapore"/>
    <s v="M"/>
    <n v="77"/>
    <s v="E"/>
    <s v="Outlier"/>
    <x v="1"/>
  </r>
  <r>
    <n v="2259"/>
    <s v="Australia"/>
    <s v="F"/>
    <n v="41"/>
    <s v="E"/>
    <s v="Outlier"/>
    <x v="1"/>
  </r>
  <r>
    <n v="2260"/>
    <s v="USA"/>
    <s v="M"/>
    <n v="60"/>
    <s v="E"/>
    <s v="Outlier"/>
    <x v="1"/>
  </r>
  <r>
    <n v="2261"/>
    <s v="USA"/>
    <s v="M"/>
    <n v="90"/>
    <s v="E"/>
    <s v="Outlier"/>
    <x v="1"/>
  </r>
  <r>
    <n v="2262"/>
    <s v="USA"/>
    <s v="F"/>
    <n v="27"/>
    <s v="E"/>
    <s v="Outlier"/>
    <x v="2"/>
  </r>
  <r>
    <n v="2263"/>
    <s v="Spain"/>
    <s v="F"/>
    <n v="48"/>
    <s v="E"/>
    <s v="Outlier"/>
    <x v="1"/>
  </r>
  <r>
    <n v="2264"/>
    <s v="USA"/>
    <s v="F"/>
    <n v="31"/>
    <s v="E"/>
    <s v="Outlier"/>
    <x v="0"/>
  </r>
  <r>
    <n v="2265"/>
    <s v="France"/>
    <s v="F"/>
    <n v="65"/>
    <s v="E"/>
    <s v="Outlier"/>
    <x v="1"/>
  </r>
  <r>
    <n v="2266"/>
    <s v="France"/>
    <s v="M"/>
    <n v="90"/>
    <s v="E"/>
    <s v="Outlier"/>
    <x v="1"/>
  </r>
  <r>
    <n v="2267"/>
    <s v="Australia"/>
    <s v="M"/>
    <n v="20"/>
    <s v="E"/>
    <s v="Outlier"/>
    <x v="2"/>
  </r>
  <r>
    <n v="2268"/>
    <s v="Austria"/>
    <s v="M"/>
    <n v="60"/>
    <s v="E"/>
    <s v="Outlier"/>
    <x v="1"/>
  </r>
  <r>
    <n v="2269"/>
    <s v="USA"/>
    <s v="F"/>
    <n v="48"/>
    <s v="E"/>
    <s v="Outlier"/>
    <x v="1"/>
  </r>
  <r>
    <n v="2270"/>
    <s v="France"/>
    <s v="M"/>
    <n v="64"/>
    <s v="E"/>
    <s v="Outlier"/>
    <x v="1"/>
  </r>
  <r>
    <n v="2271"/>
    <s v="USA"/>
    <s v="F"/>
    <n v="57"/>
    <s v="E"/>
    <s v="Outlier"/>
    <x v="1"/>
  </r>
  <r>
    <n v="2272"/>
    <s v="Spain"/>
    <s v="F"/>
    <n v="40"/>
    <s v="E"/>
    <s v="Outlier"/>
    <x v="0"/>
  </r>
  <r>
    <n v="2273"/>
    <s v="Switzerland"/>
    <s v="M"/>
    <n v="52"/>
    <s v="E"/>
    <s v="Outlier"/>
    <x v="1"/>
  </r>
  <r>
    <n v="2274"/>
    <s v="USA"/>
    <s v="M"/>
    <n v="64"/>
    <s v="E"/>
    <s v="Outlier"/>
    <x v="1"/>
  </r>
  <r>
    <n v="2275"/>
    <s v="USA"/>
    <s v="F"/>
    <n v="74"/>
    <s v="E"/>
    <s v="Outlier"/>
    <x v="1"/>
  </r>
  <r>
    <n v="2276"/>
    <s v="Spain"/>
    <s v="F"/>
    <n v="18"/>
    <s v="E"/>
    <s v="Outlier"/>
    <x v="3"/>
  </r>
  <r>
    <n v="2277"/>
    <s v="Spain"/>
    <s v="M"/>
    <n v="65"/>
    <s v="E"/>
    <s v="Outlier"/>
    <x v="1"/>
  </r>
  <r>
    <n v="2278"/>
    <s v="Australia"/>
    <s v="M"/>
    <n v="78"/>
    <s v="E"/>
    <s v="Outlier"/>
    <x v="1"/>
  </r>
  <r>
    <n v="2279"/>
    <s v="Singapore"/>
    <s v="M"/>
    <n v="33"/>
    <s v="E"/>
    <s v="Outlier"/>
    <x v="0"/>
  </r>
  <r>
    <n v="2280"/>
    <s v="USA"/>
    <s v="M"/>
    <n v="53"/>
    <s v="E"/>
    <s v="Outlier"/>
    <x v="1"/>
  </r>
  <r>
    <n v="2281"/>
    <s v="USA"/>
    <s v="F"/>
    <n v="31"/>
    <s v="E"/>
    <s v="Outlier"/>
    <x v="0"/>
  </r>
  <r>
    <n v="2282"/>
    <s v="USA"/>
    <s v="F"/>
    <n v="22"/>
    <s v="E"/>
    <s v="Outlier"/>
    <x v="2"/>
  </r>
  <r>
    <n v="2283"/>
    <s v="USA"/>
    <s v="F"/>
    <n v="24"/>
    <s v="E"/>
    <s v="Outlier"/>
    <x v="2"/>
  </r>
  <r>
    <n v="2284"/>
    <s v="France"/>
    <s v="M"/>
    <n v="61"/>
    <s v="E"/>
    <s v="Outlier"/>
    <x v="1"/>
  </r>
  <r>
    <n v="2285"/>
    <s v="Switzerland"/>
    <s v="M"/>
    <n v="90"/>
    <s v="E"/>
    <s v="Outlier"/>
    <x v="1"/>
  </r>
  <r>
    <n v="2286"/>
    <s v="France"/>
    <s v="M"/>
    <n v="75"/>
    <s v="E"/>
    <s v="Outlier"/>
    <x v="1"/>
  </r>
  <r>
    <n v="2287"/>
    <s v="Italy"/>
    <s v="M"/>
    <n v="72"/>
    <s v="E"/>
    <s v="Outlier"/>
    <x v="1"/>
  </r>
  <r>
    <n v="2288"/>
    <s v="USA"/>
    <s v="M"/>
    <n v="40"/>
    <s v="E"/>
    <s v="Outlier"/>
    <x v="0"/>
  </r>
  <r>
    <n v="2289"/>
    <s v="France"/>
    <s v="F"/>
    <n v="44"/>
    <s v="E"/>
    <s v="Outlier"/>
    <x v="1"/>
  </r>
  <r>
    <n v="2290"/>
    <s v="Norway"/>
    <s v="F"/>
    <n v="88"/>
    <s v="E"/>
    <s v="Outlier"/>
    <x v="1"/>
  </r>
  <r>
    <n v="2291"/>
    <s v="Australia"/>
    <s v="F"/>
    <n v="84"/>
    <s v="E"/>
    <s v="Outlier"/>
    <x v="1"/>
  </r>
  <r>
    <n v="2292"/>
    <s v="USA"/>
    <s v="F"/>
    <n v="66"/>
    <s v="E"/>
    <s v="Outlier"/>
    <x v="1"/>
  </r>
  <r>
    <n v="2293"/>
    <s v="Singapore"/>
    <s v="F"/>
    <n v="70"/>
    <s v="E"/>
    <s v="Outlier"/>
    <x v="1"/>
  </r>
  <r>
    <n v="2294"/>
    <s v="France"/>
    <s v="M"/>
    <n v="32"/>
    <s v="E"/>
    <s v="Outlier"/>
    <x v="0"/>
  </r>
  <r>
    <n v="2295"/>
    <s v="USA"/>
    <s v="F"/>
    <n v="33"/>
    <s v="E"/>
    <s v="Outlier"/>
    <x v="0"/>
  </r>
  <r>
    <n v="2296"/>
    <s v="France"/>
    <s v="F"/>
    <n v="28"/>
    <s v="E"/>
    <s v="Outlier"/>
    <x v="2"/>
  </r>
  <r>
    <n v="2297"/>
    <s v="Singapore"/>
    <s v="M"/>
    <n v="50"/>
    <s v="E"/>
    <s v="Outlier"/>
    <x v="1"/>
  </r>
  <r>
    <n v="2298"/>
    <s v="USA"/>
    <s v="F"/>
    <n v="40"/>
    <s v="E"/>
    <s v="Outlier"/>
    <x v="0"/>
  </r>
  <r>
    <n v="2299"/>
    <s v="USA"/>
    <s v="F"/>
    <n v="58"/>
    <s v="E"/>
    <s v="Outlier"/>
    <x v="1"/>
  </r>
  <r>
    <n v="2300"/>
    <s v="USA"/>
    <s v="M"/>
    <n v="61"/>
    <s v="E"/>
    <s v="Outlier"/>
    <x v="1"/>
  </r>
  <r>
    <n v="2301"/>
    <s v="Denmark"/>
    <s v="F"/>
    <n v="38"/>
    <s v="E"/>
    <s v="Outlier"/>
    <x v="0"/>
  </r>
  <r>
    <n v="2302"/>
    <s v="Spain"/>
    <s v="M"/>
    <n v="70"/>
    <s v="E"/>
    <s v="Outlier"/>
    <x v="1"/>
  </r>
  <r>
    <n v="2303"/>
    <s v="Austria"/>
    <s v="F"/>
    <n v="55"/>
    <s v="E"/>
    <s v="Outlier"/>
    <x v="1"/>
  </r>
  <r>
    <n v="2304"/>
    <s v="USA"/>
    <s v="F"/>
    <n v="86"/>
    <s v="E"/>
    <s v="Outlier"/>
    <x v="1"/>
  </r>
  <r>
    <n v="2305"/>
    <s v="USA"/>
    <s v="M"/>
    <n v="18"/>
    <s v="E"/>
    <s v="Outlier"/>
    <x v="3"/>
  </r>
  <r>
    <n v="2306"/>
    <s v="Spain"/>
    <s v="M"/>
    <n v="44"/>
    <s v="E"/>
    <s v="Outlier"/>
    <x v="1"/>
  </r>
  <r>
    <n v="2307"/>
    <s v="USA"/>
    <s v="M"/>
    <n v="66"/>
    <s v="E"/>
    <s v="Outlier"/>
    <x v="1"/>
  </r>
  <r>
    <n v="2308"/>
    <s v="Norway"/>
    <s v="F"/>
    <n v="32"/>
    <s v="E"/>
    <s v="Outlier"/>
    <x v="0"/>
  </r>
  <r>
    <n v="2309"/>
    <s v="Italy"/>
    <s v="F"/>
    <n v="25"/>
    <s v="E"/>
    <s v="Outlier"/>
    <x v="2"/>
  </r>
  <r>
    <n v="2310"/>
    <s v="France"/>
    <s v="F"/>
    <n v="38"/>
    <s v="E"/>
    <s v="Outlier"/>
    <x v="0"/>
  </r>
  <r>
    <n v="2311"/>
    <s v="Spain"/>
    <s v="M"/>
    <n v="36"/>
    <s v="E"/>
    <s v="Outlier"/>
    <x v="0"/>
  </r>
  <r>
    <n v="2312"/>
    <s v="USA"/>
    <s v="M"/>
    <n v="56"/>
    <s v="E"/>
    <s v="Outlier"/>
    <x v="1"/>
  </r>
  <r>
    <n v="2313"/>
    <s v="Austria"/>
    <s v="F"/>
    <n v="31"/>
    <s v="E"/>
    <s v="Outlier"/>
    <x v="0"/>
  </r>
  <r>
    <n v="2314"/>
    <s v="USA"/>
    <s v="F"/>
    <n v="18"/>
    <s v="E"/>
    <s v="Outlier"/>
    <x v="3"/>
  </r>
  <r>
    <n v="2315"/>
    <s v="USA"/>
    <s v="F"/>
    <n v="60"/>
    <s v="E"/>
    <s v="Outlier"/>
    <x v="1"/>
  </r>
  <r>
    <n v="2316"/>
    <s v="France"/>
    <s v="M"/>
    <n v="33"/>
    <s v="E"/>
    <s v="Outlier"/>
    <x v="0"/>
  </r>
  <r>
    <n v="2317"/>
    <s v="USA"/>
    <s v="M"/>
    <n v="86"/>
    <s v="E"/>
    <s v="Outlier"/>
    <x v="1"/>
  </r>
  <r>
    <n v="2318"/>
    <s v="France"/>
    <s v="F"/>
    <n v="59"/>
    <s v="E"/>
    <s v="Outlier"/>
    <x v="1"/>
  </r>
  <r>
    <n v="2319"/>
    <s v="France"/>
    <s v="M"/>
    <n v="72"/>
    <s v="E"/>
    <s v="Outlier"/>
    <x v="1"/>
  </r>
  <r>
    <n v="2320"/>
    <s v="Austria"/>
    <s v="M"/>
    <n v="88"/>
    <s v="E"/>
    <s v="Outlier"/>
    <x v="1"/>
  </r>
  <r>
    <n v="2321"/>
    <s v="Germany"/>
    <s v="F"/>
    <n v="39"/>
    <s v="E"/>
    <s v="Outlier"/>
    <x v="0"/>
  </r>
  <r>
    <n v="2322"/>
    <s v="USA"/>
    <s v="F"/>
    <n v="54"/>
    <s v="E"/>
    <s v="Outlier"/>
    <x v="1"/>
  </r>
  <r>
    <n v="2323"/>
    <s v="Italy"/>
    <s v="F"/>
    <n v="58"/>
    <s v="E"/>
    <s v="Outlier"/>
    <x v="1"/>
  </r>
  <r>
    <n v="2324"/>
    <s v="France"/>
    <s v="M"/>
    <n v="29"/>
    <s v="E"/>
    <s v="Outlier"/>
    <x v="2"/>
  </r>
  <r>
    <n v="2325"/>
    <s v="Australia"/>
    <s v="M"/>
    <n v="36"/>
    <s v="E"/>
    <s v="Outlier"/>
    <x v="0"/>
  </r>
  <r>
    <n v="2326"/>
    <s v="Italy"/>
    <s v="M"/>
    <n v="38"/>
    <s v="E"/>
    <s v="Outlier"/>
    <x v="0"/>
  </r>
  <r>
    <n v="2327"/>
    <s v="USA"/>
    <s v="M"/>
    <n v="53"/>
    <s v="E"/>
    <s v="Outlier"/>
    <x v="1"/>
  </r>
  <r>
    <n v="2328"/>
    <s v="USA"/>
    <s v="M"/>
    <n v="18"/>
    <s v="E"/>
    <s v="Outlier"/>
    <x v="3"/>
  </r>
  <r>
    <n v="2329"/>
    <s v="France"/>
    <s v="M"/>
    <n v="39"/>
    <s v="E"/>
    <s v="Outlier"/>
    <x v="0"/>
  </r>
  <r>
    <n v="2330"/>
    <s v="USA"/>
    <s v="F"/>
    <n v="23"/>
    <s v="E"/>
    <s v="Outlier"/>
    <x v="2"/>
  </r>
  <r>
    <n v="2331"/>
    <s v="USA"/>
    <s v="M"/>
    <n v="73"/>
    <s v="E"/>
    <s v="Outlier"/>
    <x v="1"/>
  </r>
  <r>
    <n v="2332"/>
    <s v="Spain"/>
    <s v="M"/>
    <n v="62"/>
    <s v="E"/>
    <s v="Outlier"/>
    <x v="1"/>
  </r>
  <r>
    <n v="2333"/>
    <s v="France"/>
    <s v="M"/>
    <n v="34"/>
    <s v="E"/>
    <s v="Outlier"/>
    <x v="0"/>
  </r>
  <r>
    <n v="2334"/>
    <s v="France"/>
    <s v="M"/>
    <n v="77"/>
    <s v="E"/>
    <s v="Outlier"/>
    <x v="1"/>
  </r>
  <r>
    <n v="2335"/>
    <s v="Finland"/>
    <s v="F"/>
    <n v="65"/>
    <s v="E"/>
    <s v="Outlier"/>
    <x v="1"/>
  </r>
  <r>
    <n v="2336"/>
    <s v="Finland"/>
    <s v="F"/>
    <n v="43"/>
    <s v="E"/>
    <s v="Outlier"/>
    <x v="1"/>
  </r>
  <r>
    <n v="2337"/>
    <s v="Spain"/>
    <s v="M"/>
    <n v="85"/>
    <s v="E"/>
    <s v="Outlier"/>
    <x v="1"/>
  </r>
  <r>
    <n v="2338"/>
    <s v="USA"/>
    <s v="F"/>
    <n v="90"/>
    <s v="E"/>
    <s v="Outlier"/>
    <x v="1"/>
  </r>
  <r>
    <n v="2339"/>
    <s v="Spain"/>
    <s v="F"/>
    <n v="32"/>
    <s v="E"/>
    <s v="Outlier"/>
    <x v="0"/>
  </r>
  <r>
    <n v="2340"/>
    <s v="USA"/>
    <s v="F"/>
    <n v="35"/>
    <s v="E"/>
    <s v="Outlier"/>
    <x v="0"/>
  </r>
  <r>
    <n v="2341"/>
    <s v="Austria"/>
    <s v="M"/>
    <n v="48"/>
    <s v="E"/>
    <s v="Outlier"/>
    <x v="1"/>
  </r>
  <r>
    <n v="2342"/>
    <s v="France"/>
    <s v="F"/>
    <n v="46"/>
    <s v="E"/>
    <s v="Outlier"/>
    <x v="1"/>
  </r>
  <r>
    <n v="2343"/>
    <s v="Spain"/>
    <s v="F"/>
    <n v="33"/>
    <s v="E"/>
    <s v="Outlier"/>
    <x v="0"/>
  </r>
  <r>
    <n v="2344"/>
    <s v="USA"/>
    <s v="F"/>
    <n v="55"/>
    <s v="E"/>
    <s v="Outlier"/>
    <x v="1"/>
  </r>
  <r>
    <n v="2345"/>
    <s v="Singapore"/>
    <s v="M"/>
    <n v="59"/>
    <s v="E"/>
    <s v="Outlier"/>
    <x v="1"/>
  </r>
  <r>
    <n v="2346"/>
    <s v="Italy"/>
    <s v="M"/>
    <n v="29"/>
    <s v="E"/>
    <s v="Outlier"/>
    <x v="2"/>
  </r>
  <r>
    <n v="2347"/>
    <s v="France"/>
    <s v="F"/>
    <n v="61"/>
    <s v="E"/>
    <s v="Outlier"/>
    <x v="1"/>
  </r>
  <r>
    <n v="2348"/>
    <s v="Spain"/>
    <s v="F"/>
    <n v="88"/>
    <s v="E"/>
    <s v="Outlier"/>
    <x v="1"/>
  </r>
  <r>
    <n v="2349"/>
    <s v="Australia"/>
    <s v="M"/>
    <n v="37"/>
    <s v="E"/>
    <s v="Outlier"/>
    <x v="0"/>
  </r>
  <r>
    <n v="2350"/>
    <s v="Spain"/>
    <s v="F"/>
    <n v="82"/>
    <s v="E"/>
    <s v="Outlier"/>
    <x v="1"/>
  </r>
  <r>
    <n v="2351"/>
    <s v="USA"/>
    <s v="M"/>
    <n v="43"/>
    <s v="E"/>
    <s v="Outlier"/>
    <x v="1"/>
  </r>
  <r>
    <n v="2352"/>
    <s v="USA"/>
    <s v="F"/>
    <n v="35"/>
    <s v="E"/>
    <s v="Outlier"/>
    <x v="0"/>
  </r>
  <r>
    <n v="2353"/>
    <s v="USA"/>
    <s v="M"/>
    <n v="27"/>
    <s v="E"/>
    <s v="Outlier"/>
    <x v="2"/>
  </r>
  <r>
    <n v="2354"/>
    <s v="USA"/>
    <s v="F"/>
    <n v="36"/>
    <s v="E"/>
    <s v="Outlier"/>
    <x v="0"/>
  </r>
  <r>
    <n v="2355"/>
    <s v="USA"/>
    <s v="F"/>
    <n v="24"/>
    <s v="E"/>
    <s v="Outlier"/>
    <x v="2"/>
  </r>
  <r>
    <n v="2356"/>
    <s v="France"/>
    <s v="F"/>
    <n v="68"/>
    <s v="E"/>
    <s v="Outlier"/>
    <x v="1"/>
  </r>
  <r>
    <n v="2357"/>
    <s v="Spain"/>
    <s v="M"/>
    <n v="89"/>
    <s v="E"/>
    <s v="Outlier"/>
    <x v="1"/>
  </r>
  <r>
    <n v="2358"/>
    <s v="Spain"/>
    <s v="M"/>
    <n v="31"/>
    <s v="E"/>
    <s v="Outlier"/>
    <x v="0"/>
  </r>
  <r>
    <n v="2359"/>
    <s v="USA"/>
    <s v="M"/>
    <n v="37"/>
    <s v="E"/>
    <s v="Outlier"/>
    <x v="0"/>
  </r>
  <r>
    <n v="2360"/>
    <s v="Germany"/>
    <s v="M"/>
    <n v="50"/>
    <s v="E"/>
    <s v="Outlier"/>
    <x v="1"/>
  </r>
  <r>
    <n v="2361"/>
    <s v="Spain"/>
    <s v="F"/>
    <n v="86"/>
    <s v="E"/>
    <s v="Outlier"/>
    <x v="1"/>
  </r>
  <r>
    <n v="2362"/>
    <s v="Spain"/>
    <s v="F"/>
    <n v="87"/>
    <s v="E"/>
    <s v="Outlier"/>
    <x v="1"/>
  </r>
  <r>
    <n v="2363"/>
    <s v="Italy"/>
    <s v="F"/>
    <n v="87"/>
    <s v="E"/>
    <s v="Outlier"/>
    <x v="1"/>
  </r>
  <r>
    <n v="2364"/>
    <s v="Italy"/>
    <s v="F"/>
    <n v="63"/>
    <s v="E"/>
    <s v="Outlier"/>
    <x v="1"/>
  </r>
  <r>
    <n v="2365"/>
    <s v="Denmark"/>
    <s v="M"/>
    <n v="33"/>
    <s v="E"/>
    <s v="Outlier"/>
    <x v="0"/>
  </r>
  <r>
    <n v="2366"/>
    <s v="Singapore"/>
    <s v="M"/>
    <n v="90"/>
    <s v="E"/>
    <s v="Outlier"/>
    <x v="1"/>
  </r>
  <r>
    <n v="2367"/>
    <s v="USA"/>
    <s v="F"/>
    <n v="68"/>
    <s v="E"/>
    <s v="Outlier"/>
    <x v="1"/>
  </r>
  <r>
    <n v="2368"/>
    <s v="Switzerland"/>
    <s v="F"/>
    <n v="81"/>
    <s v="E"/>
    <s v="Outlier"/>
    <x v="1"/>
  </r>
  <r>
    <n v="2369"/>
    <s v="Italy"/>
    <s v="F"/>
    <n v="90"/>
    <s v="E"/>
    <s v="Outlier"/>
    <x v="1"/>
  </r>
  <r>
    <n v="2370"/>
    <s v="USA"/>
    <s v="M"/>
    <n v="26"/>
    <s v="E"/>
    <s v="Outlier"/>
    <x v="2"/>
  </r>
  <r>
    <n v="2371"/>
    <s v="Austria"/>
    <s v="F"/>
    <n v="88"/>
    <s v="E"/>
    <s v="Outlier"/>
    <x v="1"/>
  </r>
  <r>
    <n v="2372"/>
    <s v="USA"/>
    <s v="M"/>
    <n v="58"/>
    <s v="E"/>
    <s v="Outlier"/>
    <x v="1"/>
  </r>
  <r>
    <n v="2373"/>
    <s v="Finland"/>
    <s v="M"/>
    <n v="61"/>
    <s v="E"/>
    <s v="Outlier"/>
    <x v="1"/>
  </r>
  <r>
    <n v="2374"/>
    <s v="USA"/>
    <s v="F"/>
    <n v="77"/>
    <s v="E"/>
    <s v="Outlier"/>
    <x v="1"/>
  </r>
  <r>
    <n v="2375"/>
    <s v="France"/>
    <s v="F"/>
    <n v="72"/>
    <s v="E"/>
    <s v="Outlier"/>
    <x v="1"/>
  </r>
  <r>
    <n v="2376"/>
    <s v="USA"/>
    <s v="F"/>
    <n v="30"/>
    <s v="E"/>
    <s v="Outlier"/>
    <x v="2"/>
  </r>
  <r>
    <n v="2377"/>
    <s v="Spain"/>
    <s v="F"/>
    <n v="78"/>
    <s v="E"/>
    <s v="Outlier"/>
    <x v="1"/>
  </r>
  <r>
    <n v="2378"/>
    <s v="Australia"/>
    <s v="M"/>
    <n v="72"/>
    <s v="E"/>
    <s v="Outlier"/>
    <x v="1"/>
  </r>
  <r>
    <n v="2379"/>
    <s v="USA"/>
    <s v="M"/>
    <n v="78"/>
    <s v="E"/>
    <s v="Outlier"/>
    <x v="1"/>
  </r>
  <r>
    <n v="2380"/>
    <s v="Australia"/>
    <s v="F"/>
    <n v="33"/>
    <s v="E"/>
    <s v="Outlier"/>
    <x v="0"/>
  </r>
  <r>
    <n v="2381"/>
    <s v="USA"/>
    <s v="F"/>
    <n v="59"/>
    <s v="E"/>
    <s v="Outlier"/>
    <x v="1"/>
  </r>
  <r>
    <n v="2382"/>
    <s v="France"/>
    <s v="M"/>
    <n v="53"/>
    <s v="E"/>
    <s v="Outlier"/>
    <x v="1"/>
  </r>
  <r>
    <n v="2383"/>
    <s v="USA"/>
    <s v="F"/>
    <n v="37"/>
    <s v="E"/>
    <s v="Outlier"/>
    <x v="0"/>
  </r>
  <r>
    <n v="2384"/>
    <s v="USA"/>
    <s v="M"/>
    <n v="36"/>
    <s v="E"/>
    <s v="Outlier"/>
    <x v="0"/>
  </r>
  <r>
    <n v="2385"/>
    <s v="USA"/>
    <s v="M"/>
    <n v="53"/>
    <s v="E"/>
    <s v="Outlier"/>
    <x v="1"/>
  </r>
  <r>
    <n v="2386"/>
    <s v="Spain"/>
    <s v="F"/>
    <n v="41"/>
    <s v="E"/>
    <s v="Outlier"/>
    <x v="1"/>
  </r>
  <r>
    <n v="2387"/>
    <s v="Spain"/>
    <s v="F"/>
    <n v="30"/>
    <s v="E"/>
    <s v="Outlier"/>
    <x v="2"/>
  </r>
  <r>
    <n v="2388"/>
    <s v="USA"/>
    <s v="F"/>
    <n v="61"/>
    <s v="E"/>
    <s v="Outlier"/>
    <x v="1"/>
  </r>
  <r>
    <n v="2389"/>
    <s v="USA"/>
    <s v="M"/>
    <n v="69"/>
    <s v="E"/>
    <s v="Outlier"/>
    <x v="1"/>
  </r>
  <r>
    <n v="2390"/>
    <s v="France"/>
    <s v="F"/>
    <n v="82"/>
    <s v="E"/>
    <s v="Outlier"/>
    <x v="1"/>
  </r>
  <r>
    <n v="2391"/>
    <s v="USA"/>
    <s v="F"/>
    <n v="19"/>
    <s v="E"/>
    <s v="Outlier"/>
    <x v="3"/>
  </r>
  <r>
    <n v="2392"/>
    <s v="Australia"/>
    <s v="M"/>
    <n v="42"/>
    <s v="E"/>
    <s v="Outlier"/>
    <x v="1"/>
  </r>
  <r>
    <n v="2393"/>
    <s v="Italy"/>
    <s v="M"/>
    <n v="43"/>
    <s v="E"/>
    <s v="Outlier"/>
    <x v="1"/>
  </r>
  <r>
    <n v="2394"/>
    <s v="Spain"/>
    <s v="F"/>
    <n v="74"/>
    <s v="E"/>
    <s v="Outlier"/>
    <x v="1"/>
  </r>
  <r>
    <n v="2395"/>
    <s v="USA"/>
    <s v="F"/>
    <n v="35"/>
    <s v="E"/>
    <s v="Outlier"/>
    <x v="0"/>
  </r>
  <r>
    <n v="2396"/>
    <s v="USA"/>
    <s v="F"/>
    <n v="19"/>
    <s v="E"/>
    <s v="Outlier"/>
    <x v="3"/>
  </r>
  <r>
    <n v="2397"/>
    <s v="USA"/>
    <s v="F"/>
    <n v="77"/>
    <s v="E"/>
    <s v="Outlier"/>
    <x v="1"/>
  </r>
  <r>
    <n v="2398"/>
    <s v="France"/>
    <s v="F"/>
    <n v="46"/>
    <s v="E"/>
    <s v="Outlier"/>
    <x v="1"/>
  </r>
  <r>
    <n v="2399"/>
    <s v="USA"/>
    <s v="M"/>
    <n v="32"/>
    <s v="E"/>
    <s v="Outlier"/>
    <x v="0"/>
  </r>
  <r>
    <n v="2400"/>
    <s v="USA"/>
    <s v="M"/>
    <n v="64"/>
    <s v="E"/>
    <s v="Outlier"/>
    <x v="1"/>
  </r>
  <r>
    <n v="2401"/>
    <s v="USA"/>
    <s v="M"/>
    <n v="34"/>
    <s v="E"/>
    <s v="Outlier"/>
    <x v="0"/>
  </r>
  <r>
    <n v="2402"/>
    <s v="France"/>
    <s v="M"/>
    <n v="61"/>
    <s v="E"/>
    <s v="Outlier"/>
    <x v="1"/>
  </r>
  <r>
    <n v="2403"/>
    <s v="Singapore"/>
    <s v="F"/>
    <n v="87"/>
    <s v="E"/>
    <s v="Outlier"/>
    <x v="1"/>
  </r>
  <r>
    <n v="2404"/>
    <s v="Australia"/>
    <s v="M"/>
    <n v="39"/>
    <s v="E"/>
    <s v="Outlier"/>
    <x v="0"/>
  </r>
  <r>
    <n v="2405"/>
    <s v="USA"/>
    <s v="F"/>
    <n v="63"/>
    <s v="E"/>
    <s v="Outlier"/>
    <x v="1"/>
  </r>
  <r>
    <n v="2406"/>
    <s v="USA"/>
    <s v="M"/>
    <n v="76"/>
    <s v="E"/>
    <s v="Outlier"/>
    <x v="1"/>
  </r>
  <r>
    <n v="2407"/>
    <s v="USA"/>
    <s v="M"/>
    <n v="78"/>
    <s v="E"/>
    <s v="Outlier"/>
    <x v="1"/>
  </r>
  <r>
    <n v="2408"/>
    <s v="USA"/>
    <s v="F"/>
    <n v="27"/>
    <s v="E"/>
    <s v="Outlier"/>
    <x v="2"/>
  </r>
  <r>
    <n v="2409"/>
    <s v="Australia"/>
    <s v="F"/>
    <n v="30"/>
    <s v="E"/>
    <s v="Outlier"/>
    <x v="2"/>
  </r>
  <r>
    <n v="2410"/>
    <s v="France"/>
    <s v="M"/>
    <n v="89"/>
    <s v="E"/>
    <s v="Outlier"/>
    <x v="1"/>
  </r>
  <r>
    <n v="2411"/>
    <s v="Austria"/>
    <s v="M"/>
    <n v="88"/>
    <s v="E"/>
    <s v="Outlier"/>
    <x v="1"/>
  </r>
  <r>
    <n v="2412"/>
    <s v="USA"/>
    <s v="M"/>
    <n v="19"/>
    <s v="E"/>
    <s v="Outlier"/>
    <x v="3"/>
  </r>
  <r>
    <n v="2413"/>
    <s v="Singapore"/>
    <s v="M"/>
    <n v="31"/>
    <s v="E"/>
    <s v="Outlier"/>
    <x v="0"/>
  </r>
  <r>
    <n v="2414"/>
    <s v="Spain"/>
    <s v="F"/>
    <n v="34"/>
    <s v="E"/>
    <s v="Outlier"/>
    <x v="0"/>
  </r>
  <r>
    <n v="2415"/>
    <s v="Norway"/>
    <s v="F"/>
    <n v="54"/>
    <s v="E"/>
    <s v="Outlier"/>
    <x v="1"/>
  </r>
  <r>
    <n v="2416"/>
    <s v="Spain"/>
    <s v="F"/>
    <n v="26"/>
    <s v="E"/>
    <s v="Outlier"/>
    <x v="2"/>
  </r>
  <r>
    <n v="2417"/>
    <s v="USA"/>
    <s v="M"/>
    <n v="52"/>
    <s v="E"/>
    <s v="Outlier"/>
    <x v="1"/>
  </r>
  <r>
    <n v="2418"/>
    <s v="USA"/>
    <s v="M"/>
    <n v="65"/>
    <s v="E"/>
    <s v="Outlier"/>
    <x v="1"/>
  </r>
  <r>
    <n v="2419"/>
    <s v="Italy"/>
    <s v="M"/>
    <n v="83"/>
    <s v="E"/>
    <s v="Outlier"/>
    <x v="1"/>
  </r>
  <r>
    <n v="2420"/>
    <s v="France"/>
    <s v="M"/>
    <n v="65"/>
    <s v="E"/>
    <s v="Outlier"/>
    <x v="1"/>
  </r>
  <r>
    <n v="2421"/>
    <s v="Italy"/>
    <s v="F"/>
    <n v="78"/>
    <s v="E"/>
    <s v="Outlier"/>
    <x v="1"/>
  </r>
  <r>
    <n v="2422"/>
    <s v="USA"/>
    <s v="M"/>
    <n v="31"/>
    <s v="E"/>
    <s v="Outlier"/>
    <x v="0"/>
  </r>
  <r>
    <n v="2423"/>
    <s v="Australia"/>
    <s v="F"/>
    <n v="88"/>
    <s v="E"/>
    <s v="Outlier"/>
    <x v="1"/>
  </r>
  <r>
    <n v="2424"/>
    <s v="USA"/>
    <s v="F"/>
    <n v="73"/>
    <s v="E"/>
    <s v="Outlier"/>
    <x v="1"/>
  </r>
  <r>
    <n v="2425"/>
    <s v="Australia"/>
    <s v="M"/>
    <n v="76"/>
    <s v="E"/>
    <s v="Outlier"/>
    <x v="1"/>
  </r>
  <r>
    <n v="2426"/>
    <s v="USA"/>
    <s v="M"/>
    <n v="57"/>
    <s v="E"/>
    <s v="Outlier"/>
    <x v="1"/>
  </r>
  <r>
    <n v="2427"/>
    <s v="Spain"/>
    <s v="F"/>
    <n v="30"/>
    <s v="E"/>
    <s v="Outlier"/>
    <x v="2"/>
  </r>
  <r>
    <n v="2428"/>
    <s v="France"/>
    <s v="F"/>
    <n v="74"/>
    <s v="E"/>
    <s v="Outlier"/>
    <x v="1"/>
  </r>
  <r>
    <n v="2429"/>
    <s v="USA"/>
    <s v="M"/>
    <n v="38"/>
    <s v="E"/>
    <s v="Outlier"/>
    <x v="0"/>
  </r>
  <r>
    <n v="2430"/>
    <s v="USA"/>
    <s v="F"/>
    <n v="76"/>
    <s v="E"/>
    <s v="Outlier"/>
    <x v="1"/>
  </r>
  <r>
    <n v="2431"/>
    <s v="France"/>
    <s v="F"/>
    <n v="46"/>
    <s v="E"/>
    <s v="Outlier"/>
    <x v="1"/>
  </r>
  <r>
    <n v="2432"/>
    <s v="Germany"/>
    <s v="M"/>
    <n v="70"/>
    <s v="E"/>
    <s v="Outlier"/>
    <x v="1"/>
  </r>
  <r>
    <n v="2433"/>
    <s v="Spain"/>
    <s v="F"/>
    <n v="58"/>
    <s v="E"/>
    <s v="Outlier"/>
    <x v="1"/>
  </r>
  <r>
    <n v="2434"/>
    <s v="Australia"/>
    <s v="M"/>
    <n v="29"/>
    <s v="E"/>
    <s v="Outlier"/>
    <x v="2"/>
  </r>
  <r>
    <n v="2435"/>
    <s v="Spain"/>
    <s v="F"/>
    <n v="82"/>
    <s v="E"/>
    <s v="Outlier"/>
    <x v="1"/>
  </r>
  <r>
    <n v="2436"/>
    <s v="USA"/>
    <s v="M"/>
    <n v="42"/>
    <s v="E"/>
    <s v="Outlier"/>
    <x v="1"/>
  </r>
  <r>
    <n v="2437"/>
    <s v="Denmark"/>
    <s v="M"/>
    <n v="65"/>
    <s v="E"/>
    <s v="Outlier"/>
    <x v="1"/>
  </r>
  <r>
    <n v="2438"/>
    <s v="Spain"/>
    <s v="M"/>
    <n v="25"/>
    <s v="E"/>
    <s v="Outlier"/>
    <x v="2"/>
  </r>
  <r>
    <n v="2439"/>
    <s v="USA"/>
    <s v="M"/>
    <n v="84"/>
    <s v="E"/>
    <s v="Outlier"/>
    <x v="1"/>
  </r>
  <r>
    <n v="2440"/>
    <s v="Italy"/>
    <s v="M"/>
    <n v="61"/>
    <s v="E"/>
    <s v="Outlier"/>
    <x v="1"/>
  </r>
  <r>
    <n v="2441"/>
    <s v="USA"/>
    <s v="F"/>
    <n v="68"/>
    <s v="E"/>
    <s v="Outlier"/>
    <x v="1"/>
  </r>
  <r>
    <n v="2442"/>
    <s v="USA"/>
    <s v="M"/>
    <n v="70"/>
    <s v="E"/>
    <s v="Outlier"/>
    <x v="1"/>
  </r>
  <r>
    <n v="2443"/>
    <s v="Spain"/>
    <s v="M"/>
    <n v="23"/>
    <s v="E"/>
    <s v="Outlier"/>
    <x v="2"/>
  </r>
  <r>
    <n v="2444"/>
    <s v="Spain"/>
    <s v="F"/>
    <n v="89"/>
    <s v="E"/>
    <s v="Outlier"/>
    <x v="1"/>
  </r>
  <r>
    <n v="2445"/>
    <s v="USA"/>
    <s v="M"/>
    <n v="46"/>
    <s v="E"/>
    <s v="Outlier"/>
    <x v="1"/>
  </r>
  <r>
    <n v="2446"/>
    <s v="France"/>
    <s v="M"/>
    <n v="47"/>
    <s v="E"/>
    <s v="Outlier"/>
    <x v="1"/>
  </r>
  <r>
    <n v="2447"/>
    <s v="Switzerland"/>
    <s v="F"/>
    <n v="25"/>
    <s v="E"/>
    <s v="Outlier"/>
    <x v="2"/>
  </r>
  <r>
    <n v="2448"/>
    <s v="Spain"/>
    <s v="F"/>
    <n v="55"/>
    <s v="E"/>
    <s v="Outlier"/>
    <x v="1"/>
  </r>
  <r>
    <n v="2449"/>
    <s v="Spain"/>
    <s v="M"/>
    <n v="57"/>
    <s v="E"/>
    <s v="Outlier"/>
    <x v="1"/>
  </r>
  <r>
    <n v="2450"/>
    <s v="Spain"/>
    <s v="M"/>
    <n v="21"/>
    <s v="E"/>
    <s v="Outlier"/>
    <x v="2"/>
  </r>
  <r>
    <n v="2451"/>
    <s v="USA"/>
    <s v="F"/>
    <n v="89"/>
    <s v="E"/>
    <s v="Outlier"/>
    <x v="1"/>
  </r>
  <r>
    <n v="2452"/>
    <s v="Singapore"/>
    <s v="F"/>
    <n v="48"/>
    <s v="E"/>
    <s v="Outlier"/>
    <x v="1"/>
  </r>
  <r>
    <n v="2453"/>
    <s v="USA"/>
    <s v="M"/>
    <n v="37"/>
    <s v="E"/>
    <s v="Outlier"/>
    <x v="0"/>
  </r>
  <r>
    <n v="2454"/>
    <s v="Spain"/>
    <s v="M"/>
    <n v="21"/>
    <s v="E"/>
    <s v="Outlier"/>
    <x v="2"/>
  </r>
  <r>
    <n v="2455"/>
    <s v="USA"/>
    <s v="M"/>
    <n v="68"/>
    <s v="E"/>
    <s v="Outlier"/>
    <x v="1"/>
  </r>
  <r>
    <n v="2456"/>
    <s v="France"/>
    <s v="M"/>
    <n v="77"/>
    <s v="E"/>
    <s v="Outlier"/>
    <x v="1"/>
  </r>
  <r>
    <n v="2457"/>
    <s v="USA"/>
    <s v="M"/>
    <n v="50"/>
    <s v="E"/>
    <s v="Outlier"/>
    <x v="1"/>
  </r>
  <r>
    <n v="2458"/>
    <s v="USA"/>
    <s v="M"/>
    <n v="72"/>
    <s v="E"/>
    <s v="Outlier"/>
    <x v="1"/>
  </r>
  <r>
    <n v="2459"/>
    <s v="USA"/>
    <s v="M"/>
    <n v="72"/>
    <s v="E"/>
    <s v="Outlier"/>
    <x v="1"/>
  </r>
  <r>
    <n v="2460"/>
    <s v="Norway"/>
    <s v="F"/>
    <n v="67"/>
    <s v="E"/>
    <s v="Outlier"/>
    <x v="1"/>
  </r>
  <r>
    <n v="2461"/>
    <s v="USA"/>
    <s v="M"/>
    <n v="40"/>
    <s v="E"/>
    <s v="Outlier"/>
    <x v="0"/>
  </r>
  <r>
    <n v="2462"/>
    <s v="USA"/>
    <s v="M"/>
    <n v="50"/>
    <s v="E"/>
    <s v="Outlier"/>
    <x v="1"/>
  </r>
  <r>
    <n v="2463"/>
    <s v="USA"/>
    <s v="M"/>
    <n v="58"/>
    <s v="E"/>
    <s v="Outlier"/>
    <x v="1"/>
  </r>
  <r>
    <n v="2464"/>
    <s v="France"/>
    <s v="F"/>
    <n v="57"/>
    <s v="E"/>
    <s v="Outlier"/>
    <x v="1"/>
  </r>
  <r>
    <n v="2465"/>
    <s v="Australia"/>
    <s v="F"/>
    <n v="38"/>
    <s v="E"/>
    <s v="Outlier"/>
    <x v="0"/>
  </r>
  <r>
    <n v="2466"/>
    <s v="USA"/>
    <s v="F"/>
    <n v="39"/>
    <s v="E"/>
    <s v="Outlier"/>
    <x v="0"/>
  </r>
  <r>
    <n v="2467"/>
    <s v="France"/>
    <s v="M"/>
    <n v="37"/>
    <s v="E"/>
    <s v="Outlier"/>
    <x v="0"/>
  </r>
  <r>
    <n v="2468"/>
    <s v="USA"/>
    <s v="F"/>
    <n v="64"/>
    <s v="E"/>
    <s v="Outlier"/>
    <x v="1"/>
  </r>
  <r>
    <n v="2469"/>
    <s v="Australia"/>
    <s v="F"/>
    <n v="41"/>
    <s v="E"/>
    <s v="Outlier"/>
    <x v="1"/>
  </r>
  <r>
    <n v="2470"/>
    <s v="USA"/>
    <s v="F"/>
    <n v="49"/>
    <s v="E"/>
    <s v="Outlier"/>
    <x v="1"/>
  </r>
  <r>
    <n v="2471"/>
    <s v="USA"/>
    <s v="M"/>
    <n v="57"/>
    <s v="E"/>
    <s v="Outlier"/>
    <x v="1"/>
  </r>
  <r>
    <n v="2472"/>
    <s v="Italy"/>
    <s v="F"/>
    <n v="44"/>
    <s v="E"/>
    <s v="Outlier"/>
    <x v="1"/>
  </r>
  <r>
    <n v="2473"/>
    <s v="Denmark"/>
    <s v="M"/>
    <n v="42"/>
    <s v="E"/>
    <s v="Outlier"/>
    <x v="1"/>
  </r>
  <r>
    <n v="2474"/>
    <s v="Germany"/>
    <s v="M"/>
    <n v="63"/>
    <s v="E"/>
    <s v="Outlier"/>
    <x v="1"/>
  </r>
  <r>
    <n v="2475"/>
    <s v="USA"/>
    <s v="F"/>
    <n v="78"/>
    <s v="E"/>
    <s v="Outlier"/>
    <x v="1"/>
  </r>
  <r>
    <n v="2476"/>
    <s v="Spain"/>
    <s v="F"/>
    <n v="86"/>
    <s v="E"/>
    <s v="Outlier"/>
    <x v="1"/>
  </r>
  <r>
    <n v="2477"/>
    <s v="USA"/>
    <s v="M"/>
    <n v="69"/>
    <s v="E"/>
    <s v="Outlier"/>
    <x v="1"/>
  </r>
  <r>
    <n v="2478"/>
    <s v="Australia"/>
    <s v="M"/>
    <n v="83"/>
    <s v="E"/>
    <s v="Outlier"/>
    <x v="1"/>
  </r>
  <r>
    <n v="2479"/>
    <s v="USA"/>
    <s v="F"/>
    <n v="89"/>
    <s v="E"/>
    <s v="Outlier"/>
    <x v="1"/>
  </r>
  <r>
    <n v="2480"/>
    <s v="Denmark"/>
    <s v="M"/>
    <n v="47"/>
    <s v="E"/>
    <s v="Outlier"/>
    <x v="1"/>
  </r>
  <r>
    <n v="2481"/>
    <s v="Spain"/>
    <s v="M"/>
    <n v="56"/>
    <s v="E"/>
    <s v="Outlier"/>
    <x v="1"/>
  </r>
  <r>
    <n v="2482"/>
    <s v="Germany"/>
    <s v="M"/>
    <n v="61"/>
    <s v="E"/>
    <s v="Outlier"/>
    <x v="1"/>
  </r>
  <r>
    <n v="2483"/>
    <s v="Finland"/>
    <s v="F"/>
    <n v="90"/>
    <s v="E"/>
    <s v="Outlier"/>
    <x v="1"/>
  </r>
  <r>
    <n v="2484"/>
    <s v="USA"/>
    <s v="M"/>
    <n v="55"/>
    <s v="E"/>
    <s v="Outlier"/>
    <x v="1"/>
  </r>
  <r>
    <n v="2485"/>
    <s v="Australia"/>
    <s v="F"/>
    <n v="64"/>
    <s v="E"/>
    <s v="Outlier"/>
    <x v="1"/>
  </r>
  <r>
    <n v="2486"/>
    <s v="Denmark"/>
    <s v="F"/>
    <n v="60"/>
    <s v="E"/>
    <s v="Outlier"/>
    <x v="1"/>
  </r>
  <r>
    <n v="2487"/>
    <s v="USA"/>
    <s v="F"/>
    <n v="89"/>
    <s v="E"/>
    <s v="Outlier"/>
    <x v="1"/>
  </r>
  <r>
    <n v="2488"/>
    <s v="Australia"/>
    <s v="F"/>
    <n v="67"/>
    <s v="E"/>
    <s v="Outlier"/>
    <x v="1"/>
  </r>
  <r>
    <n v="2489"/>
    <s v="USA"/>
    <s v="M"/>
    <n v="68"/>
    <s v="E"/>
    <s v="Outlier"/>
    <x v="1"/>
  </r>
  <r>
    <n v="2490"/>
    <s v="USA"/>
    <s v="F"/>
    <n v="31"/>
    <s v="E"/>
    <s v="Outlier"/>
    <x v="0"/>
  </r>
  <r>
    <n v="2491"/>
    <s v="Finland"/>
    <s v="M"/>
    <n v="69"/>
    <s v="E"/>
    <s v="Outlier"/>
    <x v="1"/>
  </r>
  <r>
    <n v="2492"/>
    <s v="France"/>
    <s v="M"/>
    <n v="82"/>
    <s v="E"/>
    <s v="Outlier"/>
    <x v="1"/>
  </r>
  <r>
    <n v="2493"/>
    <s v="USA"/>
    <s v="F"/>
    <n v="65"/>
    <s v="E"/>
    <s v="Outlier"/>
    <x v="1"/>
  </r>
  <r>
    <n v="2494"/>
    <s v="Austria"/>
    <s v="M"/>
    <n v="29"/>
    <s v="E"/>
    <s v="Outlier"/>
    <x v="2"/>
  </r>
  <r>
    <n v="2495"/>
    <s v="Australia"/>
    <s v="M"/>
    <n v="59"/>
    <s v="E"/>
    <s v="Outlier"/>
    <x v="1"/>
  </r>
  <r>
    <n v="2496"/>
    <s v="France"/>
    <s v="F"/>
    <n v="89"/>
    <s v="E"/>
    <s v="Outlier"/>
    <x v="1"/>
  </r>
  <r>
    <n v="2497"/>
    <s v="Spain"/>
    <s v="M"/>
    <n v="74"/>
    <s v="E"/>
    <s v="Outlier"/>
    <x v="1"/>
  </r>
  <r>
    <n v="2498"/>
    <s v="Australia"/>
    <s v="M"/>
    <n v="35"/>
    <s v="E"/>
    <s v="Outlier"/>
    <x v="0"/>
  </r>
  <r>
    <n v="2499"/>
    <s v="USA"/>
    <s v="F"/>
    <n v="86"/>
    <s v="E"/>
    <s v="Outlier"/>
    <x v="1"/>
  </r>
  <r>
    <n v="2500"/>
    <s v="Denmark"/>
    <s v="F"/>
    <n v="46"/>
    <s v="E"/>
    <s v="Outlier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  <x v="0"/>
    <n v="100000"/>
    <n v="135017"/>
    <x v="0"/>
  </r>
  <r>
    <x v="1"/>
    <x v="1"/>
    <x v="1"/>
    <n v="200000"/>
    <n v="192740"/>
    <x v="1"/>
  </r>
  <r>
    <x v="2"/>
    <x v="2"/>
    <x v="2"/>
    <n v="200000"/>
    <n v="227134"/>
    <x v="0"/>
  </r>
  <r>
    <x v="3"/>
    <x v="3"/>
    <x v="3"/>
    <n v="100000"/>
    <n v="130274"/>
    <x v="0"/>
  </r>
  <r>
    <x v="4"/>
    <x v="4"/>
    <x v="2"/>
    <n v="200000"/>
    <n v="182094"/>
    <x v="1"/>
  </r>
  <r>
    <x v="5"/>
    <x v="5"/>
    <x v="1"/>
    <n v="200000"/>
    <n v="219735"/>
    <x v="0"/>
  </r>
  <r>
    <x v="6"/>
    <x v="6"/>
    <x v="2"/>
    <n v="100000"/>
    <n v="145221"/>
    <x v="0"/>
  </r>
  <r>
    <x v="7"/>
    <x v="7"/>
    <x v="2"/>
    <n v="200000"/>
    <n v="195983"/>
    <x v="1"/>
  </r>
  <r>
    <x v="8"/>
    <x v="8"/>
    <x v="3"/>
    <n v="100000"/>
    <n v="107896"/>
    <x v="0"/>
  </r>
  <r>
    <x v="9"/>
    <x v="9"/>
    <x v="2"/>
    <n v="250000"/>
    <n v="261093"/>
    <x v="0"/>
  </r>
  <r>
    <x v="10"/>
    <x v="10"/>
    <x v="1"/>
    <n v="200000"/>
    <n v="242439"/>
    <x v="0"/>
  </r>
  <r>
    <x v="11"/>
    <x v="11"/>
    <x v="1"/>
    <n v="1000000"/>
    <n v="1089868"/>
    <x v="0"/>
  </r>
  <r>
    <x v="12"/>
    <x v="12"/>
    <x v="0"/>
    <n v="100000"/>
    <n v="88953"/>
    <x v="1"/>
  </r>
  <r>
    <x v="13"/>
    <x v="13"/>
    <x v="4"/>
    <n v="200000"/>
    <n v="203887"/>
    <x v="0"/>
  </r>
  <r>
    <x v="14"/>
    <x v="14"/>
    <x v="0"/>
    <n v="50000"/>
    <n v="49487"/>
    <x v="1"/>
  </r>
  <r>
    <x v="15"/>
    <x v="15"/>
    <x v="3"/>
    <n v="100000"/>
    <n v="84119"/>
    <x v="1"/>
  </r>
  <r>
    <x v="16"/>
    <x v="16"/>
    <x v="4"/>
    <n v="100000"/>
    <n v="98119"/>
    <x v="1"/>
  </r>
  <r>
    <x v="17"/>
    <x v="17"/>
    <x v="3"/>
    <n v="150000"/>
    <n v="173391"/>
    <x v="0"/>
  </r>
  <r>
    <x v="18"/>
    <x v="18"/>
    <x v="2"/>
    <n v="150000"/>
    <n v="145237"/>
    <x v="1"/>
  </r>
  <r>
    <x v="19"/>
    <x v="19"/>
    <x v="4"/>
    <n v="150000"/>
    <n v="115291"/>
    <x v="1"/>
  </r>
  <r>
    <x v="20"/>
    <x v="20"/>
    <x v="0"/>
    <n v="100000"/>
    <n v="98950"/>
    <x v="1"/>
  </r>
  <r>
    <x v="21"/>
    <x v="21"/>
    <x v="1"/>
    <n v="150000"/>
    <n v="175816"/>
    <x v="0"/>
  </r>
  <r>
    <x v="22"/>
    <x v="22"/>
    <x v="1"/>
    <n v="150000"/>
    <n v="137504"/>
    <x v="1"/>
  </r>
  <r>
    <x v="23"/>
    <x v="23"/>
    <x v="3"/>
    <n v="100000"/>
    <n v="108833"/>
    <x v="0"/>
  </r>
  <r>
    <x v="24"/>
    <x v="24"/>
    <x v="4"/>
    <n v="1000000"/>
    <n v="776835"/>
    <x v="1"/>
  </r>
  <r>
    <x v="25"/>
    <x v="25"/>
    <x v="3"/>
    <n v="100000"/>
    <n v="94689"/>
    <x v="1"/>
  </r>
  <r>
    <x v="26"/>
    <x v="26"/>
    <x v="2"/>
    <n v="100000"/>
    <n v="132192"/>
    <x v="0"/>
  </r>
  <r>
    <x v="27"/>
    <x v="27"/>
    <x v="3"/>
    <n v="150000"/>
    <n v="125181"/>
    <x v="1"/>
  </r>
  <r>
    <x v="28"/>
    <x v="28"/>
    <x v="1"/>
    <n v="150000"/>
    <n v="188709"/>
    <x v="0"/>
  </r>
  <r>
    <x v="29"/>
    <x v="29"/>
    <x v="2"/>
    <n v="50000"/>
    <n v="57084"/>
    <x v="0"/>
  </r>
  <r>
    <x v="30"/>
    <x v="0"/>
    <x v="0"/>
    <n v="100000"/>
    <n v="92100"/>
    <x v="1"/>
  </r>
  <r>
    <x v="31"/>
    <x v="1"/>
    <x v="1"/>
    <n v="100000"/>
    <n v="94314"/>
    <x v="1"/>
  </r>
  <r>
    <x v="32"/>
    <x v="2"/>
    <x v="2"/>
    <n v="100000"/>
    <n v="110015"/>
    <x v="0"/>
  </r>
  <r>
    <x v="33"/>
    <x v="3"/>
    <x v="3"/>
    <n v="150000"/>
    <n v="167417"/>
    <x v="0"/>
  </r>
  <r>
    <x v="34"/>
    <x v="4"/>
    <x v="2"/>
    <n v="150000"/>
    <n v="139565"/>
    <x v="1"/>
  </r>
  <r>
    <x v="35"/>
    <x v="5"/>
    <x v="1"/>
    <n v="80000"/>
    <n v="71209"/>
    <x v="1"/>
  </r>
  <r>
    <x v="36"/>
    <x v="6"/>
    <x v="2"/>
    <n v="150000"/>
    <n v="143869"/>
    <x v="1"/>
  </r>
  <r>
    <x v="37"/>
    <x v="7"/>
    <x v="2"/>
    <n v="150000"/>
    <n v="123241"/>
    <x v="1"/>
  </r>
  <r>
    <x v="38"/>
    <x v="8"/>
    <x v="3"/>
    <n v="100000"/>
    <n v="92050"/>
    <x v="1"/>
  </r>
  <r>
    <x v="39"/>
    <x v="9"/>
    <x v="2"/>
    <n v="30000"/>
    <n v="25048"/>
    <x v="1"/>
  </r>
  <r>
    <x v="40"/>
    <x v="10"/>
    <x v="1"/>
    <n v="150000"/>
    <n v="144598"/>
    <x v="1"/>
  </r>
  <r>
    <x v="41"/>
    <x v="11"/>
    <x v="1"/>
    <n v="100000"/>
    <n v="130563"/>
    <x v="0"/>
  </r>
  <r>
    <x v="42"/>
    <x v="12"/>
    <x v="0"/>
    <n v="150000"/>
    <n v="133448"/>
    <x v="1"/>
  </r>
  <r>
    <x v="43"/>
    <x v="13"/>
    <x v="4"/>
    <n v="100000"/>
    <n v="88589"/>
    <x v="1"/>
  </r>
  <r>
    <x v="44"/>
    <x v="14"/>
    <x v="0"/>
    <n v="30000"/>
    <n v="31897"/>
    <x v="0"/>
  </r>
  <r>
    <x v="45"/>
    <x v="15"/>
    <x v="3"/>
    <n v="100000"/>
    <n v="93064"/>
    <x v="1"/>
  </r>
  <r>
    <x v="46"/>
    <x v="16"/>
    <x v="4"/>
    <n v="100000"/>
    <n v="78336"/>
    <x v="1"/>
  </r>
  <r>
    <x v="47"/>
    <x v="17"/>
    <x v="3"/>
    <n v="150000"/>
    <n v="107830"/>
    <x v="1"/>
  </r>
  <r>
    <x v="48"/>
    <x v="18"/>
    <x v="2"/>
    <n v="100000"/>
    <n v="99157"/>
    <x v="1"/>
  </r>
  <r>
    <x v="49"/>
    <x v="19"/>
    <x v="4"/>
    <n v="150000"/>
    <n v="164789"/>
    <x v="0"/>
  </r>
  <r>
    <x v="50"/>
    <x v="20"/>
    <x v="0"/>
    <n v="250000"/>
    <n v="171694"/>
    <x v="1"/>
  </r>
  <r>
    <x v="51"/>
    <x v="21"/>
    <x v="1"/>
    <n v="50000"/>
    <n v="45184"/>
    <x v="1"/>
  </r>
  <r>
    <x v="52"/>
    <x v="22"/>
    <x v="1"/>
    <n v="100000"/>
    <n v="89991"/>
    <x v="1"/>
  </r>
  <r>
    <x v="53"/>
    <x v="23"/>
    <x v="3"/>
    <n v="150000"/>
    <n v="166573"/>
    <x v="0"/>
  </r>
  <r>
    <x v="54"/>
    <x v="24"/>
    <x v="4"/>
    <n v="150000"/>
    <n v="156971"/>
    <x v="0"/>
  </r>
  <r>
    <x v="55"/>
    <x v="25"/>
    <x v="3"/>
    <n v="200000"/>
    <n v="201398"/>
    <x v="0"/>
  </r>
  <r>
    <x v="56"/>
    <x v="26"/>
    <x v="2"/>
    <n v="150000"/>
    <n v="88917"/>
    <x v="1"/>
  </r>
  <r>
    <x v="57"/>
    <x v="27"/>
    <x v="3"/>
    <n v="100000"/>
    <n v="115877"/>
    <x v="0"/>
  </r>
  <r>
    <x v="58"/>
    <x v="28"/>
    <x v="1"/>
    <n v="100000"/>
    <n v="87374"/>
    <x v="1"/>
  </r>
  <r>
    <x v="59"/>
    <x v="29"/>
    <x v="2"/>
    <n v="150000"/>
    <n v="155548"/>
    <x v="0"/>
  </r>
  <r>
    <x v="60"/>
    <x v="0"/>
    <x v="0"/>
    <n v="150000"/>
    <n v="156627"/>
    <x v="0"/>
  </r>
  <r>
    <x v="61"/>
    <x v="1"/>
    <x v="1"/>
    <n v="80000"/>
    <n v="87550"/>
    <x v="0"/>
  </r>
  <r>
    <x v="62"/>
    <x v="2"/>
    <x v="2"/>
    <n v="50000"/>
    <n v="44651"/>
    <x v="1"/>
  </r>
  <r>
    <x v="63"/>
    <x v="3"/>
    <x v="3"/>
    <n v="30000"/>
    <n v="10197"/>
    <x v="1"/>
  </r>
  <r>
    <x v="64"/>
    <x v="4"/>
    <x v="2"/>
    <n v="80000"/>
    <n v="56034"/>
    <x v="1"/>
  </r>
  <r>
    <x v="65"/>
    <x v="5"/>
    <x v="1"/>
    <n v="100000"/>
    <n v="116145"/>
    <x v="0"/>
  </r>
  <r>
    <x v="66"/>
    <x v="6"/>
    <x v="2"/>
    <n v="200000"/>
    <n v="63116"/>
    <x v="1"/>
  </r>
  <r>
    <x v="67"/>
    <x v="7"/>
    <x v="2"/>
    <n v="100000"/>
    <n v="87269"/>
    <x v="1"/>
  </r>
  <r>
    <x v="68"/>
    <x v="8"/>
    <x v="3"/>
    <n v="150000"/>
    <n v="158488"/>
    <x v="0"/>
  </r>
  <r>
    <x v="69"/>
    <x v="9"/>
    <x v="2"/>
    <n v="100000"/>
    <n v="74372"/>
    <x v="1"/>
  </r>
  <r>
    <x v="70"/>
    <x v="10"/>
    <x v="1"/>
    <n v="150000"/>
    <n v="153373"/>
    <x v="0"/>
  </r>
  <r>
    <x v="71"/>
    <x v="11"/>
    <x v="1"/>
    <n v="100000"/>
    <n v="86682"/>
    <x v="1"/>
  </r>
  <r>
    <x v="72"/>
    <x v="12"/>
    <x v="0"/>
    <n v="100000"/>
    <n v="91534"/>
    <x v="1"/>
  </r>
  <r>
    <x v="73"/>
    <x v="13"/>
    <x v="4"/>
    <n v="100000"/>
    <n v="107329"/>
    <x v="0"/>
  </r>
  <r>
    <x v="74"/>
    <x v="14"/>
    <x v="0"/>
    <n v="100000"/>
    <n v="73048"/>
    <x v="1"/>
  </r>
  <r>
    <x v="75"/>
    <x v="15"/>
    <x v="3"/>
    <n v="100000"/>
    <n v="86855"/>
    <x v="1"/>
  </r>
  <r>
    <x v="76"/>
    <x v="16"/>
    <x v="4"/>
    <n v="80000"/>
    <n v="67941"/>
    <x v="1"/>
  </r>
  <r>
    <x v="77"/>
    <x v="17"/>
    <x v="3"/>
    <n v="100000"/>
    <n v="85772"/>
    <x v="1"/>
  </r>
  <r>
    <x v="78"/>
    <x v="18"/>
    <x v="2"/>
    <n v="30000"/>
    <n v="38017"/>
    <x v="0"/>
  </r>
  <r>
    <x v="79"/>
    <x v="19"/>
    <x v="4"/>
    <n v="30000"/>
    <n v="42553"/>
    <x v="0"/>
  </r>
  <r>
    <x v="80"/>
    <x v="20"/>
    <x v="0"/>
    <n v="200000"/>
    <n v="195359"/>
    <x v="1"/>
  </r>
  <r>
    <x v="81"/>
    <x v="21"/>
    <x v="1"/>
    <n v="80000"/>
    <n v="67627"/>
    <x v="1"/>
  </r>
  <r>
    <x v="82"/>
    <x v="22"/>
    <x v="1"/>
    <n v="250000"/>
    <n v="261772"/>
    <x v="0"/>
  </r>
  <r>
    <x v="83"/>
    <x v="23"/>
    <x v="3"/>
    <n v="100000"/>
    <n v="44273"/>
    <x v="1"/>
  </r>
  <r>
    <x v="84"/>
    <x v="24"/>
    <x v="4"/>
    <n v="150000"/>
    <n v="98774"/>
    <x v="1"/>
  </r>
  <r>
    <x v="85"/>
    <x v="25"/>
    <x v="3"/>
    <n v="100000"/>
    <n v="94616"/>
    <x v="1"/>
  </r>
  <r>
    <x v="86"/>
    <x v="26"/>
    <x v="2"/>
    <n v="50000"/>
    <n v="51911"/>
    <x v="0"/>
  </r>
  <r>
    <x v="87"/>
    <x v="27"/>
    <x v="3"/>
    <n v="80000"/>
    <n v="86182"/>
    <x v="0"/>
  </r>
  <r>
    <x v="88"/>
    <x v="28"/>
    <x v="1"/>
    <n v="100000"/>
    <n v="85279"/>
    <x v="1"/>
  </r>
  <r>
    <x v="89"/>
    <x v="29"/>
    <x v="2"/>
    <n v="80000"/>
    <n v="70369"/>
    <x v="1"/>
  </r>
  <r>
    <x v="90"/>
    <x v="11"/>
    <x v="1"/>
    <n v="100000"/>
    <n v="95828"/>
    <x v="1"/>
  </r>
  <r>
    <x v="91"/>
    <x v="12"/>
    <x v="0"/>
    <n v="50000"/>
    <n v="4195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597"/>
    <n v="856"/>
    <s v="USA"/>
    <d v="2023-12-15T00:50:00"/>
    <s v="Other"/>
    <s v="Kwai Yu"/>
    <n v="412"/>
    <d v="2023-12-15T00:00:00"/>
    <d v="1899-12-30T00:50:00"/>
    <s v="December"/>
    <s v="Friday"/>
    <s v="Normal"/>
    <x v="0"/>
  </r>
  <r>
    <n v="2011"/>
    <n v="525"/>
    <s v="India"/>
    <d v="2023-04-29T23:40:00"/>
    <s v="Whatsapp"/>
    <s v="Paul Henriot"/>
    <n v="4551"/>
    <d v="2023-04-29T00:00:00"/>
    <d v="1899-12-30T23:40:00"/>
    <s v="April"/>
    <s v="Saturday"/>
    <s v="Outlier"/>
    <x v="1"/>
  </r>
  <r>
    <n v="2822"/>
    <n v="1614"/>
    <s v="USA"/>
    <d v="2023-12-30T00:21:00"/>
    <s v="Whatsapp"/>
    <s v="Daniel Da Cunha"/>
    <n v="3960"/>
    <d v="2023-12-30T00:00:00"/>
    <d v="1899-12-30T00:21:00"/>
    <s v="December"/>
    <s v="Saturday"/>
    <s v="Outlier"/>
    <x v="2"/>
  </r>
  <r>
    <n v="2889"/>
    <n v="743"/>
    <s v="USA"/>
    <d v="2023-11-28T00:31:00"/>
    <s v="Whatsapp"/>
    <s v="Julie Young"/>
    <n v="8397"/>
    <d v="2023-11-28T00:00:00"/>
    <d v="1899-12-30T00:31:00"/>
    <s v="November"/>
    <s v="Tuesday"/>
    <s v="Outlier"/>
    <x v="3"/>
  </r>
  <r>
    <n v="3971"/>
    <n v="20"/>
    <s v="USA"/>
    <d v="2023-10-26T23:11:00"/>
    <s v="Website"/>
    <s v="Julie Brown"/>
    <n v="5545"/>
    <d v="2023-10-26T00:00:00"/>
    <d v="1899-12-30T23:11:00"/>
    <s v="October"/>
    <s v="Thursday"/>
    <s v="Outlier"/>
    <x v="4"/>
  </r>
  <r>
    <n v="4111"/>
    <n v="1367"/>
    <s v="Italy"/>
    <d v="2023-03-08T22:52:00"/>
    <s v="App"/>
    <s v="Juri Hirano"/>
    <n v="7800"/>
    <d v="2023-03-08T00:00:00"/>
    <d v="1899-12-30T22:52:00"/>
    <s v="March"/>
    <s v="Wednesday"/>
    <s v="Outlier"/>
    <x v="5"/>
  </r>
  <r>
    <n v="4801"/>
    <n v="945"/>
    <s v="France"/>
    <d v="2023-02-18T00:23:00"/>
    <s v="Other"/>
    <s v="Martine Rance"/>
    <n v="4674"/>
    <d v="2023-02-18T00:00:00"/>
    <d v="1899-12-30T00:23:00"/>
    <s v="February"/>
    <s v="Saturday"/>
    <s v="Outlier"/>
    <x v="6"/>
  </r>
  <r>
    <n v="5719"/>
    <n v="218"/>
    <s v="France"/>
    <d v="2023-11-23T01:10:00"/>
    <s v="Website"/>
    <s v="Veysel Oeztan"/>
    <n v="5954"/>
    <d v="2023-11-23T00:00:00"/>
    <d v="1899-12-30T01:10:00"/>
    <s v="November"/>
    <s v="Thursday"/>
    <s v="Outlier"/>
    <x v="6"/>
  </r>
  <r>
    <n v="5846"/>
    <n v="264"/>
    <s v="USA"/>
    <d v="2023-12-23T01:20:00"/>
    <s v="Website"/>
    <s v="Julie Murphy"/>
    <n v="9887"/>
    <d v="2023-12-23T00:00:00"/>
    <d v="1899-12-30T01:20:00"/>
    <s v="December"/>
    <s v="Saturday"/>
    <s v="Outlier"/>
    <x v="7"/>
  </r>
  <r>
    <n v="7615"/>
    <n v="566"/>
    <s v="USA"/>
    <d v="2023-11-03T23:46:00"/>
    <s v="Whatsapp"/>
    <s v="Dominique Perrier"/>
    <n v="8303"/>
    <d v="2023-11-03T00:00:00"/>
    <d v="1899-12-30T23:46:00"/>
    <s v="November"/>
    <s v="Friday"/>
    <s v="Outlier"/>
    <x v="8"/>
  </r>
  <r>
    <n v="8568"/>
    <n v="1414"/>
    <s v="USA"/>
    <d v="2023-07-26T00:11:00"/>
    <s v="App"/>
    <s v="Peter Ferguson"/>
    <n v="8969"/>
    <d v="2023-07-26T00:00:00"/>
    <d v="1899-12-30T00:11:00"/>
    <s v="July"/>
    <s v="Wednesday"/>
    <s v="Outlier"/>
    <x v="9"/>
  </r>
  <r>
    <n v="9339"/>
    <n v="1681"/>
    <s v="Spain"/>
    <d v="2023-12-18T00:39:00"/>
    <s v="App"/>
    <s v="Michael Frick"/>
    <n v="2782"/>
    <d v="2023-12-18T00:00:00"/>
    <d v="1899-12-30T00:39:00"/>
    <s v="December"/>
    <s v="Monday"/>
    <s v="Outlier"/>
    <x v="4"/>
  </r>
  <r>
    <n v="9839"/>
    <n v="223"/>
    <s v="India"/>
    <d v="2023-06-05T01:05:00"/>
    <s v="Other"/>
    <s v="William Brown"/>
    <n v="7215"/>
    <d v="2023-06-05T00:00:00"/>
    <d v="1899-12-30T01:05:00"/>
    <s v="June"/>
    <s v="Monday"/>
    <s v="Outlier"/>
    <x v="10"/>
  </r>
  <r>
    <n v="10101"/>
    <n v="276"/>
    <s v="India"/>
    <d v="2023-11-27T22:29:00"/>
    <s v="App"/>
    <s v="Julie King"/>
    <n v="6947"/>
    <d v="2023-11-27T00:00:00"/>
    <d v="1899-12-30T22:29:00"/>
    <s v="November"/>
    <s v="Monday"/>
    <s v="Outlier"/>
    <x v="0"/>
  </r>
  <r>
    <n v="10208"/>
    <n v="1219"/>
    <s v="USA"/>
    <d v="2023-10-04T01:42:00"/>
    <s v="Website"/>
    <s v="Janine Labrune"/>
    <n v="3866"/>
    <d v="2023-10-04T00:00:00"/>
    <d v="1899-12-30T01:42:00"/>
    <s v="October"/>
    <s v="Wednesday"/>
    <s v="Outlier"/>
    <x v="11"/>
  </r>
  <r>
    <n v="10508"/>
    <n v="1016"/>
    <s v="India"/>
    <d v="2023-08-24T23:13:00"/>
    <s v="Whatsapp"/>
    <s v="Marta Hernandez"/>
    <n v="4247"/>
    <d v="2023-08-24T00:00:00"/>
    <d v="1899-12-30T23:13:00"/>
    <s v="August"/>
    <s v="Thursday"/>
    <s v="Outlier"/>
    <x v="12"/>
  </r>
  <r>
    <n v="10526"/>
    <n v="241"/>
    <s v="USA"/>
    <d v="2023-10-19T22:52:00"/>
    <s v="Website"/>
    <s v="Matti Karttunen"/>
    <n v="6627"/>
    <d v="2023-10-19T00:00:00"/>
    <d v="1899-12-30T22:52:00"/>
    <s v="October"/>
    <s v="Thursday"/>
    <s v="Outlier"/>
    <x v="13"/>
  </r>
  <r>
    <n v="10667"/>
    <n v="467"/>
    <s v="France"/>
    <d v="2023-10-13T01:01:00"/>
    <s v="Whatsapp"/>
    <s v="Jonas Bergulfsen"/>
    <n v="840"/>
    <d v="2023-10-13T00:00:00"/>
    <d v="1899-12-30T01:01:00"/>
    <s v="October"/>
    <s v="Friday"/>
    <s v="Outlier"/>
    <x v="14"/>
  </r>
  <r>
    <n v="10922"/>
    <n v="7"/>
    <s v="Singapore"/>
    <d v="2023-01-19T22:33:00"/>
    <s v="App"/>
    <s v="Kyung Yu"/>
    <n v="3157"/>
    <d v="2023-01-19T00:00:00"/>
    <d v="1899-12-30T22:33:00"/>
    <s v="January"/>
    <s v="Thursday"/>
    <s v="Outlier"/>
    <x v="15"/>
  </r>
  <r>
    <n v="11114"/>
    <n v="563"/>
    <s v="France"/>
    <d v="2023-03-17T23:16:00"/>
    <s v="Website"/>
    <s v="Kwai Yu"/>
    <n v="6371"/>
    <d v="2023-03-17T00:00:00"/>
    <d v="1899-12-30T23:16:00"/>
    <s v="March"/>
    <s v="Friday"/>
    <s v="Outlier"/>
    <x v="16"/>
  </r>
  <r>
    <n v="12200"/>
    <n v="1218"/>
    <s v="USA"/>
    <d v="2023-06-11T00:12:00"/>
    <s v="Whatsapp"/>
    <s v="Georg Pipps"/>
    <n v="1774"/>
    <d v="2023-06-11T00:00:00"/>
    <d v="1899-12-30T00:12:00"/>
    <s v="June"/>
    <s v="Sunday"/>
    <s v="Outlier"/>
    <x v="17"/>
  </r>
  <r>
    <n v="13586"/>
    <n v="26"/>
    <s v="France"/>
    <d v="2023-01-23T00:17:00"/>
    <s v="App"/>
    <s v="Adrian Huxley"/>
    <n v="321"/>
    <d v="2023-01-23T00:00:00"/>
    <d v="1899-12-30T00:17:00"/>
    <s v="January"/>
    <s v="Monday"/>
    <s v="Outlier"/>
    <x v="18"/>
  </r>
  <r>
    <n v="14287"/>
    <n v="1552"/>
    <s v="Italy"/>
    <d v="2023-02-18T00:34:00"/>
    <s v="Other"/>
    <s v="Janine Labrune"/>
    <n v="1628"/>
    <d v="2023-02-18T00:00:00"/>
    <d v="1899-12-30T00:34:00"/>
    <s v="February"/>
    <s v="Saturday"/>
    <s v="Outlier"/>
    <x v="2"/>
  </r>
  <r>
    <n v="14971"/>
    <n v="148"/>
    <s v="Spain"/>
    <d v="2023-09-10T00:06:00"/>
    <s v="Other"/>
    <s v="Violeta Benitez"/>
    <n v="7545"/>
    <d v="2023-09-10T00:00:00"/>
    <d v="1899-12-30T00:06:00"/>
    <s v="September"/>
    <s v="Sunday"/>
    <s v="Outlier"/>
    <x v="19"/>
  </r>
  <r>
    <n v="15113"/>
    <n v="252"/>
    <s v="USA"/>
    <d v="2023-03-18T02:00:00"/>
    <s v="App"/>
    <s v="Elizabeth Devon"/>
    <n v="2730"/>
    <d v="2023-03-18T00:00:00"/>
    <d v="1899-12-30T02:00:00"/>
    <s v="March"/>
    <s v="Saturday"/>
    <s v="Outlier"/>
    <x v="20"/>
  </r>
  <r>
    <n v="15878"/>
    <n v="1524"/>
    <s v="France"/>
    <d v="2023-06-03T01:01:00"/>
    <s v="Whatsapp"/>
    <s v="Diego Freyre"/>
    <n v="2717"/>
    <d v="2023-06-03T00:00:00"/>
    <d v="1899-12-30T01:01:00"/>
    <s v="June"/>
    <s v="Saturday"/>
    <s v="Outlier"/>
    <x v="21"/>
  </r>
  <r>
    <n v="16243"/>
    <n v="1812"/>
    <s v="Spain"/>
    <d v="2023-07-31T23:19:00"/>
    <s v="Website"/>
    <s v="Jonas Bergulfsen"/>
    <n v="9723"/>
    <d v="2023-07-31T00:00:00"/>
    <d v="1899-12-30T23:19:00"/>
    <s v="July"/>
    <s v="Monday"/>
    <s v="Outlier"/>
    <x v="22"/>
  </r>
  <r>
    <n v="16263"/>
    <n v="311"/>
    <s v="Australia"/>
    <d v="2023-11-30T22:59:00"/>
    <s v="Website"/>
    <s v="Christina Berglund"/>
    <n v="6673"/>
    <d v="2023-11-30T00:00:00"/>
    <d v="1899-12-30T22:59:00"/>
    <s v="November"/>
    <s v="Thursday"/>
    <s v="Outlier"/>
    <x v="23"/>
  </r>
  <r>
    <n v="16847"/>
    <n v="406"/>
    <s v="India"/>
    <d v="2023-11-08T00:17:00"/>
    <s v="Other"/>
    <s v="Mart¡n Sommer"/>
    <n v="1802"/>
    <d v="2023-11-08T00:00:00"/>
    <d v="1899-12-30T00:17:00"/>
    <s v="November"/>
    <s v="Wednesday"/>
    <s v="Outlier"/>
    <x v="6"/>
  </r>
  <r>
    <n v="17912"/>
    <n v="498"/>
    <s v="Germany"/>
    <d v="2023-03-21T22:56:00"/>
    <s v="Other"/>
    <s v="Juri Hirano"/>
    <n v="9179"/>
    <d v="2023-03-21T00:00:00"/>
    <d v="1899-12-30T22:56:00"/>
    <s v="March"/>
    <s v="Tuesday"/>
    <s v="Outlier"/>
    <x v="24"/>
  </r>
  <r>
    <n v="20076"/>
    <n v="446"/>
    <s v="USA"/>
    <d v="2023-03-16T23:20:00"/>
    <s v="Website"/>
    <s v="Eric Natividad"/>
    <n v="2311"/>
    <d v="2023-03-16T00:00:00"/>
    <d v="1899-12-30T23:20:00"/>
    <s v="March"/>
    <s v="Thursday"/>
    <s v="Outlier"/>
    <x v="25"/>
  </r>
  <r>
    <n v="20342"/>
    <n v="451"/>
    <s v="Norway"/>
    <d v="2023-03-03T00:58:00"/>
    <s v="Other"/>
    <s v="Maria Hernandez"/>
    <n v="3940"/>
    <d v="2023-03-03T00:00:00"/>
    <d v="1899-12-30T00:58:00"/>
    <s v="March"/>
    <s v="Friday"/>
    <s v="Outlier"/>
    <x v="8"/>
  </r>
  <r>
    <n v="21461"/>
    <n v="975"/>
    <s v="France"/>
    <d v="2023-02-20T23:40:00"/>
    <s v="Website"/>
    <s v="Tony Calaghan"/>
    <n v="5888"/>
    <d v="2023-02-20T00:00:00"/>
    <d v="1899-12-30T23:40:00"/>
    <s v="February"/>
    <s v="Monday"/>
    <s v="Outlier"/>
    <x v="23"/>
  </r>
  <r>
    <n v="22486"/>
    <n v="1315"/>
    <s v="USA"/>
    <d v="2023-07-03T00:45:00"/>
    <s v="App"/>
    <s v="Francisca Cervantes"/>
    <n v="2819"/>
    <d v="2023-07-03T00:00:00"/>
    <d v="1899-12-30T00:45:00"/>
    <s v="July"/>
    <s v="Monday"/>
    <s v="Outlier"/>
    <x v="15"/>
  </r>
  <r>
    <n v="23598"/>
    <n v="1017"/>
    <s v="India"/>
    <d v="2023-10-10T00:52:00"/>
    <s v="App"/>
    <s v="Mary Saveley"/>
    <n v="3015"/>
    <d v="2023-10-10T00:00:00"/>
    <d v="1899-12-30T00:52:00"/>
    <s v="October"/>
    <s v="Tuesday"/>
    <s v="Outlier"/>
    <x v="4"/>
  </r>
  <r>
    <n v="25923"/>
    <n v="875"/>
    <s v="USA"/>
    <d v="2023-10-27T01:07:00"/>
    <s v="App"/>
    <s v="Yoshi Tannamuri"/>
    <n v="8826"/>
    <d v="2023-10-27T00:00:00"/>
    <d v="1899-12-30T01:07:00"/>
    <s v="October"/>
    <s v="Friday"/>
    <s v="Outlier"/>
    <x v="26"/>
  </r>
  <r>
    <n v="27076"/>
    <n v="242"/>
    <s v="USA"/>
    <d v="2023-06-30T01:13:00"/>
    <s v="Other"/>
    <s v="Steve Thompson"/>
    <n v="4466"/>
    <d v="2023-06-30T00:00:00"/>
    <d v="1899-12-30T01:13:00"/>
    <s v="June"/>
    <s v="Friday"/>
    <s v="Outlier"/>
    <x v="27"/>
  </r>
  <r>
    <n v="27115"/>
    <n v="276"/>
    <s v="India"/>
    <d v="2023-11-05T01:49:00"/>
    <s v="Website"/>
    <s v="Kyung Tseng"/>
    <n v="9943"/>
    <d v="2023-11-05T00:00:00"/>
    <d v="1899-12-30T01:49:00"/>
    <s v="November"/>
    <s v="Sunday"/>
    <s v="Outlier"/>
    <x v="0"/>
  </r>
  <r>
    <n v="27493"/>
    <n v="827"/>
    <s v="Singapore"/>
    <d v="2023-10-26T00:12:00"/>
    <s v="Whatsapp"/>
    <s v="Leslie Murphy"/>
    <n v="2811"/>
    <d v="2023-10-26T00:00:00"/>
    <d v="1899-12-30T00:12:00"/>
    <s v="October"/>
    <s v="Thursday"/>
    <s v="Outlier"/>
    <x v="28"/>
  </r>
  <r>
    <n v="28066"/>
    <n v="1986"/>
    <s v="France"/>
    <d v="2023-05-07T00:07:00"/>
    <s v="App"/>
    <s v="Akiko Shimamura"/>
    <n v="7129"/>
    <d v="2023-05-07T00:00:00"/>
    <d v="1899-12-30T00:07:00"/>
    <s v="May"/>
    <s v="Sunday"/>
    <s v="Outlier"/>
    <x v="29"/>
  </r>
  <r>
    <n v="28318"/>
    <n v="983"/>
    <s v="USA"/>
    <d v="2023-02-17T00:49:00"/>
    <s v="Website"/>
    <s v="Adrian Huxley"/>
    <n v="5284"/>
    <d v="2023-02-17T00:00:00"/>
    <d v="1899-12-30T00:49:00"/>
    <s v="February"/>
    <s v="Friday"/>
    <s v="Outlier"/>
    <x v="30"/>
  </r>
  <r>
    <n v="28720"/>
    <n v="725"/>
    <s v="USA"/>
    <d v="2023-02-23T00:53:00"/>
    <s v="Whatsapp"/>
    <s v="Paolo Accorti"/>
    <n v="405"/>
    <d v="2023-02-23T00:00:00"/>
    <d v="1899-12-30T00:53:00"/>
    <s v="February"/>
    <s v="Thursday"/>
    <s v="Outlier"/>
    <x v="13"/>
  </r>
  <r>
    <n v="28841"/>
    <n v="954"/>
    <s v="India"/>
    <d v="2023-01-19T01:08:00"/>
    <s v="App"/>
    <s v="Maria Larsson"/>
    <n v="8558"/>
    <d v="2023-01-19T00:00:00"/>
    <d v="1899-12-30T01:08:00"/>
    <s v="January"/>
    <s v="Thursday"/>
    <s v="Outlier"/>
    <x v="31"/>
  </r>
  <r>
    <n v="28901"/>
    <n v="1093"/>
    <s v="India"/>
    <d v="2023-11-16T23:46:00"/>
    <s v="App"/>
    <s v="Daniel Tonini"/>
    <n v="5536"/>
    <d v="2023-11-16T00:00:00"/>
    <d v="1899-12-30T23:46:00"/>
    <s v="November"/>
    <s v="Thursday"/>
    <s v="Outlier"/>
    <x v="6"/>
  </r>
  <r>
    <n v="30449"/>
    <n v="962"/>
    <s v="USA"/>
    <d v="2023-07-01T23:42:00"/>
    <s v="App"/>
    <s v="Valarie Nelson"/>
    <n v="660"/>
    <d v="2023-07-01T00:00:00"/>
    <d v="1899-12-30T23:42:00"/>
    <s v="July"/>
    <s v="Saturday"/>
    <s v="Outlier"/>
    <x v="21"/>
  </r>
  <r>
    <n v="30739"/>
    <n v="1771"/>
    <s v="Italy"/>
    <d v="2023-05-29T00:28:00"/>
    <s v="Other"/>
    <s v="Valarie Young"/>
    <n v="5684"/>
    <d v="2023-05-29T00:00:00"/>
    <d v="1899-12-30T00:28:00"/>
    <s v="May"/>
    <s v="Monday"/>
    <s v="Outlier"/>
    <x v="16"/>
  </r>
  <r>
    <n v="31216"/>
    <n v="1240"/>
    <s v="Germany"/>
    <d v="2023-09-25T23:46:00"/>
    <s v="Website"/>
    <s v="Julie Murphy"/>
    <n v="8294"/>
    <d v="2023-09-25T00:00:00"/>
    <d v="1899-12-30T23:46:00"/>
    <s v="September"/>
    <s v="Monday"/>
    <s v="Outlier"/>
    <x v="32"/>
  </r>
  <r>
    <n v="31707"/>
    <n v="652"/>
    <s v="USA"/>
    <d v="2023-05-11T00:31:00"/>
    <s v="Other"/>
    <s v="Peter Ferguson"/>
    <n v="8379"/>
    <d v="2023-05-11T00:00:00"/>
    <d v="1899-12-30T00:31:00"/>
    <s v="May"/>
    <s v="Thursday"/>
    <s v="Outlier"/>
    <x v="33"/>
  </r>
  <r>
    <n v="33662"/>
    <n v="1381"/>
    <s v="USA"/>
    <d v="2023-01-19T23:07:00"/>
    <s v="Website"/>
    <s v="Valarie Nelson"/>
    <n v="8214"/>
    <d v="2023-01-19T00:00:00"/>
    <d v="1899-12-30T23:07:00"/>
    <s v="January"/>
    <s v="Thursday"/>
    <s v="Outlier"/>
    <x v="9"/>
  </r>
  <r>
    <n v="33963"/>
    <n v="1251"/>
    <s v="USA"/>
    <d v="2023-10-06T23:40:00"/>
    <s v="Other"/>
    <s v="Allen Nelson"/>
    <n v="6147"/>
    <d v="2023-10-06T00:00:00"/>
    <d v="1899-12-30T23:40:00"/>
    <s v="October"/>
    <s v="Friday"/>
    <s v="Outlier"/>
    <x v="34"/>
  </r>
  <r>
    <n v="33983"/>
    <n v="305"/>
    <s v="Australia"/>
    <d v="2023-05-17T02:22:00"/>
    <s v="App"/>
    <s v="Julie Brown"/>
    <n v="3894"/>
    <d v="2023-05-17T00:00:00"/>
    <d v="1899-12-30T02:22:00"/>
    <s v="May"/>
    <s v="Wednesday"/>
    <s v="Outlier"/>
    <x v="30"/>
  </r>
  <r>
    <n v="34125"/>
    <n v="530"/>
    <s v="Australia"/>
    <d v="2023-10-18T00:57:00"/>
    <s v="Whatsapp"/>
    <s v="Anna O'Hara"/>
    <n v="4341"/>
    <d v="2023-10-18T00:00:00"/>
    <d v="1899-12-30T00:57:00"/>
    <s v="October"/>
    <s v="Wednesday"/>
    <s v="Outlier"/>
    <x v="12"/>
  </r>
  <r>
    <n v="34477"/>
    <n v="1749"/>
    <s v="Austria"/>
    <d v="2023-04-26T23:49:00"/>
    <s v="App"/>
    <s v="Jean Fresnisre"/>
    <n v="9140"/>
    <d v="2023-04-26T00:00:00"/>
    <d v="1899-12-30T23:49:00"/>
    <s v="April"/>
    <s v="Wednesday"/>
    <s v="Outlier"/>
    <x v="35"/>
  </r>
  <r>
    <n v="34504"/>
    <n v="915"/>
    <s v="France"/>
    <d v="2023-02-06T00:55:00"/>
    <s v="Other"/>
    <s v="Diego Freyre"/>
    <n v="9163"/>
    <d v="2023-02-06T00:00:00"/>
    <d v="1899-12-30T00:55:00"/>
    <s v="February"/>
    <s v="Monday"/>
    <s v="Outlier"/>
    <x v="36"/>
  </r>
  <r>
    <n v="34978"/>
    <n v="492"/>
    <s v="Spain"/>
    <d v="2023-07-13T01:50:00"/>
    <s v="App"/>
    <s v="Kwai Yu"/>
    <n v="1494"/>
    <d v="2023-07-13T00:00:00"/>
    <d v="1899-12-30T01:50:00"/>
    <s v="July"/>
    <s v="Thursday"/>
    <s v="Outlier"/>
    <x v="24"/>
  </r>
  <r>
    <n v="35391"/>
    <n v="1057"/>
    <s v="Spain"/>
    <d v="2023-05-10T01:48:00"/>
    <s v="Website"/>
    <s v="Peter Ferguson"/>
    <n v="6287"/>
    <d v="2023-05-10T00:00:00"/>
    <d v="1899-12-30T01:48:00"/>
    <s v="May"/>
    <s v="Wednesday"/>
    <s v="Outlier"/>
    <x v="37"/>
  </r>
  <r>
    <n v="36759"/>
    <n v="1667"/>
    <s v="France"/>
    <d v="2023-01-23T01:33:00"/>
    <s v="Whatsapp"/>
    <s v="Daniel Da Cunha"/>
    <n v="6587"/>
    <d v="2023-01-23T00:00:00"/>
    <d v="1899-12-30T01:33:00"/>
    <s v="January"/>
    <s v="Monday"/>
    <s v="Outlier"/>
    <x v="38"/>
  </r>
  <r>
    <n v="37737"/>
    <n v="744"/>
    <s v="Finland"/>
    <d v="2023-10-24T00:05:00"/>
    <s v="Website"/>
    <s v="Julie Young"/>
    <n v="9738"/>
    <d v="2023-10-24T00:00:00"/>
    <d v="1899-12-30T00:05:00"/>
    <s v="October"/>
    <s v="Tuesday"/>
    <s v="Outlier"/>
    <x v="19"/>
  </r>
  <r>
    <n v="37971"/>
    <n v="433"/>
    <s v="India"/>
    <d v="2023-06-24T01:28:00"/>
    <s v="Whatsapp"/>
    <s v="Julie Brown"/>
    <n v="7884"/>
    <d v="2023-06-24T00:00:00"/>
    <d v="1899-12-30T01:28:00"/>
    <s v="June"/>
    <s v="Saturday"/>
    <s v="Outlier"/>
    <x v="39"/>
  </r>
  <r>
    <n v="38242"/>
    <n v="1131"/>
    <s v="Australia"/>
    <d v="2023-01-03T00:29:00"/>
    <s v="Whatsapp"/>
    <s v="Juri Hirano"/>
    <n v="9299"/>
    <d v="2023-01-03T00:00:00"/>
    <d v="1899-12-30T00:29:00"/>
    <s v="January"/>
    <s v="Tuesday"/>
    <s v="Outlier"/>
    <x v="4"/>
  </r>
  <r>
    <n v="38528"/>
    <n v="551"/>
    <s v="Switzerland"/>
    <d v="2023-10-20T00:40:00"/>
    <s v="Other"/>
    <s v="Martine Rance"/>
    <n v="7036"/>
    <d v="2023-10-20T00:00:00"/>
    <d v="1899-12-30T00:40:00"/>
    <s v="October"/>
    <s v="Friday"/>
    <s v="Outlier"/>
    <x v="1"/>
  </r>
  <r>
    <n v="40114"/>
    <n v="172"/>
    <s v="USA"/>
    <d v="2023-09-24T01:12:00"/>
    <s v="App"/>
    <s v="Veysel Oeztan"/>
    <n v="1841"/>
    <d v="2023-09-24T00:00:00"/>
    <d v="1899-12-30T01:12:00"/>
    <s v="September"/>
    <s v="Sunday"/>
    <s v="Outlier"/>
    <x v="40"/>
  </r>
  <r>
    <n v="41110"/>
    <n v="1858"/>
    <s v="USA"/>
    <d v="2023-06-03T00:33:00"/>
    <s v="Website"/>
    <s v="Julie Murphy"/>
    <n v="9844"/>
    <d v="2023-06-03T00:00:00"/>
    <d v="1899-12-30T00:33:00"/>
    <s v="June"/>
    <s v="Saturday"/>
    <s v="Outlier"/>
    <x v="0"/>
  </r>
  <r>
    <n v="41478"/>
    <n v="871"/>
    <s v="Italy"/>
    <d v="2023-05-12T00:22:00"/>
    <s v="Website"/>
    <s v="Mory Kentary"/>
    <n v="2454"/>
    <d v="2023-05-12T00:00:00"/>
    <d v="1899-12-30T00:22:00"/>
    <s v="May"/>
    <s v="Friday"/>
    <s v="Outlier"/>
    <x v="15"/>
  </r>
  <r>
    <n v="42094"/>
    <n v="987"/>
    <s v="USA"/>
    <d v="2023-06-16T22:35:00"/>
    <s v="Website"/>
    <s v="Peter Ferguson"/>
    <n v="4039"/>
    <d v="2023-06-16T00:00:00"/>
    <d v="1899-12-30T22:35:00"/>
    <s v="June"/>
    <s v="Friday"/>
    <s v="Outlier"/>
    <x v="12"/>
  </r>
  <r>
    <n v="43427"/>
    <n v="1066"/>
    <s v="India"/>
    <d v="2023-03-18T23:24:00"/>
    <s v="Whatsapp"/>
    <s v="Rosa Hernandez"/>
    <n v="959"/>
    <d v="2023-03-18T00:00:00"/>
    <d v="1899-12-30T23:24:00"/>
    <s v="March"/>
    <s v="Saturday"/>
    <s v="Outlier"/>
    <x v="41"/>
  </r>
  <r>
    <n v="43722"/>
    <n v="1223"/>
    <s v="USA"/>
    <d v="2023-11-03T23:31:00"/>
    <s v="Other"/>
    <s v="William Brown"/>
    <n v="6074"/>
    <d v="2023-11-03T00:00:00"/>
    <d v="1899-12-30T23:31:00"/>
    <s v="November"/>
    <s v="Friday"/>
    <s v="Outlier"/>
    <x v="42"/>
  </r>
  <r>
    <n v="44241"/>
    <n v="800"/>
    <s v="Ireland"/>
    <d v="2023-10-15T00:32:00"/>
    <s v="Whatsapp"/>
    <s v="Julie King"/>
    <n v="3306"/>
    <d v="2023-10-15T00:00:00"/>
    <d v="1899-12-30T00:32:00"/>
    <s v="October"/>
    <s v="Sunday"/>
    <s v="Outlier"/>
    <x v="27"/>
  </r>
  <r>
    <n v="44275"/>
    <n v="423"/>
    <s v="Singapore"/>
    <d v="2023-03-31T01:45:00"/>
    <s v="App"/>
    <s v="Janine Labrune"/>
    <n v="7290"/>
    <d v="2023-03-31T00:00:00"/>
    <d v="1899-12-30T01:45:00"/>
    <s v="March"/>
    <s v="Friday"/>
    <s v="Outlier"/>
    <x v="18"/>
  </r>
  <r>
    <n v="44486"/>
    <n v="905"/>
    <s v="USA"/>
    <d v="2023-06-09T00:41:00"/>
    <s v="Website"/>
    <s v="Marta Hernandez"/>
    <n v="8730"/>
    <d v="2023-06-09T00:00:00"/>
    <d v="1899-12-30T00:41:00"/>
    <s v="June"/>
    <s v="Friday"/>
    <s v="Outlier"/>
    <x v="5"/>
  </r>
  <r>
    <n v="47050"/>
    <n v="1466"/>
    <s v="Ireland"/>
    <d v="2023-11-18T00:16:00"/>
    <s v="Website"/>
    <s v="Carine Schmitt"/>
    <n v="6692"/>
    <d v="2023-11-18T00:00:00"/>
    <d v="1899-12-30T00:16:00"/>
    <s v="November"/>
    <s v="Saturday"/>
    <s v="Outlier"/>
    <x v="36"/>
  </r>
  <r>
    <n v="47212"/>
    <n v="1083"/>
    <s v="Spain"/>
    <d v="2023-07-09T23:33:00"/>
    <s v="Other"/>
    <s v="Steve Frick"/>
    <n v="1067"/>
    <d v="2023-07-09T00:00:00"/>
    <d v="1899-12-30T23:33:00"/>
    <s v="July"/>
    <s v="Sunday"/>
    <s v="Outlier"/>
    <x v="5"/>
  </r>
  <r>
    <n v="49060"/>
    <n v="430"/>
    <s v="India"/>
    <d v="2023-09-22T00:33:00"/>
    <s v="Other"/>
    <s v="Kyung Yu"/>
    <n v="5513"/>
    <d v="2023-09-22T00:00:00"/>
    <d v="1899-12-30T00:33:00"/>
    <s v="September"/>
    <s v="Friday"/>
    <s v="Outlier"/>
    <x v="43"/>
  </r>
  <r>
    <n v="49520"/>
    <n v="1670"/>
    <s v="USA"/>
    <d v="2023-07-03T00:01:00"/>
    <s v="Whatsapp"/>
    <s v="Kwai Yu"/>
    <n v="6214"/>
    <d v="2023-07-03T00:00:00"/>
    <d v="1899-12-30T00:01:00"/>
    <s v="July"/>
    <s v="Monday"/>
    <s v="Outlier"/>
    <x v="16"/>
  </r>
  <r>
    <n v="49544"/>
    <n v="526"/>
    <s v="USA"/>
    <d v="2023-10-28T00:04:00"/>
    <s v="Website"/>
    <s v="Akiko Shimamura"/>
    <n v="7802"/>
    <d v="2023-10-28T00:00:00"/>
    <d v="1899-12-30T00:04:00"/>
    <s v="October"/>
    <s v="Saturday"/>
    <s v="Outlier"/>
    <x v="22"/>
  </r>
  <r>
    <n v="50199"/>
    <n v="105"/>
    <s v="USA"/>
    <d v="2023-01-29T01:26:00"/>
    <s v="Whatsapp"/>
    <s v="Adrian Huxley"/>
    <n v="8898"/>
    <d v="2023-01-29T00:00:00"/>
    <d v="1899-12-30T01:26:00"/>
    <s v="January"/>
    <s v="Sunday"/>
    <s v="Outlier"/>
    <x v="16"/>
  </r>
  <r>
    <n v="50499"/>
    <n v="639"/>
    <s v="USA"/>
    <d v="2023-04-02T23:08:00"/>
    <s v="Website"/>
    <s v="Tony Calaghan"/>
    <n v="3514"/>
    <d v="2023-04-02T00:00:00"/>
    <d v="1899-12-30T23:08:00"/>
    <s v="April"/>
    <s v="Sunday"/>
    <s v="Outlier"/>
    <x v="0"/>
  </r>
  <r>
    <n v="51688"/>
    <n v="453"/>
    <s v="France"/>
    <d v="2023-12-18T00:35:00"/>
    <s v="Other"/>
    <s v="Violeta Benitez"/>
    <n v="4365"/>
    <d v="2023-12-18T00:00:00"/>
    <d v="1899-12-30T00:35:00"/>
    <s v="December"/>
    <s v="Monday"/>
    <s v="Outlier"/>
    <x v="44"/>
  </r>
  <r>
    <n v="51913"/>
    <n v="1208"/>
    <s v="USA"/>
    <d v="2023-11-11T00:20:00"/>
    <s v="Website"/>
    <s v="Dominique Perrier"/>
    <n v="1733"/>
    <d v="2023-11-11T00:00:00"/>
    <d v="1899-12-30T00:20:00"/>
    <s v="November"/>
    <s v="Saturday"/>
    <s v="Outlier"/>
    <x v="38"/>
  </r>
  <r>
    <n v="52659"/>
    <n v="1282"/>
    <s v="France"/>
    <d v="2023-06-07T00:55:00"/>
    <s v="Whatsapp"/>
    <s v="Diego Freyre"/>
    <n v="3865"/>
    <d v="2023-06-07T00:00:00"/>
    <d v="1899-12-30T00:55:00"/>
    <s v="June"/>
    <s v="Wednesday"/>
    <s v="Outlier"/>
    <x v="31"/>
  </r>
  <r>
    <n v="53119"/>
    <n v="1257"/>
    <s v="USA"/>
    <d v="2023-04-14T01:28:00"/>
    <s v="App"/>
    <s v="Kwai Yu"/>
    <n v="6403"/>
    <d v="2023-04-14T00:00:00"/>
    <d v="1899-12-30T01:28:00"/>
    <s v="April"/>
    <s v="Friday"/>
    <s v="Outlier"/>
    <x v="45"/>
  </r>
  <r>
    <n v="53899"/>
    <n v="392"/>
    <s v="India"/>
    <d v="2023-09-23T00:53:00"/>
    <s v="Whatsapp"/>
    <s v="Peter Ferguson"/>
    <n v="8165"/>
    <d v="2023-09-23T00:00:00"/>
    <d v="1899-12-30T00:53:00"/>
    <s v="September"/>
    <s v="Saturday"/>
    <s v="Outlier"/>
    <x v="33"/>
  </r>
  <r>
    <n v="54569"/>
    <n v="147"/>
    <s v="USA"/>
    <d v="2023-12-17T23:21:00"/>
    <s v="App"/>
    <s v="Daniel Da Cunha"/>
    <n v="6561"/>
    <d v="2023-12-17T00:00:00"/>
    <d v="1899-12-30T23:21:00"/>
    <s v="December"/>
    <s v="Sunday"/>
    <s v="Outlier"/>
    <x v="3"/>
  </r>
  <r>
    <n v="55920"/>
    <n v="769"/>
    <s v="France"/>
    <d v="2023-02-07T23:14:00"/>
    <s v="Other"/>
    <s v="Julie Young"/>
    <n v="9946"/>
    <d v="2023-02-07T00:00:00"/>
    <d v="1899-12-30T23:14:00"/>
    <s v="February"/>
    <s v="Tuesday"/>
    <s v="Outlier"/>
    <x v="13"/>
  </r>
  <r>
    <n v="56130"/>
    <n v="1446"/>
    <s v="Germany"/>
    <d v="2023-08-30T23:29:00"/>
    <s v="Website"/>
    <s v="Julie Brown"/>
    <n v="9631"/>
    <d v="2023-08-30T00:00:00"/>
    <d v="1899-12-30T23:29:00"/>
    <s v="August"/>
    <s v="Wednesday"/>
    <s v="Outlier"/>
    <x v="44"/>
  </r>
  <r>
    <n v="56703"/>
    <n v="381"/>
    <s v="Italy"/>
    <d v="2023-10-05T00:22:00"/>
    <s v="Whatsapp"/>
    <s v="Juri Hirano"/>
    <n v="3490"/>
    <d v="2023-10-05T00:00:00"/>
    <d v="1899-12-30T00:22:00"/>
    <s v="October"/>
    <s v="Thursday"/>
    <s v="Outlier"/>
    <x v="46"/>
  </r>
  <r>
    <n v="57478"/>
    <n v="1004"/>
    <s v="USA"/>
    <d v="2023-02-06T00:03:00"/>
    <s v="Other"/>
    <s v="Martine Rance"/>
    <n v="7689"/>
    <d v="2023-02-06T00:00:00"/>
    <d v="1899-12-30T00:03:00"/>
    <s v="February"/>
    <s v="Monday"/>
    <s v="Outlier"/>
    <x v="39"/>
  </r>
  <r>
    <n v="57568"/>
    <n v="464"/>
    <s v="Italy"/>
    <d v="2023-03-21T00:54:00"/>
    <s v="Website"/>
    <s v="Veysel Oeztan"/>
    <n v="5877"/>
    <d v="2023-03-21T00:00:00"/>
    <d v="1899-12-30T00:54:00"/>
    <s v="March"/>
    <s v="Tuesday"/>
    <s v="Outlier"/>
    <x v="47"/>
  </r>
  <r>
    <n v="57650"/>
    <n v="1542"/>
    <s v="France"/>
    <d v="2023-10-28T00:04:00"/>
    <s v="Whatsapp"/>
    <s v="Julie Murphy"/>
    <n v="1231"/>
    <d v="2023-10-28T00:00:00"/>
    <d v="1899-12-30T00:04:00"/>
    <s v="October"/>
    <s v="Saturday"/>
    <s v="Outlier"/>
    <x v="48"/>
  </r>
  <r>
    <n v="58309"/>
    <n v="479"/>
    <s v="Finland"/>
    <d v="2023-01-12T23:35:00"/>
    <s v="Website"/>
    <s v="Mory Kentary"/>
    <n v="9668"/>
    <d v="2023-01-12T00:00:00"/>
    <d v="1899-12-30T23:35:00"/>
    <s v="January"/>
    <s v="Thursday"/>
    <s v="Outlier"/>
    <x v="49"/>
  </r>
  <r>
    <n v="58546"/>
    <n v="1218"/>
    <s v="USA"/>
    <d v="2023-07-21T00:11:00"/>
    <s v="Other"/>
    <s v="Peter Ferguson"/>
    <n v="736"/>
    <d v="2023-07-21T00:00:00"/>
    <d v="1899-12-30T00:11:00"/>
    <s v="July"/>
    <s v="Friday"/>
    <s v="Outlier"/>
    <x v="17"/>
  </r>
  <r>
    <n v="59723"/>
    <n v="1606"/>
    <s v="France"/>
    <d v="2023-11-05T01:05:00"/>
    <s v="Other"/>
    <s v="Michael Frick"/>
    <n v="3606"/>
    <d v="2023-11-05T00:00:00"/>
    <d v="1899-12-30T01:05:00"/>
    <s v="November"/>
    <s v="Sunday"/>
    <s v="Outlier"/>
    <x v="12"/>
  </r>
  <r>
    <n v="60635"/>
    <n v="723"/>
    <s v="Denmark"/>
    <d v="2023-01-13T00:07:00"/>
    <s v="Other"/>
    <s v="William Brown"/>
    <n v="2575"/>
    <d v="2023-01-13T00:00:00"/>
    <d v="1899-12-30T00:07:00"/>
    <s v="January"/>
    <s v="Friday"/>
    <s v="Outlier"/>
    <x v="16"/>
  </r>
  <r>
    <n v="60770"/>
    <n v="1934"/>
    <s v="Spain"/>
    <d v="2023-01-06T00:47:00"/>
    <s v="App"/>
    <s v="Julie King"/>
    <n v="7606"/>
    <d v="2023-01-06T00:00:00"/>
    <d v="1899-12-30T00:47:00"/>
    <s v="January"/>
    <s v="Friday"/>
    <s v="Outlier"/>
    <x v="5"/>
  </r>
  <r>
    <n v="60781"/>
    <n v="353"/>
    <s v="France"/>
    <d v="2023-10-26T01:40:00"/>
    <s v="App"/>
    <s v="Janine Labrune"/>
    <n v="936"/>
    <d v="2023-10-26T00:00:00"/>
    <d v="1899-12-30T01:40:00"/>
    <s v="October"/>
    <s v="Thursday"/>
    <s v="Outlier"/>
    <x v="50"/>
  </r>
  <r>
    <n v="61005"/>
    <n v="480"/>
    <s v="Finland"/>
    <d v="2023-01-02T00:46:00"/>
    <s v="Other"/>
    <s v="Marta Hernandez"/>
    <n v="7727"/>
    <d v="2023-01-02T00:00:00"/>
    <d v="1899-12-30T00:46:00"/>
    <s v="January"/>
    <s v="Monday"/>
    <s v="Outlier"/>
    <x v="7"/>
  </r>
  <r>
    <n v="61504"/>
    <n v="260"/>
    <s v="USA"/>
    <d v="2023-12-26T00:32:00"/>
    <s v="App"/>
    <s v="Matti Karttunen"/>
    <n v="7129"/>
    <d v="2023-12-26T00:00:00"/>
    <d v="1899-12-30T00:32:00"/>
    <s v="December"/>
    <s v="Tuesday"/>
    <s v="Outlier"/>
    <x v="51"/>
  </r>
  <r>
    <n v="61520"/>
    <n v="1870"/>
    <s v="USA"/>
    <d v="2023-06-22T23:37:00"/>
    <s v="Whatsapp"/>
    <s v="Steve Frick"/>
    <n v="3077"/>
    <d v="2023-06-22T00:00:00"/>
    <d v="1899-12-30T23:37:00"/>
    <s v="June"/>
    <s v="Thursday"/>
    <s v="Outlier"/>
    <x v="36"/>
  </r>
  <r>
    <n v="63153"/>
    <n v="765"/>
    <s v="Norway"/>
    <d v="2023-03-28T23:27:00"/>
    <s v="Whatsapp"/>
    <s v="Kyung Yu"/>
    <n v="5427"/>
    <d v="2023-03-28T00:00:00"/>
    <d v="1899-12-30T23:27:00"/>
    <s v="March"/>
    <s v="Tuesday"/>
    <s v="Outlier"/>
    <x v="7"/>
  </r>
  <r>
    <n v="64461"/>
    <n v="1755"/>
    <s v="Spain"/>
    <d v="2023-03-21T23:38:00"/>
    <s v="Whatsapp"/>
    <s v="Kwai Yu"/>
    <n v="7725"/>
    <d v="2023-03-21T00:00:00"/>
    <d v="1899-12-30T23:38:00"/>
    <s v="March"/>
    <s v="Tuesday"/>
    <s v="Outlier"/>
    <x v="50"/>
  </r>
  <r>
    <n v="66118"/>
    <n v="1425"/>
    <s v="Australia"/>
    <d v="2023-02-25T00:11:00"/>
    <s v="Other"/>
    <s v="Akiko Shimamura"/>
    <n v="1282"/>
    <d v="2023-02-25T00:00:00"/>
    <d v="1899-12-30T00:11:00"/>
    <s v="February"/>
    <s v="Saturday"/>
    <s v="Outlier"/>
    <x v="33"/>
  </r>
  <r>
    <n v="66951"/>
    <n v="342"/>
    <s v="India"/>
    <d v="2023-07-27T00:04:00"/>
    <s v="Whatsapp"/>
    <s v="Juri Hirano"/>
    <n v="7338"/>
    <d v="2023-07-27T00:00:00"/>
    <d v="1899-12-30T00:04:00"/>
    <s v="July"/>
    <s v="Thursday"/>
    <s v="Outlier"/>
    <x v="48"/>
  </r>
  <r>
    <n v="69722"/>
    <n v="571"/>
    <s v="Finland"/>
    <d v="2023-09-05T00:58:00"/>
    <s v="Website"/>
    <s v="Tony Calaghan"/>
    <n v="1269"/>
    <d v="2023-09-05T00:00:00"/>
    <d v="1899-12-30T00:58:00"/>
    <s v="September"/>
    <s v="Tuesday"/>
    <s v="Outlier"/>
    <x v="51"/>
  </r>
  <r>
    <n v="69918"/>
    <n v="1378"/>
    <s v="Spain"/>
    <d v="2023-03-07T00:09:00"/>
    <s v="App"/>
    <s v="Violeta Benitez"/>
    <n v="8657"/>
    <d v="2023-03-07T00:00:00"/>
    <d v="1899-12-30T00:09:00"/>
    <s v="March"/>
    <s v="Tuesday"/>
    <s v="Outlier"/>
    <x v="34"/>
  </r>
  <r>
    <n v="69942"/>
    <n v="1070"/>
    <s v="Singapore"/>
    <d v="2023-12-13T22:59:00"/>
    <s v="Website"/>
    <s v="Elizabeth Devon"/>
    <n v="3418"/>
    <d v="2023-12-13T00:00:00"/>
    <d v="1899-12-30T22:59:00"/>
    <s v="December"/>
    <s v="Wednesday"/>
    <s v="Outlier"/>
    <x v="52"/>
  </r>
  <r>
    <n v="70005"/>
    <n v="1014"/>
    <s v="India"/>
    <d v="2023-06-09T00:05:00"/>
    <s v="App"/>
    <s v="Diego Freyre"/>
    <n v="3582"/>
    <d v="2023-06-09T00:00:00"/>
    <d v="1899-12-30T00:05:00"/>
    <s v="June"/>
    <s v="Friday"/>
    <s v="Outlier"/>
    <x v="45"/>
  </r>
  <r>
    <n v="70020"/>
    <n v="1811"/>
    <s v="USA"/>
    <d v="2023-01-17T00:07:00"/>
    <s v="App"/>
    <s v="Jytte Petersen"/>
    <n v="7484"/>
    <d v="2023-01-17T00:00:00"/>
    <d v="1899-12-30T00:07:00"/>
    <s v="January"/>
    <s v="Tuesday"/>
    <s v="Outlier"/>
    <x v="33"/>
  </r>
  <r>
    <n v="71722"/>
    <n v="1420"/>
    <s v="USA"/>
    <d v="2023-09-15T00:34:00"/>
    <s v="App"/>
    <s v="Georg Pipps"/>
    <n v="8556"/>
    <d v="2023-09-15T00:00:00"/>
    <d v="1899-12-30T00:34:00"/>
    <s v="September"/>
    <s v="Friday"/>
    <s v="Outlier"/>
    <x v="9"/>
  </r>
  <r>
    <n v="72556"/>
    <n v="89"/>
    <s v="Italy"/>
    <d v="2023-07-13T02:12:00"/>
    <s v="Website"/>
    <s v="Ann Brown"/>
    <n v="427"/>
    <d v="2023-07-13T00:00:00"/>
    <d v="1899-12-30T02:12:00"/>
    <s v="July"/>
    <s v="Thursday"/>
    <s v="Outlier"/>
    <x v="19"/>
  </r>
  <r>
    <n v="73057"/>
    <n v="306"/>
    <s v="India"/>
    <d v="2023-11-07T00:55:00"/>
    <s v="App"/>
    <s v="Wing C Tam"/>
    <n v="7936"/>
    <d v="2023-11-07T00:00:00"/>
    <d v="1899-12-30T00:55:00"/>
    <s v="November"/>
    <s v="Tuesday"/>
    <s v="Outlier"/>
    <x v="1"/>
  </r>
  <r>
    <n v="73293"/>
    <n v="128"/>
    <s v="USA"/>
    <d v="2023-12-12T01:23:00"/>
    <s v="App"/>
    <s v="Matti Karttunen"/>
    <n v="7868"/>
    <d v="2023-12-12T00:00:00"/>
    <d v="1899-12-30T01:23:00"/>
    <s v="December"/>
    <s v="Tuesday"/>
    <s v="Outlier"/>
    <x v="39"/>
  </r>
  <r>
    <n v="73642"/>
    <n v="1519"/>
    <s v="Spain"/>
    <d v="2023-09-25T01:16:00"/>
    <s v="Whatsapp"/>
    <s v="Maria Larsson"/>
    <n v="3758"/>
    <d v="2023-09-25T00:00:00"/>
    <d v="1899-12-30T01:16:00"/>
    <s v="September"/>
    <s v="Monday"/>
    <s v="Outlier"/>
    <x v="1"/>
  </r>
  <r>
    <n v="73914"/>
    <n v="1772"/>
    <s v="USA"/>
    <d v="2023-06-23T00:44:00"/>
    <s v="Other"/>
    <s v="Annette Roulet"/>
    <n v="8306"/>
    <d v="2023-06-23T00:00:00"/>
    <d v="1899-12-30T00:44:00"/>
    <s v="June"/>
    <s v="Friday"/>
    <s v="Outlier"/>
    <x v="53"/>
  </r>
  <r>
    <n v="74485"/>
    <n v="1247"/>
    <s v="USA"/>
    <d v="2023-12-14T00:20:00"/>
    <s v="App"/>
    <s v="Thomas Hardy"/>
    <n v="4523"/>
    <d v="2023-12-14T00:00:00"/>
    <d v="1899-12-30T00:20:00"/>
    <s v="December"/>
    <s v="Thursday"/>
    <s v="Outlier"/>
    <x v="32"/>
  </r>
  <r>
    <n v="74526"/>
    <n v="1489"/>
    <s v="Spain"/>
    <d v="2023-12-13T01:41:00"/>
    <s v="Website"/>
    <s v="Eduardo Saavedra"/>
    <n v="1132"/>
    <d v="2023-12-13T00:00:00"/>
    <d v="1899-12-30T01:41:00"/>
    <s v="December"/>
    <s v="Wednesday"/>
    <s v="Outlier"/>
    <x v="7"/>
  </r>
  <r>
    <n v="75315"/>
    <n v="1291"/>
    <s v="USA"/>
    <d v="2023-07-31T00:47:00"/>
    <s v="Website"/>
    <s v="Michael Chandler"/>
    <n v="7931"/>
    <d v="2023-07-31T00:00:00"/>
    <d v="1899-12-30T00:47:00"/>
    <s v="July"/>
    <s v="Monday"/>
    <s v="Outlier"/>
    <x v="54"/>
  </r>
  <r>
    <n v="75706"/>
    <n v="737"/>
    <s v="India"/>
    <d v="2023-04-05T23:51:00"/>
    <s v="Website"/>
    <s v="Valarie Thompson"/>
    <n v="989"/>
    <d v="2023-04-05T00:00:00"/>
    <d v="1899-12-30T23:51:00"/>
    <s v="April"/>
    <s v="Wednesday"/>
    <s v="Outlier"/>
    <x v="53"/>
  </r>
  <r>
    <n v="76181"/>
    <n v="773"/>
    <s v="USA"/>
    <d v="2023-10-21T00:48:00"/>
    <s v="Whatsapp"/>
    <s v="Kwai Yu"/>
    <n v="2221"/>
    <d v="2023-10-21T00:00:00"/>
    <d v="1899-12-30T00:48:00"/>
    <s v="October"/>
    <s v="Saturday"/>
    <s v="Outlier"/>
    <x v="55"/>
  </r>
  <r>
    <n v="78613"/>
    <n v="784"/>
    <s v="USA"/>
    <d v="2023-03-14T00:02:00"/>
    <s v="Whatsapp"/>
    <s v="Jean Fresnisre"/>
    <n v="6104"/>
    <d v="2023-03-14T00:00:00"/>
    <d v="1899-12-30T00:02:00"/>
    <s v="March"/>
    <s v="Tuesday"/>
    <s v="Outlier"/>
    <x v="4"/>
  </r>
  <r>
    <n v="79407"/>
    <n v="1784"/>
    <s v="USA"/>
    <d v="2023-08-08T22:39:00"/>
    <s v="Whatsapp"/>
    <s v="Catherine Dewey"/>
    <n v="8067"/>
    <d v="2023-08-08T00:00:00"/>
    <d v="1899-12-30T22:39:00"/>
    <s v="August"/>
    <s v="Tuesday"/>
    <s v="Outlier"/>
    <x v="56"/>
  </r>
  <r>
    <n v="80630"/>
    <n v="748"/>
    <s v="USA"/>
    <d v="2023-05-13T23:32:00"/>
    <s v="Whatsapp"/>
    <s v="Elizabeth Lincoln"/>
    <n v="62"/>
    <d v="2023-05-13T00:00:00"/>
    <d v="1899-12-30T23:32:00"/>
    <s v="May"/>
    <s v="Saturday"/>
    <s v="Outlier"/>
    <x v="28"/>
  </r>
  <r>
    <n v="80707"/>
    <n v="1993"/>
    <s v="USA"/>
    <d v="2023-12-09T01:09:00"/>
    <s v="App"/>
    <s v="Juri Yoshido"/>
    <n v="2966"/>
    <d v="2023-12-09T00:00:00"/>
    <d v="1899-12-30T01:09:00"/>
    <s v="December"/>
    <s v="Saturday"/>
    <s v="Outlier"/>
    <x v="57"/>
  </r>
  <r>
    <n v="81061"/>
    <n v="676"/>
    <s v="India"/>
    <d v="2023-03-30T00:28:00"/>
    <s v="Website"/>
    <s v="Francisca Cervantes"/>
    <n v="4219"/>
    <d v="2023-03-30T00:00:00"/>
    <d v="1899-12-30T00:28:00"/>
    <s v="March"/>
    <s v="Thursday"/>
    <s v="Outlier"/>
    <x v="8"/>
  </r>
  <r>
    <n v="81431"/>
    <n v="508"/>
    <s v="Switzerland"/>
    <d v="2023-07-15T00:39:00"/>
    <s v="App"/>
    <s v="Helen Bennett"/>
    <n v="9101"/>
    <d v="2023-07-15T00:00:00"/>
    <d v="1899-12-30T00:39:00"/>
    <s v="July"/>
    <s v="Saturday"/>
    <s v="Outlier"/>
    <x v="48"/>
  </r>
  <r>
    <n v="82314"/>
    <n v="1242"/>
    <s v="Spain"/>
    <d v="2023-12-21T00:51:00"/>
    <s v="App"/>
    <s v="Jonas Bergulfsen"/>
    <n v="9870"/>
    <d v="2023-12-21T00:00:00"/>
    <d v="1899-12-30T00:51:00"/>
    <s v="December"/>
    <s v="Thursday"/>
    <s v="Outlier"/>
    <x v="39"/>
  </r>
  <r>
    <n v="82480"/>
    <n v="1899"/>
    <s v="USA"/>
    <d v="2023-02-11T23:52:00"/>
    <s v="Website"/>
    <s v="Maria Hernandez"/>
    <n v="3220"/>
    <d v="2023-02-11T00:00:00"/>
    <d v="1899-12-30T23:52:00"/>
    <s v="February"/>
    <s v="Saturday"/>
    <s v="Outlier"/>
    <x v="42"/>
  </r>
  <r>
    <n v="82755"/>
    <n v="689"/>
    <s v="France"/>
    <d v="2023-11-02T01:19:00"/>
    <s v="App"/>
    <s v="Diego Freyre"/>
    <n v="5551"/>
    <d v="2023-11-02T00:00:00"/>
    <d v="1899-12-30T01:19:00"/>
    <s v="November"/>
    <s v="Thursday"/>
    <s v="Outlier"/>
    <x v="10"/>
  </r>
  <r>
    <n v="83365"/>
    <n v="829"/>
    <s v="USA"/>
    <d v="2023-05-05T23:58:00"/>
    <s v="Whatsapp"/>
    <s v="Paul Henriot"/>
    <n v="7937"/>
    <d v="2023-05-05T00:00:00"/>
    <d v="1899-12-30T23:58:00"/>
    <s v="May"/>
    <s v="Friday"/>
    <s v="Outlier"/>
    <x v="48"/>
  </r>
  <r>
    <n v="83818"/>
    <n v="827"/>
    <s v="Singapore"/>
    <d v="2023-04-17T00:40:00"/>
    <s v="App"/>
    <s v="Pirkko Koskitalo"/>
    <n v="7643"/>
    <d v="2023-04-17T00:00:00"/>
    <d v="1899-12-30T00:40:00"/>
    <s v="April"/>
    <s v="Monday"/>
    <s v="Outlier"/>
    <x v="28"/>
  </r>
  <r>
    <n v="84351"/>
    <n v="1331"/>
    <s v="USA"/>
    <d v="2023-04-19T00:13:00"/>
    <s v="Whatsapp"/>
    <s v="Julie Brown"/>
    <n v="4824"/>
    <d v="2023-04-19T00:00:00"/>
    <d v="1899-12-30T00:13:00"/>
    <s v="April"/>
    <s v="Wednesday"/>
    <s v="Outlier"/>
    <x v="58"/>
  </r>
  <r>
    <n v="85001"/>
    <n v="266"/>
    <s v="USA"/>
    <d v="2023-11-12T01:08:00"/>
    <s v="Whatsapp"/>
    <s v="Daniel Da Cunha"/>
    <n v="9796"/>
    <d v="2023-11-12T00:00:00"/>
    <d v="1899-12-30T01:08:00"/>
    <s v="November"/>
    <s v="Sunday"/>
    <s v="Outlier"/>
    <x v="2"/>
  </r>
  <r>
    <n v="85142"/>
    <n v="1794"/>
    <s v="Australia"/>
    <d v="2023-02-19T02:16:00"/>
    <s v="Website"/>
    <s v="Sue Frick"/>
    <n v="1569"/>
    <d v="2023-02-19T00:00:00"/>
    <d v="1899-12-30T02:16:00"/>
    <s v="February"/>
    <s v="Sunday"/>
    <s v="Outlier"/>
    <x v="10"/>
  </r>
  <r>
    <n v="85195"/>
    <n v="1954"/>
    <s v="Finland"/>
    <d v="2023-10-27T23:34:00"/>
    <s v="Whatsapp"/>
    <s v="Juri Yoshido"/>
    <n v="1860"/>
    <d v="2023-10-27T00:00:00"/>
    <d v="1899-12-30T23:34:00"/>
    <s v="October"/>
    <s v="Friday"/>
    <s v="Outlier"/>
    <x v="39"/>
  </r>
  <r>
    <n v="85703"/>
    <n v="142"/>
    <s v="India"/>
    <d v="2023-01-05T23:47:00"/>
    <s v="App"/>
    <s v="Jonas Bergulfsen"/>
    <n v="3427"/>
    <d v="2023-01-05T00:00:00"/>
    <d v="1899-12-30T23:47:00"/>
    <s v="January"/>
    <s v="Thursday"/>
    <s v="Outlier"/>
    <x v="55"/>
  </r>
  <r>
    <n v="85897"/>
    <n v="948"/>
    <s v="Finland"/>
    <d v="2023-01-29T23:39:00"/>
    <s v="Website"/>
    <s v="Marie Bertrand"/>
    <n v="4650"/>
    <d v="2023-01-29T00:00:00"/>
    <d v="1899-12-30T23:39:00"/>
    <s v="January"/>
    <s v="Sunday"/>
    <s v="Outlier"/>
    <x v="18"/>
  </r>
  <r>
    <n v="86258"/>
    <n v="726"/>
    <s v="USA"/>
    <d v="2023-11-23T01:53:00"/>
    <s v="App"/>
    <s v="Mart¡n Sommer"/>
    <n v="6129"/>
    <d v="2023-11-23T00:00:00"/>
    <d v="1899-12-30T01:53:00"/>
    <s v="November"/>
    <s v="Thursday"/>
    <s v="Outlier"/>
    <x v="38"/>
  </r>
  <r>
    <n v="88069"/>
    <n v="61"/>
    <s v="Spain"/>
    <d v="2023-01-26T01:29:00"/>
    <s v="Other"/>
    <s v="Juri Hirano"/>
    <n v="8410"/>
    <d v="2023-01-26T00:00:00"/>
    <d v="1899-12-30T01:29:00"/>
    <s v="January"/>
    <s v="Thursday"/>
    <s v="Outlier"/>
    <x v="59"/>
  </r>
  <r>
    <n v="88156"/>
    <n v="719"/>
    <s v="Norway"/>
    <d v="2023-12-14T01:07:00"/>
    <s v="Other"/>
    <s v="Eric Natividad"/>
    <n v="9836"/>
    <d v="2023-12-14T00:00:00"/>
    <d v="1899-12-30T01:07:00"/>
    <s v="December"/>
    <s v="Thursday"/>
    <s v="Outlier"/>
    <x v="3"/>
  </r>
  <r>
    <n v="89811"/>
    <n v="1007"/>
    <s v="USA"/>
    <d v="2023-07-30T23:40:00"/>
    <s v="Website"/>
    <s v="Roland Mendel"/>
    <n v="3761"/>
    <d v="2023-07-30T00:00:00"/>
    <d v="1899-12-30T23:40:00"/>
    <s v="July"/>
    <s v="Sunday"/>
    <s v="Outlier"/>
    <x v="14"/>
  </r>
  <r>
    <n v="89864"/>
    <n v="1150"/>
    <s v="USA"/>
    <d v="2023-10-16T01:51:00"/>
    <s v="Other"/>
    <s v="Ann Brown"/>
    <n v="8022"/>
    <d v="2023-10-16T00:00:00"/>
    <d v="1899-12-30T01:51:00"/>
    <s v="October"/>
    <s v="Monday"/>
    <s v="Outlier"/>
    <x v="55"/>
  </r>
  <r>
    <n v="92317"/>
    <n v="820"/>
    <s v="Italy"/>
    <d v="2023-02-10T01:26:00"/>
    <s v="Website"/>
    <s v="Francisca Cervantes"/>
    <n v="6790"/>
    <d v="2023-02-10T00:00:00"/>
    <d v="1899-12-30T01:26:00"/>
    <s v="February"/>
    <s v="Friday"/>
    <s v="Outlier"/>
    <x v="3"/>
  </r>
  <r>
    <n v="93408"/>
    <n v="1804"/>
    <s v="Australia"/>
    <d v="2023-11-05T22:54:00"/>
    <s v="App"/>
    <s v="Mary Saveley"/>
    <n v="6323"/>
    <d v="2023-11-05T00:00:00"/>
    <d v="1899-12-30T22:54:00"/>
    <s v="November"/>
    <s v="Sunday"/>
    <s v="Outlier"/>
    <x v="49"/>
  </r>
  <r>
    <n v="94344"/>
    <n v="1122"/>
    <s v="Germany"/>
    <d v="2023-03-14T00:49:00"/>
    <s v="Whatsapp"/>
    <s v="Valarie Franco"/>
    <n v="5649"/>
    <d v="2023-03-14T00:00:00"/>
    <d v="1899-12-30T00:49:00"/>
    <s v="March"/>
    <s v="Tuesday"/>
    <s v="Outlier"/>
    <x v="19"/>
  </r>
  <r>
    <n v="94709"/>
    <n v="991"/>
    <s v="USA"/>
    <d v="2023-05-15T22:36:00"/>
    <s v="Website"/>
    <s v="Wendy Victorino"/>
    <n v="1850"/>
    <d v="2023-05-15T00:00:00"/>
    <d v="1899-12-30T22:36:00"/>
    <s v="May"/>
    <s v="Monday"/>
    <s v="Outlier"/>
    <x v="39"/>
  </r>
  <r>
    <n v="95054"/>
    <n v="1666"/>
    <s v="Spain"/>
    <d v="2023-06-10T00:40:00"/>
    <s v="Other"/>
    <s v="Valarie Nelson"/>
    <n v="2320"/>
    <d v="2023-06-10T00:00:00"/>
    <d v="1899-12-30T00:40:00"/>
    <s v="June"/>
    <s v="Saturday"/>
    <s v="Outlier"/>
    <x v="29"/>
  </r>
  <r>
    <n v="95500"/>
    <n v="158"/>
    <s v="USA"/>
    <d v="2023-03-25T00:51:00"/>
    <s v="Whatsapp"/>
    <s v="Leslie Murphy"/>
    <n v="7674"/>
    <d v="2023-03-25T00:00:00"/>
    <d v="1899-12-30T00:51:00"/>
    <s v="March"/>
    <s v="Saturday"/>
    <s v="Outlier"/>
    <x v="10"/>
  </r>
  <r>
    <n v="95657"/>
    <n v="985"/>
    <s v="USA"/>
    <d v="2023-05-12T23:40:00"/>
    <s v="Other"/>
    <s v="Wendy Victorino"/>
    <n v="8990"/>
    <d v="2023-05-12T00:00:00"/>
    <d v="1899-12-30T23:40:00"/>
    <s v="May"/>
    <s v="Friday"/>
    <s v="Outlier"/>
    <x v="45"/>
  </r>
  <r>
    <n v="98453"/>
    <n v="1169"/>
    <s v="France"/>
    <d v="2023-04-29T00:10:00"/>
    <s v="Whatsapp"/>
    <s v="Adrian Huxley"/>
    <n v="2261"/>
    <d v="2023-04-29T00:00:00"/>
    <d v="1899-12-30T00:10:00"/>
    <s v="April"/>
    <s v="Saturday"/>
    <s v="Outlier"/>
    <x v="47"/>
  </r>
  <r>
    <n v="98856"/>
    <n v="129"/>
    <s v="USA"/>
    <d v="2023-11-09T00:10:00"/>
    <s v="Website"/>
    <s v="Kyung Yu"/>
    <n v="7750"/>
    <d v="2023-11-09T00:00:00"/>
    <d v="1899-12-30T00:10:00"/>
    <s v="November"/>
    <s v="Thursday"/>
    <s v="Outlier"/>
    <x v="29"/>
  </r>
  <r>
    <n v="98968"/>
    <n v="215"/>
    <s v="USA"/>
    <d v="2023-01-23T00:13:00"/>
    <s v="App"/>
    <s v="Maria Larsson"/>
    <n v="2161"/>
    <d v="2023-01-23T00:00:00"/>
    <d v="1899-12-30T00:13:00"/>
    <s v="January"/>
    <s v="Monday"/>
    <s v="Outlier"/>
    <x v="52"/>
  </r>
  <r>
    <n v="99495"/>
    <n v="1957"/>
    <s v="USA"/>
    <d v="2023-03-16T23:31:00"/>
    <s v="Website"/>
    <s v="Marta Hernandez"/>
    <n v="1403"/>
    <d v="2023-03-16T00:00:00"/>
    <d v="1899-12-30T23:31:00"/>
    <s v="March"/>
    <s v="Thursday"/>
    <s v="Outlier"/>
    <x v="53"/>
  </r>
  <r>
    <n v="101471"/>
    <n v="584"/>
    <s v="USA"/>
    <d v="2023-11-25T01:12:00"/>
    <s v="Other"/>
    <s v="Yoshi Tannamuri"/>
    <n v="9105"/>
    <d v="2023-11-25T00:00:00"/>
    <d v="1899-12-30T01:12:00"/>
    <s v="November"/>
    <s v="Saturday"/>
    <s v="Outlier"/>
    <x v="41"/>
  </r>
  <r>
    <n v="101807"/>
    <n v="1181"/>
    <s v="Singapore"/>
    <d v="2023-11-02T00:27:00"/>
    <s v="Whatsapp"/>
    <s v="Valarie Young"/>
    <n v="3541"/>
    <d v="2023-11-02T00:00:00"/>
    <d v="1899-12-30T00:27:00"/>
    <s v="November"/>
    <s v="Thursday"/>
    <s v="Outlier"/>
    <x v="17"/>
  </r>
  <r>
    <n v="101815"/>
    <n v="520"/>
    <s v="Spain"/>
    <d v="2023-09-18T01:37:00"/>
    <s v="Whatsapp"/>
    <s v="Christina Berglund"/>
    <n v="5420"/>
    <d v="2023-09-18T00:00:00"/>
    <d v="1899-12-30T01:37:00"/>
    <s v="September"/>
    <s v="Monday"/>
    <s v="Outlier"/>
    <x v="49"/>
  </r>
  <r>
    <n v="102053"/>
    <n v="1739"/>
    <s v="Spain"/>
    <d v="2023-08-17T23:19:00"/>
    <s v="Other"/>
    <s v="Peter Ferguson"/>
    <n v="3746"/>
    <d v="2023-08-17T00:00:00"/>
    <d v="1899-12-30T23:19:00"/>
    <s v="August"/>
    <s v="Thursday"/>
    <s v="Outlier"/>
    <x v="60"/>
  </r>
  <r>
    <n v="102252"/>
    <n v="1812"/>
    <s v="Spain"/>
    <d v="2023-11-08T00:23:00"/>
    <s v="App"/>
    <s v="Valarie Nelson"/>
    <n v="2944"/>
    <d v="2023-11-08T00:00:00"/>
    <d v="1899-12-30T00:23:00"/>
    <s v="November"/>
    <s v="Wednesday"/>
    <s v="Outlier"/>
    <x v="22"/>
  </r>
  <r>
    <n v="102931"/>
    <n v="1185"/>
    <s v="Australia"/>
    <d v="2023-06-15T22:57:00"/>
    <s v="Whatsapp"/>
    <s v="Anna O'Hara"/>
    <n v="3433"/>
    <d v="2023-06-15T00:00:00"/>
    <d v="1899-12-30T22:57:00"/>
    <s v="June"/>
    <s v="Thursday"/>
    <s v="Outlier"/>
    <x v="6"/>
  </r>
  <r>
    <n v="103462"/>
    <n v="1280"/>
    <s v="USA"/>
    <d v="2023-10-13T00:35:00"/>
    <s v="Whatsapp"/>
    <s v="Julie Brown"/>
    <n v="9693"/>
    <d v="2023-10-13T00:00:00"/>
    <d v="1899-12-30T00:35:00"/>
    <s v="October"/>
    <s v="Friday"/>
    <s v="Outlier"/>
    <x v="45"/>
  </r>
  <r>
    <n v="103711"/>
    <n v="1972"/>
    <s v="USA"/>
    <d v="2023-06-14T00:45:00"/>
    <s v="Website"/>
    <s v="Anna O'Hara"/>
    <n v="9524"/>
    <d v="2023-06-14T00:00:00"/>
    <d v="1899-12-30T00:45:00"/>
    <s v="June"/>
    <s v="Wednesday"/>
    <s v="Outlier"/>
    <x v="2"/>
  </r>
  <r>
    <n v="103812"/>
    <n v="1047"/>
    <s v="Italy"/>
    <d v="2023-12-13T00:30:00"/>
    <s v="Website"/>
    <s v="Jean Fresnisre"/>
    <n v="3954"/>
    <d v="2023-12-13T00:00:00"/>
    <d v="1899-12-30T00:30:00"/>
    <s v="December"/>
    <s v="Wednesday"/>
    <s v="Outlier"/>
    <x v="1"/>
  </r>
  <r>
    <n v="104755"/>
    <n v="1663"/>
    <s v="Austria"/>
    <d v="2023-05-20T00:43:00"/>
    <s v="Other"/>
    <s v="Janine Labrune"/>
    <n v="4423"/>
    <d v="2023-05-20T00:00:00"/>
    <d v="1899-12-30T00:43:00"/>
    <s v="May"/>
    <s v="Saturday"/>
    <s v="Outlier"/>
    <x v="52"/>
  </r>
  <r>
    <n v="105735"/>
    <n v="1793"/>
    <s v="France"/>
    <d v="2023-11-24T01:51:00"/>
    <s v="App"/>
    <s v="Arnold Cruz"/>
    <n v="5861"/>
    <d v="2023-11-24T00:00:00"/>
    <d v="1899-12-30T01:51:00"/>
    <s v="November"/>
    <s v="Friday"/>
    <s v="Outlier"/>
    <x v="50"/>
  </r>
  <r>
    <n v="106294"/>
    <n v="1011"/>
    <s v="France"/>
    <d v="2023-04-04T22:59:00"/>
    <s v="Whatsapp"/>
    <s v="Laurence Lebihan"/>
    <n v="4430"/>
    <d v="2023-04-04T00:00:00"/>
    <d v="1899-12-30T22:59:00"/>
    <s v="April"/>
    <s v="Tuesday"/>
    <s v="Outlier"/>
    <x v="1"/>
  </r>
  <r>
    <n v="106529"/>
    <n v="723"/>
    <s v="Denmark"/>
    <d v="2023-01-27T00:01:00"/>
    <s v="Other"/>
    <s v="Valarie Nelson"/>
    <n v="6130"/>
    <d v="2023-01-27T00:00:00"/>
    <d v="1899-12-30T00:01:00"/>
    <s v="January"/>
    <s v="Friday"/>
    <s v="Outlier"/>
    <x v="16"/>
  </r>
  <r>
    <n v="108586"/>
    <n v="1584"/>
    <s v="USA"/>
    <d v="2023-04-03T02:26:00"/>
    <s v="Other"/>
    <s v="Allen Nelson"/>
    <n v="4335"/>
    <d v="2023-04-03T00:00:00"/>
    <d v="1899-12-30T02:26:00"/>
    <s v="April"/>
    <s v="Monday"/>
    <s v="Outlier"/>
    <x v="35"/>
  </r>
  <r>
    <n v="109103"/>
    <n v="856"/>
    <s v="USA"/>
    <d v="2023-03-01T23:29:00"/>
    <s v="App"/>
    <s v="Julie Brown"/>
    <n v="936"/>
    <d v="2023-03-01T00:00:00"/>
    <d v="1899-12-30T23:29:00"/>
    <s v="March"/>
    <s v="Wednesday"/>
    <s v="Outlier"/>
    <x v="0"/>
  </r>
  <r>
    <n v="109547"/>
    <n v="1223"/>
    <s v="USA"/>
    <d v="2023-02-08T00:10:00"/>
    <s v="App"/>
    <s v="Anna O'Hara"/>
    <n v="719"/>
    <d v="2023-02-08T00:00:00"/>
    <d v="1899-12-30T00:10:00"/>
    <s v="February"/>
    <s v="Wednesday"/>
    <s v="Outlier"/>
    <x v="42"/>
  </r>
  <r>
    <n v="110341"/>
    <n v="1628"/>
    <s v="USA"/>
    <d v="2023-04-29T00:55:00"/>
    <s v="Website"/>
    <s v="Veysel Oeztan"/>
    <n v="1411"/>
    <d v="2023-04-29T00:00:00"/>
    <d v="1899-12-30T00:55:00"/>
    <s v="April"/>
    <s v="Saturday"/>
    <s v="Outlier"/>
    <x v="33"/>
  </r>
  <r>
    <n v="111992"/>
    <n v="1515"/>
    <s v="USA"/>
    <d v="2023-03-26T23:02:00"/>
    <s v="App"/>
    <s v="Henriette Pfalzheim"/>
    <n v="9312"/>
    <d v="2023-03-26T00:00:00"/>
    <d v="1899-12-30T23:02:00"/>
    <s v="March"/>
    <s v="Sunday"/>
    <s v="Outlier"/>
    <x v="26"/>
  </r>
  <r>
    <n v="112219"/>
    <n v="1857"/>
    <s v="France"/>
    <d v="2023-05-19T23:07:00"/>
    <s v="Whatsapp"/>
    <s v="Diego Freyre"/>
    <n v="7425"/>
    <d v="2023-05-19T00:00:00"/>
    <d v="1899-12-30T23:07:00"/>
    <s v="May"/>
    <s v="Friday"/>
    <s v="Outlier"/>
    <x v="21"/>
  </r>
  <r>
    <n v="112565"/>
    <n v="1485"/>
    <s v="Spain"/>
    <d v="2023-04-25T00:24:00"/>
    <s v="Website"/>
    <s v="Dominique Perrier"/>
    <n v="6159"/>
    <d v="2023-04-25T00:00:00"/>
    <d v="1899-12-30T00:24:00"/>
    <s v="April"/>
    <s v="Tuesday"/>
    <s v="Outlier"/>
    <x v="4"/>
  </r>
  <r>
    <n v="112919"/>
    <n v="1262"/>
    <s v="USA"/>
    <d v="2023-08-03T00:09:00"/>
    <s v="Other"/>
    <s v="Michael Holz"/>
    <n v="3155"/>
    <d v="2023-08-03T00:00:00"/>
    <d v="1899-12-30T00:09:00"/>
    <s v="August"/>
    <s v="Thursday"/>
    <s v="Outlier"/>
    <x v="10"/>
  </r>
  <r>
    <n v="113132"/>
    <n v="211"/>
    <s v="France"/>
    <d v="2023-12-06T23:57:00"/>
    <s v="Whatsapp"/>
    <s v="Jytte Petersen"/>
    <n v="2270"/>
    <d v="2023-12-06T00:00:00"/>
    <d v="1899-12-30T23:57:00"/>
    <s v="December"/>
    <s v="Wednesday"/>
    <s v="Outlier"/>
    <x v="33"/>
  </r>
  <r>
    <n v="113406"/>
    <n v="1911"/>
    <s v="Australia"/>
    <d v="2023-03-02T01:48:00"/>
    <s v="Other"/>
    <s v="Elizabeth Devon"/>
    <n v="2500"/>
    <d v="2023-03-02T00:00:00"/>
    <d v="1899-12-30T01:48:00"/>
    <s v="March"/>
    <s v="Thursday"/>
    <s v="Outlier"/>
    <x v="61"/>
  </r>
  <r>
    <n v="114309"/>
    <n v="139"/>
    <s v="USA"/>
    <d v="2023-06-25T01:42:00"/>
    <s v="Other"/>
    <s v="Maurizio Moroni"/>
    <n v="5868"/>
    <d v="2023-06-25T00:00:00"/>
    <d v="1899-12-30T01:42:00"/>
    <s v="June"/>
    <s v="Sunday"/>
    <s v="Outlier"/>
    <x v="21"/>
  </r>
  <r>
    <n v="114621"/>
    <n v="501"/>
    <s v="Spain"/>
    <d v="2023-12-23T23:51:00"/>
    <s v="Whatsapp"/>
    <s v="Miguel Barajas"/>
    <n v="3842"/>
    <d v="2023-12-23T00:00:00"/>
    <d v="1899-12-30T23:51:00"/>
    <s v="December"/>
    <s v="Saturday"/>
    <s v="Outlier"/>
    <x v="23"/>
  </r>
  <r>
    <n v="115590"/>
    <n v="517"/>
    <s v="Australia"/>
    <d v="2023-02-02T23:52:00"/>
    <s v="Other"/>
    <s v="Michael Holz"/>
    <n v="9953"/>
    <d v="2023-02-02T00:00:00"/>
    <d v="1899-12-30T23:52:00"/>
    <s v="February"/>
    <s v="Thursday"/>
    <s v="Outlier"/>
    <x v="55"/>
  </r>
  <r>
    <n v="116342"/>
    <n v="1210"/>
    <s v="Spain"/>
    <d v="2023-12-17T00:58:00"/>
    <s v="Other"/>
    <s v="Roland Keitel"/>
    <n v="2323"/>
    <d v="2023-12-17T00:00:00"/>
    <d v="1899-12-30T00:58:00"/>
    <s v="December"/>
    <s v="Sunday"/>
    <s v="Outlier"/>
    <x v="51"/>
  </r>
  <r>
    <n v="118335"/>
    <n v="1715"/>
    <s v="USA"/>
    <d v="2023-09-25T00:11:00"/>
    <s v="Other"/>
    <s v="Henriette Pfalzheim"/>
    <n v="477"/>
    <d v="2023-09-25T00:00:00"/>
    <d v="1899-12-30T00:11:00"/>
    <s v="September"/>
    <s v="Monday"/>
    <s v="Outlier"/>
    <x v="10"/>
  </r>
  <r>
    <n v="118716"/>
    <n v="1599"/>
    <s v="USA"/>
    <d v="2023-12-15T00:10:00"/>
    <s v="Other"/>
    <s v="Christina Berglund"/>
    <n v="4765"/>
    <d v="2023-12-15T00:00:00"/>
    <d v="1899-12-30T00:10:00"/>
    <s v="December"/>
    <s v="Friday"/>
    <s v="Outlier"/>
    <x v="49"/>
  </r>
  <r>
    <n v="118960"/>
    <n v="1265"/>
    <s v="USA"/>
    <d v="2023-03-19T00:27:00"/>
    <s v="Website"/>
    <s v="Kwai Yu"/>
    <n v="3942"/>
    <d v="2023-03-19T00:00:00"/>
    <d v="1899-12-30T00:27:00"/>
    <s v="March"/>
    <s v="Sunday"/>
    <s v="Outlier"/>
    <x v="54"/>
  </r>
  <r>
    <n v="120228"/>
    <n v="1795"/>
    <s v="France"/>
    <d v="2023-05-03T01:32:00"/>
    <s v="Whatsapp"/>
    <s v="Georg Pipps"/>
    <n v="5864"/>
    <d v="2023-05-03T00:00:00"/>
    <d v="1899-12-30T01:32:00"/>
    <s v="May"/>
    <s v="Wednesday"/>
    <s v="Outlier"/>
    <x v="62"/>
  </r>
  <r>
    <n v="120567"/>
    <n v="1523"/>
    <s v="Spain"/>
    <d v="2023-06-30T23:33:00"/>
    <s v="Whatsapp"/>
    <s v="Kalle Suominen"/>
    <n v="1876"/>
    <d v="2023-06-30T00:00:00"/>
    <d v="1899-12-30T23:33:00"/>
    <s v="June"/>
    <s v="Friday"/>
    <s v="Outlier"/>
    <x v="63"/>
  </r>
  <r>
    <n v="122068"/>
    <n v="624"/>
    <s v="Australia"/>
    <d v="2023-10-01T01:43:00"/>
    <s v="Other"/>
    <s v="Janine Labrune"/>
    <n v="3030"/>
    <d v="2023-10-01T00:00:00"/>
    <d v="1899-12-30T01:43:00"/>
    <s v="October"/>
    <s v="Sunday"/>
    <s v="Outlier"/>
    <x v="64"/>
  </r>
  <r>
    <n v="122492"/>
    <n v="147"/>
    <s v="USA"/>
    <d v="2023-07-02T22:41:00"/>
    <s v="App"/>
    <s v="Maria Larsson"/>
    <n v="1788"/>
    <d v="2023-07-02T00:00:00"/>
    <d v="1899-12-30T22:41:00"/>
    <s v="July"/>
    <s v="Sunday"/>
    <s v="Outlier"/>
    <x v="3"/>
  </r>
  <r>
    <n v="123546"/>
    <n v="990"/>
    <s v="Germany"/>
    <d v="2023-05-16T00:44:00"/>
    <s v="App"/>
    <s v="Georg Pipps"/>
    <n v="9475"/>
    <d v="2023-05-16T00:00:00"/>
    <d v="1899-12-30T00:44:00"/>
    <s v="May"/>
    <s v="Tuesday"/>
    <s v="Outlier"/>
    <x v="2"/>
  </r>
  <r>
    <n v="125939"/>
    <n v="213"/>
    <s v="USA"/>
    <d v="2023-02-28T00:53:00"/>
    <s v="Whatsapp"/>
    <s v="Jytte Petersen"/>
    <n v="6023"/>
    <d v="2023-02-28T00:00:00"/>
    <d v="1899-12-30T00:53:00"/>
    <s v="February"/>
    <s v="Tuesday"/>
    <s v="Outlier"/>
    <x v="44"/>
  </r>
  <r>
    <n v="127157"/>
    <n v="532"/>
    <s v="USA"/>
    <d v="2023-02-15T23:57:00"/>
    <s v="App"/>
    <s v="Eric Natividad"/>
    <n v="2367"/>
    <d v="2023-02-15T00:00:00"/>
    <d v="1899-12-30T23:57:00"/>
    <s v="February"/>
    <s v="Wednesday"/>
    <s v="Outlier"/>
    <x v="58"/>
  </r>
  <r>
    <n v="127349"/>
    <n v="620"/>
    <s v="Singapore"/>
    <d v="2023-04-11T00:36:00"/>
    <s v="Whatsapp"/>
    <s v="Jeff Young"/>
    <n v="4477"/>
    <d v="2023-04-11T00:00:00"/>
    <d v="1899-12-30T00:36:00"/>
    <s v="April"/>
    <s v="Tuesday"/>
    <s v="Outlier"/>
    <x v="10"/>
  </r>
  <r>
    <n v="127352"/>
    <n v="1534"/>
    <s v="USA"/>
    <d v="2023-09-12T00:12:00"/>
    <s v="App"/>
    <s v="Valarie Nelson"/>
    <n v="8980"/>
    <d v="2023-09-12T00:00:00"/>
    <d v="1899-12-30T00:12:00"/>
    <s v="September"/>
    <s v="Tuesday"/>
    <s v="Outlier"/>
    <x v="65"/>
  </r>
  <r>
    <n v="128831"/>
    <n v="816"/>
    <s v="India"/>
    <d v="2023-11-25T01:04:00"/>
    <s v="Whatsapp"/>
    <s v="Diego Freyre"/>
    <n v="483"/>
    <d v="2023-11-25T00:00:00"/>
    <d v="1899-12-30T01:04:00"/>
    <s v="November"/>
    <s v="Saturday"/>
    <s v="Outlier"/>
    <x v="7"/>
  </r>
  <r>
    <n v="130037"/>
    <n v="765"/>
    <s v="Norway"/>
    <d v="2023-05-16T01:11:00"/>
    <s v="App"/>
    <s v="Eric Natividad"/>
    <n v="7380"/>
    <d v="2023-05-16T00:00:00"/>
    <d v="1899-12-30T01:11:00"/>
    <s v="May"/>
    <s v="Tuesday"/>
    <s v="Outlier"/>
    <x v="7"/>
  </r>
  <r>
    <n v="130805"/>
    <n v="207"/>
    <s v="Denmark"/>
    <d v="2023-07-11T00:15:00"/>
    <s v="App"/>
    <s v="Maurizio Moroni"/>
    <n v="9542"/>
    <d v="2023-07-11T00:00:00"/>
    <d v="1899-12-30T00:15:00"/>
    <s v="July"/>
    <s v="Tuesday"/>
    <s v="Outlier"/>
    <x v="15"/>
  </r>
  <r>
    <n v="130920"/>
    <n v="1099"/>
    <s v="France"/>
    <d v="2023-04-19T23:47:00"/>
    <s v="App"/>
    <s v="Wing C Tam"/>
    <n v="5261"/>
    <d v="2023-04-19T00:00:00"/>
    <d v="1899-12-30T23:47:00"/>
    <s v="April"/>
    <s v="Wednesday"/>
    <s v="Outlier"/>
    <x v="15"/>
  </r>
  <r>
    <n v="131508"/>
    <n v="140"/>
    <s v="USA"/>
    <d v="2023-02-11T00:50:00"/>
    <s v="Website"/>
    <s v="Leslie Murphy"/>
    <n v="2656"/>
    <d v="2023-02-11T00:00:00"/>
    <d v="1899-12-30T00:50:00"/>
    <s v="February"/>
    <s v="Saturday"/>
    <s v="Outlier"/>
    <x v="30"/>
  </r>
  <r>
    <n v="133285"/>
    <n v="516"/>
    <s v="France"/>
    <d v="2023-02-11T01:24:00"/>
    <s v="Other"/>
    <s v="Mary Saveley"/>
    <n v="7837"/>
    <d v="2023-02-11T00:00:00"/>
    <d v="1899-12-30T01:24:00"/>
    <s v="February"/>
    <s v="Saturday"/>
    <s v="Outlier"/>
    <x v="66"/>
  </r>
  <r>
    <n v="133922"/>
    <n v="1441"/>
    <s v="Australia"/>
    <d v="2023-08-18T00:09:00"/>
    <s v="Other"/>
    <s v="Dean Cassidy"/>
    <n v="4932"/>
    <d v="2023-08-18T00:00:00"/>
    <d v="1899-12-30T00:09:00"/>
    <s v="August"/>
    <s v="Friday"/>
    <s v="Outlier"/>
    <x v="48"/>
  </r>
  <r>
    <n v="134419"/>
    <n v="628"/>
    <s v="France"/>
    <d v="2023-02-03T22:55:00"/>
    <s v="Website"/>
    <s v="Jesus Fernandez"/>
    <n v="2768"/>
    <d v="2023-02-03T00:00:00"/>
    <d v="1899-12-30T22:55:00"/>
    <s v="February"/>
    <s v="Friday"/>
    <s v="Outlier"/>
    <x v="67"/>
  </r>
  <r>
    <n v="137231"/>
    <n v="1344"/>
    <s v="Spain"/>
    <d v="2023-10-17T00:00:00"/>
    <s v="Whatsapp"/>
    <s v="Kalle Suominen"/>
    <n v="6898"/>
    <d v="2023-10-17T00:00:00"/>
    <d v="1899-12-30T00:00:00"/>
    <s v="October"/>
    <s v="Tuesday"/>
    <s v="Outlier"/>
    <x v="28"/>
  </r>
  <r>
    <n v="138329"/>
    <n v="1108"/>
    <s v="India"/>
    <d v="2023-07-31T01:10:00"/>
    <s v="App"/>
    <s v="Kyung Yu"/>
    <n v="7219"/>
    <d v="2023-07-31T00:00:00"/>
    <d v="1899-12-30T01:10:00"/>
    <s v="July"/>
    <s v="Monday"/>
    <s v="Outlier"/>
    <x v="59"/>
  </r>
  <r>
    <n v="139357"/>
    <n v="423"/>
    <s v="Singapore"/>
    <d v="2023-05-18T23:38:00"/>
    <s v="Other"/>
    <s v="Valarie Nelson"/>
    <n v="5563"/>
    <d v="2023-05-18T00:00:00"/>
    <d v="1899-12-30T23:38:00"/>
    <s v="May"/>
    <s v="Thursday"/>
    <s v="Outlier"/>
    <x v="18"/>
  </r>
  <r>
    <n v="139611"/>
    <n v="444"/>
    <s v="Spain"/>
    <d v="2023-10-21T01:15:00"/>
    <s v="App"/>
    <s v="Paolo Accorti"/>
    <n v="6827"/>
    <d v="2023-10-21T00:00:00"/>
    <d v="1899-12-30T01:15:00"/>
    <s v="October"/>
    <s v="Saturday"/>
    <s v="Outlier"/>
    <x v="12"/>
  </r>
  <r>
    <n v="139755"/>
    <n v="813"/>
    <s v="Singapore"/>
    <d v="2023-07-29T23:31:00"/>
    <s v="Other"/>
    <s v="Victoria Ashworth"/>
    <n v="7305"/>
    <d v="2023-07-29T00:00:00"/>
    <d v="1899-12-30T23:31:00"/>
    <s v="July"/>
    <s v="Saturday"/>
    <s v="Outlier"/>
    <x v="66"/>
  </r>
  <r>
    <n v="140002"/>
    <n v="1848"/>
    <s v="USA"/>
    <d v="2023-10-02T00:49:00"/>
    <s v="Whatsapp"/>
    <s v="Palle Ibsen"/>
    <n v="3536"/>
    <d v="2023-10-02T00:00:00"/>
    <d v="1899-12-30T00:49:00"/>
    <s v="October"/>
    <s v="Monday"/>
    <s v="Outlier"/>
    <x v="42"/>
  </r>
  <r>
    <n v="141004"/>
    <n v="1499"/>
    <s v="USA"/>
    <d v="2023-05-17T01:21:00"/>
    <s v="Whatsapp"/>
    <s v="Jonas Bergulfsen"/>
    <n v="9940"/>
    <d v="2023-05-17T00:00:00"/>
    <d v="1899-12-30T01:21:00"/>
    <s v="May"/>
    <s v="Wednesday"/>
    <s v="Outlier"/>
    <x v="68"/>
  </r>
  <r>
    <n v="141024"/>
    <n v="1436"/>
    <s v="Spain"/>
    <d v="2023-03-08T02:00:00"/>
    <s v="Other"/>
    <s v="Marie Bertrand"/>
    <n v="9491"/>
    <d v="2023-03-08T00:00:00"/>
    <d v="1899-12-30T02:00:00"/>
    <s v="March"/>
    <s v="Wednesday"/>
    <s v="Outlier"/>
    <x v="28"/>
  </r>
  <r>
    <n v="141306"/>
    <n v="249"/>
    <s v="USA"/>
    <d v="2023-01-11T01:46:00"/>
    <s v="Whatsapp"/>
    <s v="Mart¡n Sommer"/>
    <n v="9751"/>
    <d v="2023-01-11T00:00:00"/>
    <d v="1899-12-30T01:46:00"/>
    <s v="January"/>
    <s v="Wednesday"/>
    <s v="Outlier"/>
    <x v="30"/>
  </r>
  <r>
    <n v="142160"/>
    <n v="1976"/>
    <s v="Spain"/>
    <d v="2023-02-14T01:03:00"/>
    <s v="Website"/>
    <s v="Paul Henriot"/>
    <n v="7114"/>
    <d v="2023-02-14T00:00:00"/>
    <d v="1899-12-30T01:03:00"/>
    <s v="February"/>
    <s v="Tuesday"/>
    <s v="Outlier"/>
    <x v="38"/>
  </r>
  <r>
    <n v="145440"/>
    <n v="948"/>
    <s v="Finland"/>
    <d v="2023-08-19T01:19:00"/>
    <s v="Whatsapp"/>
    <s v="Valarie Nelson"/>
    <n v="140"/>
    <d v="2023-08-19T00:00:00"/>
    <d v="1899-12-30T01:19:00"/>
    <s v="August"/>
    <s v="Saturday"/>
    <s v="Outlier"/>
    <x v="18"/>
  </r>
  <r>
    <n v="145667"/>
    <n v="813"/>
    <s v="Singapore"/>
    <d v="2023-08-02T00:13:00"/>
    <s v="Other"/>
    <s v="Valarie Nelson"/>
    <n v="8841"/>
    <d v="2023-08-02T00:00:00"/>
    <d v="1899-12-30T00:13:00"/>
    <s v="August"/>
    <s v="Wednesday"/>
    <s v="Outlier"/>
    <x v="66"/>
  </r>
  <r>
    <n v="146599"/>
    <n v="393"/>
    <s v="India"/>
    <d v="2023-05-15T02:07:00"/>
    <s v="Whatsapp"/>
    <s v="Daniel Da Cunha"/>
    <n v="7712"/>
    <d v="2023-05-15T00:00:00"/>
    <d v="1899-12-30T02:07:00"/>
    <s v="May"/>
    <s v="Monday"/>
    <s v="Outlier"/>
    <x v="11"/>
  </r>
  <r>
    <n v="146917"/>
    <n v="183"/>
    <s v="India"/>
    <d v="2023-02-24T01:46:00"/>
    <s v="Other"/>
    <s v="Julie King"/>
    <n v="2595"/>
    <d v="2023-02-24T00:00:00"/>
    <d v="1899-12-30T01:46:00"/>
    <s v="February"/>
    <s v="Friday"/>
    <s v="Outlier"/>
    <x v="50"/>
  </r>
  <r>
    <n v="148310"/>
    <n v="625"/>
    <s v="India"/>
    <d v="2023-05-03T00:22:00"/>
    <s v="Other"/>
    <s v="Jonas Bergulfsen"/>
    <n v="2291"/>
    <d v="2023-05-03T00:00:00"/>
    <d v="1899-12-30T00:22:00"/>
    <s v="May"/>
    <s v="Wednesday"/>
    <s v="Outlier"/>
    <x v="26"/>
  </r>
  <r>
    <n v="148706"/>
    <n v="188"/>
    <s v="India"/>
    <d v="2023-12-09T23:20:00"/>
    <s v="App"/>
    <s v="Valarie Nelson"/>
    <n v="4301"/>
    <d v="2023-12-09T00:00:00"/>
    <d v="1899-12-30T23:20:00"/>
    <s v="December"/>
    <s v="Saturday"/>
    <s v="Outlier"/>
    <x v="54"/>
  </r>
  <r>
    <n v="149310"/>
    <n v="1734"/>
    <s v="USA"/>
    <d v="2023-01-15T01:37:00"/>
    <s v="Other"/>
    <s v="Mart¡n Sommer"/>
    <n v="1340"/>
    <d v="2023-01-15T00:00:00"/>
    <d v="1899-12-30T01:37:00"/>
    <s v="January"/>
    <s v="Sunday"/>
    <s v="Outlier"/>
    <x v="14"/>
  </r>
  <r>
    <n v="149497"/>
    <n v="931"/>
    <s v="USA"/>
    <d v="2023-04-10T23:39:00"/>
    <s v="Other"/>
    <s v="Juri Hirano"/>
    <n v="7840"/>
    <d v="2023-04-10T00:00:00"/>
    <d v="1899-12-30T23:39:00"/>
    <s v="April"/>
    <s v="Monday"/>
    <s v="Outlier"/>
    <x v="30"/>
  </r>
  <r>
    <n v="149877"/>
    <n v="978"/>
    <s v="USA"/>
    <d v="2023-01-20T23:29:00"/>
    <s v="Other"/>
    <s v="Eric Natividad"/>
    <n v="5106"/>
    <d v="2023-01-20T00:00:00"/>
    <d v="1899-12-30T23:29:00"/>
    <s v="January"/>
    <s v="Friday"/>
    <s v="Outlier"/>
    <x v="16"/>
  </r>
  <r>
    <n v="151746"/>
    <n v="718"/>
    <s v="Norway"/>
    <d v="2023-05-24T01:59:00"/>
    <s v="App"/>
    <s v="Roland Mendel"/>
    <n v="7817"/>
    <d v="2023-05-24T00:00:00"/>
    <d v="1899-12-30T01:59:00"/>
    <s v="May"/>
    <s v="Wednesday"/>
    <s v="Outlier"/>
    <x v="55"/>
  </r>
  <r>
    <n v="151991"/>
    <n v="1361"/>
    <s v="Spain"/>
    <d v="2023-01-23T23:24:00"/>
    <s v="Whatsapp"/>
    <s v="Tony Calaghan"/>
    <n v="1045"/>
    <d v="2023-01-23T00:00:00"/>
    <d v="1899-12-30T23:24:00"/>
    <s v="January"/>
    <s v="Monday"/>
    <s v="Outlier"/>
    <x v="63"/>
  </r>
  <r>
    <n v="152504"/>
    <n v="280"/>
    <s v="USA"/>
    <d v="2023-04-20T01:03:00"/>
    <s v="Whatsapp"/>
    <s v="Francisca Cervantes"/>
    <n v="6681"/>
    <d v="2023-04-20T00:00:00"/>
    <d v="1899-12-30T01:03:00"/>
    <s v="April"/>
    <s v="Thursday"/>
    <s v="Outlier"/>
    <x v="66"/>
  </r>
  <r>
    <n v="152609"/>
    <n v="991"/>
    <s v="USA"/>
    <d v="2023-08-12T01:29:00"/>
    <s v="Whatsapp"/>
    <s v="Mary Saveley"/>
    <n v="7294"/>
    <d v="2023-08-12T00:00:00"/>
    <d v="1899-12-30T01:29:00"/>
    <s v="August"/>
    <s v="Saturday"/>
    <s v="Outlier"/>
    <x v="39"/>
  </r>
  <r>
    <n v="152738"/>
    <n v="1099"/>
    <s v="France"/>
    <d v="2023-07-04T00:11:00"/>
    <s v="Website"/>
    <s v="Yoshi Tannamuri"/>
    <n v="177"/>
    <d v="2023-07-04T00:00:00"/>
    <d v="1899-12-30T00:11:00"/>
    <s v="July"/>
    <s v="Tuesday"/>
    <s v="Outlier"/>
    <x v="15"/>
  </r>
  <r>
    <n v="152762"/>
    <n v="1015"/>
    <s v="Italy"/>
    <d v="2023-06-20T22:41:00"/>
    <s v="Website"/>
    <s v="Daniel Tonini"/>
    <n v="9099"/>
    <d v="2023-06-20T00:00:00"/>
    <d v="1899-12-30T22:41:00"/>
    <s v="June"/>
    <s v="Tuesday"/>
    <s v="Outlier"/>
    <x v="63"/>
  </r>
  <r>
    <n v="153389"/>
    <n v="1715"/>
    <s v="USA"/>
    <d v="2023-10-28T23:21:00"/>
    <s v="App"/>
    <s v="Valarie Nelson"/>
    <n v="2257"/>
    <d v="2023-10-28T00:00:00"/>
    <d v="1899-12-30T23:21:00"/>
    <s v="October"/>
    <s v="Saturday"/>
    <s v="Outlier"/>
    <x v="10"/>
  </r>
  <r>
    <n v="153440"/>
    <n v="1070"/>
    <s v="Singapore"/>
    <d v="2023-11-17T22:50:00"/>
    <s v="App"/>
    <s v="Leslie Murphy"/>
    <n v="5399"/>
    <d v="2023-11-17T00:00:00"/>
    <d v="1899-12-30T22:50:00"/>
    <s v="November"/>
    <s v="Friday"/>
    <s v="Outlier"/>
    <x v="52"/>
  </r>
  <r>
    <n v="153648"/>
    <n v="1459"/>
    <s v="France"/>
    <d v="2023-10-10T00:55:00"/>
    <s v="Website"/>
    <s v="Akiko Shimamura"/>
    <n v="7435"/>
    <d v="2023-10-10T00:00:00"/>
    <d v="1899-12-30T00:55:00"/>
    <s v="October"/>
    <s v="Tuesday"/>
    <s v="Outlier"/>
    <x v="0"/>
  </r>
  <r>
    <n v="153794"/>
    <n v="887"/>
    <s v="USA"/>
    <d v="2023-01-14T00:27:00"/>
    <s v="Other"/>
    <s v="Adrian Huxley"/>
    <n v="3781"/>
    <d v="2023-01-14T00:00:00"/>
    <d v="1899-12-30T00:27:00"/>
    <s v="January"/>
    <s v="Saturday"/>
    <s v="Outlier"/>
    <x v="9"/>
  </r>
  <r>
    <n v="155501"/>
    <n v="1703"/>
    <s v="France"/>
    <d v="2023-03-20T23:28:00"/>
    <s v="Whatsapp"/>
    <s v="Kyung Yu"/>
    <n v="2102"/>
    <d v="2023-03-20T00:00:00"/>
    <d v="1899-12-30T23:28:00"/>
    <s v="March"/>
    <s v="Monday"/>
    <s v="Outlier"/>
    <x v="67"/>
  </r>
  <r>
    <n v="155731"/>
    <n v="1212"/>
    <s v="Singapore"/>
    <d v="2023-11-01T23:36:00"/>
    <s v="Whatsapp"/>
    <s v="Maria Larsson"/>
    <n v="8205"/>
    <d v="2023-11-01T00:00:00"/>
    <d v="1899-12-30T23:36:00"/>
    <s v="November"/>
    <s v="Wednesday"/>
    <s v="Outlier"/>
    <x v="64"/>
  </r>
  <r>
    <n v="157238"/>
    <n v="1100"/>
    <s v="Spain"/>
    <d v="2023-03-26T00:34:00"/>
    <s v="Other"/>
    <s v="Daniel Tonini"/>
    <n v="5281"/>
    <d v="2023-03-26T00:00:00"/>
    <d v="1899-12-30T00:34:00"/>
    <s v="March"/>
    <s v="Sunday"/>
    <s v="Outlier"/>
    <x v="35"/>
  </r>
  <r>
    <n v="157882"/>
    <n v="72"/>
    <s v="Spain"/>
    <d v="2023-11-24T00:54:00"/>
    <s v="Website"/>
    <s v="Yoshi Tannamuri"/>
    <n v="8982"/>
    <d v="2023-11-24T00:00:00"/>
    <d v="1899-12-30T00:54:00"/>
    <s v="November"/>
    <s v="Friday"/>
    <s v="Outlier"/>
    <x v="65"/>
  </r>
  <r>
    <n v="158217"/>
    <n v="698"/>
    <s v="Australia"/>
    <d v="2023-05-29T02:00:00"/>
    <s v="Whatsapp"/>
    <s v="Valarie Young"/>
    <n v="424"/>
    <d v="2023-05-29T00:00:00"/>
    <d v="1899-12-30T02:00:00"/>
    <s v="May"/>
    <s v="Monday"/>
    <s v="Outlier"/>
    <x v="57"/>
  </r>
  <r>
    <n v="159503"/>
    <n v="333"/>
    <s v="Germany"/>
    <d v="2023-05-14T00:29:00"/>
    <s v="App"/>
    <s v="Julie Murphy"/>
    <n v="5295"/>
    <d v="2023-05-14T00:00:00"/>
    <d v="1899-12-30T00:29:00"/>
    <s v="May"/>
    <s v="Sunday"/>
    <s v="Outlier"/>
    <x v="64"/>
  </r>
  <r>
    <n v="160435"/>
    <n v="737"/>
    <s v="India"/>
    <d v="2023-06-06T23:15:00"/>
    <s v="Other"/>
    <s v="Peter Ferguson"/>
    <n v="2127"/>
    <d v="2023-06-06T00:00:00"/>
    <d v="1899-12-30T23:15:00"/>
    <s v="June"/>
    <s v="Tuesday"/>
    <s v="Outlier"/>
    <x v="53"/>
  </r>
  <r>
    <n v="160692"/>
    <n v="532"/>
    <s v="USA"/>
    <d v="2023-11-06T01:04:00"/>
    <s v="Whatsapp"/>
    <s v="Valarie Nelson"/>
    <n v="679"/>
    <d v="2023-11-06T00:00:00"/>
    <d v="1899-12-30T01:04:00"/>
    <s v="November"/>
    <s v="Monday"/>
    <s v="Outlier"/>
    <x v="58"/>
  </r>
  <r>
    <n v="162458"/>
    <n v="1515"/>
    <s v="USA"/>
    <d v="2023-12-06T00:58:00"/>
    <s v="Website"/>
    <s v="Anna O'Hara"/>
    <n v="3793"/>
    <d v="2023-12-06T00:00:00"/>
    <d v="1899-12-30T00:58:00"/>
    <s v="December"/>
    <s v="Wednesday"/>
    <s v="Outlier"/>
    <x v="26"/>
  </r>
  <r>
    <n v="163919"/>
    <n v="1635"/>
    <s v="USA"/>
    <d v="2023-06-22T00:48:00"/>
    <s v="Website"/>
    <s v="Julie Brown"/>
    <n v="4116"/>
    <d v="2023-06-22T00:00:00"/>
    <d v="1899-12-30T00:48:00"/>
    <s v="June"/>
    <s v="Thursday"/>
    <s v="Outlier"/>
    <x v="10"/>
  </r>
  <r>
    <n v="164155"/>
    <n v="820"/>
    <s v="Italy"/>
    <d v="2023-05-21T00:49:00"/>
    <s v="Other"/>
    <s v="Anna O'Hara"/>
    <n v="6498"/>
    <d v="2023-05-21T00:00:00"/>
    <d v="1899-12-30T00:49:00"/>
    <s v="May"/>
    <s v="Sunday"/>
    <s v="Outlier"/>
    <x v="3"/>
  </r>
  <r>
    <n v="165080"/>
    <n v="715"/>
    <s v="USA"/>
    <d v="2023-12-23T23:22:00"/>
    <s v="Website"/>
    <s v="Jean Fresnisre"/>
    <n v="3378"/>
    <d v="2023-12-23T00:00:00"/>
    <d v="1899-12-30T23:22:00"/>
    <s v="December"/>
    <s v="Saturday"/>
    <s v="Outlier"/>
    <x v="49"/>
  </r>
  <r>
    <n v="165318"/>
    <n v="1759"/>
    <s v="Spain"/>
    <d v="2023-02-09T00:50:00"/>
    <s v="Website"/>
    <s v="Diego Freyre"/>
    <n v="3573"/>
    <d v="2023-02-09T00:00:00"/>
    <d v="1899-12-30T00:50:00"/>
    <s v="February"/>
    <s v="Thursday"/>
    <s v="Outlier"/>
    <x v="13"/>
  </r>
  <r>
    <n v="165674"/>
    <n v="614"/>
    <s v="USA"/>
    <d v="2023-11-29T00:34:00"/>
    <s v="App"/>
    <s v="Kwai Yu"/>
    <n v="8831"/>
    <d v="2023-11-29T00:00:00"/>
    <d v="1899-12-30T00:34:00"/>
    <s v="November"/>
    <s v="Wednesday"/>
    <s v="Outlier"/>
    <x v="40"/>
  </r>
  <r>
    <n v="165835"/>
    <n v="1191"/>
    <s v="Australia"/>
    <d v="2023-05-31T00:16:00"/>
    <s v="App"/>
    <s v="Paul Henriot"/>
    <n v="2282"/>
    <d v="2023-05-31T00:00:00"/>
    <d v="1899-12-30T00:16:00"/>
    <s v="May"/>
    <s v="Wednesday"/>
    <s v="Outlier"/>
    <x v="68"/>
  </r>
  <r>
    <n v="166687"/>
    <n v="813"/>
    <s v="Singapore"/>
    <d v="2023-05-21T00:35:00"/>
    <s v="Website"/>
    <s v="Daniel Da Cunha"/>
    <n v="2254"/>
    <d v="2023-05-21T00:00:00"/>
    <d v="1899-12-30T00:35:00"/>
    <s v="May"/>
    <s v="Sunday"/>
    <s v="Outlier"/>
    <x v="66"/>
  </r>
  <r>
    <n v="167720"/>
    <n v="1887"/>
    <s v="Spain"/>
    <d v="2023-12-02T00:35:00"/>
    <s v="App"/>
    <s v="Julie Young"/>
    <n v="8941"/>
    <d v="2023-12-02T00:00:00"/>
    <d v="1899-12-30T00:35:00"/>
    <s v="December"/>
    <s v="Saturday"/>
    <s v="Outlier"/>
    <x v="20"/>
  </r>
  <r>
    <n v="169945"/>
    <n v="1325"/>
    <s v="Spain"/>
    <d v="2023-07-04T00:54:00"/>
    <s v="Whatsapp"/>
    <s v="Julie Brown"/>
    <n v="9136"/>
    <d v="2023-07-04T00:00:00"/>
    <d v="1899-12-30T00:54:00"/>
    <s v="July"/>
    <s v="Tuesday"/>
    <s v="Outlier"/>
    <x v="3"/>
  </r>
  <r>
    <n v="170046"/>
    <n v="242"/>
    <s v="USA"/>
    <d v="2023-01-16T00:57:00"/>
    <s v="App"/>
    <s v="Anna O'Hara"/>
    <n v="9317"/>
    <d v="2023-01-16T00:00:00"/>
    <d v="1899-12-30T00:57:00"/>
    <s v="January"/>
    <s v="Monday"/>
    <s v="Outlier"/>
    <x v="27"/>
  </r>
  <r>
    <n v="170058"/>
    <n v="446"/>
    <s v="USA"/>
    <d v="2023-11-11T00:50:00"/>
    <s v="App"/>
    <s v="Martine Rance"/>
    <n v="8184"/>
    <d v="2023-11-11T00:00:00"/>
    <d v="1899-12-30T00:50:00"/>
    <s v="November"/>
    <s v="Saturday"/>
    <s v="Outlier"/>
    <x v="25"/>
  </r>
  <r>
    <n v="170864"/>
    <n v="1870"/>
    <s v="USA"/>
    <d v="2023-05-09T23:56:00"/>
    <s v="Other"/>
    <s v="Julie Young"/>
    <n v="4281"/>
    <d v="2023-05-09T00:00:00"/>
    <d v="1899-12-30T23:56:00"/>
    <s v="May"/>
    <s v="Tuesday"/>
    <s v="Outlier"/>
    <x v="36"/>
  </r>
  <r>
    <n v="170991"/>
    <n v="1845"/>
    <s v="Finland"/>
    <d v="2023-07-02T23:42:00"/>
    <s v="Whatsapp"/>
    <s v="Julie Murphy"/>
    <n v="2460"/>
    <d v="2023-07-02T00:00:00"/>
    <d v="1899-12-30T23:42:00"/>
    <s v="July"/>
    <s v="Sunday"/>
    <s v="Outlier"/>
    <x v="69"/>
  </r>
  <r>
    <n v="171269"/>
    <n v="516"/>
    <s v="France"/>
    <d v="2023-08-22T00:18:00"/>
    <s v="Whatsapp"/>
    <s v="Dominique Perrier"/>
    <n v="5709"/>
    <d v="2023-08-22T00:00:00"/>
    <d v="1899-12-30T00:18:00"/>
    <s v="August"/>
    <s v="Tuesday"/>
    <s v="Outlier"/>
    <x v="66"/>
  </r>
  <r>
    <n v="171420"/>
    <n v="614"/>
    <s v="USA"/>
    <d v="2023-01-17T00:51:00"/>
    <s v="Website"/>
    <s v="Martine Rance"/>
    <n v="8738"/>
    <d v="2023-01-17T00:00:00"/>
    <d v="1899-12-30T00:51:00"/>
    <s v="January"/>
    <s v="Tuesday"/>
    <s v="Outlier"/>
    <x v="40"/>
  </r>
  <r>
    <n v="172114"/>
    <n v="264"/>
    <s v="USA"/>
    <d v="2023-02-22T00:22:00"/>
    <s v="Whatsapp"/>
    <s v="Michael Frick"/>
    <n v="5214"/>
    <d v="2023-02-22T00:00:00"/>
    <d v="1899-12-30T00:22:00"/>
    <s v="February"/>
    <s v="Wednesday"/>
    <s v="Outlier"/>
    <x v="7"/>
  </r>
  <r>
    <n v="172649"/>
    <n v="1816"/>
    <s v="Spain"/>
    <d v="2023-02-24T00:55:00"/>
    <s v="Whatsapp"/>
    <s v="William Brown"/>
    <n v="6377"/>
    <d v="2023-02-24T00:00:00"/>
    <d v="1899-12-30T00:55:00"/>
    <s v="February"/>
    <s v="Friday"/>
    <s v="Outlier"/>
    <x v="21"/>
  </r>
  <r>
    <n v="174652"/>
    <n v="218"/>
    <s v="France"/>
    <d v="2023-11-24T23:28:00"/>
    <s v="Whatsapp"/>
    <s v="Julie King"/>
    <n v="9736"/>
    <d v="2023-11-24T00:00:00"/>
    <d v="1899-12-30T23:28:00"/>
    <s v="November"/>
    <s v="Friday"/>
    <s v="Outlier"/>
    <x v="6"/>
  </r>
  <r>
    <n v="174998"/>
    <n v="1303"/>
    <s v="Spain"/>
    <d v="2023-03-01T23:52:00"/>
    <s v="Whatsapp"/>
    <s v="Miguel Barajas"/>
    <n v="5209"/>
    <d v="2023-03-01T00:00:00"/>
    <d v="1899-12-30T23:52:00"/>
    <s v="March"/>
    <s v="Wednesday"/>
    <s v="Outlier"/>
    <x v="49"/>
  </r>
  <r>
    <n v="175577"/>
    <n v="515"/>
    <s v="Spain"/>
    <d v="2023-11-21T01:53:00"/>
    <s v="Other"/>
    <s v="Marta Hernandez"/>
    <n v="5334"/>
    <d v="2023-11-21T00:00:00"/>
    <d v="1899-12-30T01:53:00"/>
    <s v="November"/>
    <s v="Tuesday"/>
    <s v="Outlier"/>
    <x v="2"/>
  </r>
  <r>
    <n v="177047"/>
    <n v="1189"/>
    <s v="France"/>
    <d v="2023-08-13T23:18:00"/>
    <s v="App"/>
    <s v="Matti Karttunen"/>
    <n v="2516"/>
    <d v="2023-08-13T00:00:00"/>
    <d v="1899-12-30T23:18:00"/>
    <s v="August"/>
    <s v="Sunday"/>
    <s v="Outlier"/>
    <x v="45"/>
  </r>
  <r>
    <n v="177753"/>
    <n v="790"/>
    <s v="India"/>
    <d v="2023-08-06T00:44:00"/>
    <s v="App"/>
    <s v="Jonas Bergulfsen"/>
    <n v="5420"/>
    <d v="2023-08-06T00:00:00"/>
    <d v="1899-12-30T00:44:00"/>
    <s v="August"/>
    <s v="Sunday"/>
    <s v="Outlier"/>
    <x v="67"/>
  </r>
  <r>
    <n v="177897"/>
    <n v="1698"/>
    <s v="France"/>
    <d v="2023-08-05T23:20:00"/>
    <s v="App"/>
    <s v="Kee Kuo"/>
    <n v="8289"/>
    <d v="2023-08-05T00:00:00"/>
    <d v="1899-12-30T23:20:00"/>
    <s v="August"/>
    <s v="Saturday"/>
    <s v="Outlier"/>
    <x v="6"/>
  </r>
  <r>
    <n v="177908"/>
    <n v="1848"/>
    <s v="USA"/>
    <d v="2023-04-29T23:25:00"/>
    <s v="Website"/>
    <s v="Kwai Yu"/>
    <n v="1341"/>
    <d v="2023-04-29T00:00:00"/>
    <d v="1899-12-30T23:25:00"/>
    <s v="April"/>
    <s v="Saturday"/>
    <s v="Outlier"/>
    <x v="42"/>
  </r>
  <r>
    <n v="178044"/>
    <n v="1576"/>
    <s v="USA"/>
    <d v="2023-02-04T01:22:00"/>
    <s v="Whatsapp"/>
    <s v="Georg Pipps"/>
    <n v="8097"/>
    <d v="2023-02-04T00:00:00"/>
    <d v="1899-12-30T01:22:00"/>
    <s v="February"/>
    <s v="Saturday"/>
    <s v="Outlier"/>
    <x v="41"/>
  </r>
  <r>
    <n v="178761"/>
    <n v="1021"/>
    <s v="Singapore"/>
    <d v="2023-02-25T22:36:00"/>
    <s v="Website"/>
    <s v="Juri Hirano"/>
    <n v="2487"/>
    <d v="2023-02-25T00:00:00"/>
    <d v="1899-12-30T22:36:00"/>
    <s v="February"/>
    <s v="Saturday"/>
    <s v="Outlier"/>
    <x v="22"/>
  </r>
  <r>
    <n v="179974"/>
    <n v="1547"/>
    <s v="France"/>
    <d v="2023-05-18T00:40:00"/>
    <s v="Website"/>
    <s v="Janine Labrune"/>
    <n v="5106"/>
    <d v="2023-05-18T00:00:00"/>
    <d v="1899-12-30T00:40:00"/>
    <s v="May"/>
    <s v="Thursday"/>
    <s v="Outlier"/>
    <x v="2"/>
  </r>
  <r>
    <n v="180507"/>
    <n v="1459"/>
    <s v="France"/>
    <d v="2023-05-15T22:35:00"/>
    <s v="Website"/>
    <s v="Violeta Benitez"/>
    <n v="1697"/>
    <d v="2023-05-15T00:00:00"/>
    <d v="1899-12-30T22:35:00"/>
    <s v="May"/>
    <s v="Monday"/>
    <s v="Outlier"/>
    <x v="0"/>
  </r>
  <r>
    <n v="180775"/>
    <n v="645"/>
    <s v="Denmark"/>
    <d v="2023-03-20T00:05:00"/>
    <s v="Website"/>
    <s v="Elizabeth Devon"/>
    <n v="4981"/>
    <d v="2023-03-20T00:00:00"/>
    <d v="1899-12-30T00:05:00"/>
    <s v="March"/>
    <s v="Monday"/>
    <s v="Outlier"/>
    <x v="28"/>
  </r>
  <r>
    <n v="182197"/>
    <n v="74"/>
    <s v="USA"/>
    <d v="2023-06-04T01:54:00"/>
    <s v="App"/>
    <s v="Diego Freyre"/>
    <n v="801"/>
    <d v="2023-06-04T00:00:00"/>
    <d v="1899-12-30T01:54:00"/>
    <s v="June"/>
    <s v="Sunday"/>
    <s v="Outlier"/>
    <x v="9"/>
  </r>
  <r>
    <n v="182299"/>
    <n v="570"/>
    <s v="India"/>
    <d v="2023-10-13T00:33:00"/>
    <s v="App"/>
    <s v="Diego Freyre"/>
    <n v="2238"/>
    <d v="2023-10-13T00:00:00"/>
    <d v="1899-12-30T00:33:00"/>
    <s v="October"/>
    <s v="Friday"/>
    <s v="Outlier"/>
    <x v="50"/>
  </r>
  <r>
    <n v="182441"/>
    <n v="1694"/>
    <s v="Ireland"/>
    <d v="2023-12-18T23:01:00"/>
    <s v="Whatsapp"/>
    <s v="Eric Natividad"/>
    <n v="1072"/>
    <d v="2023-12-18T00:00:00"/>
    <d v="1899-12-30T23:01:00"/>
    <s v="December"/>
    <s v="Monday"/>
    <s v="Outlier"/>
    <x v="69"/>
  </r>
  <r>
    <n v="183352"/>
    <n v="1682"/>
    <s v="France"/>
    <d v="2023-10-16T00:35:00"/>
    <s v="Whatsapp"/>
    <s v="Jeff Young"/>
    <n v="8347"/>
    <d v="2023-10-16T00:00:00"/>
    <d v="1899-12-30T00:35:00"/>
    <s v="October"/>
    <s v="Monday"/>
    <s v="Outlier"/>
    <x v="54"/>
  </r>
  <r>
    <n v="183380"/>
    <n v="1712"/>
    <s v="Germany"/>
    <d v="2023-07-06T00:03:00"/>
    <s v="Whatsapp"/>
    <s v="Valarie Nelson"/>
    <n v="1046"/>
    <d v="2023-07-06T00:00:00"/>
    <d v="1899-12-30T00:03:00"/>
    <s v="July"/>
    <s v="Thursday"/>
    <s v="Outlier"/>
    <x v="43"/>
  </r>
  <r>
    <n v="183654"/>
    <n v="618"/>
    <s v="Finland"/>
    <d v="2023-08-14T23:02:00"/>
    <s v="Other"/>
    <s v="Diego Freyre"/>
    <n v="1434"/>
    <d v="2023-08-14T00:00:00"/>
    <d v="1899-12-30T23:02:00"/>
    <s v="August"/>
    <s v="Monday"/>
    <s v="Outlier"/>
    <x v="30"/>
  </r>
  <r>
    <n v="184958"/>
    <n v="1354"/>
    <s v="Singapore"/>
    <d v="2023-08-12T00:58:00"/>
    <s v="Other"/>
    <s v="Eric Natividad"/>
    <n v="39"/>
    <d v="2023-08-12T00:00:00"/>
    <d v="1899-12-30T00:58:00"/>
    <s v="August"/>
    <s v="Saturday"/>
    <s v="Outlier"/>
    <x v="17"/>
  </r>
  <r>
    <n v="185213"/>
    <n v="868"/>
    <s v="Switzerland"/>
    <d v="2023-04-16T22:40:00"/>
    <s v="App"/>
    <s v="Maurizio Moroni"/>
    <n v="4245"/>
    <d v="2023-04-16T00:00:00"/>
    <d v="1899-12-30T22:40:00"/>
    <s v="April"/>
    <s v="Sunday"/>
    <s v="Outlier"/>
    <x v="34"/>
  </r>
  <r>
    <n v="185809"/>
    <n v="1830"/>
    <s v="Australia"/>
    <d v="2023-03-08T02:07:00"/>
    <s v="Whatsapp"/>
    <s v="Wing C Tam"/>
    <n v="3863"/>
    <d v="2023-03-08T00:00:00"/>
    <d v="1899-12-30T02:07:00"/>
    <s v="March"/>
    <s v="Wednesday"/>
    <s v="Outlier"/>
    <x v="60"/>
  </r>
  <r>
    <n v="187527"/>
    <n v="877"/>
    <s v="India"/>
    <d v="2023-04-07T01:22:00"/>
    <s v="Whatsapp"/>
    <s v="Leslie Murphy"/>
    <n v="6774"/>
    <d v="2023-04-07T00:00:00"/>
    <d v="1899-12-30T01:22:00"/>
    <s v="April"/>
    <s v="Friday"/>
    <s v="Outlier"/>
    <x v="61"/>
  </r>
  <r>
    <n v="187746"/>
    <n v="500"/>
    <s v="USA"/>
    <d v="2023-10-21T00:12:00"/>
    <s v="Other"/>
    <s v="Mary Saveley"/>
    <n v="946"/>
    <d v="2023-10-21T00:00:00"/>
    <d v="1899-12-30T00:12:00"/>
    <s v="October"/>
    <s v="Saturday"/>
    <s v="Outlier"/>
    <x v="55"/>
  </r>
  <r>
    <n v="188610"/>
    <n v="1057"/>
    <s v="Spain"/>
    <d v="2023-02-05T23:44:00"/>
    <s v="App"/>
    <s v="Dean Cassidy"/>
    <n v="597"/>
    <d v="2023-02-05T00:00:00"/>
    <d v="1899-12-30T23:44:00"/>
    <s v="February"/>
    <s v="Sunday"/>
    <s v="Outlier"/>
    <x v="37"/>
  </r>
  <r>
    <n v="188856"/>
    <n v="1984"/>
    <s v="Australia"/>
    <d v="2023-11-21T23:01:00"/>
    <s v="Whatsapp"/>
    <s v="Roland Keitel"/>
    <n v="4243"/>
    <d v="2023-11-21T00:00:00"/>
    <d v="1899-12-30T23:01:00"/>
    <s v="November"/>
    <s v="Tuesday"/>
    <s v="Outlier"/>
    <x v="23"/>
  </r>
  <r>
    <n v="191639"/>
    <n v="1293"/>
    <s v="USA"/>
    <d v="2023-04-26T23:40:00"/>
    <s v="App"/>
    <s v="Kalle Suominen"/>
    <n v="957"/>
    <d v="2023-04-26T00:00:00"/>
    <d v="1899-12-30T23:40:00"/>
    <s v="April"/>
    <s v="Wednesday"/>
    <s v="Outlier"/>
    <x v="4"/>
  </r>
  <r>
    <n v="193342"/>
    <n v="1974"/>
    <s v="USA"/>
    <d v="2023-03-17T01:43:00"/>
    <s v="Other"/>
    <s v="Kyung Yu"/>
    <n v="242"/>
    <d v="2023-03-17T00:00:00"/>
    <d v="1899-12-30T01:43:00"/>
    <s v="March"/>
    <s v="Friday"/>
    <s v="Outlier"/>
    <x v="8"/>
  </r>
  <r>
    <n v="194632"/>
    <n v="1962"/>
    <s v="USA"/>
    <d v="2023-01-02T00:40:00"/>
    <s v="App"/>
    <s v="Valarie Nelson"/>
    <n v="8267"/>
    <d v="2023-01-02T00:00:00"/>
    <d v="1899-12-30T00:40:00"/>
    <s v="January"/>
    <s v="Monday"/>
    <s v="Outlier"/>
    <x v="12"/>
  </r>
  <r>
    <n v="194894"/>
    <n v="1210"/>
    <s v="Spain"/>
    <d v="2023-11-06T22:44:00"/>
    <s v="App"/>
    <s v="Paolo Accorti"/>
    <n v="8013"/>
    <d v="2023-11-06T00:00:00"/>
    <d v="1899-12-30T22:44:00"/>
    <s v="November"/>
    <s v="Monday"/>
    <s v="Outlier"/>
    <x v="51"/>
  </r>
  <r>
    <n v="195686"/>
    <n v="67"/>
    <s v="Italy"/>
    <d v="2023-09-07T01:04:00"/>
    <s v="Whatsapp"/>
    <s v="Victoria Ashworth"/>
    <n v="2651"/>
    <d v="2023-09-07T00:00:00"/>
    <d v="1899-12-30T01:04:00"/>
    <s v="September"/>
    <s v="Thursday"/>
    <s v="Outlier"/>
    <x v="66"/>
  </r>
  <r>
    <n v="195704"/>
    <n v="1260"/>
    <s v="France"/>
    <d v="2023-02-16T00:25:00"/>
    <s v="Whatsapp"/>
    <s v="Palle Ibsen"/>
    <n v="6946"/>
    <d v="2023-02-16T00:00:00"/>
    <d v="1899-12-30T00:25:00"/>
    <s v="February"/>
    <s v="Thursday"/>
    <s v="Outlier"/>
    <x v="25"/>
  </r>
  <r>
    <n v="196116"/>
    <n v="1831"/>
    <s v="USA"/>
    <d v="2023-11-24T00:08:00"/>
    <s v="App"/>
    <s v="Michael Frick"/>
    <n v="7358"/>
    <d v="2023-11-24T00:00:00"/>
    <d v="1899-12-30T00:08:00"/>
    <s v="November"/>
    <s v="Friday"/>
    <s v="Outlier"/>
    <x v="68"/>
  </r>
  <r>
    <n v="196148"/>
    <n v="325"/>
    <s v="France"/>
    <d v="2023-01-15T01:09:00"/>
    <s v="Website"/>
    <s v="Marie Bertrand"/>
    <n v="8010"/>
    <d v="2023-01-15T00:00:00"/>
    <d v="1899-12-30T01:09:00"/>
    <s v="January"/>
    <s v="Sunday"/>
    <s v="Outlier"/>
    <x v="35"/>
  </r>
  <r>
    <n v="196872"/>
    <n v="1250"/>
    <s v="USA"/>
    <d v="2023-09-25T01:13:00"/>
    <s v="App"/>
    <s v="Mart¡n Sommer"/>
    <n v="5888"/>
    <d v="2023-09-25T00:00:00"/>
    <d v="1899-12-30T01:13:00"/>
    <s v="September"/>
    <s v="Monday"/>
    <s v="Outlier"/>
    <x v="56"/>
  </r>
  <r>
    <n v="197854"/>
    <n v="347"/>
    <s v="Denmark"/>
    <d v="2023-08-31T00:56:00"/>
    <s v="App"/>
    <s v="Diego Freyre"/>
    <n v="1674"/>
    <d v="2023-08-31T00:00:00"/>
    <d v="1899-12-30T00:56:00"/>
    <s v="August"/>
    <s v="Thursday"/>
    <s v="Outlier"/>
    <x v="0"/>
  </r>
  <r>
    <n v="197952"/>
    <n v="1843"/>
    <s v="USA"/>
    <d v="2023-02-03T00:26:00"/>
    <s v="App"/>
    <s v="Akiko Shimamura"/>
    <n v="1453"/>
    <d v="2023-02-03T00:00:00"/>
    <d v="1899-12-30T00:26:00"/>
    <s v="February"/>
    <s v="Friday"/>
    <s v="Outlier"/>
    <x v="1"/>
  </r>
  <r>
    <n v="198251"/>
    <n v="1589"/>
    <s v="USA"/>
    <d v="2023-02-12T00:44:00"/>
    <s v="Website"/>
    <s v="Valarie Nelson"/>
    <n v="8821"/>
    <d v="2023-02-12T00:00:00"/>
    <d v="1899-12-30T00:44:00"/>
    <s v="February"/>
    <s v="Sunday"/>
    <s v="Outlier"/>
    <x v="1"/>
  </r>
  <r>
    <n v="198841"/>
    <n v="1735"/>
    <s v="Finland"/>
    <d v="2023-07-24T01:23:00"/>
    <s v="Other"/>
    <s v="Julie King"/>
    <n v="4094"/>
    <d v="2023-07-24T00:00:00"/>
    <d v="1899-12-30T01:23:00"/>
    <s v="July"/>
    <s v="Monday"/>
    <s v="Outlier"/>
    <x v="15"/>
  </r>
  <r>
    <n v="199110"/>
    <n v="104"/>
    <s v="Australia"/>
    <d v="2023-05-21T00:46:00"/>
    <s v="Whatsapp"/>
    <s v="Arnold Cruz"/>
    <n v="717"/>
    <d v="2023-05-21T00:00:00"/>
    <d v="1899-12-30T00:46:00"/>
    <s v="May"/>
    <s v="Sunday"/>
    <s v="Outlier"/>
    <x v="7"/>
  </r>
  <r>
    <n v="200851"/>
    <n v="71"/>
    <s v="India"/>
    <d v="2023-12-03T23:20:00"/>
    <s v="App"/>
    <s v="Laurence Lebihan"/>
    <n v="8510"/>
    <d v="2023-12-03T00:00:00"/>
    <d v="1899-12-30T23:20:00"/>
    <s v="December"/>
    <s v="Sunday"/>
    <s v="Outlier"/>
    <x v="68"/>
  </r>
  <r>
    <n v="202059"/>
    <n v="712"/>
    <s v="USA"/>
    <d v="2023-03-27T01:24:00"/>
    <s v="Whatsapp"/>
    <s v="Valarie Nelson"/>
    <n v="7202"/>
    <d v="2023-03-27T00:00:00"/>
    <d v="1899-12-30T01:24:00"/>
    <s v="March"/>
    <s v="Monday"/>
    <s v="Outlier"/>
    <x v="70"/>
  </r>
  <r>
    <n v="202315"/>
    <n v="1518"/>
    <s v="USA"/>
    <d v="2023-01-04T01:45:00"/>
    <s v="Whatsapp"/>
    <s v="Michael Chandler"/>
    <n v="6344"/>
    <d v="2023-01-04T00:00:00"/>
    <d v="1899-12-30T01:45:00"/>
    <s v="January"/>
    <s v="Wednesday"/>
    <s v="Outlier"/>
    <x v="50"/>
  </r>
  <r>
    <n v="202334"/>
    <n v="358"/>
    <s v="Spain"/>
    <d v="2023-09-02T00:55:00"/>
    <s v="Other"/>
    <s v="Allen Nelson"/>
    <n v="4560"/>
    <d v="2023-09-02T00:00:00"/>
    <d v="1899-12-30T00:55:00"/>
    <s v="September"/>
    <s v="Saturday"/>
    <s v="Outlier"/>
    <x v="63"/>
  </r>
  <r>
    <n v="202389"/>
    <n v="1641"/>
    <s v="Germany"/>
    <d v="2023-07-23T23:39:00"/>
    <s v="Website"/>
    <s v="Roland Mendel"/>
    <n v="1709"/>
    <d v="2023-07-23T00:00:00"/>
    <d v="1899-12-30T23:39:00"/>
    <s v="July"/>
    <s v="Sunday"/>
    <s v="Outlier"/>
    <x v="67"/>
  </r>
  <r>
    <n v="205425"/>
    <n v="1760"/>
    <s v="France"/>
    <d v="2023-09-21T01:13:00"/>
    <s v="Other"/>
    <s v="Veysel Oeztan"/>
    <n v="9729"/>
    <d v="2023-09-21T00:00:00"/>
    <d v="1899-12-30T01:13:00"/>
    <s v="September"/>
    <s v="Thursday"/>
    <s v="Outlier"/>
    <x v="11"/>
  </r>
  <r>
    <n v="208396"/>
    <n v="186"/>
    <s v="Singapore"/>
    <d v="2023-04-17T01:39:00"/>
    <s v="Whatsapp"/>
    <s v="Henriette Pfalzheim"/>
    <n v="9712"/>
    <d v="2023-04-17T00:00:00"/>
    <d v="1899-12-30T01:39:00"/>
    <s v="April"/>
    <s v="Monday"/>
    <s v="Outlier"/>
    <x v="42"/>
  </r>
  <r>
    <n v="209068"/>
    <n v="1704"/>
    <s v="USA"/>
    <d v="2023-04-03T23:48:00"/>
    <s v="Whatsapp"/>
    <s v="Diego Freyre"/>
    <n v="119"/>
    <d v="2023-04-03T00:00:00"/>
    <d v="1899-12-30T23:48:00"/>
    <s v="April"/>
    <s v="Monday"/>
    <s v="Outlier"/>
    <x v="25"/>
  </r>
  <r>
    <n v="209185"/>
    <n v="541"/>
    <s v="USA"/>
    <d v="2023-08-28T00:16:00"/>
    <s v="App"/>
    <s v="Diego Freyre"/>
    <n v="4430"/>
    <d v="2023-08-28T00:00:00"/>
    <d v="1899-12-30T00:16:00"/>
    <s v="August"/>
    <s v="Monday"/>
    <s v="Outlier"/>
    <x v="67"/>
  </r>
  <r>
    <n v="211600"/>
    <n v="937"/>
    <s v="Germany"/>
    <d v="2023-08-05T01:16:00"/>
    <s v="Other"/>
    <s v="Michael Holz"/>
    <n v="8720"/>
    <d v="2023-08-05T00:00:00"/>
    <d v="1899-12-30T01:16:00"/>
    <s v="August"/>
    <s v="Saturday"/>
    <s v="Outlier"/>
    <x v="29"/>
  </r>
  <r>
    <n v="213090"/>
    <n v="10"/>
    <s v="Norway"/>
    <d v="2023-10-09T01:03:00"/>
    <s v="Other"/>
    <s v="Jytte Petersen"/>
    <n v="9353"/>
    <d v="2023-10-09T00:00:00"/>
    <d v="1899-12-30T01:03:00"/>
    <s v="October"/>
    <s v="Monday"/>
    <s v="Outlier"/>
    <x v="24"/>
  </r>
  <r>
    <n v="213254"/>
    <n v="1344"/>
    <s v="Spain"/>
    <d v="2023-07-28T00:35:00"/>
    <s v="App"/>
    <s v="Elizabeth Devon"/>
    <n v="3943"/>
    <d v="2023-07-28T00:00:00"/>
    <d v="1899-12-30T00:35:00"/>
    <s v="July"/>
    <s v="Friday"/>
    <s v="Outlier"/>
    <x v="28"/>
  </r>
  <r>
    <n v="213804"/>
    <n v="1473"/>
    <s v="USA"/>
    <d v="2023-07-08T00:49:00"/>
    <s v="App"/>
    <s v="Maurizio Moroni"/>
    <n v="7453"/>
    <d v="2023-07-08T00:00:00"/>
    <d v="1899-12-30T00:49:00"/>
    <s v="July"/>
    <s v="Saturday"/>
    <s v="Outlier"/>
    <x v="28"/>
  </r>
  <r>
    <n v="214073"/>
    <n v="336"/>
    <s v="Spain"/>
    <d v="2023-01-16T01:37:00"/>
    <s v="Whatsapp"/>
    <s v="Miguel Barajas"/>
    <n v="730"/>
    <d v="2023-01-16T00:00:00"/>
    <d v="1899-12-30T01:37:00"/>
    <s v="January"/>
    <s v="Monday"/>
    <s v="Outlier"/>
    <x v="47"/>
  </r>
  <r>
    <n v="214251"/>
    <n v="1952"/>
    <s v="USA"/>
    <d v="2023-04-17T00:57:00"/>
    <s v="Whatsapp"/>
    <s v="Michael Holz"/>
    <n v="492"/>
    <d v="2023-04-17T00:00:00"/>
    <d v="1899-12-30T00:57:00"/>
    <s v="April"/>
    <s v="Monday"/>
    <s v="Outlier"/>
    <x v="22"/>
  </r>
  <r>
    <n v="214516"/>
    <n v="1840"/>
    <s v="USA"/>
    <d v="2023-07-27T23:23:00"/>
    <s v="App"/>
    <s v="Roland Keitel"/>
    <n v="1356"/>
    <d v="2023-07-27T00:00:00"/>
    <d v="1899-12-30T23:23:00"/>
    <s v="July"/>
    <s v="Thursday"/>
    <s v="Outlier"/>
    <x v="69"/>
  </r>
  <r>
    <n v="214557"/>
    <n v="613"/>
    <s v="India"/>
    <d v="2023-06-05T00:28:00"/>
    <s v="Whatsapp"/>
    <s v="Henriette Pfalzheim"/>
    <n v="5981"/>
    <d v="2023-06-05T00:00:00"/>
    <d v="1899-12-30T00:28:00"/>
    <s v="June"/>
    <s v="Monday"/>
    <s v="Outlier"/>
    <x v="66"/>
  </r>
  <r>
    <n v="216256"/>
    <n v="1521"/>
    <s v="USA"/>
    <d v="2023-01-26T00:34:00"/>
    <s v="App"/>
    <s v="Christina Berglund"/>
    <n v="3720"/>
    <d v="2023-01-26T00:00:00"/>
    <d v="1899-12-30T00:34:00"/>
    <s v="January"/>
    <s v="Thursday"/>
    <s v="Outlier"/>
    <x v="51"/>
  </r>
  <r>
    <n v="217952"/>
    <n v="1102"/>
    <s v="India"/>
    <d v="2023-09-24T23:49:00"/>
    <s v="Whatsapp"/>
    <s v="Kwai Yu"/>
    <n v="3521"/>
    <d v="2023-09-24T00:00:00"/>
    <d v="1899-12-30T23:49:00"/>
    <s v="September"/>
    <s v="Sunday"/>
    <s v="Outlier"/>
    <x v="50"/>
  </r>
  <r>
    <n v="218379"/>
    <n v="831"/>
    <s v="Italy"/>
    <d v="2023-02-19T23:18:00"/>
    <s v="App"/>
    <s v="Georg Pipps"/>
    <n v="8241"/>
    <d v="2023-02-19T00:00:00"/>
    <d v="1899-12-30T23:18:00"/>
    <s v="February"/>
    <s v="Sunday"/>
    <s v="Outlier"/>
    <x v="45"/>
  </r>
  <r>
    <n v="219884"/>
    <n v="802"/>
    <s v="France"/>
    <d v="2023-01-19T23:41:00"/>
    <s v="Whatsapp"/>
    <s v="Kalle Suominen"/>
    <n v="2233"/>
    <d v="2023-01-19T00:00:00"/>
    <d v="1899-12-30T23:41:00"/>
    <s v="January"/>
    <s v="Thursday"/>
    <s v="Outlier"/>
    <x v="20"/>
  </r>
  <r>
    <n v="220292"/>
    <n v="1785"/>
    <s v="Singapore"/>
    <d v="2023-05-02T00:25:00"/>
    <s v="Website"/>
    <s v="Leslie Young"/>
    <n v="3987"/>
    <d v="2023-05-02T00:00:00"/>
    <d v="1899-12-30T00:25:00"/>
    <s v="May"/>
    <s v="Tuesday"/>
    <s v="Outlier"/>
    <x v="53"/>
  </r>
  <r>
    <n v="220733"/>
    <n v="1875"/>
    <s v="France"/>
    <d v="2023-01-05T00:11:00"/>
    <s v="Other"/>
    <s v="Maria Larsson"/>
    <n v="6006"/>
    <d v="2023-01-05T00:00:00"/>
    <d v="1899-12-30T00:11:00"/>
    <s v="January"/>
    <s v="Thursday"/>
    <s v="Outlier"/>
    <x v="14"/>
  </r>
  <r>
    <n v="221857"/>
    <n v="1244"/>
    <s v="Spain"/>
    <d v="2023-07-17T01:14:00"/>
    <s v="Other"/>
    <s v="Georg Pipps"/>
    <n v="4142"/>
    <d v="2023-07-17T00:00:00"/>
    <d v="1899-12-30T01:14:00"/>
    <s v="July"/>
    <s v="Monday"/>
    <s v="Outlier"/>
    <x v="1"/>
  </r>
  <r>
    <n v="222114"/>
    <n v="208"/>
    <s v="USA"/>
    <d v="2023-07-13T23:39:00"/>
    <s v="Website"/>
    <s v="Jytte Petersen"/>
    <n v="4738"/>
    <d v="2023-07-13T00:00:00"/>
    <d v="1899-12-30T23:39:00"/>
    <s v="July"/>
    <s v="Thursday"/>
    <s v="Outlier"/>
    <x v="11"/>
  </r>
  <r>
    <n v="224155"/>
    <n v="753"/>
    <s v="USA"/>
    <d v="2023-10-13T00:00:00"/>
    <s v="App"/>
    <s v="Eric Natividad"/>
    <n v="4988"/>
    <d v="2023-10-13T00:00:00"/>
    <d v="1899-12-30T00:00:00"/>
    <s v="October"/>
    <s v="Friday"/>
    <s v="Outlier"/>
    <x v="65"/>
  </r>
  <r>
    <n v="225264"/>
    <n v="1973"/>
    <s v="USA"/>
    <d v="2023-09-17T01:53:00"/>
    <s v="Website"/>
    <s v="Jeff Young"/>
    <n v="5089"/>
    <d v="2023-09-17T00:00:00"/>
    <d v="1899-12-30T01:53:00"/>
    <s v="September"/>
    <s v="Sunday"/>
    <s v="Outlier"/>
    <x v="71"/>
  </r>
  <r>
    <n v="226876"/>
    <n v="150"/>
    <s v="USA"/>
    <d v="2023-01-30T22:50:00"/>
    <s v="App"/>
    <s v="Valarie Nelson"/>
    <n v="17"/>
    <d v="2023-01-30T00:00:00"/>
    <d v="1899-12-30T22:50:00"/>
    <s v="January"/>
    <s v="Monday"/>
    <s v="Outlier"/>
    <x v="34"/>
  </r>
  <r>
    <n v="228177"/>
    <n v="1272"/>
    <s v="Australia"/>
    <d v="2023-05-08T00:53:00"/>
    <s v="Website"/>
    <s v="Diego Freyre"/>
    <n v="8567"/>
    <d v="2023-05-08T00:00:00"/>
    <d v="1899-12-30T00:53:00"/>
    <s v="May"/>
    <s v="Monday"/>
    <s v="Outlier"/>
    <x v="36"/>
  </r>
  <r>
    <n v="228562"/>
    <n v="1812"/>
    <s v="Spain"/>
    <d v="2023-10-09T01:28:00"/>
    <s v="Whatsapp"/>
    <s v="Eric Natividad"/>
    <n v="1733"/>
    <d v="2023-10-09T00:00:00"/>
    <d v="1899-12-30T01:28:00"/>
    <s v="October"/>
    <s v="Monday"/>
    <s v="Outlier"/>
    <x v="22"/>
  </r>
  <r>
    <n v="229056"/>
    <n v="594"/>
    <s v="USA"/>
    <d v="2023-06-06T01:58:00"/>
    <s v="Other"/>
    <s v="Maurizio Moroni"/>
    <n v="4328"/>
    <d v="2023-06-06T00:00:00"/>
    <d v="1899-12-30T01:58:00"/>
    <s v="June"/>
    <s v="Tuesday"/>
    <s v="Outlier"/>
    <x v="30"/>
  </r>
  <r>
    <n v="229843"/>
    <n v="1527"/>
    <s v="Italy"/>
    <d v="2023-03-17T22:58:00"/>
    <s v="Other"/>
    <s v="Wing C Tam"/>
    <n v="4155"/>
    <d v="2023-03-17T00:00:00"/>
    <d v="1899-12-30T22:58:00"/>
    <s v="March"/>
    <s v="Friday"/>
    <s v="Outlier"/>
    <x v="38"/>
  </r>
  <r>
    <n v="231094"/>
    <n v="680"/>
    <s v="USA"/>
    <d v="2023-11-29T00:51:00"/>
    <s v="Other"/>
    <s v="Leslie Murphy"/>
    <n v="7379"/>
    <d v="2023-11-29T00:00:00"/>
    <d v="1899-12-30T00:51:00"/>
    <s v="November"/>
    <s v="Wednesday"/>
    <s v="Outlier"/>
    <x v="49"/>
  </r>
  <r>
    <n v="232129"/>
    <n v="67"/>
    <s v="Italy"/>
    <d v="2023-11-20T23:40:00"/>
    <s v="Other"/>
    <s v="Mary Saveley"/>
    <n v="6264"/>
    <d v="2023-11-20T00:00:00"/>
    <d v="1899-12-30T23:40:00"/>
    <s v="November"/>
    <s v="Monday"/>
    <s v="Outlier"/>
    <x v="66"/>
  </r>
  <r>
    <n v="232261"/>
    <n v="1269"/>
    <s v="Switzerland"/>
    <d v="2023-08-31T22:35:00"/>
    <s v="Whatsapp"/>
    <s v="Dean Cassidy"/>
    <n v="434"/>
    <d v="2023-08-31T00:00:00"/>
    <d v="1899-12-30T22:35:00"/>
    <s v="August"/>
    <s v="Thursday"/>
    <s v="Outlier"/>
    <x v="68"/>
  </r>
  <r>
    <n v="232274"/>
    <n v="1647"/>
    <s v="USA"/>
    <d v="2023-12-22T01:24:00"/>
    <s v="Website"/>
    <s v="Jesus Fernandez"/>
    <n v="8947"/>
    <d v="2023-12-22T00:00:00"/>
    <d v="1899-12-30T01:24:00"/>
    <s v="December"/>
    <s v="Friday"/>
    <s v="Outlier"/>
    <x v="13"/>
  </r>
  <r>
    <n v="233409"/>
    <n v="1393"/>
    <s v="Italy"/>
    <d v="2023-11-01T23:05:00"/>
    <s v="Website"/>
    <s v="Kalle Suominen"/>
    <n v="9750"/>
    <d v="2023-11-01T00:00:00"/>
    <d v="1899-12-30T23:05:00"/>
    <s v="November"/>
    <s v="Wednesday"/>
    <s v="Outlier"/>
    <x v="15"/>
  </r>
  <r>
    <n v="233843"/>
    <n v="1577"/>
    <s v="France"/>
    <d v="2023-04-23T00:58:00"/>
    <s v="Website"/>
    <s v="Kyung Yu"/>
    <n v="6392"/>
    <d v="2023-04-23T00:00:00"/>
    <d v="1899-12-30T00:58:00"/>
    <s v="April"/>
    <s v="Sunday"/>
    <s v="Outlier"/>
    <x v="39"/>
  </r>
  <r>
    <n v="234705"/>
    <n v="1367"/>
    <s v="Italy"/>
    <d v="2023-09-15T00:01:00"/>
    <s v="Other"/>
    <s v="Valarie Nelson"/>
    <n v="1662"/>
    <d v="2023-09-15T00:00:00"/>
    <d v="1899-12-30T00:01:00"/>
    <s v="September"/>
    <s v="Friday"/>
    <s v="Outlier"/>
    <x v="5"/>
  </r>
  <r>
    <n v="235219"/>
    <n v="1829"/>
    <s v="Australia"/>
    <d v="2023-11-06T00:54:00"/>
    <s v="Website"/>
    <s v="Paolo Accorti"/>
    <n v="4965"/>
    <d v="2023-11-06T00:00:00"/>
    <d v="1899-12-30T00:54:00"/>
    <s v="November"/>
    <s v="Monday"/>
    <s v="Outlier"/>
    <x v="43"/>
  </r>
  <r>
    <n v="235760"/>
    <n v="1816"/>
    <s v="Spain"/>
    <d v="2023-11-20T00:57:00"/>
    <s v="Website"/>
    <s v="Victoria Ashworth"/>
    <n v="4835"/>
    <d v="2023-11-20T00:00:00"/>
    <d v="1899-12-30T00:57:00"/>
    <s v="November"/>
    <s v="Monday"/>
    <s v="Outlier"/>
    <x v="21"/>
  </r>
  <r>
    <n v="237369"/>
    <n v="401"/>
    <s v="India"/>
    <d v="2023-05-10T00:23:00"/>
    <s v="App"/>
    <s v="Palle Ibsen"/>
    <n v="2313"/>
    <d v="2023-05-10T00:00:00"/>
    <d v="1899-12-30T00:23:00"/>
    <s v="May"/>
    <s v="Wednesday"/>
    <s v="Outlier"/>
    <x v="40"/>
  </r>
  <r>
    <n v="238602"/>
    <n v="153"/>
    <s v="USA"/>
    <d v="2023-04-01T01:12:00"/>
    <s v="Website"/>
    <s v="Jonas Bergulfsen"/>
    <n v="951"/>
    <d v="2023-04-01T00:00:00"/>
    <d v="1899-12-30T01:12:00"/>
    <s v="April"/>
    <s v="Saturday"/>
    <s v="Outlier"/>
    <x v="11"/>
  </r>
  <r>
    <n v="238793"/>
    <n v="1574"/>
    <s v="Austria"/>
    <d v="2023-04-10T02:05:00"/>
    <s v="Whatsapp"/>
    <s v="Marie Bertrand"/>
    <n v="3650"/>
    <d v="2023-04-10T00:00:00"/>
    <d v="1899-12-30T02:05:00"/>
    <s v="April"/>
    <s v="Monday"/>
    <s v="Outlier"/>
    <x v="40"/>
  </r>
  <r>
    <n v="238839"/>
    <n v="766"/>
    <s v="USA"/>
    <d v="2023-06-15T00:52:00"/>
    <s v="App"/>
    <s v="Jeff Young"/>
    <n v="1367"/>
    <d v="2023-06-15T00:00:00"/>
    <d v="1899-12-30T00:52:00"/>
    <s v="June"/>
    <s v="Thursday"/>
    <s v="Outlier"/>
    <x v="20"/>
  </r>
  <r>
    <n v="241257"/>
    <n v="1374"/>
    <s v="France"/>
    <d v="2023-04-11T01:34:00"/>
    <s v="Other"/>
    <s v="Paul Henriot"/>
    <n v="6819"/>
    <d v="2023-04-11T00:00:00"/>
    <d v="1899-12-30T01:34:00"/>
    <s v="April"/>
    <s v="Tuesday"/>
    <s v="Outlier"/>
    <x v="16"/>
  </r>
  <r>
    <n v="241334"/>
    <n v="864"/>
    <s v="USA"/>
    <d v="2023-01-13T00:39:00"/>
    <s v="Whatsapp"/>
    <s v="Akiko Shimamura"/>
    <n v="3422"/>
    <d v="2023-01-13T00:00:00"/>
    <d v="1899-12-30T00:39:00"/>
    <s v="January"/>
    <s v="Friday"/>
    <s v="Outlier"/>
    <x v="61"/>
  </r>
  <r>
    <n v="242256"/>
    <n v="504"/>
    <s v="Finland"/>
    <d v="2023-07-16T01:51:00"/>
    <s v="Other"/>
    <s v="Valarie Nelson"/>
    <n v="3986"/>
    <d v="2023-07-16T00:00:00"/>
    <d v="1899-12-30T01:51:00"/>
    <s v="July"/>
    <s v="Sunday"/>
    <s v="Outlier"/>
    <x v="68"/>
  </r>
  <r>
    <n v="243319"/>
    <n v="818"/>
    <s v="France"/>
    <d v="2023-05-26T23:22:00"/>
    <s v="Whatsapp"/>
    <s v="Valarie Nelson"/>
    <n v="2539"/>
    <d v="2023-05-26T00:00:00"/>
    <d v="1899-12-30T23:22:00"/>
    <s v="May"/>
    <s v="Friday"/>
    <s v="Outlier"/>
    <x v="27"/>
  </r>
  <r>
    <n v="243485"/>
    <n v="633"/>
    <s v="France"/>
    <d v="2023-07-12T00:16:00"/>
    <s v="Website"/>
    <s v="Julie King"/>
    <n v="6552"/>
    <d v="2023-07-12T00:00:00"/>
    <d v="1899-12-30T00:16:00"/>
    <s v="July"/>
    <s v="Wednesday"/>
    <s v="Outlier"/>
    <x v="51"/>
  </r>
  <r>
    <n v="245474"/>
    <n v="40"/>
    <s v="Australia"/>
    <d v="2023-11-18T23:13:00"/>
    <s v="Other"/>
    <s v="Arnold Cruz"/>
    <n v="3933"/>
    <d v="2023-11-18T00:00:00"/>
    <d v="1899-12-30T23:13:00"/>
    <s v="November"/>
    <s v="Saturday"/>
    <s v="Outlier"/>
    <x v="2"/>
  </r>
  <r>
    <n v="246033"/>
    <n v="1715"/>
    <s v="USA"/>
    <d v="2023-12-05T23:33:00"/>
    <s v="Other"/>
    <s v="Laurence Lebihan"/>
    <n v="5126"/>
    <d v="2023-12-05T00:00:00"/>
    <d v="1899-12-30T23:33:00"/>
    <s v="December"/>
    <s v="Tuesday"/>
    <s v="Outlier"/>
    <x v="10"/>
  </r>
  <r>
    <n v="246834"/>
    <n v="808"/>
    <s v="USA"/>
    <d v="2023-07-27T00:34:00"/>
    <s v="Other"/>
    <s v="Valarie Nelson"/>
    <n v="9507"/>
    <d v="2023-07-27T00:00:00"/>
    <d v="1899-12-30T00:34:00"/>
    <s v="July"/>
    <s v="Thursday"/>
    <s v="Outlier"/>
    <x v="10"/>
  </r>
  <r>
    <n v="246988"/>
    <n v="243"/>
    <s v="USA"/>
    <d v="2023-06-15T00:40:00"/>
    <s v="Whatsapp"/>
    <s v="Allen Nelson"/>
    <n v="4264"/>
    <d v="2023-06-15T00:00:00"/>
    <d v="1899-12-30T00:40:00"/>
    <s v="June"/>
    <s v="Thursday"/>
    <s v="Outlier"/>
    <x v="65"/>
  </r>
  <r>
    <n v="247011"/>
    <n v="1809"/>
    <s v="USA"/>
    <d v="2023-12-11T23:29:00"/>
    <s v="Website"/>
    <s v="Julie Brown"/>
    <n v="4533"/>
    <d v="2023-12-11T00:00:00"/>
    <d v="1899-12-30T23:29:00"/>
    <s v="December"/>
    <s v="Monday"/>
    <s v="Outlier"/>
    <x v="56"/>
  </r>
  <r>
    <n v="247239"/>
    <n v="1643"/>
    <s v="Australia"/>
    <d v="2023-03-21T01:42:00"/>
    <s v="Website"/>
    <s v="Anna O'Hara"/>
    <n v="9225"/>
    <d v="2023-03-21T00:00:00"/>
    <d v="1899-12-30T01:42:00"/>
    <s v="March"/>
    <s v="Tuesday"/>
    <s v="Outlier"/>
    <x v="3"/>
  </r>
  <r>
    <n v="248737"/>
    <n v="109"/>
    <s v="USA"/>
    <d v="2023-03-15T00:38:00"/>
    <s v="Website"/>
    <s v="Veysel Oeztan"/>
    <n v="1887"/>
    <d v="2023-03-15T00:00:00"/>
    <d v="1899-12-30T00:38:00"/>
    <s v="March"/>
    <s v="Wednesday"/>
    <s v="Outlier"/>
    <x v="24"/>
  </r>
  <r>
    <n v="250181"/>
    <n v="1583"/>
    <s v="Singapore"/>
    <d v="2023-04-20T00:12:00"/>
    <s v="Other"/>
    <s v="Henriette Pfalzheim"/>
    <n v="4036"/>
    <d v="2023-04-20T00:00:00"/>
    <d v="1899-12-30T00:12:00"/>
    <s v="April"/>
    <s v="Thursday"/>
    <s v="Outlier"/>
    <x v="38"/>
  </r>
  <r>
    <n v="251278"/>
    <n v="1591"/>
    <s v="USA"/>
    <d v="2023-04-02T23:05:00"/>
    <s v="Other"/>
    <s v="Diego Freyre"/>
    <n v="2551"/>
    <d v="2023-04-02T00:00:00"/>
    <d v="1899-12-30T23:05:00"/>
    <s v="April"/>
    <s v="Sunday"/>
    <s v="Outlier"/>
    <x v="57"/>
  </r>
  <r>
    <n v="251865"/>
    <n v="414"/>
    <s v="India"/>
    <d v="2023-12-07T23:06:00"/>
    <s v="Whatsapp"/>
    <s v="Dominique Perrier"/>
    <n v="6149"/>
    <d v="2023-12-07T00:00:00"/>
    <d v="1899-12-30T23:06:00"/>
    <s v="December"/>
    <s v="Thursday"/>
    <s v="Outlier"/>
    <x v="46"/>
  </r>
  <r>
    <n v="251999"/>
    <n v="317"/>
    <s v="France"/>
    <d v="2023-11-02T00:18:00"/>
    <s v="Other"/>
    <s v="Michael Holz"/>
    <n v="8817"/>
    <d v="2023-11-02T00:00:00"/>
    <d v="1899-12-30T00:18:00"/>
    <s v="November"/>
    <s v="Thursday"/>
    <s v="Outlier"/>
    <x v="32"/>
  </r>
  <r>
    <n v="252920"/>
    <n v="298"/>
    <s v="Spain"/>
    <d v="2023-07-27T00:48:00"/>
    <s v="Website"/>
    <s v="Jytte Petersen"/>
    <n v="5044"/>
    <d v="2023-07-27T00:00:00"/>
    <d v="1899-12-30T00:48:00"/>
    <s v="July"/>
    <s v="Thursday"/>
    <s v="Outlier"/>
    <x v="6"/>
  </r>
  <r>
    <n v="253281"/>
    <n v="1725"/>
    <s v="USA"/>
    <d v="2023-08-15T23:45:00"/>
    <s v="App"/>
    <s v="Elizabeth Devon"/>
    <n v="8869"/>
    <d v="2023-08-15T00:00:00"/>
    <d v="1899-12-30T23:45:00"/>
    <s v="August"/>
    <s v="Tuesday"/>
    <s v="Outlier"/>
    <x v="49"/>
  </r>
  <r>
    <n v="253341"/>
    <n v="1663"/>
    <s v="Austria"/>
    <d v="2023-06-01T01:39:00"/>
    <s v="Website"/>
    <s v="Maurizio Moroni"/>
    <n v="6399"/>
    <d v="2023-06-01T00:00:00"/>
    <d v="1899-12-30T01:39:00"/>
    <s v="June"/>
    <s v="Thursday"/>
    <s v="Outlier"/>
    <x v="52"/>
  </r>
  <r>
    <n v="254112"/>
    <n v="1975"/>
    <s v="USA"/>
    <d v="2023-09-07T23:46:00"/>
    <s v="App"/>
    <s v="Miguel Barajas"/>
    <n v="2037"/>
    <d v="2023-09-07T00:00:00"/>
    <d v="1899-12-30T23:46:00"/>
    <s v="September"/>
    <s v="Thursday"/>
    <s v="Outlier"/>
    <x v="28"/>
  </r>
  <r>
    <n v="254795"/>
    <n v="1357"/>
    <s v="Ireland"/>
    <d v="2023-05-28T01:23:00"/>
    <s v="Other"/>
    <s v="Michael Holz"/>
    <n v="7938"/>
    <d v="2023-05-28T00:00:00"/>
    <d v="1899-12-30T01:23:00"/>
    <s v="May"/>
    <s v="Sunday"/>
    <s v="Outlier"/>
    <x v="64"/>
  </r>
  <r>
    <n v="255781"/>
    <n v="847"/>
    <s v="India"/>
    <d v="2023-08-26T22:47:00"/>
    <s v="Other"/>
    <s v="Roland Keitel"/>
    <n v="298"/>
    <d v="2023-08-26T00:00:00"/>
    <d v="1899-12-30T22:47:00"/>
    <s v="August"/>
    <s v="Saturday"/>
    <s v="Outlier"/>
    <x v="15"/>
  </r>
  <r>
    <n v="257849"/>
    <n v="27"/>
    <s v="USA"/>
    <d v="2023-12-24T00:47:00"/>
    <s v="Other"/>
    <s v="Henriette Pfalzheim"/>
    <n v="1534"/>
    <d v="2023-12-24T00:00:00"/>
    <d v="1899-12-30T00:47:00"/>
    <s v="December"/>
    <s v="Sunday"/>
    <s v="Outlier"/>
    <x v="50"/>
  </r>
  <r>
    <n v="258070"/>
    <n v="295"/>
    <s v="India"/>
    <d v="2023-11-16T23:55:00"/>
    <s v="App"/>
    <s v="Christina Berglund"/>
    <n v="3890"/>
    <d v="2023-11-16T00:00:00"/>
    <d v="1899-12-30T23:55:00"/>
    <s v="November"/>
    <s v="Thursday"/>
    <s v="Outlier"/>
    <x v="60"/>
  </r>
  <r>
    <n v="259823"/>
    <n v="1557"/>
    <s v="USA"/>
    <d v="2023-09-03T23:18:00"/>
    <s v="Website"/>
    <s v="Kwai Yu"/>
    <n v="5762"/>
    <d v="2023-09-03T00:00:00"/>
    <d v="1899-12-30T23:18:00"/>
    <s v="September"/>
    <s v="Sunday"/>
    <s v="Outlier"/>
    <x v="9"/>
  </r>
  <r>
    <n v="260160"/>
    <n v="1525"/>
    <s v="Italy"/>
    <d v="2023-11-30T00:48:00"/>
    <s v="Website"/>
    <s v="Georg Pipps"/>
    <n v="586"/>
    <d v="2023-11-30T00:00:00"/>
    <d v="1899-12-30T00:48:00"/>
    <s v="November"/>
    <s v="Thursday"/>
    <s v="Outlier"/>
    <x v="27"/>
  </r>
  <r>
    <n v="260615"/>
    <n v="1539"/>
    <s v="USA"/>
    <d v="2023-04-10T23:31:00"/>
    <s v="App"/>
    <s v="Kalle Suominen"/>
    <n v="3646"/>
    <d v="2023-04-10T00:00:00"/>
    <d v="1899-12-30T23:31:00"/>
    <s v="April"/>
    <s v="Monday"/>
    <s v="Outlier"/>
    <x v="38"/>
  </r>
  <r>
    <n v="260991"/>
    <n v="1916"/>
    <s v="Switzerland"/>
    <d v="2023-02-22T00:19:00"/>
    <s v="Website"/>
    <s v="Matti Karttunen"/>
    <n v="8257"/>
    <d v="2023-02-22T00:00:00"/>
    <d v="1899-12-30T00:19:00"/>
    <s v="February"/>
    <s v="Wednesday"/>
    <s v="Outlier"/>
    <x v="6"/>
  </r>
  <r>
    <n v="261671"/>
    <n v="1566"/>
    <s v="USA"/>
    <d v="2023-08-21T23:32:00"/>
    <s v="App"/>
    <s v="Maria Larsson"/>
    <n v="7957"/>
    <d v="2023-08-21T00:00:00"/>
    <d v="1899-12-30T23:32:00"/>
    <s v="August"/>
    <s v="Monday"/>
    <s v="Outlier"/>
    <x v="71"/>
  </r>
  <r>
    <n v="262192"/>
    <n v="418"/>
    <s v="Singapore"/>
    <d v="2023-08-26T22:54:00"/>
    <s v="Whatsapp"/>
    <s v="Georg Pipps"/>
    <n v="6532"/>
    <d v="2023-08-26T00:00:00"/>
    <d v="1899-12-30T22:54:00"/>
    <s v="August"/>
    <s v="Saturday"/>
    <s v="Outlier"/>
    <x v="13"/>
  </r>
  <r>
    <n v="262661"/>
    <n v="1604"/>
    <s v="Spain"/>
    <d v="2023-06-17T23:51:00"/>
    <s v="Website"/>
    <s v="Diego Freyre"/>
    <n v="2871"/>
    <d v="2023-06-17T00:00:00"/>
    <d v="1899-12-30T23:51:00"/>
    <s v="June"/>
    <s v="Saturday"/>
    <s v="Outlier"/>
    <x v="15"/>
  </r>
  <r>
    <n v="262946"/>
    <n v="1835"/>
    <s v="Finland"/>
    <d v="2023-08-28T23:25:00"/>
    <s v="Whatsapp"/>
    <s v="Maria Hernandez"/>
    <n v="934"/>
    <d v="2023-08-28T00:00:00"/>
    <d v="1899-12-30T23:25:00"/>
    <s v="August"/>
    <s v="Monday"/>
    <s v="Outlier"/>
    <x v="64"/>
  </r>
  <r>
    <n v="264917"/>
    <n v="1281"/>
    <s v="Spain"/>
    <d v="2023-07-23T00:15:00"/>
    <s v="Website"/>
    <s v="Jeff Young"/>
    <n v="1214"/>
    <d v="2023-07-23T00:00:00"/>
    <d v="1899-12-30T00:15:00"/>
    <s v="July"/>
    <s v="Sunday"/>
    <s v="Outlier"/>
    <x v="57"/>
  </r>
  <r>
    <n v="265772"/>
    <n v="396"/>
    <s v="Spain"/>
    <d v="2023-12-11T00:52:00"/>
    <s v="App"/>
    <s v="Kalle Suominen"/>
    <n v="553"/>
    <d v="2023-12-11T00:00:00"/>
    <d v="1899-12-30T00:52:00"/>
    <s v="December"/>
    <s v="Monday"/>
    <s v="Outlier"/>
    <x v="62"/>
  </r>
  <r>
    <n v="267881"/>
    <n v="1284"/>
    <s v="Spain"/>
    <d v="2023-10-23T00:17:00"/>
    <s v="Whatsapp"/>
    <s v="Pirkko Koskitalo"/>
    <n v="395"/>
    <d v="2023-10-23T00:00:00"/>
    <d v="1899-12-30T00:17:00"/>
    <s v="October"/>
    <s v="Monday"/>
    <s v="Outlier"/>
    <x v="38"/>
  </r>
  <r>
    <n v="268063"/>
    <n v="775"/>
    <s v="Singapore"/>
    <d v="2023-01-30T01:58:00"/>
    <s v="Whatsapp"/>
    <s v="Eric Natividad"/>
    <n v="4938"/>
    <d v="2023-01-30T00:00:00"/>
    <d v="1899-12-30T01:58:00"/>
    <s v="January"/>
    <s v="Monday"/>
    <s v="Outlier"/>
    <x v="17"/>
  </r>
  <r>
    <n v="268418"/>
    <n v="1123"/>
    <s v="France"/>
    <d v="2023-07-28T23:32:00"/>
    <s v="App"/>
    <s v="Ann Brown"/>
    <n v="8306"/>
    <d v="2023-07-28T00:00:00"/>
    <d v="1899-12-30T23:32:00"/>
    <s v="July"/>
    <s v="Friday"/>
    <s v="Outlier"/>
    <x v="26"/>
  </r>
  <r>
    <n v="268811"/>
    <n v="519"/>
    <s v="France"/>
    <d v="2023-02-06T01:33:00"/>
    <s v="Other"/>
    <s v="Jose Pedro Roel"/>
    <n v="9147"/>
    <d v="2023-02-06T00:00:00"/>
    <d v="1899-12-30T01:33:00"/>
    <s v="February"/>
    <s v="Monday"/>
    <s v="Outlier"/>
    <x v="41"/>
  </r>
  <r>
    <n v="268861"/>
    <n v="919"/>
    <s v="Denmark"/>
    <d v="2023-07-09T01:00:00"/>
    <s v="App"/>
    <s v="Steve Frick"/>
    <n v="4370"/>
    <d v="2023-07-09T00:00:00"/>
    <d v="1899-12-30T01:00:00"/>
    <s v="July"/>
    <s v="Sunday"/>
    <s v="Outlier"/>
    <x v="18"/>
  </r>
  <r>
    <n v="271858"/>
    <n v="1634"/>
    <s v="Spain"/>
    <d v="2023-12-06T00:02:00"/>
    <s v="App"/>
    <s v="Valarie Franco"/>
    <n v="1755"/>
    <d v="2023-12-06T00:00:00"/>
    <d v="1899-12-30T00:02:00"/>
    <s v="December"/>
    <s v="Wednesday"/>
    <s v="Outlier"/>
    <x v="6"/>
  </r>
  <r>
    <n v="272165"/>
    <n v="1133"/>
    <s v="India"/>
    <d v="2023-04-04T01:16:00"/>
    <s v="Other"/>
    <s v="Sue Taylor"/>
    <n v="6204"/>
    <d v="2023-04-04T00:00:00"/>
    <d v="1899-12-30T01:16:00"/>
    <s v="April"/>
    <s v="Tuesday"/>
    <s v="Outlier"/>
    <x v="0"/>
  </r>
  <r>
    <n v="272174"/>
    <n v="105"/>
    <s v="USA"/>
    <d v="2023-06-20T01:08:00"/>
    <s v="Whatsapp"/>
    <s v="Valarie Nelson"/>
    <n v="5045"/>
    <d v="2023-06-20T00:00:00"/>
    <d v="1899-12-30T01:08:00"/>
    <s v="June"/>
    <s v="Tuesday"/>
    <s v="Outlier"/>
    <x v="16"/>
  </r>
  <r>
    <n v="272255"/>
    <n v="187"/>
    <s v="France"/>
    <d v="2023-05-15T23:47:00"/>
    <s v="Whatsapp"/>
    <s v="Diego Freyre"/>
    <n v="1181"/>
    <d v="2023-05-15T00:00:00"/>
    <d v="1899-12-30T23:47:00"/>
    <s v="May"/>
    <s v="Monday"/>
    <s v="Outlier"/>
    <x v="17"/>
  </r>
  <r>
    <n v="273538"/>
    <n v="1944"/>
    <s v="Spain"/>
    <d v="2023-02-18T23:43:00"/>
    <s v="Other"/>
    <s v="Wendy Victorino"/>
    <n v="5193"/>
    <d v="2023-02-18T00:00:00"/>
    <d v="1899-12-30T23:43:00"/>
    <s v="February"/>
    <s v="Saturday"/>
    <s v="Outlier"/>
    <x v="43"/>
  </r>
  <r>
    <n v="273817"/>
    <n v="530"/>
    <s v="Australia"/>
    <d v="2023-05-05T01:21:00"/>
    <s v="Website"/>
    <s v="Valarie Nelson"/>
    <n v="4051"/>
    <d v="2023-05-05T00:00:00"/>
    <d v="1899-12-30T01:21:00"/>
    <s v="May"/>
    <s v="Friday"/>
    <s v="Outlier"/>
    <x v="12"/>
  </r>
  <r>
    <n v="273923"/>
    <n v="1911"/>
    <s v="Australia"/>
    <d v="2023-01-31T00:58:00"/>
    <s v="Website"/>
    <s v="Kyung Yu"/>
    <n v="4736"/>
    <d v="2023-01-31T00:00:00"/>
    <d v="1899-12-30T00:58:00"/>
    <s v="January"/>
    <s v="Tuesday"/>
    <s v="Outlier"/>
    <x v="61"/>
  </r>
  <r>
    <n v="275855"/>
    <n v="869"/>
    <s v="Austria"/>
    <d v="2023-08-24T23:51:00"/>
    <s v="App"/>
    <s v="Kwai Yu"/>
    <n v="7700"/>
    <d v="2023-08-24T00:00:00"/>
    <d v="1899-12-30T23:51:00"/>
    <s v="August"/>
    <s v="Thursday"/>
    <s v="Outlier"/>
    <x v="72"/>
  </r>
  <r>
    <n v="275961"/>
    <n v="679"/>
    <s v="Singapore"/>
    <d v="2023-11-18T23:58:00"/>
    <s v="Website"/>
    <s v="Marta Hernandez"/>
    <n v="2936"/>
    <d v="2023-11-18T00:00:00"/>
    <d v="1899-12-30T23:58:00"/>
    <s v="November"/>
    <s v="Saturday"/>
    <s v="Outlier"/>
    <x v="6"/>
  </r>
  <r>
    <n v="276276"/>
    <n v="1442"/>
    <s v="USA"/>
    <d v="2023-09-05T01:29:00"/>
    <s v="Website"/>
    <s v="Palle Ibsen"/>
    <n v="5165"/>
    <d v="2023-09-05T00:00:00"/>
    <d v="1899-12-30T01:29:00"/>
    <s v="September"/>
    <s v="Tuesday"/>
    <s v="Outlier"/>
    <x v="43"/>
  </r>
  <r>
    <n v="276403"/>
    <n v="1356"/>
    <s v="USA"/>
    <d v="2023-09-14T23:58:00"/>
    <s v="Website"/>
    <s v="Michael Frick"/>
    <n v="8633"/>
    <d v="2023-09-14T00:00:00"/>
    <d v="1899-12-30T23:58:00"/>
    <s v="September"/>
    <s v="Thursday"/>
    <s v="Outlier"/>
    <x v="47"/>
  </r>
  <r>
    <n v="276698"/>
    <n v="43"/>
    <s v="Singapore"/>
    <d v="2023-05-11T01:05:00"/>
    <s v="Other"/>
    <s v="Marie Bertrand"/>
    <n v="9942"/>
    <d v="2023-05-11T00:00:00"/>
    <d v="1899-12-30T01:05:00"/>
    <s v="May"/>
    <s v="Thursday"/>
    <s v="Outlier"/>
    <x v="39"/>
  </r>
  <r>
    <n v="277038"/>
    <n v="1677"/>
    <s v="Italy"/>
    <d v="2023-08-01T22:32:00"/>
    <s v="Website"/>
    <s v="Jeff Young"/>
    <n v="2455"/>
    <d v="2023-08-01T00:00:00"/>
    <d v="1899-12-30T22:32:00"/>
    <s v="August"/>
    <s v="Tuesday"/>
    <s v="Outlier"/>
    <x v="66"/>
  </r>
  <r>
    <n v="279106"/>
    <n v="104"/>
    <s v="Australia"/>
    <d v="2023-01-14T00:54:00"/>
    <s v="Website"/>
    <s v="Diego Freyre"/>
    <n v="4768"/>
    <d v="2023-01-14T00:00:00"/>
    <d v="1899-12-30T00:54:00"/>
    <s v="January"/>
    <s v="Saturday"/>
    <s v="Outlier"/>
    <x v="7"/>
  </r>
  <r>
    <n v="279515"/>
    <n v="713"/>
    <s v="Finland"/>
    <d v="2023-09-15T23:00:00"/>
    <s v="App"/>
    <s v="Valarie Nelson"/>
    <n v="4633"/>
    <d v="2023-09-15T00:00:00"/>
    <d v="1899-12-30T23:00:00"/>
    <s v="September"/>
    <s v="Friday"/>
    <s v="Outlier"/>
    <x v="20"/>
  </r>
  <r>
    <n v="279963"/>
    <n v="1775"/>
    <s v="USA"/>
    <d v="2023-10-27T00:04:00"/>
    <s v="App"/>
    <s v="Valarie Nelson"/>
    <n v="7812"/>
    <d v="2023-10-27T00:00:00"/>
    <d v="1899-12-30T00:04:00"/>
    <s v="October"/>
    <s v="Friday"/>
    <s v="Outlier"/>
    <x v="53"/>
  </r>
  <r>
    <n v="280459"/>
    <n v="457"/>
    <s v="Denmark"/>
    <d v="2023-09-26T23:42:00"/>
    <s v="Whatsapp"/>
    <s v="Diego Freyre"/>
    <n v="3197"/>
    <d v="2023-09-26T00:00:00"/>
    <d v="1899-12-30T23:42:00"/>
    <s v="September"/>
    <s v="Tuesday"/>
    <s v="Outlier"/>
    <x v="26"/>
  </r>
  <r>
    <n v="280739"/>
    <n v="138"/>
    <s v="USA"/>
    <d v="2023-07-06T23:37:00"/>
    <s v="Whatsapp"/>
    <s v="Janine Labrune"/>
    <n v="2453"/>
    <d v="2023-07-06T00:00:00"/>
    <d v="1899-12-30T23:37:00"/>
    <s v="July"/>
    <s v="Thursday"/>
    <s v="Outlier"/>
    <x v="18"/>
  </r>
  <r>
    <n v="281193"/>
    <n v="1522"/>
    <s v="USA"/>
    <d v="2023-03-17T00:14:00"/>
    <s v="Website"/>
    <s v="Arnold Cruz"/>
    <n v="6173"/>
    <d v="2023-03-17T00:00:00"/>
    <d v="1899-12-30T00:14:00"/>
    <s v="March"/>
    <s v="Friday"/>
    <s v="Outlier"/>
    <x v="49"/>
  </r>
  <r>
    <n v="281454"/>
    <n v="1413"/>
    <s v="Spain"/>
    <d v="2023-09-17T23:51:00"/>
    <s v="Other"/>
    <s v="Laurence Lebihan"/>
    <n v="5802"/>
    <d v="2023-09-17T00:00:00"/>
    <d v="1899-12-30T23:51:00"/>
    <s v="September"/>
    <s v="Sunday"/>
    <s v="Outlier"/>
    <x v="47"/>
  </r>
  <r>
    <n v="281813"/>
    <n v="331"/>
    <s v="Singapore"/>
    <d v="2023-06-21T01:58:00"/>
    <s v="App"/>
    <s v="Valarie Nelson"/>
    <n v="5117"/>
    <d v="2023-06-21T00:00:00"/>
    <d v="1899-12-30T01:58:00"/>
    <s v="June"/>
    <s v="Wednesday"/>
    <s v="Outlier"/>
    <x v="32"/>
  </r>
  <r>
    <n v="283066"/>
    <n v="956"/>
    <s v="France"/>
    <d v="2023-02-06T01:53:00"/>
    <s v="App"/>
    <s v="Allen Nelson"/>
    <n v="5819"/>
    <d v="2023-02-06T00:00:00"/>
    <d v="1899-12-30T01:53:00"/>
    <s v="February"/>
    <s v="Monday"/>
    <s v="Outlier"/>
    <x v="18"/>
  </r>
  <r>
    <n v="283068"/>
    <n v="1967"/>
    <s v="Spain"/>
    <d v="2023-11-29T00:12:00"/>
    <s v="Other"/>
    <s v="Michael Chandler"/>
    <n v="3805"/>
    <d v="2023-11-29T00:00:00"/>
    <d v="1899-12-30T00:12:00"/>
    <s v="November"/>
    <s v="Wednesday"/>
    <s v="Outlier"/>
    <x v="20"/>
  </r>
  <r>
    <n v="283610"/>
    <n v="1401"/>
    <s v="Finland"/>
    <d v="2023-01-30T23:52:00"/>
    <s v="Whatsapp"/>
    <s v="Roland Mendel"/>
    <n v="3862"/>
    <d v="2023-01-30T00:00:00"/>
    <d v="1899-12-30T23:52:00"/>
    <s v="January"/>
    <s v="Monday"/>
    <s v="Outlier"/>
    <x v="62"/>
  </r>
  <r>
    <n v="284363"/>
    <n v="100"/>
    <s v="Ireland"/>
    <d v="2023-03-21T23:28:00"/>
    <s v="Website"/>
    <s v="Veysel Oeztan"/>
    <n v="3844"/>
    <d v="2023-03-21T00:00:00"/>
    <d v="1899-12-30T23:28:00"/>
    <s v="March"/>
    <s v="Tuesday"/>
    <s v="Outlier"/>
    <x v="67"/>
  </r>
  <r>
    <n v="284974"/>
    <n v="1218"/>
    <s v="USA"/>
    <d v="2023-09-11T01:36:00"/>
    <s v="Website"/>
    <s v="Valarie Young"/>
    <n v="5755"/>
    <d v="2023-09-11T00:00:00"/>
    <d v="1899-12-30T01:36:00"/>
    <s v="September"/>
    <s v="Monday"/>
    <s v="Outlier"/>
    <x v="17"/>
  </r>
  <r>
    <n v="286598"/>
    <n v="1903"/>
    <s v="Australia"/>
    <d v="2023-03-12T00:54:00"/>
    <s v="Whatsapp"/>
    <s v="Diego Freyre"/>
    <n v="8252"/>
    <d v="2023-03-12T00:00:00"/>
    <d v="1899-12-30T00:54:00"/>
    <s v="March"/>
    <s v="Sunday"/>
    <s v="Outlier"/>
    <x v="37"/>
  </r>
  <r>
    <n v="287761"/>
    <n v="91"/>
    <s v="Spain"/>
    <d v="2023-05-07T01:19:00"/>
    <s v="App"/>
    <s v="Diego Freyre"/>
    <n v="3891"/>
    <d v="2023-05-07T00:00:00"/>
    <d v="1899-12-30T01:19:00"/>
    <s v="May"/>
    <s v="Sunday"/>
    <s v="Outlier"/>
    <x v="57"/>
  </r>
  <r>
    <n v="288186"/>
    <n v="415"/>
    <s v="India"/>
    <d v="2023-05-30T23:57:00"/>
    <s v="Whatsapp"/>
    <s v="Michael Holz"/>
    <n v="4166"/>
    <d v="2023-05-30T00:00:00"/>
    <d v="1899-12-30T23:57:00"/>
    <s v="May"/>
    <s v="Tuesday"/>
    <s v="Outlier"/>
    <x v="52"/>
  </r>
  <r>
    <n v="288332"/>
    <n v="1069"/>
    <s v="Australia"/>
    <d v="2023-01-16T00:23:00"/>
    <s v="Website"/>
    <s v="Pirkko Koskitalo"/>
    <n v="610"/>
    <d v="2023-01-16T00:00:00"/>
    <d v="1899-12-30T00:23:00"/>
    <s v="January"/>
    <s v="Monday"/>
    <s v="Outlier"/>
    <x v="16"/>
  </r>
  <r>
    <n v="288335"/>
    <n v="1703"/>
    <s v="France"/>
    <d v="2023-07-15T00:46:00"/>
    <s v="Other"/>
    <s v="Elizabeth Devon"/>
    <n v="362"/>
    <d v="2023-07-15T00:00:00"/>
    <d v="1899-12-30T00:46:00"/>
    <s v="July"/>
    <s v="Saturday"/>
    <s v="Outlier"/>
    <x v="67"/>
  </r>
  <r>
    <n v="289882"/>
    <n v="1177"/>
    <s v="Denmark"/>
    <d v="2023-11-04T01:04:00"/>
    <s v="Whatsapp"/>
    <s v="Maurizio Moroni"/>
    <n v="4569"/>
    <d v="2023-11-04T00:00:00"/>
    <d v="1899-12-30T01:04:00"/>
    <s v="November"/>
    <s v="Saturday"/>
    <s v="Outlier"/>
    <x v="70"/>
  </r>
  <r>
    <n v="289906"/>
    <n v="1349"/>
    <s v="Australia"/>
    <d v="2023-04-15T23:54:00"/>
    <s v="Other"/>
    <s v="Eric Natividad"/>
    <n v="2771"/>
    <d v="2023-04-15T00:00:00"/>
    <d v="1899-12-30T23:54:00"/>
    <s v="April"/>
    <s v="Saturday"/>
    <s v="Outlier"/>
    <x v="50"/>
  </r>
  <r>
    <n v="290270"/>
    <n v="1955"/>
    <s v="Spain"/>
    <d v="2023-02-03T01:54:00"/>
    <s v="App"/>
    <s v="Michael Holz"/>
    <n v="2355"/>
    <d v="2023-02-03T00:00:00"/>
    <d v="1899-12-30T01:54:00"/>
    <s v="February"/>
    <s v="Friday"/>
    <s v="Outlier"/>
    <x v="17"/>
  </r>
  <r>
    <n v="292907"/>
    <n v="1829"/>
    <s v="Australia"/>
    <d v="2023-04-22T00:05:00"/>
    <s v="Website"/>
    <s v="Roland Keitel"/>
    <n v="4040"/>
    <d v="2023-04-22T00:00:00"/>
    <d v="1899-12-30T00:05:00"/>
    <s v="April"/>
    <s v="Saturday"/>
    <s v="Outlier"/>
    <x v="43"/>
  </r>
  <r>
    <n v="294015"/>
    <n v="669"/>
    <s v="USA"/>
    <d v="2023-09-03T23:27:00"/>
    <s v="App"/>
    <s v="Henriette Pfalzheim"/>
    <n v="9046"/>
    <d v="2023-09-03T00:00:00"/>
    <d v="1899-12-30T23:27:00"/>
    <s v="September"/>
    <s v="Sunday"/>
    <s v="Outlier"/>
    <x v="19"/>
  </r>
  <r>
    <n v="295823"/>
    <n v="1085"/>
    <s v="Spain"/>
    <d v="2023-01-18T00:11:00"/>
    <s v="Other"/>
    <s v="Violeta Benitez"/>
    <n v="2562"/>
    <d v="2023-01-18T00:00:00"/>
    <d v="1899-12-30T00:11:00"/>
    <s v="January"/>
    <s v="Wednesday"/>
    <s v="Outlier"/>
    <x v="61"/>
  </r>
  <r>
    <n v="296042"/>
    <n v="722"/>
    <s v="USA"/>
    <d v="2023-08-29T00:48:00"/>
    <s v="Whatsapp"/>
    <s v="Kwai Yu"/>
    <n v="3962"/>
    <d v="2023-08-29T00:00:00"/>
    <d v="1899-12-30T00:48:00"/>
    <s v="August"/>
    <s v="Tuesday"/>
    <s v="Outlier"/>
    <x v="18"/>
  </r>
  <r>
    <n v="296324"/>
    <n v="167"/>
    <s v="Australia"/>
    <d v="2023-05-13T23:09:00"/>
    <s v="Whatsapp"/>
    <s v="Georg Pipps"/>
    <n v="5732"/>
    <d v="2023-05-13T00:00:00"/>
    <d v="1899-12-30T23:09:00"/>
    <s v="May"/>
    <s v="Saturday"/>
    <s v="Outlier"/>
    <x v="18"/>
  </r>
  <r>
    <n v="298715"/>
    <n v="1706"/>
    <s v="USA"/>
    <d v="2023-04-01T23:52:00"/>
    <s v="Website"/>
    <s v="Kalle Suominen"/>
    <n v="5256"/>
    <d v="2023-04-01T00:00:00"/>
    <d v="1899-12-30T23:52:00"/>
    <s v="April"/>
    <s v="Saturday"/>
    <s v="Outlier"/>
    <x v="59"/>
  </r>
  <r>
    <n v="299065"/>
    <n v="177"/>
    <s v="India"/>
    <d v="2023-04-11T22:47:00"/>
    <s v="Other"/>
    <s v="Matti Karttunen"/>
    <n v="7292"/>
    <d v="2023-04-11T00:00:00"/>
    <d v="1899-12-30T22:47:00"/>
    <s v="April"/>
    <s v="Tuesday"/>
    <s v="Outlier"/>
    <x v="21"/>
  </r>
  <r>
    <n v="299700"/>
    <n v="533"/>
    <s v="USA"/>
    <d v="2023-10-09T01:32:00"/>
    <s v="Whatsapp"/>
    <s v="Maria Larsson"/>
    <n v="7166"/>
    <d v="2023-10-09T00:00:00"/>
    <d v="1899-12-30T01:32:00"/>
    <s v="October"/>
    <s v="Monday"/>
    <s v="Outlier"/>
    <x v="39"/>
  </r>
  <r>
    <n v="300907"/>
    <n v="383"/>
    <s v="France"/>
    <d v="2023-11-12T23:00:00"/>
    <s v="Whatsapp"/>
    <s v="Frederique Citeaux"/>
    <n v="346"/>
    <d v="2023-11-12T00:00:00"/>
    <d v="1899-12-30T23:00:00"/>
    <s v="November"/>
    <s v="Sunday"/>
    <s v="Outlier"/>
    <x v="56"/>
  </r>
  <r>
    <n v="302110"/>
    <n v="1357"/>
    <s v="Ireland"/>
    <d v="2023-10-15T01:26:00"/>
    <s v="App"/>
    <s v="Georg Pipps"/>
    <n v="4576"/>
    <d v="2023-10-15T00:00:00"/>
    <d v="1899-12-30T01:26:00"/>
    <s v="October"/>
    <s v="Sunday"/>
    <s v="Outlier"/>
    <x v="64"/>
  </r>
  <r>
    <n v="303207"/>
    <n v="1052"/>
    <s v="Germany"/>
    <d v="2023-11-19T23:54:00"/>
    <s v="App"/>
    <s v="Jonas Bergulfsen"/>
    <n v="1054"/>
    <d v="2023-11-19T00:00:00"/>
    <d v="1899-12-30T23:54:00"/>
    <s v="November"/>
    <s v="Sunday"/>
    <s v="Outlier"/>
    <x v="50"/>
  </r>
  <r>
    <n v="303923"/>
    <n v="691"/>
    <s v="Norway"/>
    <d v="2023-05-30T23:02:00"/>
    <s v="Website"/>
    <s v="Valarie Nelson"/>
    <n v="5642"/>
    <d v="2023-05-30T00:00:00"/>
    <d v="1899-12-30T23:02:00"/>
    <s v="May"/>
    <s v="Tuesday"/>
    <s v="Outlier"/>
    <x v="19"/>
  </r>
  <r>
    <n v="304668"/>
    <n v="835"/>
    <s v="Australia"/>
    <d v="2023-02-12T00:44:00"/>
    <s v="App"/>
    <s v="Mart¡n Sommer"/>
    <n v="3450"/>
    <d v="2023-02-12T00:00:00"/>
    <d v="1899-12-30T00:44:00"/>
    <s v="February"/>
    <s v="Sunday"/>
    <s v="Outlier"/>
    <x v="63"/>
  </r>
  <r>
    <n v="305175"/>
    <n v="766"/>
    <s v="USA"/>
    <d v="2023-08-06T00:17:00"/>
    <s v="Whatsapp"/>
    <s v="Juri Hirano"/>
    <n v="1876"/>
    <d v="2023-08-06T00:00:00"/>
    <d v="1899-12-30T00:17:00"/>
    <s v="August"/>
    <s v="Sunday"/>
    <s v="Outlier"/>
    <x v="20"/>
  </r>
  <r>
    <n v="305282"/>
    <n v="1594"/>
    <s v="Australia"/>
    <d v="2023-03-11T00:20:00"/>
    <s v="App"/>
    <s v="Eric Natividad"/>
    <n v="2529"/>
    <d v="2023-03-11T00:00:00"/>
    <d v="1899-12-30T00:20:00"/>
    <s v="March"/>
    <s v="Saturday"/>
    <s v="Outlier"/>
    <x v="18"/>
  </r>
  <r>
    <n v="305291"/>
    <n v="1519"/>
    <s v="Spain"/>
    <d v="2023-08-22T23:10:00"/>
    <s v="Whatsapp"/>
    <s v="Roland Mendel"/>
    <n v="3778"/>
    <d v="2023-08-22T00:00:00"/>
    <d v="1899-12-30T23:10:00"/>
    <s v="August"/>
    <s v="Tuesday"/>
    <s v="Outlier"/>
    <x v="1"/>
  </r>
  <r>
    <n v="305510"/>
    <n v="935"/>
    <s v="France"/>
    <d v="2023-11-21T02:00:00"/>
    <s v="Website"/>
    <s v="Tony Calaghan"/>
    <n v="6989"/>
    <d v="2023-11-21T00:00:00"/>
    <d v="1899-12-30T02:00:00"/>
    <s v="November"/>
    <s v="Tuesday"/>
    <s v="Outlier"/>
    <x v="4"/>
  </r>
  <r>
    <n v="306677"/>
    <n v="1145"/>
    <s v="USA"/>
    <d v="2023-08-20T23:45:00"/>
    <s v="Other"/>
    <s v="Francisca Cervantes"/>
    <n v="6771"/>
    <d v="2023-08-20T00:00:00"/>
    <d v="1899-12-30T23:45:00"/>
    <s v="August"/>
    <s v="Sunday"/>
    <s v="Outlier"/>
    <x v="63"/>
  </r>
  <r>
    <n v="306798"/>
    <n v="132"/>
    <s v="Spain"/>
    <d v="2023-01-14T00:29:00"/>
    <s v="Whatsapp"/>
    <s v="Mary Saveley"/>
    <n v="291"/>
    <d v="2023-01-14T00:00:00"/>
    <d v="1899-12-30T00:29:00"/>
    <s v="January"/>
    <s v="Saturday"/>
    <s v="Outlier"/>
    <x v="63"/>
  </r>
  <r>
    <n v="306831"/>
    <n v="1135"/>
    <s v="India"/>
    <d v="2023-06-13T00:35:00"/>
    <s v="Whatsapp"/>
    <s v="Yoshi Tannamuri"/>
    <n v="4730"/>
    <d v="2023-06-13T00:00:00"/>
    <d v="1899-12-30T00:35:00"/>
    <s v="June"/>
    <s v="Tuesday"/>
    <s v="Outlier"/>
    <x v="8"/>
  </r>
  <r>
    <n v="307999"/>
    <n v="1476"/>
    <s v="Italy"/>
    <d v="2023-07-04T23:33:00"/>
    <s v="Other"/>
    <s v="Steve Thompson"/>
    <n v="5434"/>
    <d v="2023-07-04T00:00:00"/>
    <d v="1899-12-30T23:33:00"/>
    <s v="July"/>
    <s v="Tuesday"/>
    <s v="Outlier"/>
    <x v="12"/>
  </r>
  <r>
    <n v="308888"/>
    <n v="731"/>
    <s v="France"/>
    <d v="2023-04-06T01:09:00"/>
    <s v="Website"/>
    <s v="Kyung Tseng"/>
    <n v="5383"/>
    <d v="2023-04-06T00:00:00"/>
    <d v="1899-12-30T01:09:00"/>
    <s v="April"/>
    <s v="Thursday"/>
    <s v="Outlier"/>
    <x v="61"/>
  </r>
  <r>
    <n v="309642"/>
    <n v="1222"/>
    <s v="Spain"/>
    <d v="2023-09-16T00:34:00"/>
    <s v="Other"/>
    <s v="Leslie Murphy"/>
    <n v="2898"/>
    <d v="2023-09-16T00:00:00"/>
    <d v="1899-12-30T00:34:00"/>
    <s v="September"/>
    <s v="Saturday"/>
    <s v="Outlier"/>
    <x v="30"/>
  </r>
  <r>
    <n v="310236"/>
    <n v="839"/>
    <s v="India"/>
    <d v="2023-04-18T00:04:00"/>
    <s v="Website"/>
    <s v="Akiko Shimamura"/>
    <n v="221"/>
    <d v="2023-04-18T00:00:00"/>
    <d v="1899-12-30T00:04:00"/>
    <s v="April"/>
    <s v="Tuesday"/>
    <s v="Outlier"/>
    <x v="40"/>
  </r>
  <r>
    <n v="310303"/>
    <n v="42"/>
    <s v="Spain"/>
    <d v="2023-07-28T00:28:00"/>
    <s v="Other"/>
    <s v="Adrian Huxley"/>
    <n v="369"/>
    <d v="2023-07-28T00:00:00"/>
    <d v="1899-12-30T00:28:00"/>
    <s v="July"/>
    <s v="Friday"/>
    <s v="Outlier"/>
    <x v="64"/>
  </r>
  <r>
    <n v="311285"/>
    <n v="511"/>
    <s v="USA"/>
    <d v="2023-10-14T23:47:00"/>
    <s v="Website"/>
    <s v="Paolo Accorti"/>
    <n v="3345"/>
    <d v="2023-10-14T00:00:00"/>
    <d v="1899-12-30T23:47:00"/>
    <s v="October"/>
    <s v="Saturday"/>
    <s v="Outlier"/>
    <x v="52"/>
  </r>
  <r>
    <n v="312250"/>
    <n v="343"/>
    <s v="India"/>
    <d v="2023-11-18T00:28:00"/>
    <s v="Website"/>
    <s v="Maria Larsson"/>
    <n v="8056"/>
    <d v="2023-11-18T00:00:00"/>
    <d v="1899-12-30T00:28:00"/>
    <s v="November"/>
    <s v="Saturday"/>
    <s v="Outlier"/>
    <x v="51"/>
  </r>
  <r>
    <n v="312391"/>
    <n v="780"/>
    <s v="India"/>
    <d v="2023-12-16T23:05:00"/>
    <s v="Website"/>
    <s v="Daniel Tonini"/>
    <n v="3848"/>
    <d v="2023-12-16T00:00:00"/>
    <d v="1899-12-30T23:05:00"/>
    <s v="December"/>
    <s v="Saturday"/>
    <s v="Outlier"/>
    <x v="64"/>
  </r>
  <r>
    <n v="312413"/>
    <n v="1696"/>
    <s v="USA"/>
    <d v="2023-09-16T00:17:00"/>
    <s v="App"/>
    <s v="Valarie Nelson"/>
    <n v="7605"/>
    <d v="2023-09-16T00:00:00"/>
    <d v="1899-12-30T00:17:00"/>
    <s v="September"/>
    <s v="Saturday"/>
    <s v="Outlier"/>
    <x v="17"/>
  </r>
  <r>
    <n v="312581"/>
    <n v="624"/>
    <s v="Australia"/>
    <d v="2023-08-07T00:48:00"/>
    <s v="Whatsapp"/>
    <s v="Valarie Young"/>
    <n v="5721"/>
    <d v="2023-08-07T00:00:00"/>
    <d v="1899-12-30T00:48:00"/>
    <s v="August"/>
    <s v="Monday"/>
    <s v="Outlier"/>
    <x v="64"/>
  </r>
  <r>
    <n v="313294"/>
    <n v="1513"/>
    <s v="USA"/>
    <d v="2023-06-24T00:09:00"/>
    <s v="App"/>
    <s v="Julie Murphy"/>
    <n v="3975"/>
    <d v="2023-06-24T00:00:00"/>
    <d v="1899-12-30T00:09:00"/>
    <s v="June"/>
    <s v="Saturday"/>
    <s v="Outlier"/>
    <x v="15"/>
  </r>
  <r>
    <n v="313756"/>
    <n v="1032"/>
    <s v="France"/>
    <d v="2023-12-28T01:31:00"/>
    <s v="App"/>
    <s v="Peter Ferguson"/>
    <n v="1340"/>
    <d v="2023-12-28T00:00:00"/>
    <d v="1899-12-30T01:31:00"/>
    <s v="December"/>
    <s v="Thursday"/>
    <s v="Outlier"/>
    <x v="29"/>
  </r>
  <r>
    <n v="314254"/>
    <n v="224"/>
    <s v="India"/>
    <d v="2023-07-26T00:20:00"/>
    <s v="Other"/>
    <s v="Valarie Nelson"/>
    <n v="2043"/>
    <d v="2023-07-26T00:00:00"/>
    <d v="1899-12-30T00:20:00"/>
    <s v="July"/>
    <s v="Wednesday"/>
    <s v="Outlier"/>
    <x v="71"/>
  </r>
  <r>
    <n v="314530"/>
    <n v="967"/>
    <s v="Australia"/>
    <d v="2023-11-11T00:50:00"/>
    <s v="Whatsapp"/>
    <s v="Anna O'Hara"/>
    <n v="4214"/>
    <d v="2023-11-11T00:00:00"/>
    <d v="1899-12-30T00:50:00"/>
    <s v="November"/>
    <s v="Saturday"/>
    <s v="Outlier"/>
    <x v="26"/>
  </r>
  <r>
    <n v="315549"/>
    <n v="108"/>
    <s v="Spain"/>
    <d v="2023-03-19T23:39:00"/>
    <s v="Whatsapp"/>
    <s v="Julie Brown"/>
    <n v="7653"/>
    <d v="2023-03-19T00:00:00"/>
    <d v="1899-12-30T23:39:00"/>
    <s v="March"/>
    <s v="Sunday"/>
    <s v="Outlier"/>
    <x v="42"/>
  </r>
  <r>
    <n v="315899"/>
    <n v="1934"/>
    <s v="Spain"/>
    <d v="2023-10-09T00:56:00"/>
    <s v="Whatsapp"/>
    <s v="Anna O'Hara"/>
    <n v="6965"/>
    <d v="2023-10-09T00:00:00"/>
    <d v="1899-12-30T00:56:00"/>
    <s v="October"/>
    <s v="Monday"/>
    <s v="Outlier"/>
    <x v="5"/>
  </r>
  <r>
    <n v="315977"/>
    <n v="1837"/>
    <s v="Switzerland"/>
    <d v="2023-09-03T00:01:00"/>
    <s v="Website"/>
    <s v="Jean Fresnisre"/>
    <n v="8432"/>
    <d v="2023-09-03T00:00:00"/>
    <d v="1899-12-30T00:01:00"/>
    <s v="September"/>
    <s v="Sunday"/>
    <s v="Outlier"/>
    <x v="27"/>
  </r>
  <r>
    <n v="316324"/>
    <n v="1564"/>
    <s v="Singapore"/>
    <d v="2023-03-07T00:20:00"/>
    <s v="Whatsapp"/>
    <s v="Diego Freyre"/>
    <n v="1285"/>
    <d v="2023-03-07T00:00:00"/>
    <d v="1899-12-30T00:20:00"/>
    <s v="March"/>
    <s v="Tuesday"/>
    <s v="Outlier"/>
    <x v="20"/>
  </r>
  <r>
    <n v="316364"/>
    <n v="486"/>
    <s v="Austria"/>
    <d v="2023-11-09T00:19:00"/>
    <s v="Website"/>
    <s v="Rosa Hernandez"/>
    <n v="1699"/>
    <d v="2023-11-09T00:00:00"/>
    <d v="1899-12-30T00:19:00"/>
    <s v="November"/>
    <s v="Thursday"/>
    <s v="Outlier"/>
    <x v="50"/>
  </r>
  <r>
    <n v="316858"/>
    <n v="1140"/>
    <s v="Finland"/>
    <d v="2023-03-18T00:39:00"/>
    <s v="Other"/>
    <s v="Laurence Lebihan"/>
    <n v="3160"/>
    <d v="2023-03-18T00:00:00"/>
    <d v="1899-12-30T00:39:00"/>
    <s v="March"/>
    <s v="Saturday"/>
    <s v="Outlier"/>
    <x v="45"/>
  </r>
  <r>
    <n v="318630"/>
    <n v="137"/>
    <s v="India"/>
    <d v="2023-04-13T23:22:00"/>
    <s v="Whatsapp"/>
    <s v="Annette Roulet"/>
    <n v="9655"/>
    <d v="2023-04-13T00:00:00"/>
    <d v="1899-12-30T23:22:00"/>
    <s v="April"/>
    <s v="Thursday"/>
    <s v="Outlier"/>
    <x v="5"/>
  </r>
  <r>
    <n v="318961"/>
    <n v="821"/>
    <s v="Italy"/>
    <d v="2023-05-09T01:14:00"/>
    <s v="Website"/>
    <s v="Anna O'Hara"/>
    <n v="7028"/>
    <d v="2023-05-09T00:00:00"/>
    <d v="1899-12-30T01:14:00"/>
    <s v="May"/>
    <s v="Tuesday"/>
    <s v="Outlier"/>
    <x v="62"/>
  </r>
  <r>
    <n v="319587"/>
    <n v="1505"/>
    <s v="USA"/>
    <d v="2023-09-30T00:04:00"/>
    <s v="Other"/>
    <s v="Palle Ibsen"/>
    <n v="1648"/>
    <d v="2023-09-30T00:00:00"/>
    <d v="1899-12-30T00:04:00"/>
    <s v="September"/>
    <s v="Saturday"/>
    <s v="Outlier"/>
    <x v="68"/>
  </r>
  <r>
    <n v="320251"/>
    <n v="648"/>
    <s v="Austria"/>
    <d v="2023-11-11T01:40:00"/>
    <s v="App"/>
    <s v="Jean Fresnisre"/>
    <n v="8979"/>
    <d v="2023-11-11T00:00:00"/>
    <d v="1899-12-30T01:40:00"/>
    <s v="November"/>
    <s v="Saturday"/>
    <s v="Outlier"/>
    <x v="6"/>
  </r>
  <r>
    <n v="320353"/>
    <n v="173"/>
    <s v="India"/>
    <d v="2023-05-25T00:41:00"/>
    <s v="App"/>
    <s v="Veysel Oeztan"/>
    <n v="7229"/>
    <d v="2023-05-25T00:00:00"/>
    <d v="1899-12-30T00:41:00"/>
    <s v="May"/>
    <s v="Thursday"/>
    <s v="Outlier"/>
    <x v="0"/>
  </r>
  <r>
    <n v="322784"/>
    <n v="132"/>
    <s v="Spain"/>
    <d v="2023-01-02T23:21:00"/>
    <s v="Whatsapp"/>
    <s v="Valarie Young"/>
    <n v="5201"/>
    <d v="2023-01-02T00:00:00"/>
    <d v="1899-12-30T23:21:00"/>
    <s v="January"/>
    <s v="Monday"/>
    <s v="Outlier"/>
    <x v="63"/>
  </r>
  <r>
    <n v="323100"/>
    <n v="867"/>
    <s v="USA"/>
    <d v="2023-05-29T00:15:00"/>
    <s v="Other"/>
    <s v="Jeff Young"/>
    <n v="6684"/>
    <d v="2023-05-29T00:00:00"/>
    <d v="1899-12-30T00:15:00"/>
    <s v="May"/>
    <s v="Monday"/>
    <s v="Outlier"/>
    <x v="15"/>
  </r>
  <r>
    <n v="325850"/>
    <n v="166"/>
    <s v="France"/>
    <d v="2023-05-09T00:47:00"/>
    <s v="Whatsapp"/>
    <s v="Diego Freyre"/>
    <n v="7311"/>
    <d v="2023-05-09T00:00:00"/>
    <d v="1899-12-30T00:47:00"/>
    <s v="May"/>
    <s v="Tuesday"/>
    <s v="Outlier"/>
    <x v="18"/>
  </r>
  <r>
    <n v="325939"/>
    <n v="1285"/>
    <s v="Spain"/>
    <d v="2023-12-24T22:53:00"/>
    <s v="Whatsapp"/>
    <s v="Michael Holz"/>
    <n v="4569"/>
    <d v="2023-12-24T00:00:00"/>
    <d v="1899-12-30T22:53:00"/>
    <s v="December"/>
    <s v="Sunday"/>
    <s v="Outlier"/>
    <x v="72"/>
  </r>
  <r>
    <n v="327243"/>
    <n v="595"/>
    <s v="USA"/>
    <d v="2023-05-08T00:54:00"/>
    <s v="Other"/>
    <s v="Mory Kentary"/>
    <n v="8969"/>
    <d v="2023-05-08T00:00:00"/>
    <d v="1899-12-30T00:54:00"/>
    <s v="May"/>
    <s v="Monday"/>
    <s v="Outlier"/>
    <x v="70"/>
  </r>
  <r>
    <n v="327268"/>
    <n v="1038"/>
    <s v="France"/>
    <d v="2023-11-06T01:14:00"/>
    <s v="Website"/>
    <s v="Elizabeth Devon"/>
    <n v="6977"/>
    <d v="2023-11-06T00:00:00"/>
    <d v="1899-12-30T01:14:00"/>
    <s v="November"/>
    <s v="Monday"/>
    <s v="Outlier"/>
    <x v="24"/>
  </r>
  <r>
    <n v="328597"/>
    <n v="221"/>
    <s v="Australia"/>
    <d v="2023-10-06T01:46:00"/>
    <s v="Whatsapp"/>
    <s v="Maurizio Moroni"/>
    <n v="5537"/>
    <d v="2023-10-06T00:00:00"/>
    <d v="1899-12-30T01:46:00"/>
    <s v="October"/>
    <s v="Friday"/>
    <s v="Outlier"/>
    <x v="71"/>
  </r>
  <r>
    <n v="329474"/>
    <n v="1133"/>
    <s v="India"/>
    <d v="2023-12-08T00:32:00"/>
    <s v="Website"/>
    <s v="Sue King"/>
    <n v="7243"/>
    <d v="2023-12-08T00:00:00"/>
    <d v="1899-12-30T00:32:00"/>
    <s v="December"/>
    <s v="Friday"/>
    <s v="Outlier"/>
    <x v="0"/>
  </r>
  <r>
    <n v="331297"/>
    <n v="1595"/>
    <s v="USA"/>
    <d v="2023-03-17T00:16:00"/>
    <s v="App"/>
    <s v="Michael Holz"/>
    <n v="7756"/>
    <d v="2023-03-17T00:00:00"/>
    <d v="1899-12-30T00:16:00"/>
    <s v="March"/>
    <s v="Friday"/>
    <s v="Outlier"/>
    <x v="25"/>
  </r>
  <r>
    <n v="331797"/>
    <n v="1190"/>
    <s v="Norway"/>
    <d v="2023-10-15T01:46:00"/>
    <s v="Whatsapp"/>
    <s v="Jan Klaeboe"/>
    <n v="5185"/>
    <d v="2023-10-15T00:00:00"/>
    <d v="1899-12-30T01:46:00"/>
    <s v="October"/>
    <s v="Sunday"/>
    <s v="Outlier"/>
    <x v="63"/>
  </r>
  <r>
    <n v="332513"/>
    <n v="164"/>
    <s v="USA"/>
    <d v="2023-03-17T01:16:00"/>
    <s v="App"/>
    <s v="Henriette Pfalzheim"/>
    <n v="9265"/>
    <d v="2023-03-17T00:00:00"/>
    <d v="1899-12-30T01:16:00"/>
    <s v="March"/>
    <s v="Friday"/>
    <s v="Outlier"/>
    <x v="40"/>
  </r>
  <r>
    <n v="333900"/>
    <n v="629"/>
    <s v="USA"/>
    <d v="2023-11-12T01:08:00"/>
    <s v="Other"/>
    <s v="Violeta Benitez"/>
    <n v="8694"/>
    <d v="2023-11-12T00:00:00"/>
    <d v="1899-12-30T01:08:00"/>
    <s v="November"/>
    <s v="Sunday"/>
    <s v="Outlier"/>
    <x v="43"/>
  </r>
  <r>
    <n v="334028"/>
    <n v="323"/>
    <s v="France"/>
    <d v="2023-07-07T01:21:00"/>
    <s v="App"/>
    <s v="Rosa Hernandez"/>
    <n v="9365"/>
    <d v="2023-07-07T00:00:00"/>
    <d v="1899-12-30T01:21:00"/>
    <s v="July"/>
    <s v="Friday"/>
    <s v="Outlier"/>
    <x v="22"/>
  </r>
  <r>
    <n v="335011"/>
    <n v="1188"/>
    <s v="USA"/>
    <d v="2023-11-27T23:43:00"/>
    <s v="App"/>
    <s v="Peter Ferguson"/>
    <n v="4882"/>
    <d v="2023-11-27T00:00:00"/>
    <d v="1899-12-30T23:43:00"/>
    <s v="November"/>
    <s v="Monday"/>
    <s v="Outlier"/>
    <x v="20"/>
  </r>
  <r>
    <n v="336670"/>
    <n v="1963"/>
    <s v="Australia"/>
    <d v="2023-07-09T01:20:00"/>
    <s v="Website"/>
    <s v="Daniel Da Cunha"/>
    <n v="7178"/>
    <d v="2023-07-09T00:00:00"/>
    <d v="1899-12-30T01:20:00"/>
    <s v="July"/>
    <s v="Sunday"/>
    <s v="Outlier"/>
    <x v="5"/>
  </r>
  <r>
    <n v="337678"/>
    <n v="231"/>
    <s v="USA"/>
    <d v="2023-06-25T00:11:00"/>
    <s v="Website"/>
    <s v="Wing C Tam"/>
    <n v="6888"/>
    <d v="2023-06-25T00:00:00"/>
    <d v="1899-12-30T00:11:00"/>
    <s v="June"/>
    <s v="Sunday"/>
    <s v="Outlier"/>
    <x v="10"/>
  </r>
  <r>
    <n v="338433"/>
    <n v="1583"/>
    <s v="Singapore"/>
    <d v="2023-05-20T23:31:00"/>
    <s v="Whatsapp"/>
    <s v="Matti Karttunen"/>
    <n v="2588"/>
    <d v="2023-05-20T00:00:00"/>
    <d v="1899-12-30T23:31:00"/>
    <s v="May"/>
    <s v="Saturday"/>
    <s v="Outlier"/>
    <x v="38"/>
  </r>
  <r>
    <n v="338722"/>
    <n v="1401"/>
    <s v="Finland"/>
    <d v="2023-07-02T01:04:00"/>
    <s v="Other"/>
    <s v="Valarie Nelson"/>
    <n v="8554"/>
    <d v="2023-07-02T00:00:00"/>
    <d v="1899-12-30T01:04:00"/>
    <s v="July"/>
    <s v="Sunday"/>
    <s v="Outlier"/>
    <x v="62"/>
  </r>
  <r>
    <n v="339088"/>
    <n v="904"/>
    <s v="India"/>
    <d v="2023-07-31T00:49:00"/>
    <s v="App"/>
    <s v="Jytte Petersen"/>
    <n v="4909"/>
    <d v="2023-07-31T00:00:00"/>
    <d v="1899-12-30T00:49:00"/>
    <s v="July"/>
    <s v="Monday"/>
    <s v="Outlier"/>
    <x v="6"/>
  </r>
  <r>
    <n v="340986"/>
    <n v="1570"/>
    <s v="USA"/>
    <d v="2023-09-22T23:36:00"/>
    <s v="Whatsapp"/>
    <s v="Georg Pipps"/>
    <n v="3502"/>
    <d v="2023-09-22T00:00:00"/>
    <d v="1899-12-30T23:36:00"/>
    <s v="September"/>
    <s v="Friday"/>
    <s v="Outlier"/>
    <x v="7"/>
  </r>
  <r>
    <n v="341171"/>
    <n v="1438"/>
    <s v="Singapore"/>
    <d v="2023-11-01T01:52:00"/>
    <s v="App"/>
    <s v="Michael Frick"/>
    <n v="1596"/>
    <d v="2023-11-01T00:00:00"/>
    <d v="1899-12-30T01:52:00"/>
    <s v="November"/>
    <s v="Wednesday"/>
    <s v="Outlier"/>
    <x v="31"/>
  </r>
  <r>
    <n v="341522"/>
    <n v="1268"/>
    <s v="USA"/>
    <d v="2023-08-12T00:34:00"/>
    <s v="Whatsapp"/>
    <s v="Julie Murphy"/>
    <n v="1649"/>
    <d v="2023-08-12T00:00:00"/>
    <d v="1899-12-30T00:34:00"/>
    <s v="August"/>
    <s v="Saturday"/>
    <s v="Outlier"/>
    <x v="68"/>
  </r>
  <r>
    <n v="341838"/>
    <n v="1367"/>
    <s v="Italy"/>
    <d v="2023-11-18T01:37:00"/>
    <s v="Website"/>
    <s v="Peter Ferguson"/>
    <n v="7477"/>
    <d v="2023-11-18T00:00:00"/>
    <d v="1899-12-30T01:37:00"/>
    <s v="November"/>
    <s v="Saturday"/>
    <s v="Outlier"/>
    <x v="5"/>
  </r>
  <r>
    <n v="341843"/>
    <n v="1121"/>
    <s v="India"/>
    <d v="2023-05-29T00:08:00"/>
    <s v="Other"/>
    <s v="Adrian Huxley"/>
    <n v="863"/>
    <d v="2023-05-29T00:00:00"/>
    <d v="1899-12-30T00:08:00"/>
    <s v="May"/>
    <s v="Monday"/>
    <s v="Outlier"/>
    <x v="66"/>
  </r>
  <r>
    <n v="342057"/>
    <n v="1152"/>
    <s v="Spain"/>
    <d v="2023-06-04T00:53:00"/>
    <s v="Other"/>
    <s v="Sue Taylor"/>
    <n v="9941"/>
    <d v="2023-06-04T00:00:00"/>
    <d v="1899-12-30T00:53:00"/>
    <s v="June"/>
    <s v="Sunday"/>
    <s v="Outlier"/>
    <x v="25"/>
  </r>
  <r>
    <n v="342826"/>
    <n v="1486"/>
    <s v="USA"/>
    <d v="2023-06-20T22:33:00"/>
    <s v="Other"/>
    <s v="Julie Brown"/>
    <n v="3861"/>
    <d v="2023-06-20T00:00:00"/>
    <d v="1899-12-30T22:33:00"/>
    <s v="June"/>
    <s v="Tuesday"/>
    <s v="Outlier"/>
    <x v="35"/>
  </r>
  <r>
    <n v="343003"/>
    <n v="1880"/>
    <s v="Spain"/>
    <d v="2023-02-19T01:16:00"/>
    <s v="Website"/>
    <s v="Giovanni Rovelli"/>
    <n v="7628"/>
    <d v="2023-02-19T00:00:00"/>
    <d v="1899-12-30T01:16:00"/>
    <s v="February"/>
    <s v="Sunday"/>
    <s v="Outlier"/>
    <x v="38"/>
  </r>
  <r>
    <n v="344182"/>
    <n v="519"/>
    <s v="France"/>
    <d v="2023-07-20T01:09:00"/>
    <s v="Other"/>
    <s v="Valarie Nelson"/>
    <n v="9637"/>
    <d v="2023-07-20T00:00:00"/>
    <d v="1899-12-30T01:09:00"/>
    <s v="July"/>
    <s v="Thursday"/>
    <s v="Outlier"/>
    <x v="41"/>
  </r>
  <r>
    <n v="347036"/>
    <n v="1424"/>
    <s v="Spain"/>
    <d v="2023-02-14T22:47:00"/>
    <s v="Website"/>
    <s v="Sean Connery"/>
    <n v="1632"/>
    <d v="2023-02-14T00:00:00"/>
    <d v="1899-12-30T22:47:00"/>
    <s v="February"/>
    <s v="Tuesday"/>
    <s v="Outlier"/>
    <x v="36"/>
  </r>
  <r>
    <n v="347243"/>
    <n v="470"/>
    <s v="USA"/>
    <d v="2023-06-02T23:47:00"/>
    <s v="Website"/>
    <s v="Diego Freyre"/>
    <n v="5127"/>
    <d v="2023-06-02T00:00:00"/>
    <d v="1899-12-30T23:47:00"/>
    <s v="June"/>
    <s v="Friday"/>
    <s v="Outlier"/>
    <x v="24"/>
  </r>
  <r>
    <n v="347273"/>
    <n v="654"/>
    <s v="France"/>
    <d v="2023-06-08T00:18:00"/>
    <s v="Other"/>
    <s v="Steve Thompson"/>
    <n v="9105"/>
    <d v="2023-06-08T00:00:00"/>
    <d v="1899-12-30T00:18:00"/>
    <s v="June"/>
    <s v="Thursday"/>
    <s v="Outlier"/>
    <x v="66"/>
  </r>
  <r>
    <n v="347302"/>
    <n v="1997"/>
    <s v="Spain"/>
    <d v="2023-02-05T00:12:00"/>
    <s v="Whatsapp"/>
    <s v="Mary Saveley"/>
    <n v="4850"/>
    <d v="2023-02-05T00:00:00"/>
    <d v="1899-12-30T00:12:00"/>
    <s v="February"/>
    <s v="Sunday"/>
    <s v="Outlier"/>
    <x v="33"/>
  </r>
  <r>
    <n v="347767"/>
    <n v="299"/>
    <s v="India"/>
    <d v="2023-09-13T23:41:00"/>
    <s v="App"/>
    <s v="Diego Freyre"/>
    <n v="6931"/>
    <d v="2023-09-13T00:00:00"/>
    <d v="1899-12-30T23:41:00"/>
    <s v="September"/>
    <s v="Wednesday"/>
    <s v="Outlier"/>
    <x v="30"/>
  </r>
  <r>
    <n v="348694"/>
    <n v="1726"/>
    <s v="Spain"/>
    <d v="2023-05-25T02:29:00"/>
    <s v="Whatsapp"/>
    <s v="Jytte Petersen"/>
    <n v="4572"/>
    <d v="2023-05-25T00:00:00"/>
    <d v="1899-12-30T02:29:00"/>
    <s v="May"/>
    <s v="Thursday"/>
    <s v="Outlier"/>
    <x v="40"/>
  </r>
  <r>
    <n v="349131"/>
    <n v="1664"/>
    <s v="USA"/>
    <d v="2023-07-08T23:57:00"/>
    <s v="Other"/>
    <s v="Paolo Accorti"/>
    <n v="7000"/>
    <d v="2023-07-08T00:00:00"/>
    <d v="1899-12-30T23:57:00"/>
    <s v="July"/>
    <s v="Saturday"/>
    <s v="Outlier"/>
    <x v="18"/>
  </r>
  <r>
    <n v="350253"/>
    <n v="1752"/>
    <s v="Australia"/>
    <d v="2023-08-18T22:55:00"/>
    <s v="Other"/>
    <s v="Veysel Oeztan"/>
    <n v="9824"/>
    <d v="2023-08-18T00:00:00"/>
    <d v="1899-12-30T22:55:00"/>
    <s v="August"/>
    <s v="Friday"/>
    <s v="Outlier"/>
    <x v="63"/>
  </r>
  <r>
    <n v="352076"/>
    <n v="393"/>
    <s v="India"/>
    <d v="2023-03-26T23:56:00"/>
    <s v="App"/>
    <s v="Daniel Tonini"/>
    <n v="4290"/>
    <d v="2023-03-26T00:00:00"/>
    <d v="1899-12-30T23:56:00"/>
    <s v="March"/>
    <s v="Sunday"/>
    <s v="Outlier"/>
    <x v="11"/>
  </r>
  <r>
    <n v="353096"/>
    <n v="1590"/>
    <s v="Singapore"/>
    <d v="2023-07-17T00:46:00"/>
    <s v="Website"/>
    <s v="Valarie Nelson"/>
    <n v="8163"/>
    <d v="2023-07-17T00:00:00"/>
    <d v="1899-12-30T00:46:00"/>
    <s v="July"/>
    <s v="Monday"/>
    <s v="Outlier"/>
    <x v="45"/>
  </r>
  <r>
    <n v="353572"/>
    <n v="1346"/>
    <s v="USA"/>
    <d v="2023-02-24T23:36:00"/>
    <s v="Whatsapp"/>
    <s v="Valarie Young"/>
    <n v="4976"/>
    <d v="2023-02-24T00:00:00"/>
    <d v="1899-12-30T23:36:00"/>
    <s v="February"/>
    <s v="Friday"/>
    <s v="Outlier"/>
    <x v="49"/>
  </r>
  <r>
    <n v="353582"/>
    <n v="1948"/>
    <s v="USA"/>
    <d v="2023-12-09T23:59:00"/>
    <s v="Other"/>
    <s v="Victoria Ashworth"/>
    <n v="5138"/>
    <d v="2023-12-09T00:00:00"/>
    <d v="1899-12-30T23:59:00"/>
    <s v="December"/>
    <s v="Saturday"/>
    <s v="Outlier"/>
    <x v="33"/>
  </r>
  <r>
    <n v="354439"/>
    <n v="1014"/>
    <s v="India"/>
    <d v="2023-01-04T00:29:00"/>
    <s v="Other"/>
    <s v="Sue King"/>
    <n v="2885"/>
    <d v="2023-01-04T00:00:00"/>
    <d v="1899-12-30T00:29:00"/>
    <s v="January"/>
    <s v="Wednesday"/>
    <s v="Outlier"/>
    <x v="45"/>
  </r>
  <r>
    <n v="354532"/>
    <n v="419"/>
    <s v="France"/>
    <d v="2023-11-21T01:00:00"/>
    <s v="App"/>
    <s v="Daniel Da Cunha"/>
    <n v="1673"/>
    <d v="2023-11-21T00:00:00"/>
    <d v="1899-12-30T01:00:00"/>
    <s v="November"/>
    <s v="Tuesday"/>
    <s v="Outlier"/>
    <x v="50"/>
  </r>
  <r>
    <n v="356612"/>
    <n v="1636"/>
    <s v="Austria"/>
    <d v="2023-11-30T00:24:00"/>
    <s v="Whatsapp"/>
    <s v="Allen Nelson"/>
    <n v="4576"/>
    <d v="2023-11-30T00:00:00"/>
    <d v="1899-12-30T00:24:00"/>
    <s v="November"/>
    <s v="Thursday"/>
    <s v="Outlier"/>
    <x v="1"/>
  </r>
  <r>
    <n v="360154"/>
    <n v="638"/>
    <s v="France"/>
    <d v="2023-05-24T00:50:00"/>
    <s v="Other"/>
    <s v="Diego Freyre"/>
    <n v="9618"/>
    <d v="2023-05-24T00:00:00"/>
    <d v="1899-12-30T00:50:00"/>
    <s v="May"/>
    <s v="Wednesday"/>
    <s v="Outlier"/>
    <x v="48"/>
  </r>
  <r>
    <n v="361590"/>
    <n v="1452"/>
    <s v="France"/>
    <d v="2023-10-24T23:19:00"/>
    <s v="Whatsapp"/>
    <s v="Anna O'Hara"/>
    <n v="2425"/>
    <d v="2023-10-24T00:00:00"/>
    <d v="1899-12-30T23:19:00"/>
    <s v="October"/>
    <s v="Tuesday"/>
    <s v="Outlier"/>
    <x v="13"/>
  </r>
  <r>
    <n v="361964"/>
    <n v="147"/>
    <s v="USA"/>
    <d v="2023-02-20T00:36:00"/>
    <s v="App"/>
    <s v="Kyung Yu"/>
    <n v="2602"/>
    <d v="2023-02-20T00:00:00"/>
    <d v="1899-12-30T00:36:00"/>
    <s v="February"/>
    <s v="Monday"/>
    <s v="Outlier"/>
    <x v="3"/>
  </r>
  <r>
    <n v="362049"/>
    <n v="1594"/>
    <s v="Australia"/>
    <d v="2023-02-26T01:29:00"/>
    <s v="Other"/>
    <s v="Michael Frick"/>
    <n v="4382"/>
    <d v="2023-02-26T00:00:00"/>
    <d v="1899-12-30T01:29:00"/>
    <s v="February"/>
    <s v="Sunday"/>
    <s v="Outlier"/>
    <x v="18"/>
  </r>
  <r>
    <n v="363155"/>
    <n v="416"/>
    <s v="India"/>
    <d v="2023-01-19T00:56:00"/>
    <s v="Whatsapp"/>
    <s v="Julie Murphy"/>
    <n v="3033"/>
    <d v="2023-01-19T00:00:00"/>
    <d v="1899-12-30T00:56:00"/>
    <s v="January"/>
    <s v="Thursday"/>
    <s v="Outlier"/>
    <x v="71"/>
  </r>
  <r>
    <n v="363439"/>
    <n v="1150"/>
    <s v="USA"/>
    <d v="2023-07-13T23:48:00"/>
    <s v="Website"/>
    <s v="Mart¡n Sommer"/>
    <n v="8067"/>
    <d v="2023-07-13T00:00:00"/>
    <d v="1899-12-30T23:48:00"/>
    <s v="July"/>
    <s v="Thursday"/>
    <s v="Outlier"/>
    <x v="55"/>
  </r>
  <r>
    <n v="363764"/>
    <n v="927"/>
    <s v="India"/>
    <d v="2023-06-20T00:23:00"/>
    <s v="Website"/>
    <s v="Adrian Huxley"/>
    <n v="6014"/>
    <d v="2023-06-20T00:00:00"/>
    <d v="1899-12-30T00:23:00"/>
    <s v="June"/>
    <s v="Tuesday"/>
    <s v="Outlier"/>
    <x v="55"/>
  </r>
  <r>
    <n v="364332"/>
    <n v="1169"/>
    <s v="France"/>
    <d v="2023-02-24T01:00:00"/>
    <s v="Other"/>
    <s v="Sue Taylor"/>
    <n v="6539"/>
    <d v="2023-02-24T00:00:00"/>
    <d v="1899-12-30T01:00:00"/>
    <s v="February"/>
    <s v="Friday"/>
    <s v="Outlier"/>
    <x v="47"/>
  </r>
  <r>
    <n v="365101"/>
    <n v="1475"/>
    <s v="Spain"/>
    <d v="2023-02-14T23:04:00"/>
    <s v="App"/>
    <s v="Julie Brown"/>
    <n v="433"/>
    <d v="2023-02-14T00:00:00"/>
    <d v="1899-12-30T23:04:00"/>
    <s v="February"/>
    <s v="Tuesday"/>
    <s v="Outlier"/>
    <x v="5"/>
  </r>
  <r>
    <n v="365117"/>
    <n v="1415"/>
    <s v="France"/>
    <d v="2023-05-17T23:32:00"/>
    <s v="App"/>
    <s v="Giovanni Rovelli"/>
    <n v="5905"/>
    <d v="2023-05-17T00:00:00"/>
    <d v="1899-12-30T23:32:00"/>
    <s v="May"/>
    <s v="Wednesday"/>
    <s v="Outlier"/>
    <x v="37"/>
  </r>
  <r>
    <n v="365718"/>
    <n v="1080"/>
    <s v="India"/>
    <d v="2023-09-28T22:47:00"/>
    <s v="Website"/>
    <s v="Valarie Nelson"/>
    <n v="5697"/>
    <d v="2023-09-28T00:00:00"/>
    <d v="1899-12-30T22:47:00"/>
    <s v="September"/>
    <s v="Thursday"/>
    <s v="Outlier"/>
    <x v="61"/>
  </r>
  <r>
    <n v="366083"/>
    <n v="1680"/>
    <s v="USA"/>
    <d v="2023-02-15T01:12:00"/>
    <s v="Other"/>
    <s v="Sean Connery"/>
    <n v="8672"/>
    <d v="2023-02-15T00:00:00"/>
    <d v="1899-12-30T01:12:00"/>
    <s v="February"/>
    <s v="Wednesday"/>
    <s v="Outlier"/>
    <x v="10"/>
  </r>
  <r>
    <n v="366394"/>
    <n v="1048"/>
    <s v="India"/>
    <d v="2023-09-01T00:45:00"/>
    <s v="Other"/>
    <s v="Diego Freyre"/>
    <n v="3380"/>
    <d v="2023-09-01T00:00:00"/>
    <d v="1899-12-30T00:45:00"/>
    <s v="September"/>
    <s v="Friday"/>
    <s v="Outlier"/>
    <x v="47"/>
  </r>
  <r>
    <n v="366719"/>
    <n v="1505"/>
    <s v="USA"/>
    <d v="2023-03-04T23:03:00"/>
    <s v="Other"/>
    <s v="Steve Thompson"/>
    <n v="7878"/>
    <d v="2023-03-04T00:00:00"/>
    <d v="1899-12-30T23:03:00"/>
    <s v="March"/>
    <s v="Saturday"/>
    <s v="Outlier"/>
    <x v="68"/>
  </r>
  <r>
    <n v="367308"/>
    <n v="1355"/>
    <s v="Spain"/>
    <d v="2023-01-15T02:22:00"/>
    <s v="Other"/>
    <s v="Mary Saveley"/>
    <n v="6648"/>
    <d v="2023-01-15T00:00:00"/>
    <d v="1899-12-30T02:22:00"/>
    <s v="January"/>
    <s v="Sunday"/>
    <s v="Outlier"/>
    <x v="69"/>
  </r>
  <r>
    <n v="368229"/>
    <n v="1318"/>
    <s v="USA"/>
    <d v="2023-11-19T23:37:00"/>
    <s v="App"/>
    <s v="Diego Freyre"/>
    <n v="4702"/>
    <d v="2023-11-19T00:00:00"/>
    <d v="1899-12-30T23:37:00"/>
    <s v="November"/>
    <s v="Sunday"/>
    <s v="Outlier"/>
    <x v="32"/>
  </r>
  <r>
    <n v="368675"/>
    <n v="1109"/>
    <s v="India"/>
    <d v="2023-10-17T23:44:00"/>
    <s v="Website"/>
    <s v="Jytte Petersen"/>
    <n v="6922"/>
    <d v="2023-10-17T00:00:00"/>
    <d v="1899-12-30T23:44:00"/>
    <s v="October"/>
    <s v="Tuesday"/>
    <s v="Outlier"/>
    <x v="46"/>
  </r>
  <r>
    <n v="369020"/>
    <n v="1740"/>
    <s v="USA"/>
    <d v="2023-09-20T01:03:00"/>
    <s v="Website"/>
    <s v="Paolo Accorti"/>
    <n v="8651"/>
    <d v="2023-09-20T00:00:00"/>
    <d v="1899-12-30T01:03:00"/>
    <s v="September"/>
    <s v="Wednesday"/>
    <s v="Outlier"/>
    <x v="5"/>
  </r>
  <r>
    <n v="369311"/>
    <n v="1985"/>
    <s v="France"/>
    <d v="2023-11-29T01:21:00"/>
    <s v="Whatsapp"/>
    <s v="Veysel Oeztan"/>
    <n v="5332"/>
    <d v="2023-11-29T00:00:00"/>
    <d v="1899-12-30T01:21:00"/>
    <s v="November"/>
    <s v="Wednesday"/>
    <s v="Outlier"/>
    <x v="22"/>
  </r>
  <r>
    <n v="370729"/>
    <n v="1170"/>
    <s v="Germany"/>
    <d v="2023-02-25T02:00:00"/>
    <s v="App"/>
    <s v="Daniel Tonini"/>
    <n v="2725"/>
    <d v="2023-02-25T00:00:00"/>
    <d v="1899-12-30T02:00:00"/>
    <s v="February"/>
    <s v="Saturday"/>
    <s v="Outlier"/>
    <x v="48"/>
  </r>
  <r>
    <n v="372217"/>
    <n v="43"/>
    <s v="Singapore"/>
    <d v="2023-09-19T23:19:00"/>
    <s v="Other"/>
    <s v="Valarie Nelson"/>
    <n v="6713"/>
    <d v="2023-09-19T00:00:00"/>
    <d v="1899-12-30T23:19:00"/>
    <s v="September"/>
    <s v="Tuesday"/>
    <s v="Outlier"/>
    <x v="39"/>
  </r>
  <r>
    <n v="373284"/>
    <n v="879"/>
    <s v="USA"/>
    <d v="2023-01-24T22:51:00"/>
    <s v="Website"/>
    <s v="Valarie Young"/>
    <n v="4368"/>
    <d v="2023-01-24T00:00:00"/>
    <d v="1899-12-30T22:51:00"/>
    <s v="January"/>
    <s v="Tuesday"/>
    <s v="Outlier"/>
    <x v="41"/>
  </r>
  <r>
    <n v="373452"/>
    <n v="1209"/>
    <s v="Finland"/>
    <d v="2023-07-28T22:12:00"/>
    <s v="Website"/>
    <s v="Victoria Ashworth"/>
    <n v="8190"/>
    <d v="2023-07-28T00:00:00"/>
    <d v="1899-12-30T22:12:00"/>
    <s v="July"/>
    <s v="Friday"/>
    <s v="Outlier"/>
    <x v="4"/>
  </r>
  <r>
    <n v="373612"/>
    <n v="1567"/>
    <s v="USA"/>
    <d v="2023-05-20T23:34:00"/>
    <s v="App"/>
    <s v="Peter Ferguson"/>
    <n v="9653"/>
    <d v="2023-05-20T00:00:00"/>
    <d v="1899-12-30T23:34:00"/>
    <s v="May"/>
    <s v="Saturday"/>
    <s v="Outlier"/>
    <x v="5"/>
  </r>
  <r>
    <n v="374946"/>
    <n v="931"/>
    <s v="USA"/>
    <d v="2023-09-17T00:38:00"/>
    <s v="Whatsapp"/>
    <s v="Daniel Da Cunha"/>
    <n v="8553"/>
    <d v="2023-09-17T00:00:00"/>
    <d v="1899-12-30T00:38:00"/>
    <s v="September"/>
    <s v="Sunday"/>
    <s v="Outlier"/>
    <x v="30"/>
  </r>
  <r>
    <n v="375276"/>
    <n v="1524"/>
    <s v="France"/>
    <d v="2023-04-21T01:16:00"/>
    <s v="App"/>
    <s v="Allen Nelson"/>
    <n v="4766"/>
    <d v="2023-04-21T00:00:00"/>
    <d v="1899-12-30T01:16:00"/>
    <s v="April"/>
    <s v="Friday"/>
    <s v="Outlier"/>
    <x v="21"/>
  </r>
  <r>
    <n v="375561"/>
    <n v="599"/>
    <s v="Australia"/>
    <d v="2023-12-29T00:24:00"/>
    <s v="App"/>
    <s v="Julie Brown"/>
    <n v="3609"/>
    <d v="2023-12-29T00:00:00"/>
    <d v="1899-12-30T00:24:00"/>
    <s v="December"/>
    <s v="Friday"/>
    <s v="Outlier"/>
    <x v="24"/>
  </r>
  <r>
    <n v="376848"/>
    <n v="1893"/>
    <s v="Australia"/>
    <d v="2023-06-21T00:44:00"/>
    <s v="Whatsapp"/>
    <s v="Anna O'Hara"/>
    <n v="2298"/>
    <d v="2023-06-21T00:00:00"/>
    <d v="1899-12-30T00:44:00"/>
    <s v="June"/>
    <s v="Wednesday"/>
    <s v="Outlier"/>
    <x v="59"/>
  </r>
  <r>
    <n v="378945"/>
    <n v="1964"/>
    <s v="Spain"/>
    <d v="2023-08-01T23:39:00"/>
    <s v="Other"/>
    <s v="Kyung Yu"/>
    <n v="2444"/>
    <d v="2023-08-01T00:00:00"/>
    <d v="1899-12-30T23:39:00"/>
    <s v="August"/>
    <s v="Tuesday"/>
    <s v="Outlier"/>
    <x v="24"/>
  </r>
  <r>
    <n v="379416"/>
    <n v="1873"/>
    <s v="Australia"/>
    <d v="2023-05-27T00:25:00"/>
    <s v="Other"/>
    <s v="Victoria Ashworth"/>
    <n v="7996"/>
    <d v="2023-05-27T00:00:00"/>
    <d v="1899-12-30T00:25:00"/>
    <s v="May"/>
    <s v="Saturday"/>
    <s v="Outlier"/>
    <x v="1"/>
  </r>
  <r>
    <n v="380866"/>
    <n v="202"/>
    <s v="USA"/>
    <d v="2023-12-31T01:02:00"/>
    <s v="Other"/>
    <s v="Carine Schmitt"/>
    <n v="526"/>
    <d v="2023-12-31T00:00:00"/>
    <d v="1899-12-30T01:02:00"/>
    <s v="December"/>
    <s v="Sunday"/>
    <s v="Outlier"/>
    <x v="46"/>
  </r>
  <r>
    <n v="381897"/>
    <n v="1314"/>
    <s v="USA"/>
    <d v="2023-07-13T23:53:00"/>
    <s v="Whatsapp"/>
    <s v="Paul Henriot"/>
    <n v="3916"/>
    <d v="2023-07-13T00:00:00"/>
    <d v="1899-12-30T23:53:00"/>
    <s v="July"/>
    <s v="Thursday"/>
    <s v="Outlier"/>
    <x v="46"/>
  </r>
  <r>
    <n v="382563"/>
    <n v="1070"/>
    <s v="Singapore"/>
    <d v="2023-10-16T01:22:00"/>
    <s v="Website"/>
    <s v="Anna O'Hara"/>
    <n v="471"/>
    <d v="2023-10-16T00:00:00"/>
    <d v="1899-12-30T01:22:00"/>
    <s v="October"/>
    <s v="Monday"/>
    <s v="Outlier"/>
    <x v="52"/>
  </r>
  <r>
    <n v="382755"/>
    <n v="777"/>
    <s v="USA"/>
    <d v="2023-07-31T23:14:00"/>
    <s v="App"/>
    <s v="Palle Ibsen"/>
    <n v="1008"/>
    <d v="2023-07-31T00:00:00"/>
    <d v="1899-12-30T23:14:00"/>
    <s v="July"/>
    <s v="Monday"/>
    <s v="Outlier"/>
    <x v="62"/>
  </r>
  <r>
    <n v="383194"/>
    <n v="1167"/>
    <s v="USA"/>
    <d v="2023-05-29T22:43:00"/>
    <s v="Whatsapp"/>
    <s v="Julie King"/>
    <n v="6812"/>
    <d v="2023-05-29T00:00:00"/>
    <d v="1899-12-30T22:43:00"/>
    <s v="May"/>
    <s v="Monday"/>
    <s v="Outlier"/>
    <x v="61"/>
  </r>
  <r>
    <n v="383311"/>
    <n v="1257"/>
    <s v="USA"/>
    <d v="2023-08-16T23:53:00"/>
    <s v="Whatsapp"/>
    <s v="Veysel Oeztan"/>
    <n v="362"/>
    <d v="2023-08-16T00:00:00"/>
    <d v="1899-12-30T23:53:00"/>
    <s v="August"/>
    <s v="Wednesday"/>
    <s v="Outlier"/>
    <x v="45"/>
  </r>
  <r>
    <n v="383781"/>
    <n v="333"/>
    <s v="Germany"/>
    <d v="2023-12-14T01:23:00"/>
    <s v="Website"/>
    <s v="Valarie Young"/>
    <n v="75"/>
    <d v="2023-12-14T00:00:00"/>
    <d v="1899-12-30T01:23:00"/>
    <s v="December"/>
    <s v="Thursday"/>
    <s v="Outlier"/>
    <x v="64"/>
  </r>
  <r>
    <n v="384942"/>
    <n v="1938"/>
    <s v="USA"/>
    <d v="2023-10-05T23:20:00"/>
    <s v="Other"/>
    <s v="Jeff Young"/>
    <n v="5617"/>
    <d v="2023-10-05T00:00:00"/>
    <d v="1899-12-30T23:20:00"/>
    <s v="October"/>
    <s v="Thursday"/>
    <s v="Outlier"/>
    <x v="41"/>
  </r>
  <r>
    <n v="385164"/>
    <n v="1569"/>
    <s v="Spain"/>
    <d v="2023-05-24T00:33:00"/>
    <s v="Other"/>
    <s v="Diego Freyre"/>
    <n v="6376"/>
    <d v="2023-05-24T00:00:00"/>
    <d v="1899-12-30T00:33:00"/>
    <s v="May"/>
    <s v="Wednesday"/>
    <s v="Outlier"/>
    <x v="1"/>
  </r>
  <r>
    <n v="385361"/>
    <n v="565"/>
    <s v="France"/>
    <d v="2023-11-19T23:24:00"/>
    <s v="App"/>
    <s v="Valarie Thompson"/>
    <n v="9005"/>
    <d v="2023-11-19T00:00:00"/>
    <d v="1899-12-30T23:24:00"/>
    <s v="November"/>
    <s v="Sunday"/>
    <s v="Outlier"/>
    <x v="14"/>
  </r>
  <r>
    <n v="386283"/>
    <n v="190"/>
    <s v="France"/>
    <d v="2023-02-06T23:45:00"/>
    <s v="App"/>
    <s v="Frederique Citeaux"/>
    <n v="8183"/>
    <d v="2023-02-06T00:00:00"/>
    <d v="1899-12-30T23:45:00"/>
    <s v="February"/>
    <s v="Monday"/>
    <s v="Outlier"/>
    <x v="37"/>
  </r>
  <r>
    <n v="386673"/>
    <n v="302"/>
    <s v="Germany"/>
    <d v="2023-05-31T01:58:00"/>
    <s v="App"/>
    <s v="Elizabeth Devon"/>
    <n v="1947"/>
    <d v="2023-05-31T00:00:00"/>
    <d v="1899-12-30T01:58:00"/>
    <s v="May"/>
    <s v="Wednesday"/>
    <s v="Outlier"/>
    <x v="3"/>
  </r>
  <r>
    <n v="386885"/>
    <n v="1647"/>
    <s v="USA"/>
    <d v="2023-03-06T00:29:00"/>
    <s v="App"/>
    <s v="Maurizio Moroni"/>
    <n v="9165"/>
    <d v="2023-03-06T00:00:00"/>
    <d v="1899-12-30T00:29:00"/>
    <s v="March"/>
    <s v="Monday"/>
    <s v="Outlier"/>
    <x v="13"/>
  </r>
  <r>
    <n v="387103"/>
    <n v="762"/>
    <s v="Denmark"/>
    <d v="2023-05-31T00:25:00"/>
    <s v="Website"/>
    <s v="Sue King"/>
    <n v="1379"/>
    <d v="2023-05-31T00:00:00"/>
    <d v="1899-12-30T00:25:00"/>
    <s v="May"/>
    <s v="Wednesday"/>
    <s v="Outlier"/>
    <x v="29"/>
  </r>
  <r>
    <n v="388268"/>
    <n v="217"/>
    <s v="USA"/>
    <d v="2023-10-21T00:48:00"/>
    <s v="App"/>
    <s v="Wendy Victorino"/>
    <n v="1780"/>
    <d v="2023-10-21T00:00:00"/>
    <d v="1899-12-30T00:48:00"/>
    <s v="October"/>
    <s v="Saturday"/>
    <s v="Outlier"/>
    <x v="52"/>
  </r>
  <r>
    <n v="389519"/>
    <n v="336"/>
    <s v="Spain"/>
    <d v="2023-11-19T01:52:00"/>
    <s v="App"/>
    <s v="Jan Klaeboe"/>
    <n v="5243"/>
    <d v="2023-11-19T00:00:00"/>
    <d v="1899-12-30T01:52:00"/>
    <s v="November"/>
    <s v="Sunday"/>
    <s v="Outlier"/>
    <x v="47"/>
  </r>
  <r>
    <n v="389648"/>
    <n v="1360"/>
    <s v="Spain"/>
    <d v="2023-01-14T00:17:00"/>
    <s v="App"/>
    <s v="Diego Freyre"/>
    <n v="6153"/>
    <d v="2023-01-14T00:00:00"/>
    <d v="1899-12-30T00:17:00"/>
    <s v="January"/>
    <s v="Saturday"/>
    <s v="Outlier"/>
    <x v="28"/>
  </r>
  <r>
    <n v="389725"/>
    <n v="487"/>
    <s v="Australia"/>
    <d v="2023-11-07T01:47:00"/>
    <s v="Whatsapp"/>
    <s v="Violeta Benitez"/>
    <n v="206"/>
    <d v="2023-11-07T00:00:00"/>
    <d v="1899-12-30T01:47:00"/>
    <s v="November"/>
    <s v="Tuesday"/>
    <s v="Outlier"/>
    <x v="49"/>
  </r>
  <r>
    <n v="390345"/>
    <n v="245"/>
    <s v="India"/>
    <d v="2023-07-13T00:26:00"/>
    <s v="Whatsapp"/>
    <s v="Rosa Hernandez"/>
    <n v="4767"/>
    <d v="2023-07-13T00:00:00"/>
    <d v="1899-12-30T00:26:00"/>
    <s v="July"/>
    <s v="Thursday"/>
    <s v="Outlier"/>
    <x v="42"/>
  </r>
  <r>
    <n v="390509"/>
    <n v="11"/>
    <s v="USA"/>
    <d v="2023-08-09T00:58:00"/>
    <s v="Other"/>
    <s v="Paul Henriot"/>
    <n v="2754"/>
    <d v="2023-08-09T00:00:00"/>
    <d v="1899-12-30T00:58:00"/>
    <s v="August"/>
    <s v="Wednesday"/>
    <s v="Outlier"/>
    <x v="43"/>
  </r>
  <r>
    <n v="390821"/>
    <n v="291"/>
    <s v="India"/>
    <d v="2023-05-10T01:04:00"/>
    <s v="Website"/>
    <s v="Julie Young"/>
    <n v="2140"/>
    <d v="2023-05-10T00:00:00"/>
    <d v="1899-12-30T01:04:00"/>
    <s v="May"/>
    <s v="Wednesday"/>
    <s v="Outlier"/>
    <x v="60"/>
  </r>
  <r>
    <n v="391564"/>
    <n v="926"/>
    <s v="USA"/>
    <d v="2023-05-03T23:32:00"/>
    <s v="Other"/>
    <s v="Diego Freyre"/>
    <n v="3051"/>
    <d v="2023-05-03T00:00:00"/>
    <d v="1899-12-30T23:32:00"/>
    <s v="May"/>
    <s v="Wednesday"/>
    <s v="Outlier"/>
    <x v="11"/>
  </r>
  <r>
    <n v="391706"/>
    <n v="1840"/>
    <s v="USA"/>
    <d v="2023-02-14T23:03:00"/>
    <s v="App"/>
    <s v="Sue Frick"/>
    <n v="5396"/>
    <d v="2023-02-14T00:00:00"/>
    <d v="1899-12-30T23:03:00"/>
    <s v="February"/>
    <s v="Tuesday"/>
    <s v="Outlier"/>
    <x v="69"/>
  </r>
  <r>
    <n v="391963"/>
    <n v="1885"/>
    <s v="Austria"/>
    <d v="2023-11-10T23:17:00"/>
    <s v="Website"/>
    <s v="Georg Pipps"/>
    <n v="856"/>
    <d v="2023-11-10T00:00:00"/>
    <d v="1899-12-30T23:17:00"/>
    <s v="November"/>
    <s v="Friday"/>
    <s v="Outlier"/>
    <x v="18"/>
  </r>
  <r>
    <n v="393726"/>
    <n v="1676"/>
    <s v="Austria"/>
    <d v="2023-03-29T23:56:00"/>
    <s v="Website"/>
    <s v="Giovanni Rovelli"/>
    <n v="2852"/>
    <d v="2023-03-29T00:00:00"/>
    <d v="1899-12-30T23:56:00"/>
    <s v="March"/>
    <s v="Wednesday"/>
    <s v="Outlier"/>
    <x v="5"/>
  </r>
  <r>
    <n v="393917"/>
    <n v="359"/>
    <s v="France"/>
    <d v="2023-06-28T00:50:00"/>
    <s v="App"/>
    <s v="Georg Pipps"/>
    <n v="2533"/>
    <d v="2023-06-28T00:00:00"/>
    <d v="1899-12-30T00:50:00"/>
    <s v="June"/>
    <s v="Wednesday"/>
    <s v="Outlier"/>
    <x v="2"/>
  </r>
  <r>
    <n v="394768"/>
    <n v="224"/>
    <s v="India"/>
    <d v="2023-12-29T23:26:00"/>
    <s v="Whatsapp"/>
    <s v="Dan Lewis"/>
    <n v="3458"/>
    <d v="2023-12-29T00:00:00"/>
    <d v="1899-12-30T23:26:00"/>
    <s v="December"/>
    <s v="Friday"/>
    <s v="Outlier"/>
    <x v="71"/>
  </r>
  <r>
    <n v="394773"/>
    <n v="1474"/>
    <s v="USA"/>
    <d v="2023-11-01T00:44:00"/>
    <s v="Whatsapp"/>
    <s v="Wing C Tam"/>
    <n v="9148"/>
    <d v="2023-11-01T00:00:00"/>
    <d v="1899-12-30T00:44:00"/>
    <s v="November"/>
    <s v="Wednesday"/>
    <s v="Outlier"/>
    <x v="5"/>
  </r>
  <r>
    <n v="394904"/>
    <n v="1620"/>
    <s v="USA"/>
    <d v="2023-10-07T01:42:00"/>
    <s v="App"/>
    <s v="Matti Karttunen"/>
    <n v="3234"/>
    <d v="2023-10-07T00:00:00"/>
    <d v="1899-12-30T01:42:00"/>
    <s v="October"/>
    <s v="Saturday"/>
    <s v="Outlier"/>
    <x v="57"/>
  </r>
  <r>
    <n v="394940"/>
    <n v="1815"/>
    <s v="Austria"/>
    <d v="2023-10-31T00:59:00"/>
    <s v="Whatsapp"/>
    <s v="Maria Larsson"/>
    <n v="4437"/>
    <d v="2023-10-31T00:00:00"/>
    <d v="1899-12-30T00:59:00"/>
    <s v="October"/>
    <s v="Tuesday"/>
    <s v="Outlier"/>
    <x v="64"/>
  </r>
  <r>
    <n v="395235"/>
    <n v="869"/>
    <s v="Austria"/>
    <d v="2023-10-06T00:00:00"/>
    <s v="Other"/>
    <s v="Annette Roulet"/>
    <n v="6921"/>
    <d v="2023-10-06T00:00:00"/>
    <d v="1899-12-30T00:00:00"/>
    <s v="October"/>
    <s v="Friday"/>
    <s v="Outlier"/>
    <x v="72"/>
  </r>
  <r>
    <n v="396045"/>
    <n v="892"/>
    <s v="USA"/>
    <d v="2023-05-13T00:44:00"/>
    <s v="Whatsapp"/>
    <s v="Thomas Hardy"/>
    <n v="4913"/>
    <d v="2023-05-13T00:00:00"/>
    <d v="1899-12-30T00:44:00"/>
    <s v="May"/>
    <s v="Saturday"/>
    <s v="Outlier"/>
    <x v="6"/>
  </r>
  <r>
    <n v="396103"/>
    <n v="1588"/>
    <s v="France"/>
    <d v="2023-12-15T01:23:00"/>
    <s v="Website"/>
    <s v="Arnold Cruz"/>
    <n v="3558"/>
    <d v="2023-12-15T00:00:00"/>
    <d v="1899-12-30T01:23:00"/>
    <s v="December"/>
    <s v="Friday"/>
    <s v="Outlier"/>
    <x v="8"/>
  </r>
  <r>
    <n v="396352"/>
    <n v="965"/>
    <s v="Australia"/>
    <d v="2023-06-13T01:46:00"/>
    <s v="App"/>
    <s v="Mory Kentary"/>
    <n v="6855"/>
    <d v="2023-06-13T00:00:00"/>
    <d v="1899-12-30T01:46:00"/>
    <s v="June"/>
    <s v="Tuesday"/>
    <s v="Outlier"/>
    <x v="63"/>
  </r>
  <r>
    <n v="396721"/>
    <n v="410"/>
    <s v="India"/>
    <d v="2023-09-23T22:45:00"/>
    <s v="App"/>
    <s v="Valarie Thompson"/>
    <n v="3567"/>
    <d v="2023-09-23T00:00:00"/>
    <d v="1899-12-30T22:45:00"/>
    <s v="September"/>
    <s v="Saturday"/>
    <s v="Outlier"/>
    <x v="36"/>
  </r>
  <r>
    <n v="397428"/>
    <n v="576"/>
    <s v="USA"/>
    <d v="2023-05-10T23:04:00"/>
    <s v="App"/>
    <s v="Sue Frick"/>
    <n v="1426"/>
    <d v="2023-05-10T00:00:00"/>
    <d v="1899-12-30T23:04:00"/>
    <s v="May"/>
    <s v="Wednesday"/>
    <s v="Outlier"/>
    <x v="59"/>
  </r>
  <r>
    <n v="397931"/>
    <n v="1062"/>
    <s v="India"/>
    <d v="2023-07-24T00:23:00"/>
    <s v="App"/>
    <s v="Diego Freyre"/>
    <n v="8407"/>
    <d v="2023-07-24T00:00:00"/>
    <d v="1899-12-30T00:23:00"/>
    <s v="July"/>
    <s v="Monday"/>
    <s v="Outlier"/>
    <x v="17"/>
  </r>
  <r>
    <n v="400062"/>
    <n v="1054"/>
    <s v="India"/>
    <d v="2023-09-03T23:17:00"/>
    <s v="Other"/>
    <s v="Allen Nelson"/>
    <n v="1436"/>
    <d v="2023-09-03T00:00:00"/>
    <d v="1899-12-30T23:17:00"/>
    <s v="September"/>
    <s v="Sunday"/>
    <s v="Outlier"/>
    <x v="46"/>
  </r>
  <r>
    <n v="400313"/>
    <n v="899"/>
    <s v="USA"/>
    <d v="2023-04-18T00:43:00"/>
    <s v="Whatsapp"/>
    <s v="Jan Klaeboe"/>
    <n v="6891"/>
    <d v="2023-04-18T00:00:00"/>
    <d v="1899-12-30T00:43:00"/>
    <s v="April"/>
    <s v="Tuesday"/>
    <s v="Outlier"/>
    <x v="21"/>
  </r>
  <r>
    <n v="400957"/>
    <n v="1746"/>
    <s v="Italy"/>
    <d v="2023-09-01T23:32:00"/>
    <s v="Other"/>
    <s v="Michael Donnermeyer"/>
    <n v="382"/>
    <d v="2023-09-01T00:00:00"/>
    <d v="1899-12-30T23:32:00"/>
    <s v="September"/>
    <s v="Friday"/>
    <s v="Outlier"/>
    <x v="50"/>
  </r>
  <r>
    <n v="401745"/>
    <n v="327"/>
    <s v="India"/>
    <d v="2023-06-25T22:55:00"/>
    <s v="Whatsapp"/>
    <s v="Francisca Cervantes"/>
    <n v="166"/>
    <d v="2023-06-25T00:00:00"/>
    <d v="1899-12-30T22:55:00"/>
    <s v="June"/>
    <s v="Sunday"/>
    <s v="Outlier"/>
    <x v="24"/>
  </r>
  <r>
    <n v="401879"/>
    <n v="126"/>
    <s v="USA"/>
    <d v="2023-05-06T23:34:00"/>
    <s v="Whatsapp"/>
    <s v="Helen Bennett"/>
    <n v="1022"/>
    <d v="2023-05-06T00:00:00"/>
    <d v="1899-12-30T23:34:00"/>
    <s v="May"/>
    <s v="Saturday"/>
    <s v="Outlier"/>
    <x v="25"/>
  </r>
  <r>
    <n v="401887"/>
    <n v="376"/>
    <s v="India"/>
    <d v="2023-02-03T01:12:00"/>
    <s v="Whatsapp"/>
    <s v="Jytte Petersen"/>
    <n v="9941"/>
    <d v="2023-02-03T00:00:00"/>
    <d v="1899-12-30T01:12:00"/>
    <s v="February"/>
    <s v="Friday"/>
    <s v="Outlier"/>
    <x v="20"/>
  </r>
  <r>
    <n v="402186"/>
    <n v="651"/>
    <s v="USA"/>
    <d v="2023-08-05T00:03:00"/>
    <s v="Website"/>
    <s v="Pascale Cartrain"/>
    <n v="8800"/>
    <d v="2023-08-05T00:00:00"/>
    <d v="1899-12-30T00:03:00"/>
    <s v="August"/>
    <s v="Saturday"/>
    <s v="Outlier"/>
    <x v="57"/>
  </r>
  <r>
    <n v="402508"/>
    <n v="155"/>
    <s v="India"/>
    <d v="2023-10-20T01:40:00"/>
    <s v="Website"/>
    <s v="Ann Brown"/>
    <n v="8064"/>
    <d v="2023-10-20T00:00:00"/>
    <d v="1899-12-30T01:40:00"/>
    <s v="October"/>
    <s v="Friday"/>
    <s v="Outlier"/>
    <x v="72"/>
  </r>
  <r>
    <n v="403651"/>
    <n v="1700"/>
    <s v="USA"/>
    <d v="2023-07-17T00:38:00"/>
    <s v="Other"/>
    <s v="Pirkko Koskitalo"/>
    <n v="8812"/>
    <d v="2023-07-17T00:00:00"/>
    <d v="1899-12-30T00:38:00"/>
    <s v="July"/>
    <s v="Monday"/>
    <s v="Outlier"/>
    <x v="2"/>
  </r>
  <r>
    <n v="404150"/>
    <n v="1902"/>
    <s v="Austria"/>
    <d v="2023-03-30T00:29:00"/>
    <s v="Website"/>
    <s v="Diego Freyre"/>
    <n v="5798"/>
    <d v="2023-03-30T00:00:00"/>
    <d v="1899-12-30T00:29:00"/>
    <s v="March"/>
    <s v="Thursday"/>
    <s v="Outlier"/>
    <x v="7"/>
  </r>
  <r>
    <n v="404700"/>
    <n v="1182"/>
    <s v="USA"/>
    <d v="2023-11-26T22:59:00"/>
    <s v="Other"/>
    <s v="Paul Henriot"/>
    <n v="2761"/>
    <d v="2023-11-26T00:00:00"/>
    <d v="1899-12-30T22:59:00"/>
    <s v="November"/>
    <s v="Sunday"/>
    <s v="Outlier"/>
    <x v="40"/>
  </r>
  <r>
    <n v="405184"/>
    <n v="1848"/>
    <s v="USA"/>
    <d v="2023-03-08T23:05:00"/>
    <s v="Other"/>
    <s v="Sue Frick"/>
    <n v="7111"/>
    <d v="2023-03-08T00:00:00"/>
    <d v="1899-12-30T23:05:00"/>
    <s v="March"/>
    <s v="Wednesday"/>
    <s v="Outlier"/>
    <x v="42"/>
  </r>
  <r>
    <n v="406996"/>
    <n v="1083"/>
    <s v="Spain"/>
    <d v="2023-04-24T23:00:00"/>
    <s v="App"/>
    <s v="Maurizio Moroni"/>
    <n v="9682"/>
    <d v="2023-04-24T00:00:00"/>
    <d v="1899-12-30T23:00:00"/>
    <s v="April"/>
    <s v="Monday"/>
    <s v="Outlier"/>
    <x v="5"/>
  </r>
  <r>
    <n v="408798"/>
    <n v="1293"/>
    <s v="USA"/>
    <d v="2023-01-31T01:32:00"/>
    <s v="Whatsapp"/>
    <s v="Valarie Young"/>
    <n v="9889"/>
    <d v="2023-01-31T00:00:00"/>
    <d v="1899-12-30T01:32:00"/>
    <s v="January"/>
    <s v="Tuesday"/>
    <s v="Outlier"/>
    <x v="4"/>
  </r>
  <r>
    <n v="408889"/>
    <n v="751"/>
    <s v="India"/>
    <d v="2023-02-20T00:01:00"/>
    <s v="App"/>
    <s v="Victoria Ashworth"/>
    <n v="8398"/>
    <d v="2023-02-20T00:00:00"/>
    <d v="1899-12-30T00:01:00"/>
    <s v="February"/>
    <s v="Monday"/>
    <s v="Outlier"/>
    <x v="43"/>
  </r>
  <r>
    <n v="410734"/>
    <n v="555"/>
    <s v="USA"/>
    <d v="2023-05-06T01:13:00"/>
    <s v="Website"/>
    <s v="Sue King"/>
    <n v="3175"/>
    <d v="2023-05-06T00:00:00"/>
    <d v="1899-12-30T01:13:00"/>
    <s v="May"/>
    <s v="Saturday"/>
    <s v="Outlier"/>
    <x v="70"/>
  </r>
  <r>
    <n v="411108"/>
    <n v="258"/>
    <s v="India"/>
    <d v="2023-04-01T23:57:00"/>
    <s v="Website"/>
    <s v="Sue Taylor"/>
    <n v="4801"/>
    <d v="2023-04-01T00:00:00"/>
    <d v="1899-12-30T23:57:00"/>
    <s v="April"/>
    <s v="Saturday"/>
    <s v="Outlier"/>
    <x v="28"/>
  </r>
  <r>
    <n v="411162"/>
    <n v="433"/>
    <s v="India"/>
    <d v="2023-08-06T00:26:00"/>
    <s v="App"/>
    <s v="Julie Brown"/>
    <n v="2485"/>
    <d v="2023-08-06T00:00:00"/>
    <d v="1899-12-30T00:26:00"/>
    <s v="August"/>
    <s v="Sunday"/>
    <s v="Outlier"/>
    <x v="39"/>
  </r>
  <r>
    <n v="411449"/>
    <n v="609"/>
    <s v="USA"/>
    <d v="2023-05-01T00:10:00"/>
    <s v="Whatsapp"/>
    <s v="Giovanni Rovelli"/>
    <n v="4109"/>
    <d v="2023-05-01T00:00:00"/>
    <d v="1899-12-30T00:10:00"/>
    <s v="May"/>
    <s v="Monday"/>
    <s v="Outlier"/>
    <x v="27"/>
  </r>
  <r>
    <n v="411916"/>
    <n v="967"/>
    <s v="Australia"/>
    <d v="2023-07-29T00:10:00"/>
    <s v="Whatsapp"/>
    <s v="Valarie Nelson"/>
    <n v="2961"/>
    <d v="2023-07-29T00:00:00"/>
    <d v="1899-12-30T00:10:00"/>
    <s v="July"/>
    <s v="Saturday"/>
    <s v="Outlier"/>
    <x v="26"/>
  </r>
  <r>
    <n v="412386"/>
    <n v="1997"/>
    <s v="Spain"/>
    <d v="2023-07-28T01:59:00"/>
    <s v="App"/>
    <s v="Sean Connery"/>
    <n v="2004"/>
    <d v="2023-07-28T00:00:00"/>
    <d v="1899-12-30T01:59:00"/>
    <s v="July"/>
    <s v="Friday"/>
    <s v="Outlier"/>
    <x v="33"/>
  </r>
  <r>
    <n v="412431"/>
    <n v="1620"/>
    <s v="USA"/>
    <d v="2023-10-26T23:29:00"/>
    <s v="App"/>
    <s v="Jeff Young"/>
    <n v="4390"/>
    <d v="2023-10-26T00:00:00"/>
    <d v="1899-12-30T23:29:00"/>
    <s v="October"/>
    <s v="Thursday"/>
    <s v="Outlier"/>
    <x v="57"/>
  </r>
  <r>
    <n v="413305"/>
    <n v="294"/>
    <s v="France"/>
    <d v="2023-01-17T00:00:00"/>
    <s v="Other"/>
    <s v="Mart¡n Sommer"/>
    <n v="39"/>
    <d v="2023-01-17T00:00:00"/>
    <d v="1899-12-30T00:00:00"/>
    <s v="January"/>
    <s v="Tuesday"/>
    <s v="Outlier"/>
    <x v="35"/>
  </r>
  <r>
    <n v="413694"/>
    <n v="1551"/>
    <s v="USA"/>
    <d v="2023-05-03T01:16:00"/>
    <s v="Other"/>
    <s v="Mary Saveley"/>
    <n v="4835"/>
    <d v="2023-05-03T00:00:00"/>
    <d v="1899-12-30T01:16:00"/>
    <s v="May"/>
    <s v="Wednesday"/>
    <s v="Outlier"/>
    <x v="29"/>
  </r>
  <r>
    <n v="414161"/>
    <n v="1675"/>
    <s v="USA"/>
    <d v="2023-12-27T23:49:00"/>
    <s v="Whatsapp"/>
    <s v="Frederique Citeaux"/>
    <n v="3894"/>
    <d v="2023-12-27T00:00:00"/>
    <d v="1899-12-30T23:49:00"/>
    <s v="December"/>
    <s v="Wednesday"/>
    <s v="Outlier"/>
    <x v="56"/>
  </r>
  <r>
    <n v="414191"/>
    <n v="350"/>
    <s v="Germany"/>
    <d v="2023-01-10T23:00:00"/>
    <s v="Other"/>
    <s v="Paolo Accorti"/>
    <n v="6814"/>
    <d v="2023-01-10T00:00:00"/>
    <d v="1899-12-30T23:00:00"/>
    <s v="January"/>
    <s v="Tuesday"/>
    <s v="Outlier"/>
    <x v="36"/>
  </r>
  <r>
    <n v="416161"/>
    <n v="1030"/>
    <s v="India"/>
    <d v="2023-02-16T01:13:00"/>
    <s v="Website"/>
    <s v="Wendy Victorino"/>
    <n v="5555"/>
    <d v="2023-02-16T00:00:00"/>
    <d v="1899-12-30T01:13:00"/>
    <s v="February"/>
    <s v="Thursday"/>
    <s v="Outlier"/>
    <x v="17"/>
  </r>
  <r>
    <n v="417613"/>
    <n v="1547"/>
    <s v="France"/>
    <d v="2023-03-26T01:23:00"/>
    <s v="Website"/>
    <s v="Elizabeth Devon"/>
    <n v="8023"/>
    <d v="2023-03-26T00:00:00"/>
    <d v="1899-12-30T01:23:00"/>
    <s v="March"/>
    <s v="Sunday"/>
    <s v="Outlier"/>
    <x v="2"/>
  </r>
  <r>
    <n v="417779"/>
    <n v="1473"/>
    <s v="USA"/>
    <d v="2023-01-31T00:40:00"/>
    <s v="Other"/>
    <s v="Valarie Nelson"/>
    <n v="9335"/>
    <d v="2023-01-31T00:00:00"/>
    <d v="1899-12-30T00:40:00"/>
    <s v="January"/>
    <s v="Tuesday"/>
    <s v="Outlier"/>
    <x v="28"/>
  </r>
  <r>
    <n v="419211"/>
    <n v="1044"/>
    <s v="India"/>
    <d v="2023-03-24T23:50:00"/>
    <s v="Other"/>
    <s v="Rosa Hernandez"/>
    <n v="4918"/>
    <d v="2023-03-24T00:00:00"/>
    <d v="1899-12-30T23:50:00"/>
    <s v="March"/>
    <s v="Friday"/>
    <s v="Outlier"/>
    <x v="47"/>
  </r>
  <r>
    <n v="419676"/>
    <n v="1259"/>
    <s v="USA"/>
    <d v="2023-05-14T01:40:00"/>
    <s v="Whatsapp"/>
    <s v="Laurence Lebihan"/>
    <n v="7702"/>
    <d v="2023-05-14T00:00:00"/>
    <d v="1899-12-30T01:40:00"/>
    <s v="May"/>
    <s v="Sunday"/>
    <s v="Outlier"/>
    <x v="23"/>
  </r>
  <r>
    <n v="421069"/>
    <n v="440"/>
    <s v="Germany"/>
    <d v="2023-04-30T23:10:00"/>
    <s v="App"/>
    <s v="Julie Young"/>
    <n v="1791"/>
    <d v="2023-04-30T00:00:00"/>
    <d v="1899-12-30T23:10:00"/>
    <s v="April"/>
    <s v="Sunday"/>
    <s v="Outlier"/>
    <x v="69"/>
  </r>
  <r>
    <n v="421505"/>
    <n v="1088"/>
    <s v="India"/>
    <d v="2023-03-28T01:26:00"/>
    <s v="Other"/>
    <s v="Diego Freyre"/>
    <n v="6441"/>
    <d v="2023-03-28T00:00:00"/>
    <d v="1899-12-30T01:26:00"/>
    <s v="March"/>
    <s v="Tuesday"/>
    <s v="Outlier"/>
    <x v="54"/>
  </r>
  <r>
    <n v="422786"/>
    <n v="1530"/>
    <s v="Austria"/>
    <d v="2023-09-26T01:01:00"/>
    <s v="App"/>
    <s v="Sue Frick"/>
    <n v="642"/>
    <d v="2023-09-26T00:00:00"/>
    <d v="1899-12-30T01:01:00"/>
    <s v="September"/>
    <s v="Tuesday"/>
    <s v="Outlier"/>
    <x v="33"/>
  </r>
  <r>
    <n v="423114"/>
    <n v="1201"/>
    <s v="France"/>
    <d v="2023-02-26T23:50:00"/>
    <s v="Website"/>
    <s v="Adrian Huxley"/>
    <n v="6057"/>
    <d v="2023-02-26T00:00:00"/>
    <d v="1899-12-30T23:50:00"/>
    <s v="February"/>
    <s v="Sunday"/>
    <s v="Outlier"/>
    <x v="20"/>
  </r>
  <r>
    <n v="423933"/>
    <n v="703"/>
    <s v="USA"/>
    <d v="2023-03-22T01:31:00"/>
    <s v="Whatsapp"/>
    <s v="Arnold Cruz"/>
    <n v="4027"/>
    <d v="2023-03-22T00:00:00"/>
    <d v="1899-12-30T01:31:00"/>
    <s v="March"/>
    <s v="Wednesday"/>
    <s v="Outlier"/>
    <x v="58"/>
  </r>
  <r>
    <n v="424079"/>
    <n v="1816"/>
    <s v="Spain"/>
    <d v="2023-12-03T00:09:00"/>
    <s v="App"/>
    <s v="Laurence Lebihan"/>
    <n v="9152"/>
    <d v="2023-12-03T00:00:00"/>
    <d v="1899-12-30T00:09:00"/>
    <s v="December"/>
    <s v="Sunday"/>
    <s v="Outlier"/>
    <x v="21"/>
  </r>
  <r>
    <n v="424517"/>
    <n v="870"/>
    <s v="India"/>
    <d v="2023-01-08T00:38:00"/>
    <s v="App"/>
    <s v="Valarie Nelson"/>
    <n v="2515"/>
    <d v="2023-01-08T00:00:00"/>
    <d v="1899-12-30T00:38:00"/>
    <s v="January"/>
    <s v="Sunday"/>
    <s v="Outlier"/>
    <x v="48"/>
  </r>
  <r>
    <n v="425030"/>
    <n v="1231"/>
    <s v="Austria"/>
    <d v="2023-02-27T01:24:00"/>
    <s v="Whatsapp"/>
    <s v="Allen Nelson"/>
    <n v="5268"/>
    <d v="2023-02-27T00:00:00"/>
    <d v="1899-12-30T01:24:00"/>
    <s v="February"/>
    <s v="Monday"/>
    <s v="Outlier"/>
    <x v="69"/>
  </r>
  <r>
    <n v="425321"/>
    <n v="117"/>
    <s v="India"/>
    <d v="2023-08-13T01:25:00"/>
    <s v="Other"/>
    <s v="Michael Chandler"/>
    <n v="4727"/>
    <d v="2023-08-13T00:00:00"/>
    <d v="1899-12-30T01:25:00"/>
    <s v="August"/>
    <s v="Sunday"/>
    <s v="Outlier"/>
    <x v="9"/>
  </r>
  <r>
    <n v="425554"/>
    <n v="1363"/>
    <s v="France"/>
    <d v="2023-09-02T23:27:00"/>
    <s v="Website"/>
    <s v="Roland Mendel"/>
    <n v="6327"/>
    <d v="2023-09-02T00:00:00"/>
    <d v="1899-12-30T23:27:00"/>
    <s v="September"/>
    <s v="Saturday"/>
    <s v="Outlier"/>
    <x v="49"/>
  </r>
  <r>
    <n v="425673"/>
    <n v="1058"/>
    <s v="India"/>
    <d v="2023-09-27T00:44:00"/>
    <s v="Website"/>
    <s v="Veysel Oeztan"/>
    <n v="491"/>
    <d v="2023-09-27T00:00:00"/>
    <d v="1899-12-30T00:44:00"/>
    <s v="September"/>
    <s v="Wednesday"/>
    <s v="Outlier"/>
    <x v="8"/>
  </r>
  <r>
    <n v="426056"/>
    <n v="1138"/>
    <s v="Australia"/>
    <d v="2023-04-18T23:44:00"/>
    <s v="App"/>
    <s v="Valarie Young"/>
    <n v="3481"/>
    <d v="2023-04-18T00:00:00"/>
    <d v="1899-12-30T23:44:00"/>
    <s v="April"/>
    <s v="Tuesday"/>
    <s v="Outlier"/>
    <x v="69"/>
  </r>
  <r>
    <n v="426461"/>
    <n v="254"/>
    <s v="France"/>
    <d v="2023-02-02T01:50:00"/>
    <s v="Whatsapp"/>
    <s v="Diego Freyre"/>
    <n v="6998"/>
    <d v="2023-02-02T00:00:00"/>
    <d v="1899-12-30T01:50:00"/>
    <s v="February"/>
    <s v="Thursday"/>
    <s v="Outlier"/>
    <x v="51"/>
  </r>
  <r>
    <n v="426515"/>
    <n v="971"/>
    <s v="France"/>
    <d v="2023-10-20T00:53:00"/>
    <s v="Whatsapp"/>
    <s v="Diego Freyre"/>
    <n v="6753"/>
    <d v="2023-10-20T00:00:00"/>
    <d v="1899-12-30T00:53:00"/>
    <s v="October"/>
    <s v="Friday"/>
    <s v="Outlier"/>
    <x v="13"/>
  </r>
  <r>
    <n v="427737"/>
    <n v="780"/>
    <s v="India"/>
    <d v="2023-12-28T00:58:00"/>
    <s v="Whatsapp"/>
    <s v="Michael Holz"/>
    <n v="4456"/>
    <d v="2023-12-28T00:00:00"/>
    <d v="1899-12-30T00:58:00"/>
    <s v="December"/>
    <s v="Thursday"/>
    <s v="Outlier"/>
    <x v="64"/>
  </r>
  <r>
    <n v="429796"/>
    <n v="771"/>
    <s v="Denmark"/>
    <d v="2023-09-02T00:44:00"/>
    <s v="Website"/>
    <s v="Pirkko Koskitalo"/>
    <n v="9994"/>
    <d v="2023-09-02T00:00:00"/>
    <d v="1899-12-30T00:44:00"/>
    <s v="September"/>
    <s v="Saturday"/>
    <s v="Outlier"/>
    <x v="43"/>
  </r>
  <r>
    <n v="430092"/>
    <n v="1814"/>
    <s v="USA"/>
    <d v="2023-10-30T01:22:00"/>
    <s v="Website"/>
    <s v="Elizabeth Devon"/>
    <n v="5251"/>
    <d v="2023-10-30T00:00:00"/>
    <d v="1899-12-30T01:22:00"/>
    <s v="October"/>
    <s v="Monday"/>
    <s v="Outlier"/>
    <x v="46"/>
  </r>
  <r>
    <n v="431955"/>
    <n v="997"/>
    <s v="India"/>
    <d v="2023-03-12T01:01:00"/>
    <s v="Whatsapp"/>
    <s v="Maurizio Moroni"/>
    <n v="9387"/>
    <d v="2023-03-12T00:00:00"/>
    <d v="1899-12-30T01:01:00"/>
    <s v="March"/>
    <s v="Sunday"/>
    <s v="Outlier"/>
    <x v="30"/>
  </r>
  <r>
    <n v="432167"/>
    <n v="1543"/>
    <s v="USA"/>
    <d v="2023-02-12T00:41:00"/>
    <s v="Website"/>
    <s v="Sue King"/>
    <n v="3319"/>
    <d v="2023-02-12T00:00:00"/>
    <d v="1899-12-30T00:41:00"/>
    <s v="February"/>
    <s v="Sunday"/>
    <s v="Outlier"/>
    <x v="17"/>
  </r>
  <r>
    <n v="432633"/>
    <n v="1738"/>
    <s v="France"/>
    <d v="2023-02-11T01:11:00"/>
    <s v="Website"/>
    <s v="Michael Holz"/>
    <n v="9557"/>
    <d v="2023-02-11T00:00:00"/>
    <d v="1899-12-30T01:11:00"/>
    <s v="February"/>
    <s v="Saturday"/>
    <s v="Outlier"/>
    <x v="18"/>
  </r>
  <r>
    <n v="434591"/>
    <n v="1450"/>
    <s v="France"/>
    <d v="2023-02-27T01:00:00"/>
    <s v="Other"/>
    <s v="Roland Keitel"/>
    <n v="4060"/>
    <d v="2023-02-27T00:00:00"/>
    <d v="1899-12-30T01:00:00"/>
    <s v="February"/>
    <s v="Monday"/>
    <s v="Outlier"/>
    <x v="18"/>
  </r>
  <r>
    <n v="435768"/>
    <n v="74"/>
    <s v="USA"/>
    <d v="2023-02-13T00:32:00"/>
    <s v="Whatsapp"/>
    <s v="Henriette Pfalzheim"/>
    <n v="5262"/>
    <d v="2023-02-13T00:00:00"/>
    <d v="1899-12-30T00:32:00"/>
    <s v="February"/>
    <s v="Monday"/>
    <s v="Outlier"/>
    <x v="9"/>
  </r>
  <r>
    <n v="438673"/>
    <n v="1769"/>
    <s v="Spain"/>
    <d v="2023-12-24T22:34:00"/>
    <s v="App"/>
    <s v="Violeta Benitez"/>
    <n v="6941"/>
    <d v="2023-12-24T00:00:00"/>
    <d v="1899-12-30T22:34:00"/>
    <s v="December"/>
    <s v="Sunday"/>
    <s v="Outlier"/>
    <x v="18"/>
  </r>
  <r>
    <n v="439833"/>
    <n v="1472"/>
    <s v="USA"/>
    <d v="2023-06-04T02:23:00"/>
    <s v="Website"/>
    <s v="Kwai Yu"/>
    <n v="3338"/>
    <d v="2023-06-04T00:00:00"/>
    <d v="1899-12-30T02:23:00"/>
    <s v="June"/>
    <s v="Sunday"/>
    <s v="Outlier"/>
    <x v="69"/>
  </r>
  <r>
    <n v="439986"/>
    <n v="1256"/>
    <s v="Spain"/>
    <d v="2023-07-22T00:53:00"/>
    <s v="App"/>
    <s v="Peter Ferguson"/>
    <n v="6038"/>
    <d v="2023-07-22T00:00:00"/>
    <d v="1899-12-30T00:53:00"/>
    <s v="July"/>
    <s v="Saturday"/>
    <s v="Outlier"/>
    <x v="3"/>
  </r>
  <r>
    <n v="440925"/>
    <n v="419"/>
    <s v="France"/>
    <d v="2023-01-17T00:19:00"/>
    <s v="Other"/>
    <s v="Kalle Suominen"/>
    <n v="8432"/>
    <d v="2023-01-17T00:00:00"/>
    <d v="1899-12-30T00:19:00"/>
    <s v="January"/>
    <s v="Tuesday"/>
    <s v="Outlier"/>
    <x v="50"/>
  </r>
  <r>
    <n v="441275"/>
    <n v="685"/>
    <s v="Australia"/>
    <d v="2023-01-18T23:36:00"/>
    <s v="Other"/>
    <s v="Matti Karttunen"/>
    <n v="7319"/>
    <d v="2023-01-18T00:00:00"/>
    <d v="1899-12-30T23:36:00"/>
    <s v="January"/>
    <s v="Wednesday"/>
    <s v="Outlier"/>
    <x v="63"/>
  </r>
  <r>
    <n v="441310"/>
    <n v="880"/>
    <s v="India"/>
    <d v="2023-11-28T23:29:00"/>
    <s v="Website"/>
    <s v="Maria Larsson"/>
    <n v="3544"/>
    <d v="2023-11-28T00:00:00"/>
    <d v="1899-12-30T23:29:00"/>
    <s v="November"/>
    <s v="Tuesday"/>
    <s v="Outlier"/>
    <x v="60"/>
  </r>
  <r>
    <n v="442615"/>
    <n v="1196"/>
    <s v="USA"/>
    <d v="2023-11-25T22:36:00"/>
    <s v="App"/>
    <s v="Frederique Citeaux"/>
    <n v="6526"/>
    <d v="2023-11-25T00:00:00"/>
    <d v="1899-12-30T22:36:00"/>
    <s v="November"/>
    <s v="Saturday"/>
    <s v="Outlier"/>
    <x v="43"/>
  </r>
  <r>
    <n v="442842"/>
    <n v="226"/>
    <s v="USA"/>
    <d v="2023-03-15T22:50:00"/>
    <s v="App"/>
    <s v="Georg Pipps"/>
    <n v="4064"/>
    <d v="2023-03-15T00:00:00"/>
    <d v="1899-12-30T22:50:00"/>
    <s v="March"/>
    <s v="Wednesday"/>
    <s v="Outlier"/>
    <x v="34"/>
  </r>
  <r>
    <n v="443374"/>
    <n v="47"/>
    <s v="Spain"/>
    <d v="2023-05-15T02:14:00"/>
    <s v="Website"/>
    <s v="Rosa Hernandez"/>
    <n v="768"/>
    <d v="2023-05-15T00:00:00"/>
    <d v="1899-12-30T02:14:00"/>
    <s v="May"/>
    <s v="Monday"/>
    <s v="Outlier"/>
    <x v="5"/>
  </r>
  <r>
    <n v="443577"/>
    <n v="507"/>
    <s v="USA"/>
    <d v="2023-09-17T01:34:00"/>
    <s v="App"/>
    <s v="Laurence Lebihan"/>
    <n v="7940"/>
    <d v="2023-09-17T00:00:00"/>
    <d v="1899-12-30T01:34:00"/>
    <s v="September"/>
    <s v="Sunday"/>
    <s v="Outlier"/>
    <x v="31"/>
  </r>
  <r>
    <n v="443968"/>
    <n v="1179"/>
    <s v="Spain"/>
    <d v="2023-10-12T00:39:00"/>
    <s v="App"/>
    <s v="Annette Roulet"/>
    <n v="7784"/>
    <d v="2023-10-12T00:00:00"/>
    <d v="1899-12-30T00:39:00"/>
    <s v="October"/>
    <s v="Thursday"/>
    <s v="Outlier"/>
    <x v="22"/>
  </r>
  <r>
    <n v="444540"/>
    <n v="112"/>
    <s v="USA"/>
    <d v="2023-09-05T00:24:00"/>
    <s v="Website"/>
    <s v="Anna O'Hara"/>
    <n v="8547"/>
    <d v="2023-09-05T00:00:00"/>
    <d v="1899-12-30T00:24:00"/>
    <s v="September"/>
    <s v="Tuesday"/>
    <s v="Outlier"/>
    <x v="41"/>
  </r>
  <r>
    <n v="445200"/>
    <n v="465"/>
    <s v="USA"/>
    <d v="2023-06-16T02:10:00"/>
    <s v="Website"/>
    <s v="Palle Ibsen"/>
    <n v="2670"/>
    <d v="2023-06-16T00:00:00"/>
    <d v="1899-12-30T02:10:00"/>
    <s v="June"/>
    <s v="Friday"/>
    <s v="Outlier"/>
    <x v="22"/>
  </r>
  <r>
    <n v="445784"/>
    <n v="899"/>
    <s v="USA"/>
    <d v="2023-07-20T01:02:00"/>
    <s v="Whatsapp"/>
    <s v="Jean Fresnisre"/>
    <n v="7646"/>
    <d v="2023-07-20T00:00:00"/>
    <d v="1899-12-30T01:02:00"/>
    <s v="July"/>
    <s v="Thursday"/>
    <s v="Outlier"/>
    <x v="21"/>
  </r>
  <r>
    <n v="446644"/>
    <n v="1728"/>
    <s v="France"/>
    <d v="2023-01-22T00:15:00"/>
    <s v="App"/>
    <s v="Veysel Oeztan"/>
    <n v="8854"/>
    <d v="2023-01-22T00:00:00"/>
    <d v="1899-12-30T00:15:00"/>
    <s v="January"/>
    <s v="Sunday"/>
    <s v="Outlier"/>
    <x v="18"/>
  </r>
  <r>
    <n v="447240"/>
    <n v="1318"/>
    <s v="USA"/>
    <d v="2023-11-16T23:08:00"/>
    <s v="Other"/>
    <s v="Valarie Young"/>
    <n v="6512"/>
    <d v="2023-11-16T00:00:00"/>
    <d v="1899-12-30T23:08:00"/>
    <s v="November"/>
    <s v="Thursday"/>
    <s v="Outlier"/>
    <x v="32"/>
  </r>
  <r>
    <n v="447917"/>
    <n v="359"/>
    <s v="France"/>
    <d v="2023-03-18T23:46:00"/>
    <s v="Website"/>
    <s v="Jeff Young"/>
    <n v="9321"/>
    <d v="2023-03-18T00:00:00"/>
    <d v="1899-12-30T23:46:00"/>
    <s v="March"/>
    <s v="Saturday"/>
    <s v="Outlier"/>
    <x v="2"/>
  </r>
  <r>
    <n v="447970"/>
    <n v="1464"/>
    <s v="France"/>
    <d v="2023-09-12T01:12:00"/>
    <s v="Other"/>
    <s v="Diego Freyre"/>
    <n v="2974"/>
    <d v="2023-09-12T00:00:00"/>
    <d v="1899-12-30T01:12:00"/>
    <s v="September"/>
    <s v="Tuesday"/>
    <s v="Outlier"/>
    <x v="38"/>
  </r>
  <r>
    <n v="448027"/>
    <n v="1046"/>
    <s v="India"/>
    <d v="2023-07-09T00:58:00"/>
    <s v="Website"/>
    <s v="Valarie Thompson"/>
    <n v="532"/>
    <d v="2023-07-09T00:00:00"/>
    <d v="1899-12-30T00:58:00"/>
    <s v="July"/>
    <s v="Sunday"/>
    <s v="Outlier"/>
    <x v="44"/>
  </r>
  <r>
    <n v="448164"/>
    <n v="1502"/>
    <s v="Spain"/>
    <d v="2023-02-04T01:35:00"/>
    <s v="Other"/>
    <s v="Mory Kentary"/>
    <n v="3869"/>
    <d v="2023-02-04T00:00:00"/>
    <d v="1899-12-30T01:35:00"/>
    <s v="February"/>
    <s v="Saturday"/>
    <s v="Outlier"/>
    <x v="19"/>
  </r>
  <r>
    <n v="448776"/>
    <n v="1173"/>
    <s v="USA"/>
    <d v="2023-12-13T00:07:00"/>
    <s v="Whatsapp"/>
    <s v="Elizabeth Devon"/>
    <n v="4703"/>
    <d v="2023-12-13T00:00:00"/>
    <d v="1899-12-30T00:07:00"/>
    <s v="December"/>
    <s v="Wednesday"/>
    <s v="Outlier"/>
    <x v="58"/>
  </r>
  <r>
    <n v="449457"/>
    <n v="494"/>
    <s v="France"/>
    <d v="2023-11-02T01:10:00"/>
    <s v="App"/>
    <s v="Maurizio Moroni"/>
    <n v="3426"/>
    <d v="2023-11-02T00:00:00"/>
    <d v="1899-12-30T01:10:00"/>
    <s v="November"/>
    <s v="Thursday"/>
    <s v="Outlier"/>
    <x v="11"/>
  </r>
  <r>
    <n v="451541"/>
    <n v="116"/>
    <s v="Denmark"/>
    <d v="2023-06-29T01:31:00"/>
    <s v="Website"/>
    <s v="Sue King"/>
    <n v="2490"/>
    <d v="2023-06-29T00:00:00"/>
    <d v="1899-12-30T01:31:00"/>
    <s v="June"/>
    <s v="Thursday"/>
    <s v="Outlier"/>
    <x v="51"/>
  </r>
  <r>
    <n v="451694"/>
    <n v="1031"/>
    <s v="Australia"/>
    <d v="2023-05-27T23:34:00"/>
    <s v="Whatsapp"/>
    <s v="Michael Holz"/>
    <n v="3713"/>
    <d v="2023-05-27T00:00:00"/>
    <d v="1899-12-30T23:34:00"/>
    <s v="May"/>
    <s v="Saturday"/>
    <s v="Outlier"/>
    <x v="28"/>
  </r>
  <r>
    <n v="452070"/>
    <n v="1693"/>
    <s v="France"/>
    <d v="2023-05-06T00:22:00"/>
    <s v="Other"/>
    <s v="Jan Klaeboe"/>
    <n v="9332"/>
    <d v="2023-05-06T00:00:00"/>
    <d v="1899-12-30T00:22:00"/>
    <s v="May"/>
    <s v="Saturday"/>
    <s v="Outlier"/>
    <x v="42"/>
  </r>
  <r>
    <n v="452684"/>
    <n v="374"/>
    <s v="Denmark"/>
    <d v="2023-08-08T01:58:00"/>
    <s v="Website"/>
    <s v="Henriette Pfalzheim"/>
    <n v="9309"/>
    <d v="2023-08-08T00:00:00"/>
    <d v="1899-12-30T01:58:00"/>
    <s v="August"/>
    <s v="Tuesday"/>
    <s v="Outlier"/>
    <x v="37"/>
  </r>
  <r>
    <n v="453466"/>
    <n v="637"/>
    <s v="USA"/>
    <d v="2023-03-11T01:23:00"/>
    <s v="Other"/>
    <s v="Violeta Benitez"/>
    <n v="6625"/>
    <d v="2023-03-11T00:00:00"/>
    <d v="1899-12-30T01:23:00"/>
    <s v="March"/>
    <s v="Saturday"/>
    <s v="Outlier"/>
    <x v="4"/>
  </r>
  <r>
    <n v="453732"/>
    <n v="1623"/>
    <s v="Spain"/>
    <d v="2023-06-14T23:09:00"/>
    <s v="App"/>
    <s v="Rosa Hernandez"/>
    <n v="8537"/>
    <d v="2023-06-14T00:00:00"/>
    <d v="1899-12-30T23:09:00"/>
    <s v="June"/>
    <s v="Wednesday"/>
    <s v="Outlier"/>
    <x v="7"/>
  </r>
  <r>
    <n v="454137"/>
    <n v="1687"/>
    <s v="Australia"/>
    <d v="2023-01-15T00:20:00"/>
    <s v="Whatsapp"/>
    <s v="Peter Ferguson"/>
    <n v="2431"/>
    <d v="2023-01-15T00:00:00"/>
    <d v="1899-12-30T00:20:00"/>
    <s v="January"/>
    <s v="Sunday"/>
    <s v="Outlier"/>
    <x v="4"/>
  </r>
  <r>
    <n v="455153"/>
    <n v="1431"/>
    <s v="USA"/>
    <d v="2023-05-26T00:37:00"/>
    <s v="Whatsapp"/>
    <s v="Daniel Da Cunha"/>
    <n v="4088"/>
    <d v="2023-05-26T00:00:00"/>
    <d v="1899-12-30T00:37:00"/>
    <s v="May"/>
    <s v="Friday"/>
    <s v="Outlier"/>
    <x v="42"/>
  </r>
  <r>
    <n v="456612"/>
    <n v="1240"/>
    <s v="Germany"/>
    <d v="2023-02-28T00:33:00"/>
    <s v="Whatsapp"/>
    <s v="Pascale Cartrain"/>
    <n v="1900"/>
    <d v="2023-02-28T00:00:00"/>
    <d v="1899-12-30T00:33:00"/>
    <s v="February"/>
    <s v="Tuesday"/>
    <s v="Outlier"/>
    <x v="32"/>
  </r>
  <r>
    <n v="457087"/>
    <n v="66"/>
    <s v="Australia"/>
    <d v="2023-02-22T23:18:00"/>
    <s v="Website"/>
    <s v="Matti Karttunen"/>
    <n v="1838"/>
    <d v="2023-02-22T00:00:00"/>
    <d v="1899-12-30T23:18:00"/>
    <s v="February"/>
    <s v="Wednesday"/>
    <s v="Outlier"/>
    <x v="35"/>
  </r>
  <r>
    <n v="457874"/>
    <n v="1467"/>
    <s v="USA"/>
    <d v="2023-02-16T01:04:00"/>
    <s v="Whatsapp"/>
    <s v="Valarie Nelson"/>
    <n v="3337"/>
    <d v="2023-02-16T00:00:00"/>
    <d v="1899-12-30T01:04:00"/>
    <s v="February"/>
    <s v="Thursday"/>
    <s v="Outlier"/>
    <x v="65"/>
  </r>
  <r>
    <n v="457958"/>
    <n v="690"/>
    <s v="Germany"/>
    <d v="2023-01-03T00:44:00"/>
    <s v="Other"/>
    <s v="Jytte Petersen"/>
    <n v="2923"/>
    <d v="2023-01-03T00:00:00"/>
    <d v="1899-12-30T00:44:00"/>
    <s v="January"/>
    <s v="Tuesday"/>
    <s v="Outlier"/>
    <x v="2"/>
  </r>
  <r>
    <n v="458560"/>
    <n v="210"/>
    <s v="USA"/>
    <d v="2023-08-31T00:00:00"/>
    <s v="Other"/>
    <s v="Georg Pipps"/>
    <n v="9234"/>
    <d v="2023-08-31T00:00:00"/>
    <d v="1899-12-30T00:00:00"/>
    <s v="August"/>
    <s v="Thursday"/>
    <s v="Outlier"/>
    <x v="0"/>
  </r>
  <r>
    <n v="459426"/>
    <n v="1783"/>
    <s v="USA"/>
    <d v="2023-11-04T00:58:00"/>
    <s v="Other"/>
    <s v="Diego Freyre"/>
    <n v="936"/>
    <d v="2023-11-04T00:00:00"/>
    <d v="1899-12-30T00:58:00"/>
    <s v="November"/>
    <s v="Saturday"/>
    <s v="Outlier"/>
    <x v="18"/>
  </r>
  <r>
    <n v="461110"/>
    <n v="1549"/>
    <s v="USA"/>
    <d v="2023-08-08T02:09:00"/>
    <s v="Other"/>
    <s v="Maria Hernandez"/>
    <n v="4341"/>
    <d v="2023-08-08T00:00:00"/>
    <d v="1899-12-30T02:09:00"/>
    <s v="August"/>
    <s v="Tuesday"/>
    <s v="Outlier"/>
    <x v="41"/>
  </r>
  <r>
    <n v="461537"/>
    <n v="1833"/>
    <s v="Singapore"/>
    <d v="2023-02-17T01:44:00"/>
    <s v="Whatsapp"/>
    <s v="Jeff Young"/>
    <n v="8344"/>
    <d v="2023-02-17T00:00:00"/>
    <d v="1899-12-30T01:44:00"/>
    <s v="February"/>
    <s v="Friday"/>
    <s v="Outlier"/>
    <x v="3"/>
  </r>
  <r>
    <n v="461731"/>
    <n v="685"/>
    <s v="Australia"/>
    <d v="2023-11-09T01:39:00"/>
    <s v="Website"/>
    <s v="Kalle Suominen"/>
    <n v="5092"/>
    <d v="2023-11-09T00:00:00"/>
    <d v="1899-12-30T01:39:00"/>
    <s v="November"/>
    <s v="Thursday"/>
    <s v="Outlier"/>
    <x v="63"/>
  </r>
  <r>
    <n v="462593"/>
    <n v="1971"/>
    <s v="Spain"/>
    <d v="2023-08-05T01:29:00"/>
    <s v="App"/>
    <s v="Pirkko Koskitalo"/>
    <n v="5397"/>
    <d v="2023-08-05T00:00:00"/>
    <d v="1899-12-30T01:29:00"/>
    <s v="August"/>
    <s v="Saturday"/>
    <s v="Outlier"/>
    <x v="60"/>
  </r>
  <r>
    <n v="463922"/>
    <n v="172"/>
    <s v="USA"/>
    <d v="2023-09-23T01:05:00"/>
    <s v="Website"/>
    <s v="Eric Natividad"/>
    <n v="484"/>
    <d v="2023-09-23T00:00:00"/>
    <d v="1899-12-30T01:05:00"/>
    <s v="September"/>
    <s v="Saturday"/>
    <s v="Outlier"/>
    <x v="40"/>
  </r>
  <r>
    <n v="464531"/>
    <n v="1153"/>
    <s v="Italy"/>
    <d v="2023-02-14T00:30:00"/>
    <s v="Other"/>
    <s v="Maurizio Moroni"/>
    <n v="4951"/>
    <d v="2023-02-14T00:00:00"/>
    <d v="1899-12-30T00:30:00"/>
    <s v="February"/>
    <s v="Tuesday"/>
    <s v="Outlier"/>
    <x v="36"/>
  </r>
  <r>
    <n v="464722"/>
    <n v="1215"/>
    <s v="USA"/>
    <d v="2023-01-03T01:01:00"/>
    <s v="Whatsapp"/>
    <s v="Jose Pedro Roel"/>
    <n v="7137"/>
    <d v="2023-01-03T00:00:00"/>
    <d v="1899-12-30T01:01:00"/>
    <s v="January"/>
    <s v="Tuesday"/>
    <s v="Outlier"/>
    <x v="19"/>
  </r>
  <r>
    <n v="464859"/>
    <n v="683"/>
    <s v="Australia"/>
    <d v="2023-01-14T23:38:00"/>
    <s v="Other"/>
    <s v="Steve Frick"/>
    <n v="6431"/>
    <d v="2023-01-14T00:00:00"/>
    <d v="1899-12-30T23:38:00"/>
    <s v="January"/>
    <s v="Saturday"/>
    <s v="Outlier"/>
    <x v="59"/>
  </r>
  <r>
    <n v="466869"/>
    <n v="1984"/>
    <s v="Australia"/>
    <d v="2023-02-14T14:20:00"/>
    <s v="Other"/>
    <s v="Valarie Franco"/>
    <n v="660"/>
    <d v="2023-02-14T00:00:00"/>
    <d v="1899-12-30T14:20:00"/>
    <s v="February"/>
    <s v="Tuesday"/>
    <s v="Outlier"/>
    <x v="23"/>
  </r>
  <r>
    <n v="467965"/>
    <n v="550"/>
    <s v="USA"/>
    <d v="2023-10-02T23:43:00"/>
    <s v="Whatsapp"/>
    <s v="Sue Taylor"/>
    <n v="8296"/>
    <d v="2023-10-02T00:00:00"/>
    <d v="1899-12-30T23:43:00"/>
    <s v="October"/>
    <s v="Monday"/>
    <s v="Outlier"/>
    <x v="34"/>
  </r>
  <r>
    <n v="468652"/>
    <n v="106"/>
    <s v="Australia"/>
    <d v="2023-07-01T00:27:00"/>
    <s v="Whatsapp"/>
    <s v="Roland Keitel"/>
    <n v="1982"/>
    <d v="2023-07-01T00:00:00"/>
    <d v="1899-12-30T00:27:00"/>
    <s v="July"/>
    <s v="Saturday"/>
    <s v="Outlier"/>
    <x v="28"/>
  </r>
  <r>
    <n v="471520"/>
    <n v="188"/>
    <s v="India"/>
    <d v="2023-09-13T00:39:00"/>
    <s v="Website"/>
    <s v="Diego Freyre"/>
    <n v="8652"/>
    <d v="2023-09-13T00:00:00"/>
    <d v="1899-12-30T00:39:00"/>
    <s v="September"/>
    <s v="Wednesday"/>
    <s v="Outlier"/>
    <x v="54"/>
  </r>
  <r>
    <n v="471691"/>
    <n v="1279"/>
    <s v="USA"/>
    <d v="2023-04-10T01:45:00"/>
    <s v="Website"/>
    <s v="Wendy Victorino"/>
    <n v="1314"/>
    <d v="2023-04-10T00:00:00"/>
    <d v="1899-12-30T01:45:00"/>
    <s v="April"/>
    <s v="Monday"/>
    <s v="Outlier"/>
    <x v="44"/>
  </r>
  <r>
    <n v="471801"/>
    <n v="878"/>
    <s v="India"/>
    <d v="2023-01-19T01:26:00"/>
    <s v="Website"/>
    <s v="Valarie Nelson"/>
    <n v="1740"/>
    <d v="2023-01-19T00:00:00"/>
    <d v="1899-12-30T01:26:00"/>
    <s v="January"/>
    <s v="Thursday"/>
    <s v="Outlier"/>
    <x v="23"/>
  </r>
  <r>
    <n v="471886"/>
    <n v="1583"/>
    <s v="Singapore"/>
    <d v="2023-01-02T23:40:00"/>
    <s v="Whatsapp"/>
    <s v="Valarie Nelson"/>
    <n v="4072"/>
    <d v="2023-01-02T00:00:00"/>
    <d v="1899-12-30T23:40:00"/>
    <s v="January"/>
    <s v="Monday"/>
    <s v="Outlier"/>
    <x v="38"/>
  </r>
  <r>
    <n v="472645"/>
    <n v="1290"/>
    <s v="USA"/>
    <d v="2023-11-13T01:24:00"/>
    <s v="Other"/>
    <s v="Kwai Yu"/>
    <n v="3018"/>
    <d v="2023-11-13T00:00:00"/>
    <d v="1899-12-30T01:24:00"/>
    <s v="November"/>
    <s v="Monday"/>
    <s v="Outlier"/>
    <x v="34"/>
  </r>
  <r>
    <n v="473503"/>
    <n v="1682"/>
    <s v="France"/>
    <d v="2023-08-08T23:26:00"/>
    <s v="Whatsapp"/>
    <s v="Marta Hernandez"/>
    <n v="1565"/>
    <d v="2023-08-08T00:00:00"/>
    <d v="1899-12-30T23:26:00"/>
    <s v="August"/>
    <s v="Tuesday"/>
    <s v="Outlier"/>
    <x v="54"/>
  </r>
  <r>
    <n v="474022"/>
    <n v="1063"/>
    <s v="India"/>
    <d v="2023-03-08T22:52:00"/>
    <s v="Other"/>
    <s v="Palle Ibsen"/>
    <n v="2476"/>
    <d v="2023-03-08T00:00:00"/>
    <d v="1899-12-30T22:52:00"/>
    <s v="March"/>
    <s v="Wednesday"/>
    <s v="Outlier"/>
    <x v="43"/>
  </r>
  <r>
    <n v="474847"/>
    <n v="1316"/>
    <s v="Australia"/>
    <d v="2023-10-03T00:25:00"/>
    <s v="Website"/>
    <s v="Michael Frick"/>
    <n v="4155"/>
    <d v="2023-10-03T00:00:00"/>
    <d v="1899-12-30T00:25:00"/>
    <s v="October"/>
    <s v="Tuesday"/>
    <s v="Outlier"/>
    <x v="41"/>
  </r>
  <r>
    <n v="476585"/>
    <n v="645"/>
    <s v="Denmark"/>
    <d v="2023-04-21T00:30:00"/>
    <s v="App"/>
    <s v="Marie Bertrand"/>
    <n v="7949"/>
    <d v="2023-04-21T00:00:00"/>
    <d v="1899-12-30T00:30:00"/>
    <s v="April"/>
    <s v="Friday"/>
    <s v="Outlier"/>
    <x v="28"/>
  </r>
  <r>
    <n v="477068"/>
    <n v="396"/>
    <s v="Spain"/>
    <d v="2023-09-19T01:12:00"/>
    <s v="App"/>
    <s v="Jeff Young"/>
    <n v="6110"/>
    <d v="2023-09-19T00:00:00"/>
    <d v="1899-12-30T01:12:00"/>
    <s v="September"/>
    <s v="Tuesday"/>
    <s v="Outlier"/>
    <x v="62"/>
  </r>
  <r>
    <n v="477337"/>
    <n v="178"/>
    <s v="India"/>
    <d v="2023-01-24T22:55:00"/>
    <s v="App"/>
    <s v="Diego Freyre"/>
    <n v="8277"/>
    <d v="2023-01-24T00:00:00"/>
    <d v="1899-12-30T22:55:00"/>
    <s v="January"/>
    <s v="Tuesday"/>
    <s v="Outlier"/>
    <x v="32"/>
  </r>
  <r>
    <n v="477809"/>
    <n v="292"/>
    <s v="India"/>
    <d v="2023-08-12T23:36:00"/>
    <s v="App"/>
    <s v="Valarie Nelson"/>
    <n v="802"/>
    <d v="2023-08-12T00:00:00"/>
    <d v="1899-12-30T23:36:00"/>
    <s v="August"/>
    <s v="Saturday"/>
    <s v="Outlier"/>
    <x v="50"/>
  </r>
  <r>
    <n v="477915"/>
    <n v="965"/>
    <s v="Australia"/>
    <d v="2023-05-21T00:27:00"/>
    <s v="App"/>
    <s v="Valarie Nelson"/>
    <n v="5391"/>
    <d v="2023-05-21T00:00:00"/>
    <d v="1899-12-30T00:27:00"/>
    <s v="May"/>
    <s v="Sunday"/>
    <s v="Outlier"/>
    <x v="63"/>
  </r>
  <r>
    <n v="478198"/>
    <n v="214"/>
    <s v="USA"/>
    <d v="2023-10-21T00:56:00"/>
    <s v="Other"/>
    <s v="Diego Freyre"/>
    <n v="9837"/>
    <d v="2023-10-21T00:00:00"/>
    <d v="1899-12-30T00:56:00"/>
    <s v="October"/>
    <s v="Saturday"/>
    <s v="Outlier"/>
    <x v="65"/>
  </r>
  <r>
    <n v="479363"/>
    <n v="1343"/>
    <s v="USA"/>
    <d v="2023-07-08T00:02:00"/>
    <s v="Other"/>
    <s v="Janine Labrune"/>
    <n v="1941"/>
    <d v="2023-07-08T00:00:00"/>
    <d v="1899-12-30T00:02:00"/>
    <s v="July"/>
    <s v="Saturday"/>
    <s v="Outlier"/>
    <x v="24"/>
  </r>
  <r>
    <n v="479407"/>
    <n v="1399"/>
    <s v="Australia"/>
    <d v="2023-12-03T22:39:00"/>
    <s v="App"/>
    <s v="Valarie Young"/>
    <n v="1351"/>
    <d v="2023-12-03T00:00:00"/>
    <d v="1899-12-30T22:39:00"/>
    <s v="December"/>
    <s v="Sunday"/>
    <s v="Outlier"/>
    <x v="32"/>
  </r>
  <r>
    <n v="479589"/>
    <n v="180"/>
    <s v="USA"/>
    <d v="2023-03-26T23:48:00"/>
    <s v="Other"/>
    <s v="Victoria Ashworth"/>
    <n v="9486"/>
    <d v="2023-03-26T00:00:00"/>
    <d v="1899-12-30T23:48:00"/>
    <s v="March"/>
    <s v="Sunday"/>
    <s v="Outlier"/>
    <x v="49"/>
  </r>
  <r>
    <n v="480827"/>
    <n v="1498"/>
    <s v="Germany"/>
    <d v="2023-01-14T00:06:00"/>
    <s v="Website"/>
    <s v="Sue King"/>
    <n v="3032"/>
    <d v="2023-01-14T00:00:00"/>
    <d v="1899-12-30T00:06:00"/>
    <s v="January"/>
    <s v="Saturday"/>
    <s v="Outlier"/>
    <x v="21"/>
  </r>
  <r>
    <n v="480878"/>
    <n v="1229"/>
    <s v="Australia"/>
    <d v="2023-05-26T01:37:00"/>
    <s v="Whatsapp"/>
    <s v="Sue Taylor"/>
    <n v="9502"/>
    <d v="2023-05-26T00:00:00"/>
    <d v="1899-12-30T01:37:00"/>
    <s v="May"/>
    <s v="Friday"/>
    <s v="Outlier"/>
    <x v="25"/>
  </r>
  <r>
    <n v="482210"/>
    <n v="1507"/>
    <s v="USA"/>
    <d v="2023-09-15T01:25:00"/>
    <s v="Other"/>
    <s v="Julie Brown"/>
    <n v="4514"/>
    <d v="2023-09-15T00:00:00"/>
    <d v="1899-12-30T01:25:00"/>
    <s v="September"/>
    <s v="Friday"/>
    <s v="Outlier"/>
    <x v="61"/>
  </r>
  <r>
    <n v="482277"/>
    <n v="1808"/>
    <s v="Italy"/>
    <d v="2023-11-27T23:08:00"/>
    <s v="Website"/>
    <s v="Giovanni Rovelli"/>
    <n v="5415"/>
    <d v="2023-11-27T00:00:00"/>
    <d v="1899-12-30T23:08:00"/>
    <s v="November"/>
    <s v="Monday"/>
    <s v="Outlier"/>
    <x v="9"/>
  </r>
  <r>
    <n v="482282"/>
    <n v="852"/>
    <s v="USA"/>
    <d v="2023-08-16T01:02:00"/>
    <s v="Other"/>
    <s v="Valarie Nelson"/>
    <n v="348"/>
    <d v="2023-08-16T00:00:00"/>
    <d v="1899-12-30T01:02:00"/>
    <s v="August"/>
    <s v="Wednesday"/>
    <s v="Outlier"/>
    <x v="58"/>
  </r>
  <r>
    <n v="482555"/>
    <n v="506"/>
    <s v="USA"/>
    <d v="2023-01-25T16:44:00"/>
    <s v="App"/>
    <s v="Sean Connery"/>
    <n v="6355"/>
    <d v="2023-01-25T00:00:00"/>
    <d v="1899-12-30T16:44:00"/>
    <s v="January"/>
    <s v="Wednesday"/>
    <s v="Outlier"/>
    <x v="23"/>
  </r>
  <r>
    <n v="483229"/>
    <n v="577"/>
    <s v="France"/>
    <d v="2023-02-13T01:07:00"/>
    <s v="App"/>
    <s v="Jeff Young"/>
    <n v="1958"/>
    <d v="2023-02-13T00:00:00"/>
    <d v="1899-12-30T01:07:00"/>
    <s v="February"/>
    <s v="Monday"/>
    <s v="Outlier"/>
    <x v="8"/>
  </r>
  <r>
    <n v="484489"/>
    <n v="439"/>
    <s v="Spain"/>
    <d v="2023-11-26T00:24:00"/>
    <s v="Whatsapp"/>
    <s v="Mart¡n Sommer"/>
    <n v="6346"/>
    <d v="2023-11-26T00:00:00"/>
    <d v="1899-12-30T00:24:00"/>
    <s v="November"/>
    <s v="Sunday"/>
    <s v="Outlier"/>
    <x v="8"/>
  </r>
  <r>
    <n v="484525"/>
    <n v="961"/>
    <s v="USA"/>
    <d v="2023-12-10T23:55:00"/>
    <s v="Whatsapp"/>
    <s v="Mary Saveley"/>
    <n v="3218"/>
    <d v="2023-12-10T00:00:00"/>
    <d v="1899-12-30T23:55:00"/>
    <s v="December"/>
    <s v="Sunday"/>
    <s v="Outlier"/>
    <x v="43"/>
  </r>
  <r>
    <n v="484688"/>
    <n v="841"/>
    <s v="USA"/>
    <d v="2023-05-22T00:08:00"/>
    <s v="App"/>
    <s v="Frederique Citeaux"/>
    <n v="5991"/>
    <d v="2023-05-22T00:00:00"/>
    <d v="1899-12-30T00:08:00"/>
    <s v="May"/>
    <s v="Monday"/>
    <s v="Outlier"/>
    <x v="53"/>
  </r>
  <r>
    <n v="485583"/>
    <n v="399"/>
    <s v="India"/>
    <d v="2023-03-15T01:33:00"/>
    <s v="Website"/>
    <s v="Paolo Accorti"/>
    <n v="5485"/>
    <d v="2023-03-15T00:00:00"/>
    <d v="1899-12-30T01:33:00"/>
    <s v="March"/>
    <s v="Wednesday"/>
    <s v="Outlier"/>
    <x v="69"/>
  </r>
  <r>
    <n v="485658"/>
    <n v="1222"/>
    <s v="Spain"/>
    <d v="2023-03-03T00:04:00"/>
    <s v="Whatsapp"/>
    <s v="Wendy Victorino"/>
    <n v="6370"/>
    <d v="2023-03-03T00:00:00"/>
    <d v="1899-12-30T00:04:00"/>
    <s v="March"/>
    <s v="Friday"/>
    <s v="Outlier"/>
    <x v="30"/>
  </r>
  <r>
    <n v="487191"/>
    <n v="404"/>
    <s v="Germany"/>
    <d v="2023-02-07T00:58:00"/>
    <s v="Whatsapp"/>
    <s v="Jose Pedro Roel"/>
    <n v="4492"/>
    <d v="2023-02-07T00:00:00"/>
    <d v="1899-12-30T00:58:00"/>
    <s v="February"/>
    <s v="Tuesday"/>
    <s v="Outlier"/>
    <x v="47"/>
  </r>
  <r>
    <n v="488698"/>
    <n v="1714"/>
    <s v="Spain"/>
    <d v="2023-03-11T01:15:00"/>
    <s v="Website"/>
    <s v="Valarie Nelson"/>
    <n v="5107"/>
    <d v="2023-03-11T00:00:00"/>
    <d v="1899-12-30T01:15:00"/>
    <s v="March"/>
    <s v="Saturday"/>
    <s v="Outlier"/>
    <x v="19"/>
  </r>
  <r>
    <n v="489692"/>
    <n v="1249"/>
    <s v="USA"/>
    <d v="2023-09-23T00:23:00"/>
    <s v="Whatsapp"/>
    <s v="Victoria Ashworth"/>
    <n v="9580"/>
    <d v="2023-09-23T00:00:00"/>
    <d v="1899-12-30T00:23:00"/>
    <s v="September"/>
    <s v="Saturday"/>
    <s v="Outlier"/>
    <x v="15"/>
  </r>
  <r>
    <n v="489835"/>
    <n v="974"/>
    <s v="France"/>
    <d v="2023-10-09T01:26:00"/>
    <s v="Other"/>
    <s v="Laurence Lebihan"/>
    <n v="6589"/>
    <d v="2023-10-09T00:00:00"/>
    <d v="1899-12-30T01:26:00"/>
    <s v="October"/>
    <s v="Monday"/>
    <s v="Outlier"/>
    <x v="52"/>
  </r>
  <r>
    <n v="490691"/>
    <n v="1658"/>
    <s v="USA"/>
    <d v="2023-12-30T01:16:00"/>
    <s v="App"/>
    <s v="Julie Young"/>
    <n v="6947"/>
    <d v="2023-12-30T00:00:00"/>
    <d v="1899-12-30T01:16:00"/>
    <s v="December"/>
    <s v="Saturday"/>
    <s v="Outlier"/>
    <x v="10"/>
  </r>
  <r>
    <n v="491960"/>
    <n v="564"/>
    <s v="USA"/>
    <d v="2023-07-10T00:08:00"/>
    <s v="Other"/>
    <s v="Diego Freyre"/>
    <n v="1650"/>
    <d v="2023-07-10T00:00:00"/>
    <d v="1899-12-30T00:08:00"/>
    <s v="July"/>
    <s v="Monday"/>
    <s v="Outlier"/>
    <x v="69"/>
  </r>
  <r>
    <n v="492855"/>
    <n v="1294"/>
    <s v="France"/>
    <d v="2023-12-25T23:02:00"/>
    <s v="App"/>
    <s v="Sue Frick"/>
    <n v="9532"/>
    <d v="2023-12-25T00:00:00"/>
    <d v="1899-12-30T23:02:00"/>
    <s v="December"/>
    <s v="Monday"/>
    <s v="Outlier"/>
    <x v="26"/>
  </r>
  <r>
    <n v="492948"/>
    <n v="1109"/>
    <s v="India"/>
    <d v="2023-08-22T00:53:00"/>
    <s v="Website"/>
    <s v="Adrian Huxley"/>
    <n v="709"/>
    <d v="2023-08-22T00:00:00"/>
    <d v="1899-12-30T00:53:00"/>
    <s v="August"/>
    <s v="Tuesday"/>
    <s v="Outlier"/>
    <x v="46"/>
  </r>
  <r>
    <n v="493043"/>
    <n v="1357"/>
    <s v="Ireland"/>
    <d v="2023-09-12T22:55:00"/>
    <s v="Other"/>
    <s v="Diego Freyre"/>
    <n v="852"/>
    <d v="2023-09-12T00:00:00"/>
    <d v="1899-12-30T22:55:00"/>
    <s v="September"/>
    <s v="Tuesday"/>
    <s v="Outlier"/>
    <x v="64"/>
  </r>
  <r>
    <n v="493111"/>
    <n v="1962"/>
    <s v="USA"/>
    <d v="2023-01-09T23:08:00"/>
    <s v="App"/>
    <s v="Marie Bertrand"/>
    <n v="6279"/>
    <d v="2023-01-09T00:00:00"/>
    <d v="1899-12-30T23:08:00"/>
    <s v="January"/>
    <s v="Monday"/>
    <s v="Outlier"/>
    <x v="12"/>
  </r>
  <r>
    <n v="493809"/>
    <n v="799"/>
    <s v="USA"/>
    <d v="2023-02-12T02:00:00"/>
    <s v="Whatsapp"/>
    <s v="Jeff Young"/>
    <n v="8809"/>
    <d v="2023-02-12T00:00:00"/>
    <d v="1899-12-30T02:00:00"/>
    <s v="February"/>
    <s v="Sunday"/>
    <s v="Outlier"/>
    <x v="0"/>
  </r>
  <r>
    <n v="493810"/>
    <n v="1040"/>
    <s v="India"/>
    <d v="2023-07-15T23:00:00"/>
    <s v="App"/>
    <s v="Kalle Suominen"/>
    <n v="1550"/>
    <d v="2023-07-15T00:00:00"/>
    <d v="1899-12-30T23:00:00"/>
    <s v="July"/>
    <s v="Saturday"/>
    <s v="Outlier"/>
    <x v="42"/>
  </r>
  <r>
    <n v="495154"/>
    <n v="1911"/>
    <s v="Australia"/>
    <d v="2023-03-06T23:55:00"/>
    <s v="App"/>
    <s v="Pirkko Koskitalo"/>
    <n v="5800"/>
    <d v="2023-03-06T00:00:00"/>
    <d v="1899-12-30T23:55:00"/>
    <s v="March"/>
    <s v="Monday"/>
    <s v="Outlier"/>
    <x v="61"/>
  </r>
  <r>
    <n v="495680"/>
    <n v="276"/>
    <s v="India"/>
    <d v="2023-06-26T00:49:00"/>
    <s v="App"/>
    <s v="Eric Natividad"/>
    <n v="2665"/>
    <d v="2023-06-26T00:00:00"/>
    <d v="1899-12-30T00:49:00"/>
    <s v="June"/>
    <s v="Monday"/>
    <s v="Outlier"/>
    <x v="0"/>
  </r>
  <r>
    <n v="497302"/>
    <n v="1539"/>
    <s v="USA"/>
    <d v="2023-09-08T23:29:00"/>
    <s v="Website"/>
    <s v="Ann Brown"/>
    <n v="7579"/>
    <d v="2023-09-08T00:00:00"/>
    <d v="1899-12-30T23:29:00"/>
    <s v="September"/>
    <s v="Friday"/>
    <s v="Outlier"/>
    <x v="38"/>
  </r>
  <r>
    <n v="497663"/>
    <n v="596"/>
    <s v="Finland"/>
    <d v="2023-11-06T00:03:00"/>
    <s v="Other"/>
    <s v="Jose Pedro Roel"/>
    <n v="6580"/>
    <d v="2023-11-06T00:00:00"/>
    <d v="1899-12-30T00:03:00"/>
    <s v="November"/>
    <s v="Monday"/>
    <s v="Outlier"/>
    <x v="50"/>
  </r>
  <r>
    <n v="498278"/>
    <n v="540"/>
    <s v="Australia"/>
    <d v="2023-06-13T01:07:00"/>
    <s v="Other"/>
    <s v="Steve Frick"/>
    <n v="4974"/>
    <d v="2023-06-13T00:00:00"/>
    <d v="1899-12-30T01:07:00"/>
    <s v="June"/>
    <s v="Tuesday"/>
    <s v="Outlier"/>
    <x v="18"/>
  </r>
  <r>
    <n v="498746"/>
    <n v="1475"/>
    <s v="Spain"/>
    <d v="2023-06-03T00:09:00"/>
    <s v="App"/>
    <s v="Valarie Franco"/>
    <n v="6335"/>
    <d v="2023-06-03T00:00:00"/>
    <d v="1899-12-30T00:09:00"/>
    <s v="June"/>
    <s v="Saturday"/>
    <s v="Outlier"/>
    <x v="5"/>
  </r>
  <r>
    <n v="499145"/>
    <n v="61"/>
    <s v="Spain"/>
    <d v="2023-08-30T22:54:00"/>
    <s v="Website"/>
    <s v="Valarie Nelson"/>
    <n v="165"/>
    <d v="2023-08-30T00:00:00"/>
    <d v="1899-12-30T22:54:00"/>
    <s v="August"/>
    <s v="Wednesday"/>
    <s v="Outlier"/>
    <x v="59"/>
  </r>
  <r>
    <n v="499301"/>
    <n v="125"/>
    <s v="Spain"/>
    <d v="2023-10-16T01:28:00"/>
    <s v="Website"/>
    <s v="Diego Freyre"/>
    <n v="8557"/>
    <d v="2023-10-16T00:00:00"/>
    <d v="1899-12-30T01:28:00"/>
    <s v="October"/>
    <s v="Monday"/>
    <s v="Outlier"/>
    <x v="30"/>
  </r>
  <r>
    <n v="499444"/>
    <n v="122"/>
    <s v="Spain"/>
    <d v="2023-07-24T00:03:00"/>
    <s v="Website"/>
    <s v="Wendy Victorino"/>
    <n v="9615"/>
    <d v="2023-07-24T00:00:00"/>
    <d v="1899-12-30T00:03:00"/>
    <s v="July"/>
    <s v="Monday"/>
    <s v="Outlier"/>
    <x v="10"/>
  </r>
  <r>
    <n v="500116"/>
    <n v="1317"/>
    <s v="France"/>
    <d v="2023-05-26T01:04:00"/>
    <s v="Other"/>
    <s v="Valarie Nelson"/>
    <n v="4269"/>
    <d v="2023-05-26T00:00:00"/>
    <d v="1899-12-30T01:04:00"/>
    <s v="May"/>
    <s v="Friday"/>
    <s v="Outlier"/>
    <x v="26"/>
  </r>
  <r>
    <n v="500630"/>
    <n v="548"/>
    <s v="USA"/>
    <d v="2023-06-14T00:29:00"/>
    <s v="Other"/>
    <s v="Kyung Yu"/>
    <n v="3906"/>
    <d v="2023-06-14T00:00:00"/>
    <d v="1899-12-30T00:29:00"/>
    <s v="June"/>
    <s v="Wednesday"/>
    <s v="Outlier"/>
    <x v="68"/>
  </r>
  <r>
    <n v="501314"/>
    <n v="319"/>
    <s v="India"/>
    <d v="2023-02-06T22:49:00"/>
    <s v="Website"/>
    <s v="Kwai Yu"/>
    <n v="2512"/>
    <d v="2023-02-06T00:00:00"/>
    <d v="1899-12-30T22:49:00"/>
    <s v="February"/>
    <s v="Monday"/>
    <s v="Outlier"/>
    <x v="36"/>
  </r>
  <r>
    <n v="502404"/>
    <n v="62"/>
    <s v="USA"/>
    <d v="2023-02-16T23:51:00"/>
    <s v="App"/>
    <s v="Marta Hernandez"/>
    <n v="3368"/>
    <d v="2023-02-16T00:00:00"/>
    <d v="1899-12-30T23:51:00"/>
    <s v="February"/>
    <s v="Thursday"/>
    <s v="Outlier"/>
    <x v="53"/>
  </r>
  <r>
    <n v="503957"/>
    <n v="1442"/>
    <s v="USA"/>
    <d v="2023-09-18T01:06:00"/>
    <s v="App"/>
    <s v="Yoshi Tannamuri"/>
    <n v="2938"/>
    <d v="2023-09-18T00:00:00"/>
    <d v="1899-12-30T01:06:00"/>
    <s v="September"/>
    <s v="Monday"/>
    <s v="Outlier"/>
    <x v="43"/>
  </r>
  <r>
    <n v="504071"/>
    <n v="1811"/>
    <s v="USA"/>
    <d v="2023-08-14T00:32:00"/>
    <s v="Whatsapp"/>
    <s v="Michael Frick"/>
    <n v="2261"/>
    <d v="2023-08-14T00:00:00"/>
    <d v="1899-12-30T00:32:00"/>
    <s v="August"/>
    <s v="Monday"/>
    <s v="Outlier"/>
    <x v="33"/>
  </r>
  <r>
    <n v="504938"/>
    <n v="84"/>
    <s v="USA"/>
    <d v="2023-07-10T23:36:00"/>
    <s v="Website"/>
    <s v="Christina Berglund"/>
    <n v="6541"/>
    <d v="2023-07-10T00:00:00"/>
    <d v="1899-12-30T23:36:00"/>
    <s v="July"/>
    <s v="Monday"/>
    <s v="Outlier"/>
    <x v="67"/>
  </r>
  <r>
    <n v="505298"/>
    <n v="1854"/>
    <s v="USA"/>
    <d v="2023-07-04T00:34:00"/>
    <s v="Other"/>
    <s v="Jeff Young"/>
    <n v="7393"/>
    <d v="2023-07-04T00:00:00"/>
    <d v="1899-12-30T00:34:00"/>
    <s v="July"/>
    <s v="Tuesday"/>
    <s v="Outlier"/>
    <x v="27"/>
  </r>
  <r>
    <n v="506188"/>
    <n v="515"/>
    <s v="Spain"/>
    <d v="2023-02-13T00:36:00"/>
    <s v="Other"/>
    <s v="Diego Freyre"/>
    <n v="2177"/>
    <d v="2023-02-13T00:00:00"/>
    <d v="1899-12-30T00:36:00"/>
    <s v="February"/>
    <s v="Monday"/>
    <s v="Outlier"/>
    <x v="2"/>
  </r>
  <r>
    <n v="506560"/>
    <n v="301"/>
    <s v="India"/>
    <d v="2023-01-26T00:20:00"/>
    <s v="App"/>
    <s v="Anna O'Hara"/>
    <n v="2071"/>
    <d v="2023-01-26T00:00:00"/>
    <d v="1899-12-30T00:20:00"/>
    <s v="January"/>
    <s v="Thursday"/>
    <s v="Outlier"/>
    <x v="7"/>
  </r>
  <r>
    <n v="506882"/>
    <n v="197"/>
    <s v="USA"/>
    <d v="2023-11-02T01:26:00"/>
    <s v="Website"/>
    <s v="Diego Freyre"/>
    <n v="3087"/>
    <d v="2023-11-02T00:00:00"/>
    <d v="1899-12-30T01:26:00"/>
    <s v="November"/>
    <s v="Thursday"/>
    <s v="Outlier"/>
    <x v="4"/>
  </r>
  <r>
    <n v="507043"/>
    <n v="933"/>
    <s v="USA"/>
    <d v="2023-07-19T01:46:00"/>
    <s v="Whatsapp"/>
    <s v="Diego Freyre"/>
    <n v="6796"/>
    <d v="2023-07-19T00:00:00"/>
    <d v="1899-12-30T01:46:00"/>
    <s v="July"/>
    <s v="Wednesday"/>
    <s v="Outlier"/>
    <x v="32"/>
  </r>
  <r>
    <n v="508458"/>
    <n v="864"/>
    <s v="USA"/>
    <d v="2023-06-09T01:23:00"/>
    <s v="Website"/>
    <s v="Janine Labrune"/>
    <n v="1522"/>
    <d v="2023-06-09T00:00:00"/>
    <d v="1899-12-30T01:23:00"/>
    <s v="June"/>
    <s v="Friday"/>
    <s v="Outlier"/>
    <x v="61"/>
  </r>
  <r>
    <n v="508989"/>
    <n v="1307"/>
    <s v="France"/>
    <d v="2023-03-03T01:06:00"/>
    <s v="Other"/>
    <s v="Roland Keitel"/>
    <n v="3733"/>
    <d v="2023-03-03T00:00:00"/>
    <d v="1899-12-30T01:06:00"/>
    <s v="March"/>
    <s v="Friday"/>
    <s v="Outlier"/>
    <x v="61"/>
  </r>
  <r>
    <n v="509663"/>
    <n v="1437"/>
    <s v="USA"/>
    <d v="2023-06-25T00:03:00"/>
    <s v="App"/>
    <s v="Victoria Ashworth"/>
    <n v="6211"/>
    <d v="2023-06-25T00:00:00"/>
    <d v="1899-12-30T00:03:00"/>
    <s v="June"/>
    <s v="Sunday"/>
    <s v="Outlier"/>
    <x v="16"/>
  </r>
  <r>
    <n v="510478"/>
    <n v="12"/>
    <s v="Spain"/>
    <d v="2023-03-13T23:14:00"/>
    <s v="App"/>
    <s v="Sue King"/>
    <n v="4788"/>
    <d v="2023-03-13T00:00:00"/>
    <d v="1899-12-30T23:14:00"/>
    <s v="March"/>
    <s v="Monday"/>
    <s v="Outlier"/>
    <x v="48"/>
  </r>
  <r>
    <n v="510541"/>
    <n v="1007"/>
    <s v="USA"/>
    <d v="2023-03-03T00:11:00"/>
    <s v="Whatsapp"/>
    <s v="Sue Taylor"/>
    <n v="8601"/>
    <d v="2023-03-03T00:00:00"/>
    <d v="1899-12-30T00:11:00"/>
    <s v="March"/>
    <s v="Friday"/>
    <s v="Outlier"/>
    <x v="14"/>
  </r>
  <r>
    <n v="510910"/>
    <n v="1461"/>
    <s v="USA"/>
    <d v="2023-01-03T23:34:00"/>
    <s v="Whatsapp"/>
    <s v="Julie Brown"/>
    <n v="1323"/>
    <d v="2023-01-03T00:00:00"/>
    <d v="1899-12-30T23:34:00"/>
    <s v="January"/>
    <s v="Tuesday"/>
    <s v="Outlier"/>
    <x v="55"/>
  </r>
  <r>
    <n v="510973"/>
    <n v="679"/>
    <s v="Singapore"/>
    <d v="2023-02-19T01:04:00"/>
    <s v="Other"/>
    <s v="Giovanni Rovelli"/>
    <n v="7192"/>
    <d v="2023-02-19T00:00:00"/>
    <d v="1899-12-30T01:04:00"/>
    <s v="February"/>
    <s v="Sunday"/>
    <s v="Outlier"/>
    <x v="6"/>
  </r>
  <r>
    <n v="511431"/>
    <n v="1125"/>
    <s v="Singapore"/>
    <d v="2023-08-07T01:35:00"/>
    <s v="App"/>
    <s v="Valarie Nelson"/>
    <n v="1624"/>
    <d v="2023-08-07T00:00:00"/>
    <d v="1899-12-30T01:35:00"/>
    <s v="August"/>
    <s v="Monday"/>
    <s v="Outlier"/>
    <x v="65"/>
  </r>
  <r>
    <n v="512440"/>
    <n v="99"/>
    <s v="Australia"/>
    <d v="2023-06-07T00:45:00"/>
    <s v="App"/>
    <s v="Sean Connery"/>
    <n v="4280"/>
    <d v="2023-06-07T00:00:00"/>
    <d v="1899-12-30T00:45:00"/>
    <s v="June"/>
    <s v="Wednesday"/>
    <s v="Outlier"/>
    <x v="33"/>
  </r>
  <r>
    <n v="513417"/>
    <n v="1836"/>
    <s v="France"/>
    <d v="2023-09-21T00:48:00"/>
    <s v="Other"/>
    <s v="Jeff Young"/>
    <n v="2613"/>
    <d v="2023-09-21T00:00:00"/>
    <d v="1899-12-30T00:48:00"/>
    <s v="September"/>
    <s v="Thursday"/>
    <s v="Outlier"/>
    <x v="40"/>
  </r>
  <r>
    <n v="513459"/>
    <n v="961"/>
    <s v="USA"/>
    <d v="2023-02-09T00:06:00"/>
    <s v="Other"/>
    <s v="Mart¡n Sommer"/>
    <n v="9907"/>
    <d v="2023-02-09T00:00:00"/>
    <d v="1899-12-30T00:06:00"/>
    <s v="February"/>
    <s v="Thursday"/>
    <s v="Outlier"/>
    <x v="43"/>
  </r>
  <r>
    <n v="514198"/>
    <n v="1617"/>
    <s v="Austria"/>
    <d v="2023-11-23T01:14:00"/>
    <s v="Other"/>
    <s v="Mary Saveley"/>
    <n v="9711"/>
    <d v="2023-11-23T00:00:00"/>
    <d v="1899-12-30T01:14:00"/>
    <s v="November"/>
    <s v="Thursday"/>
    <s v="Outlier"/>
    <x v="63"/>
  </r>
  <r>
    <n v="514550"/>
    <n v="178"/>
    <s v="India"/>
    <d v="2023-06-01T01:37:00"/>
    <s v="App"/>
    <s v="Valarie Franco"/>
    <n v="9871"/>
    <d v="2023-06-01T00:00:00"/>
    <d v="1899-12-30T01:37:00"/>
    <s v="June"/>
    <s v="Thursday"/>
    <s v="Outlier"/>
    <x v="32"/>
  </r>
  <r>
    <n v="515145"/>
    <n v="667"/>
    <s v="France"/>
    <d v="2023-11-21T22:31:00"/>
    <s v="Other"/>
    <s v="Paolo Accorti"/>
    <n v="6458"/>
    <d v="2023-11-21T00:00:00"/>
    <d v="1899-12-30T22:31:00"/>
    <s v="November"/>
    <s v="Tuesday"/>
    <s v="Outlier"/>
    <x v="71"/>
  </r>
  <r>
    <n v="515694"/>
    <n v="1034"/>
    <s v="Italy"/>
    <d v="2023-12-02T01:30:00"/>
    <s v="Other"/>
    <s v="Wendy Victorino"/>
    <n v="462"/>
    <d v="2023-12-02T00:00:00"/>
    <d v="1899-12-30T01:30:00"/>
    <s v="December"/>
    <s v="Saturday"/>
    <s v="Outlier"/>
    <x v="34"/>
  </r>
  <r>
    <n v="517514"/>
    <n v="459"/>
    <s v="Italy"/>
    <d v="2023-04-13T22:55:00"/>
    <s v="Other"/>
    <s v="Daniel Tonini"/>
    <n v="1379"/>
    <d v="2023-04-13T00:00:00"/>
    <d v="1899-12-30T22:55:00"/>
    <s v="April"/>
    <s v="Thursday"/>
    <s v="Outlier"/>
    <x v="35"/>
  </r>
  <r>
    <n v="517568"/>
    <n v="1475"/>
    <s v="Spain"/>
    <d v="2023-10-01T00:30:00"/>
    <s v="Other"/>
    <s v="Valarie Nelson"/>
    <n v="794"/>
    <d v="2023-10-01T00:00:00"/>
    <d v="1899-12-30T00:30:00"/>
    <s v="October"/>
    <s v="Sunday"/>
    <s v="Outlier"/>
    <x v="5"/>
  </r>
  <r>
    <n v="517712"/>
    <n v="817"/>
    <s v="USA"/>
    <d v="2023-08-20T00:57:00"/>
    <s v="Other"/>
    <s v="Valarie Young"/>
    <n v="8560"/>
    <d v="2023-08-20T00:00:00"/>
    <d v="1899-12-30T00:57:00"/>
    <s v="August"/>
    <s v="Sunday"/>
    <s v="Outlier"/>
    <x v="36"/>
  </r>
  <r>
    <n v="519130"/>
    <n v="1036"/>
    <s v="India"/>
    <d v="2023-09-28T00:35:00"/>
    <s v="Website"/>
    <s v="Victoria Ashworth"/>
    <n v="6750"/>
    <d v="2023-09-28T00:00:00"/>
    <d v="1899-12-30T00:35:00"/>
    <s v="September"/>
    <s v="Thursday"/>
    <s v="Outlier"/>
    <x v="3"/>
  </r>
  <r>
    <n v="520080"/>
    <n v="922"/>
    <s v="Switzerland"/>
    <d v="2023-10-18T01:34:00"/>
    <s v="Whatsapp"/>
    <s v="Laurence Lebihan"/>
    <n v="917"/>
    <d v="2023-10-18T00:00:00"/>
    <d v="1899-12-30T01:34:00"/>
    <s v="October"/>
    <s v="Wednesday"/>
    <s v="Outlier"/>
    <x v="34"/>
  </r>
  <r>
    <n v="520860"/>
    <n v="848"/>
    <s v="USA"/>
    <d v="2023-01-23T22:39:00"/>
    <s v="App"/>
    <s v="Daniel Da Cunha"/>
    <n v="7161"/>
    <d v="2023-01-23T00:00:00"/>
    <d v="1899-12-30T22:39:00"/>
    <s v="January"/>
    <s v="Monday"/>
    <s v="Outlier"/>
    <x v="60"/>
  </r>
  <r>
    <n v="520868"/>
    <n v="1941"/>
    <s v="Spain"/>
    <d v="2023-11-24T00:43:00"/>
    <s v="Other"/>
    <s v="Julie Young"/>
    <n v="870"/>
    <d v="2023-11-24T00:00:00"/>
    <d v="1899-12-30T00:43:00"/>
    <s v="November"/>
    <s v="Friday"/>
    <s v="Outlier"/>
    <x v="46"/>
  </r>
  <r>
    <n v="521015"/>
    <n v="1351"/>
    <s v="Spain"/>
    <d v="2023-04-04T01:09:00"/>
    <s v="Website"/>
    <s v="Diego Freyre"/>
    <n v="9200"/>
    <d v="2023-04-04T00:00:00"/>
    <d v="1899-12-30T01:09:00"/>
    <s v="April"/>
    <s v="Tuesday"/>
    <s v="Outlier"/>
    <x v="53"/>
  </r>
  <r>
    <n v="521330"/>
    <n v="1714"/>
    <s v="Spain"/>
    <d v="2023-08-06T23:19:00"/>
    <s v="Website"/>
    <s v="Valarie Nelson"/>
    <n v="9321"/>
    <d v="2023-08-06T00:00:00"/>
    <d v="1899-12-30T23:19:00"/>
    <s v="August"/>
    <s v="Sunday"/>
    <s v="Outlier"/>
    <x v="19"/>
  </r>
  <r>
    <n v="521761"/>
    <n v="1504"/>
    <s v="France"/>
    <d v="2023-07-06T23:25:00"/>
    <s v="Whatsapp"/>
    <s v="Wendy Victorino"/>
    <n v="4462"/>
    <d v="2023-07-06T00:00:00"/>
    <d v="1899-12-30T23:25:00"/>
    <s v="July"/>
    <s v="Thursday"/>
    <s v="Outlier"/>
    <x v="19"/>
  </r>
  <r>
    <n v="522201"/>
    <n v="760"/>
    <s v="India"/>
    <d v="2023-11-10T23:46:00"/>
    <s v="Other"/>
    <s v="Adrian Huxley"/>
    <n v="9296"/>
    <d v="2023-11-10T00:00:00"/>
    <d v="1899-12-30T23:46:00"/>
    <s v="November"/>
    <s v="Friday"/>
    <s v="Outlier"/>
    <x v="13"/>
  </r>
  <r>
    <n v="525192"/>
    <n v="1484"/>
    <s v="USA"/>
    <d v="2023-01-26T00:09:00"/>
    <s v="Other"/>
    <s v="Jonas Bergulfsen"/>
    <n v="2431"/>
    <d v="2023-01-26T00:00:00"/>
    <d v="1899-12-30T00:09:00"/>
    <s v="January"/>
    <s v="Thursday"/>
    <s v="Outlier"/>
    <x v="58"/>
  </r>
  <r>
    <n v="525405"/>
    <n v="796"/>
    <s v="Finland"/>
    <d v="2023-01-17T00:15:00"/>
    <s v="Website"/>
    <s v="Marie Bertrand"/>
    <n v="6640"/>
    <d v="2023-01-17T00:00:00"/>
    <d v="1899-12-30T00:15:00"/>
    <s v="January"/>
    <s v="Tuesday"/>
    <s v="Outlier"/>
    <x v="18"/>
  </r>
  <r>
    <n v="525500"/>
    <n v="299"/>
    <s v="India"/>
    <d v="2023-07-04T01:12:00"/>
    <s v="Other"/>
    <s v="Mart¡n Sommer"/>
    <n v="9056"/>
    <d v="2023-07-04T00:00:00"/>
    <d v="1899-12-30T01:12:00"/>
    <s v="July"/>
    <s v="Tuesday"/>
    <s v="Outlier"/>
    <x v="30"/>
  </r>
  <r>
    <n v="525782"/>
    <n v="833"/>
    <s v="Switzerland"/>
    <d v="2023-06-02T00:24:00"/>
    <s v="Other"/>
    <s v="Juri Hirano"/>
    <n v="257"/>
    <d v="2023-06-02T00:00:00"/>
    <d v="1899-12-30T00:24:00"/>
    <s v="June"/>
    <s v="Friday"/>
    <s v="Outlier"/>
    <x v="44"/>
  </r>
  <r>
    <n v="528569"/>
    <n v="1993"/>
    <s v="USA"/>
    <d v="2023-06-26T01:42:00"/>
    <s v="App"/>
    <s v="Pirkko Koskitalo"/>
    <n v="613"/>
    <d v="2023-06-26T00:00:00"/>
    <d v="1899-12-30T01:42:00"/>
    <s v="June"/>
    <s v="Monday"/>
    <s v="Outlier"/>
    <x v="57"/>
  </r>
  <r>
    <n v="529245"/>
    <n v="650"/>
    <s v="France"/>
    <d v="2023-02-16T00:23:00"/>
    <s v="Whatsapp"/>
    <s v="Eric Natividad"/>
    <n v="1465"/>
    <d v="2023-02-16T00:00:00"/>
    <d v="1899-12-30T00:23:00"/>
    <s v="February"/>
    <s v="Thursday"/>
    <s v="Outlier"/>
    <x v="4"/>
  </r>
  <r>
    <n v="529816"/>
    <n v="424"/>
    <s v="Spain"/>
    <d v="2023-09-04T23:49:00"/>
    <s v="Website"/>
    <s v="Ann Brown"/>
    <n v="4135"/>
    <d v="2023-09-04T00:00:00"/>
    <d v="1899-12-30T23:49:00"/>
    <s v="September"/>
    <s v="Monday"/>
    <s v="Outlier"/>
    <x v="50"/>
  </r>
  <r>
    <n v="530067"/>
    <n v="1126"/>
    <s v="France"/>
    <d v="2023-08-17T01:17:00"/>
    <s v="Other"/>
    <s v="Jose Pedro Roel"/>
    <n v="8259"/>
    <d v="2023-08-17T00:00:00"/>
    <d v="1899-12-30T01:17:00"/>
    <s v="August"/>
    <s v="Thursday"/>
    <s v="Outlier"/>
    <x v="48"/>
  </r>
  <r>
    <n v="531173"/>
    <n v="27"/>
    <s v="USA"/>
    <d v="2023-08-08T02:00:00"/>
    <s v="App"/>
    <s v="Mary Saveley"/>
    <n v="9787"/>
    <d v="2023-08-08T00:00:00"/>
    <d v="1899-12-30T02:00:00"/>
    <s v="August"/>
    <s v="Tuesday"/>
    <s v="Outlier"/>
    <x v="50"/>
  </r>
  <r>
    <n v="531700"/>
    <n v="925"/>
    <s v="USA"/>
    <d v="2023-06-05T00:51:00"/>
    <s v="App"/>
    <s v="Valarie Franco"/>
    <n v="8597"/>
    <d v="2023-06-05T00:00:00"/>
    <d v="1899-12-30T00:51:00"/>
    <s v="June"/>
    <s v="Monday"/>
    <s v="Outlier"/>
    <x v="6"/>
  </r>
  <r>
    <n v="532196"/>
    <n v="1019"/>
    <s v="Italy"/>
    <d v="2023-10-08T00:48:00"/>
    <s v="Other"/>
    <s v="Wendy Victorino"/>
    <n v="3019"/>
    <d v="2023-10-08T00:00:00"/>
    <d v="1899-12-30T00:48:00"/>
    <s v="October"/>
    <s v="Sunday"/>
    <s v="Outlier"/>
    <x v="71"/>
  </r>
  <r>
    <n v="532654"/>
    <n v="1948"/>
    <s v="USA"/>
    <d v="2023-11-09T01:38:00"/>
    <s v="Website"/>
    <s v="Valarie Nelson"/>
    <n v="3310"/>
    <d v="2023-11-09T00:00:00"/>
    <d v="1899-12-30T01:38:00"/>
    <s v="November"/>
    <s v="Thursday"/>
    <s v="Outlier"/>
    <x v="33"/>
  </r>
  <r>
    <n v="533187"/>
    <n v="1510"/>
    <s v="Norway"/>
    <d v="2023-03-13T01:04:00"/>
    <s v="Other"/>
    <s v="Diego Freyre"/>
    <n v="825"/>
    <d v="2023-03-13T00:00:00"/>
    <d v="1899-12-30T01:04:00"/>
    <s v="March"/>
    <s v="Monday"/>
    <s v="Outlier"/>
    <x v="12"/>
  </r>
  <r>
    <n v="533511"/>
    <n v="615"/>
    <s v="France"/>
    <d v="2023-03-23T00:04:00"/>
    <s v="Website"/>
    <s v="Wendy Victorino"/>
    <n v="4159"/>
    <d v="2023-03-23T00:00:00"/>
    <d v="1899-12-30T00:04:00"/>
    <s v="March"/>
    <s v="Thursday"/>
    <s v="Outlier"/>
    <x v="62"/>
  </r>
  <r>
    <n v="533763"/>
    <n v="1008"/>
    <s v="Singapore"/>
    <d v="2023-06-26T00:29:00"/>
    <s v="App"/>
    <s v="Valarie Nelson"/>
    <n v="4873"/>
    <d v="2023-06-26T00:00:00"/>
    <d v="1899-12-30T00:29:00"/>
    <s v="June"/>
    <s v="Monday"/>
    <s v="Outlier"/>
    <x v="18"/>
  </r>
  <r>
    <n v="533914"/>
    <n v="1884"/>
    <s v="USA"/>
    <d v="2023-05-30T22:56:00"/>
    <s v="Other"/>
    <s v="Kyung Yu"/>
    <n v="5436"/>
    <d v="2023-05-30T00:00:00"/>
    <d v="1899-12-30T22:56:00"/>
    <s v="May"/>
    <s v="Tuesday"/>
    <s v="Outlier"/>
    <x v="34"/>
  </r>
  <r>
    <n v="534259"/>
    <n v="249"/>
    <s v="USA"/>
    <d v="2023-05-03T23:15:00"/>
    <s v="Other"/>
    <s v="Maria Larsson"/>
    <n v="3939"/>
    <d v="2023-05-03T00:00:00"/>
    <d v="1899-12-30T23:15:00"/>
    <s v="May"/>
    <s v="Wednesday"/>
    <s v="Outlier"/>
    <x v="30"/>
  </r>
  <r>
    <n v="534263"/>
    <n v="109"/>
    <s v="USA"/>
    <d v="2023-06-16T00:34:00"/>
    <s v="App"/>
    <s v="Marta Hernandez"/>
    <n v="3129"/>
    <d v="2023-06-16T00:00:00"/>
    <d v="1899-12-30T00:34:00"/>
    <s v="June"/>
    <s v="Friday"/>
    <s v="Outlier"/>
    <x v="24"/>
  </r>
  <r>
    <n v="534708"/>
    <n v="854"/>
    <s v="USA"/>
    <d v="2023-09-10T00:52:00"/>
    <s v="Other"/>
    <s v="Yoshi Tannamuri"/>
    <n v="577"/>
    <d v="2023-09-10T00:00:00"/>
    <d v="1899-12-30T00:52:00"/>
    <s v="September"/>
    <s v="Sunday"/>
    <s v="Outlier"/>
    <x v="57"/>
  </r>
  <r>
    <n v="535104"/>
    <n v="324"/>
    <s v="Australia"/>
    <d v="2023-10-30T23:13:00"/>
    <s v="Whatsapp"/>
    <s v="Valarie Young"/>
    <n v="7237"/>
    <d v="2023-10-30T00:00:00"/>
    <d v="1899-12-30T23:13:00"/>
    <s v="October"/>
    <s v="Monday"/>
    <s v="Outlier"/>
    <x v="9"/>
  </r>
  <r>
    <n v="535213"/>
    <n v="998"/>
    <s v="Norway"/>
    <d v="2023-08-20T01:06:00"/>
    <s v="Website"/>
    <s v="Christina Berglund"/>
    <n v="1196"/>
    <d v="2023-08-20T00:00:00"/>
    <d v="1899-12-30T01:06:00"/>
    <s v="August"/>
    <s v="Sunday"/>
    <s v="Outlier"/>
    <x v="20"/>
  </r>
  <r>
    <n v="535352"/>
    <n v="622"/>
    <s v="India"/>
    <d v="2023-07-23T23:26:00"/>
    <s v="Website"/>
    <s v="Peter Ferguson"/>
    <n v="9155"/>
    <d v="2023-07-23T00:00:00"/>
    <d v="1899-12-30T23:26:00"/>
    <s v="July"/>
    <s v="Sunday"/>
    <s v="Outlier"/>
    <x v="37"/>
  </r>
  <r>
    <n v="536530"/>
    <n v="738"/>
    <s v="France"/>
    <d v="2023-04-27T23:58:00"/>
    <s v="Whatsapp"/>
    <s v="Valarie Nelson"/>
    <n v="891"/>
    <d v="2023-04-27T00:00:00"/>
    <d v="1899-12-30T23:58:00"/>
    <s v="April"/>
    <s v="Thursday"/>
    <s v="Outlier"/>
    <x v="5"/>
  </r>
  <r>
    <n v="537418"/>
    <n v="51"/>
    <s v="USA"/>
    <d v="2023-07-21T22:35:00"/>
    <s v="Whatsapp"/>
    <s v="Anna O'Hara"/>
    <n v="7284"/>
    <d v="2023-07-21T00:00:00"/>
    <d v="1899-12-30T22:35:00"/>
    <s v="July"/>
    <s v="Friday"/>
    <s v="Outlier"/>
    <x v="42"/>
  </r>
  <r>
    <n v="537514"/>
    <n v="12"/>
    <s v="Spain"/>
    <d v="2023-10-08T00:57:00"/>
    <s v="Website"/>
    <s v="Julie Brown"/>
    <n v="8747"/>
    <d v="2023-10-08T00:00:00"/>
    <d v="1899-12-30T00:57:00"/>
    <s v="October"/>
    <s v="Sunday"/>
    <s v="Outlier"/>
    <x v="48"/>
  </r>
  <r>
    <n v="537900"/>
    <n v="1009"/>
    <s v="USA"/>
    <d v="2023-01-10T00:17:00"/>
    <s v="Whatsapp"/>
    <s v="Anna O'Hara"/>
    <n v="3462"/>
    <d v="2023-01-10T00:00:00"/>
    <d v="1899-12-30T00:17:00"/>
    <s v="January"/>
    <s v="Tuesday"/>
    <s v="Outlier"/>
    <x v="60"/>
  </r>
  <r>
    <n v="538560"/>
    <n v="31"/>
    <s v="USA"/>
    <d v="2023-11-01T00:21:00"/>
    <s v="App"/>
    <s v="Diego Freyre"/>
    <n v="9928"/>
    <d v="2023-11-01T00:00:00"/>
    <d v="1899-12-30T00:21:00"/>
    <s v="November"/>
    <s v="Wednesday"/>
    <s v="Outlier"/>
    <x v="13"/>
  </r>
  <r>
    <n v="539212"/>
    <n v="488"/>
    <s v="USA"/>
    <d v="2023-11-29T01:52:00"/>
    <s v="Whatsapp"/>
    <s v="Janine Labrune"/>
    <n v="8345"/>
    <d v="2023-11-29T00:00:00"/>
    <d v="1899-12-30T01:52:00"/>
    <s v="November"/>
    <s v="Wednesday"/>
    <s v="Outlier"/>
    <x v="11"/>
  </r>
  <r>
    <n v="539679"/>
    <n v="668"/>
    <s v="France"/>
    <d v="2023-05-07T00:28:00"/>
    <s v="Website"/>
    <s v="Giovanni Rovelli"/>
    <n v="24"/>
    <d v="2023-05-07T00:00:00"/>
    <d v="1899-12-30T00:28:00"/>
    <s v="May"/>
    <s v="Sunday"/>
    <s v="Outlier"/>
    <x v="70"/>
  </r>
  <r>
    <n v="540823"/>
    <n v="306"/>
    <s v="India"/>
    <d v="2023-11-30T00:22:00"/>
    <s v="App"/>
    <s v="Peter Ferguson"/>
    <n v="3011"/>
    <d v="2023-11-30T00:00:00"/>
    <d v="1899-12-30T00:22:00"/>
    <s v="November"/>
    <s v="Thursday"/>
    <s v="Outlier"/>
    <x v="1"/>
  </r>
  <r>
    <n v="541612"/>
    <n v="248"/>
    <s v="USA"/>
    <d v="2023-11-06T00:26:00"/>
    <s v="App"/>
    <s v="Diego Freyre"/>
    <n v="3155"/>
    <d v="2023-11-06T00:00:00"/>
    <d v="1899-12-30T00:26:00"/>
    <s v="November"/>
    <s v="Monday"/>
    <s v="Outlier"/>
    <x v="59"/>
  </r>
  <r>
    <n v="541737"/>
    <n v="1365"/>
    <s v="USA"/>
    <d v="2023-12-23T00:23:00"/>
    <s v="Whatsapp"/>
    <s v="Julie Young"/>
    <n v="1362"/>
    <d v="2023-12-23T00:00:00"/>
    <d v="1899-12-30T00:23:00"/>
    <s v="December"/>
    <s v="Saturday"/>
    <s v="Outlier"/>
    <x v="62"/>
  </r>
  <r>
    <n v="541762"/>
    <n v="1492"/>
    <s v="USA"/>
    <d v="2023-07-28T23:58:00"/>
    <s v="Website"/>
    <s v="Juri Hirano"/>
    <n v="5062"/>
    <d v="2023-07-28T00:00:00"/>
    <d v="1899-12-30T23:58:00"/>
    <s v="July"/>
    <s v="Friday"/>
    <s v="Outlier"/>
    <x v="61"/>
  </r>
  <r>
    <n v="541964"/>
    <n v="465"/>
    <s v="USA"/>
    <d v="2023-10-22T23:56:00"/>
    <s v="Whatsapp"/>
    <s v="Mory Kentary"/>
    <n v="3372"/>
    <d v="2023-10-22T00:00:00"/>
    <d v="1899-12-30T23:56:00"/>
    <s v="October"/>
    <s v="Sunday"/>
    <s v="Outlier"/>
    <x v="22"/>
  </r>
  <r>
    <n v="542381"/>
    <n v="1767"/>
    <s v="France"/>
    <d v="2023-12-26T00:13:00"/>
    <s v="Whatsapp"/>
    <s v="Peter Ferguson"/>
    <n v="6198"/>
    <d v="2023-12-26T00:00:00"/>
    <d v="1899-12-30T00:13:00"/>
    <s v="December"/>
    <s v="Tuesday"/>
    <s v="Outlier"/>
    <x v="44"/>
  </r>
  <r>
    <n v="543294"/>
    <n v="1504"/>
    <s v="France"/>
    <d v="2023-09-13T00:27:00"/>
    <s v="Whatsapp"/>
    <s v="Elizabeth Lincoln"/>
    <n v="3639"/>
    <d v="2023-09-13T00:00:00"/>
    <d v="1899-12-30T00:27:00"/>
    <s v="September"/>
    <s v="Wednesday"/>
    <s v="Outlier"/>
    <x v="19"/>
  </r>
  <r>
    <n v="543420"/>
    <n v="1942"/>
    <s v="USA"/>
    <d v="2023-06-15T23:45:00"/>
    <s v="Website"/>
    <s v="Sue Frick"/>
    <n v="4380"/>
    <d v="2023-06-15T00:00:00"/>
    <d v="1899-12-30T23:45:00"/>
    <s v="June"/>
    <s v="Thursday"/>
    <s v="Outlier"/>
    <x v="35"/>
  </r>
  <r>
    <n v="543688"/>
    <n v="1393"/>
    <s v="Italy"/>
    <d v="2023-08-08T00:34:00"/>
    <s v="Website"/>
    <s v="Julie King"/>
    <n v="9836"/>
    <d v="2023-08-08T00:00:00"/>
    <d v="1899-12-30T00:34:00"/>
    <s v="August"/>
    <s v="Tuesday"/>
    <s v="Outlier"/>
    <x v="15"/>
  </r>
  <r>
    <n v="544608"/>
    <n v="643"/>
    <s v="India"/>
    <d v="2023-09-23T01:56:00"/>
    <s v="App"/>
    <s v="Janine Labrune"/>
    <n v="3678"/>
    <d v="2023-09-23T00:00:00"/>
    <d v="1899-12-30T01:56:00"/>
    <s v="September"/>
    <s v="Saturday"/>
    <s v="Outlier"/>
    <x v="36"/>
  </r>
  <r>
    <n v="544675"/>
    <n v="459"/>
    <s v="Italy"/>
    <d v="2023-05-13T01:53:00"/>
    <s v="Whatsapp"/>
    <s v="Jan Klaeboe"/>
    <n v="6757"/>
    <d v="2023-05-13T00:00:00"/>
    <d v="1899-12-30T01:53:00"/>
    <s v="May"/>
    <s v="Saturday"/>
    <s v="Outlier"/>
    <x v="35"/>
  </r>
  <r>
    <n v="545696"/>
    <n v="1682"/>
    <s v="France"/>
    <d v="2023-06-08T01:05:00"/>
    <s v="App"/>
    <s v="Dean Cassidy"/>
    <n v="9120"/>
    <d v="2023-06-08T00:00:00"/>
    <d v="1899-12-30T01:05:00"/>
    <s v="June"/>
    <s v="Thursday"/>
    <s v="Outlier"/>
    <x v="54"/>
  </r>
  <r>
    <n v="546278"/>
    <n v="1510"/>
    <s v="Norway"/>
    <d v="2023-06-04T01:08:00"/>
    <s v="Whatsapp"/>
    <s v="Steve Frick"/>
    <n v="5853"/>
    <d v="2023-06-04T00:00:00"/>
    <d v="1899-12-30T01:08:00"/>
    <s v="June"/>
    <s v="Sunday"/>
    <s v="Outlier"/>
    <x v="12"/>
  </r>
  <r>
    <n v="546758"/>
    <n v="1844"/>
    <s v="Singapore"/>
    <d v="2023-08-02T00:45:00"/>
    <s v="Other"/>
    <s v="Kyung Yu"/>
    <n v="316"/>
    <d v="2023-08-02T00:00:00"/>
    <d v="1899-12-30T00:45:00"/>
    <s v="August"/>
    <s v="Wednesday"/>
    <s v="Outlier"/>
    <x v="51"/>
  </r>
  <r>
    <n v="546839"/>
    <n v="1566"/>
    <s v="USA"/>
    <d v="2023-12-10T00:57:00"/>
    <s v="Whatsapp"/>
    <s v="Jytte Petersen"/>
    <n v="8639"/>
    <d v="2023-12-10T00:00:00"/>
    <d v="1899-12-30T00:57:00"/>
    <s v="December"/>
    <s v="Sunday"/>
    <s v="Outlier"/>
    <x v="71"/>
  </r>
  <r>
    <n v="547144"/>
    <n v="1666"/>
    <s v="Spain"/>
    <d v="2023-01-14T01:02:00"/>
    <s v="App"/>
    <s v="Akiko Shimamura"/>
    <n v="5455"/>
    <d v="2023-01-14T00:00:00"/>
    <d v="1899-12-30T01:02:00"/>
    <s v="January"/>
    <s v="Saturday"/>
    <s v="Outlier"/>
    <x v="29"/>
  </r>
  <r>
    <n v="547283"/>
    <n v="1363"/>
    <s v="France"/>
    <d v="2023-04-24T00:04:00"/>
    <s v="Whatsapp"/>
    <s v="Dan Lewis"/>
    <n v="2149"/>
    <d v="2023-04-24T00:00:00"/>
    <d v="1899-12-30T00:04:00"/>
    <s v="April"/>
    <s v="Monday"/>
    <s v="Outlier"/>
    <x v="49"/>
  </r>
  <r>
    <n v="548423"/>
    <n v="1109"/>
    <s v="India"/>
    <d v="2023-09-21T01:16:00"/>
    <s v="Other"/>
    <s v="Tony Calaghan"/>
    <n v="3958"/>
    <d v="2023-09-21T00:00:00"/>
    <d v="1899-12-30T01:16:00"/>
    <s v="September"/>
    <s v="Thursday"/>
    <s v="Outlier"/>
    <x v="46"/>
  </r>
  <r>
    <n v="548714"/>
    <n v="1156"/>
    <s v="Norway"/>
    <d v="2023-06-22T00:31:00"/>
    <s v="App"/>
    <s v="Diego Freyre"/>
    <n v="6145"/>
    <d v="2023-06-22T00:00:00"/>
    <d v="1899-12-30T00:31:00"/>
    <s v="June"/>
    <s v="Thursday"/>
    <s v="Outlier"/>
    <x v="31"/>
  </r>
  <r>
    <n v="549930"/>
    <n v="685"/>
    <s v="Australia"/>
    <d v="2023-06-26T23:54:00"/>
    <s v="App"/>
    <s v="Paul Henriot"/>
    <n v="8311"/>
    <d v="2023-06-26T00:00:00"/>
    <d v="1899-12-30T23:54:00"/>
    <s v="June"/>
    <s v="Monday"/>
    <s v="Outlier"/>
    <x v="63"/>
  </r>
  <r>
    <n v="550510"/>
    <n v="536"/>
    <s v="Germany"/>
    <d v="2023-04-20T23:35:00"/>
    <s v="Whatsapp"/>
    <s v="William Brown"/>
    <n v="4540"/>
    <d v="2023-04-20T00:00:00"/>
    <d v="1899-12-30T23:35:00"/>
    <s v="April"/>
    <s v="Thursday"/>
    <s v="Outlier"/>
    <x v="45"/>
  </r>
  <r>
    <n v="551810"/>
    <n v="477"/>
    <s v="Australia"/>
    <d v="2023-06-08T00:35:00"/>
    <s v="App"/>
    <s v="Maurizio Moroni"/>
    <n v="8174"/>
    <d v="2023-06-08T00:00:00"/>
    <d v="1899-12-30T00:35:00"/>
    <s v="June"/>
    <s v="Thursday"/>
    <s v="Outlier"/>
    <x v="34"/>
  </r>
  <r>
    <n v="551997"/>
    <n v="1620"/>
    <s v="USA"/>
    <d v="2023-09-26T23:22:00"/>
    <s v="Whatsapp"/>
    <s v="Kwai Yu"/>
    <n v="5017"/>
    <d v="2023-09-26T00:00:00"/>
    <d v="1899-12-30T23:22:00"/>
    <s v="September"/>
    <s v="Tuesday"/>
    <s v="Outlier"/>
    <x v="57"/>
  </r>
  <r>
    <n v="552382"/>
    <n v="375"/>
    <s v="Australia"/>
    <d v="2023-05-02T00:29:00"/>
    <s v="Website"/>
    <s v="Peter Ferguson"/>
    <n v="626"/>
    <d v="2023-05-02T00:00:00"/>
    <d v="1899-12-30T00:29:00"/>
    <s v="May"/>
    <s v="Tuesday"/>
    <s v="Outlier"/>
    <x v="23"/>
  </r>
  <r>
    <n v="552420"/>
    <n v="31"/>
    <s v="USA"/>
    <d v="2023-07-24T23:33:00"/>
    <s v="Other"/>
    <s v="Daniel Da Cunha"/>
    <n v="3937"/>
    <d v="2023-07-24T00:00:00"/>
    <d v="1899-12-30T23:33:00"/>
    <s v="July"/>
    <s v="Monday"/>
    <s v="Outlier"/>
    <x v="13"/>
  </r>
  <r>
    <n v="552683"/>
    <n v="131"/>
    <s v="Italy"/>
    <d v="2023-05-08T01:26:00"/>
    <s v="Other"/>
    <s v="Julie Young"/>
    <n v="6578"/>
    <d v="2023-05-08T00:00:00"/>
    <d v="1899-12-30T01:26:00"/>
    <s v="May"/>
    <s v="Monday"/>
    <s v="Outlier"/>
    <x v="70"/>
  </r>
  <r>
    <n v="554150"/>
    <n v="343"/>
    <s v="India"/>
    <d v="2023-05-05T00:03:00"/>
    <s v="Website"/>
    <s v="Julie Brown"/>
    <n v="1090"/>
    <d v="2023-05-05T00:00:00"/>
    <d v="1899-12-30T00:03:00"/>
    <s v="May"/>
    <s v="Friday"/>
    <s v="Outlier"/>
    <x v="51"/>
  </r>
  <r>
    <n v="556001"/>
    <n v="395"/>
    <s v="India"/>
    <d v="2023-01-28T00:18:00"/>
    <s v="Other"/>
    <s v="Juri Hirano"/>
    <n v="8901"/>
    <d v="2023-01-28T00:00:00"/>
    <d v="1899-12-30T00:18:00"/>
    <s v="January"/>
    <s v="Saturday"/>
    <s v="Outlier"/>
    <x v="13"/>
  </r>
  <r>
    <n v="556930"/>
    <n v="1847"/>
    <s v="France"/>
    <d v="2023-01-14T00:23:00"/>
    <s v="Website"/>
    <s v="Martine Rance"/>
    <n v="1675"/>
    <d v="2023-01-14T00:00:00"/>
    <d v="1899-12-30T00:23:00"/>
    <s v="January"/>
    <s v="Saturday"/>
    <s v="Outlier"/>
    <x v="19"/>
  </r>
  <r>
    <n v="557919"/>
    <n v="736"/>
    <s v="USA"/>
    <d v="2023-11-07T01:51:00"/>
    <s v="Whatsapp"/>
    <s v="Veysel Oeztan"/>
    <n v="1848"/>
    <d v="2023-11-07T00:00:00"/>
    <d v="1899-12-30T01:51:00"/>
    <s v="November"/>
    <s v="Tuesday"/>
    <s v="Outlier"/>
    <x v="63"/>
  </r>
  <r>
    <n v="558573"/>
    <n v="342"/>
    <s v="India"/>
    <d v="2023-09-23T00:35:00"/>
    <s v="Other"/>
    <s v="Julie Murphy"/>
    <n v="2278"/>
    <d v="2023-09-23T00:00:00"/>
    <d v="1899-12-30T00:35:00"/>
    <s v="September"/>
    <s v="Saturday"/>
    <s v="Outlier"/>
    <x v="48"/>
  </r>
  <r>
    <n v="559015"/>
    <n v="785"/>
    <s v="Ireland"/>
    <d v="2023-05-13T00:46:00"/>
    <s v="Other"/>
    <s v="Mory Kentary"/>
    <n v="9196"/>
    <d v="2023-05-13T00:00:00"/>
    <d v="1899-12-30T00:46:00"/>
    <s v="May"/>
    <s v="Saturday"/>
    <s v="Outlier"/>
    <x v="60"/>
  </r>
  <r>
    <n v="559948"/>
    <n v="1548"/>
    <s v="France"/>
    <d v="2023-09-08T23:30:00"/>
    <s v="Whatsapp"/>
    <s v="Peter Ferguson"/>
    <n v="1404"/>
    <d v="2023-09-08T00:00:00"/>
    <d v="1899-12-30T23:30:00"/>
    <s v="September"/>
    <s v="Friday"/>
    <s v="Outlier"/>
    <x v="7"/>
  </r>
  <r>
    <n v="560179"/>
    <n v="1615"/>
    <s v="Spain"/>
    <d v="2023-07-05T01:04:00"/>
    <s v="Whatsapp"/>
    <s v="Rosa Hernandez"/>
    <n v="227"/>
    <d v="2023-07-05T00:00:00"/>
    <d v="1899-12-30T01:04:00"/>
    <s v="July"/>
    <s v="Wednesday"/>
    <s v="Outlier"/>
    <x v="71"/>
  </r>
  <r>
    <n v="560929"/>
    <n v="995"/>
    <s v="France"/>
    <d v="2023-01-21T00:03:00"/>
    <s v="Other"/>
    <s v="William Brown"/>
    <n v="2792"/>
    <d v="2023-01-21T00:00:00"/>
    <d v="1899-12-30T00:03:00"/>
    <s v="January"/>
    <s v="Saturday"/>
    <s v="Outlier"/>
    <x v="43"/>
  </r>
  <r>
    <n v="561027"/>
    <n v="185"/>
    <s v="Austria"/>
    <d v="2023-11-25T01:20:00"/>
    <s v="Whatsapp"/>
    <s v="Julie King"/>
    <n v="9534"/>
    <d v="2023-11-25T00:00:00"/>
    <d v="1899-12-30T01:20:00"/>
    <s v="November"/>
    <s v="Saturday"/>
    <s v="Outlier"/>
    <x v="46"/>
  </r>
  <r>
    <n v="561399"/>
    <n v="761"/>
    <s v="Denmark"/>
    <d v="2023-10-26T00:48:00"/>
    <s v="Other"/>
    <s v="Janine Labrune"/>
    <n v="6729"/>
    <d v="2023-10-26T00:00:00"/>
    <d v="1899-12-30T00:48:00"/>
    <s v="October"/>
    <s v="Thursday"/>
    <s v="Outlier"/>
    <x v="53"/>
  </r>
  <r>
    <n v="561511"/>
    <n v="690"/>
    <s v="Germany"/>
    <d v="2023-12-01T01:15:00"/>
    <s v="Other"/>
    <s v="Marta Hernandez"/>
    <n v="6808"/>
    <d v="2023-12-01T00:00:00"/>
    <d v="1899-12-30T01:15:00"/>
    <s v="December"/>
    <s v="Friday"/>
    <s v="Outlier"/>
    <x v="2"/>
  </r>
  <r>
    <n v="561728"/>
    <n v="1193"/>
    <s v="Italy"/>
    <d v="2023-03-26T23:02:00"/>
    <s v="Website"/>
    <s v="Carine Schmitt"/>
    <n v="9790"/>
    <d v="2023-03-26T00:00:00"/>
    <d v="1899-12-30T23:02:00"/>
    <s v="March"/>
    <s v="Sunday"/>
    <s v="Outlier"/>
    <x v="45"/>
  </r>
  <r>
    <n v="561976"/>
    <n v="286"/>
    <s v="USA"/>
    <d v="2023-04-04T00:15:00"/>
    <s v="Other"/>
    <s v="Steve Frick"/>
    <n v="3146"/>
    <d v="2023-04-04T00:00:00"/>
    <d v="1899-12-30T00:15:00"/>
    <s v="April"/>
    <s v="Tuesday"/>
    <s v="Outlier"/>
    <x v="33"/>
  </r>
  <r>
    <n v="562295"/>
    <n v="853"/>
    <s v="USA"/>
    <d v="2023-07-21T00:02:00"/>
    <s v="Whatsapp"/>
    <s v="Kyung Yu"/>
    <n v="3046"/>
    <d v="2023-07-21T00:00:00"/>
    <d v="1899-12-30T00:02:00"/>
    <s v="July"/>
    <s v="Friday"/>
    <s v="Outlier"/>
    <x v="56"/>
  </r>
  <r>
    <n v="563443"/>
    <n v="173"/>
    <s v="India"/>
    <d v="2023-10-29T00:36:00"/>
    <s v="Other"/>
    <s v="Kwai Yu"/>
    <n v="8023"/>
    <d v="2023-10-29T00:00:00"/>
    <d v="1899-12-30T00:36:00"/>
    <s v="October"/>
    <s v="Sunday"/>
    <s v="Outlier"/>
    <x v="0"/>
  </r>
  <r>
    <n v="563575"/>
    <n v="947"/>
    <s v="Australia"/>
    <d v="2023-04-05T23:41:00"/>
    <s v="App"/>
    <s v="Akiko Shimamura"/>
    <n v="2260"/>
    <d v="2023-04-05T00:00:00"/>
    <d v="1899-12-30T23:41:00"/>
    <s v="April"/>
    <s v="Wednesday"/>
    <s v="Outlier"/>
    <x v="13"/>
  </r>
  <r>
    <n v="564076"/>
    <n v="1862"/>
    <s v="Australia"/>
    <d v="2023-05-30T23:51:00"/>
    <s v="App"/>
    <s v="Juri Hirano"/>
    <n v="7241"/>
    <d v="2023-05-30T00:00:00"/>
    <d v="1899-12-30T23:51:00"/>
    <s v="May"/>
    <s v="Tuesday"/>
    <s v="Outlier"/>
    <x v="41"/>
  </r>
  <r>
    <n v="564478"/>
    <n v="1827"/>
    <s v="USA"/>
    <d v="2023-02-10T00:29:00"/>
    <s v="Other"/>
    <s v="Tony Calaghan"/>
    <n v="4891"/>
    <d v="2023-02-10T00:00:00"/>
    <d v="1899-12-30T00:29:00"/>
    <s v="February"/>
    <s v="Friday"/>
    <s v="Outlier"/>
    <x v="57"/>
  </r>
  <r>
    <n v="565068"/>
    <n v="1689"/>
    <s v="Australia"/>
    <d v="2023-06-10T23:21:00"/>
    <s v="Whatsapp"/>
    <s v="Maria Larsson"/>
    <n v="1282"/>
    <d v="2023-06-10T00:00:00"/>
    <d v="1899-12-30T23:21:00"/>
    <s v="June"/>
    <s v="Saturday"/>
    <s v="Outlier"/>
    <x v="63"/>
  </r>
  <r>
    <n v="565931"/>
    <n v="256"/>
    <s v="Australia"/>
    <d v="2023-07-22T00:20:00"/>
    <s v="Whatsapp"/>
    <s v="Dominique Perrier"/>
    <n v="9251"/>
    <d v="2023-07-22T00:00:00"/>
    <d v="1899-12-30T00:20:00"/>
    <s v="July"/>
    <s v="Saturday"/>
    <s v="Outlier"/>
    <x v="54"/>
  </r>
  <r>
    <n v="566436"/>
    <n v="1406"/>
    <s v="Australia"/>
    <d v="2023-12-17T22:32:00"/>
    <s v="Other"/>
    <s v="Diego Freyre"/>
    <n v="806"/>
    <d v="2023-12-17T00:00:00"/>
    <d v="1899-12-30T22:32:00"/>
    <s v="December"/>
    <s v="Sunday"/>
    <s v="Outlier"/>
    <x v="65"/>
  </r>
  <r>
    <n v="566985"/>
    <n v="146"/>
    <s v="Norway"/>
    <d v="2023-06-27T00:48:00"/>
    <s v="Other"/>
    <s v="Roland Keitel"/>
    <n v="3344"/>
    <d v="2023-06-27T00:00:00"/>
    <d v="1899-12-30T00:48:00"/>
    <s v="June"/>
    <s v="Tuesday"/>
    <s v="Outlier"/>
    <x v="67"/>
  </r>
  <r>
    <n v="568627"/>
    <n v="428"/>
    <s v="Australia"/>
    <d v="2023-02-08T23:01:00"/>
    <s v="Whatsapp"/>
    <s v="Victoria Ashworth"/>
    <n v="8884"/>
    <d v="2023-02-08T00:00:00"/>
    <d v="1899-12-30T23:01:00"/>
    <s v="February"/>
    <s v="Wednesday"/>
    <s v="Outlier"/>
    <x v="27"/>
  </r>
  <r>
    <n v="568799"/>
    <n v="1429"/>
    <s v="Austria"/>
    <d v="2023-10-11T23:51:00"/>
    <s v="Other"/>
    <s v="Peter Ferguson"/>
    <n v="9085"/>
    <d v="2023-10-11T00:00:00"/>
    <d v="1899-12-30T23:51:00"/>
    <s v="October"/>
    <s v="Wednesday"/>
    <s v="Outlier"/>
    <x v="59"/>
  </r>
  <r>
    <n v="568873"/>
    <n v="435"/>
    <s v="India"/>
    <d v="2023-04-15T22:41:00"/>
    <s v="Other"/>
    <s v="Adrian Huxley"/>
    <n v="8247"/>
    <d v="2023-04-15T00:00:00"/>
    <d v="1899-12-30T22:41:00"/>
    <s v="April"/>
    <s v="Saturday"/>
    <s v="Outlier"/>
    <x v="20"/>
  </r>
  <r>
    <n v="568908"/>
    <n v="1297"/>
    <s v="USA"/>
    <d v="2023-05-27T22:52:00"/>
    <s v="Other"/>
    <s v="Sue Taylor"/>
    <n v="3377"/>
    <d v="2023-05-27T00:00:00"/>
    <d v="1899-12-30T22:52:00"/>
    <s v="May"/>
    <s v="Saturday"/>
    <s v="Outlier"/>
    <x v="46"/>
  </r>
  <r>
    <n v="569033"/>
    <n v="674"/>
    <s v="USA"/>
    <d v="2023-10-31T23:56:00"/>
    <s v="Website"/>
    <s v="Julie Brown"/>
    <n v="8931"/>
    <d v="2023-10-31T00:00:00"/>
    <d v="1899-12-30T23:56:00"/>
    <s v="October"/>
    <s v="Tuesday"/>
    <s v="Outlier"/>
    <x v="37"/>
  </r>
  <r>
    <n v="569318"/>
    <n v="30"/>
    <s v="France"/>
    <d v="2023-02-15T01:30:00"/>
    <s v="Other"/>
    <s v="Giovanni Rovelli"/>
    <n v="3887"/>
    <d v="2023-02-15T00:00:00"/>
    <d v="1899-12-30T01:30:00"/>
    <s v="February"/>
    <s v="Wednesday"/>
    <s v="Outlier"/>
    <x v="54"/>
  </r>
  <r>
    <n v="569689"/>
    <n v="1492"/>
    <s v="USA"/>
    <d v="2023-10-28T01:45:00"/>
    <s v="Website"/>
    <s v="Valarie Nelson"/>
    <n v="2171"/>
    <d v="2023-10-28T00:00:00"/>
    <d v="1899-12-30T01:45:00"/>
    <s v="October"/>
    <s v="Saturday"/>
    <s v="Outlier"/>
    <x v="61"/>
  </r>
  <r>
    <n v="570816"/>
    <n v="1266"/>
    <s v="USA"/>
    <d v="2023-01-01T02:58:00"/>
    <s v="Website"/>
    <s v="Sean Connery"/>
    <n v="1195"/>
    <d v="2023-01-01T00:00:00"/>
    <d v="1899-12-30T02:58:00"/>
    <s v="January"/>
    <s v="Sunday"/>
    <s v="Outlier"/>
    <x v="53"/>
  </r>
  <r>
    <n v="571316"/>
    <n v="1052"/>
    <s v="Germany"/>
    <d v="2023-05-18T01:59:00"/>
    <s v="Website"/>
    <s v="Diego Freyre"/>
    <n v="1658"/>
    <d v="2023-05-18T00:00:00"/>
    <d v="1899-12-30T01:59:00"/>
    <s v="May"/>
    <s v="Thursday"/>
    <s v="Outlier"/>
    <x v="50"/>
  </r>
  <r>
    <n v="571695"/>
    <n v="53"/>
    <s v="USA"/>
    <d v="2023-08-02T00:39:00"/>
    <s v="App"/>
    <s v="Mart¡n Sommer"/>
    <n v="832"/>
    <d v="2023-08-02T00:00:00"/>
    <d v="1899-12-30T00:39:00"/>
    <s v="August"/>
    <s v="Wednesday"/>
    <s v="Outlier"/>
    <x v="14"/>
  </r>
  <r>
    <n v="571764"/>
    <n v="568"/>
    <s v="France"/>
    <d v="2023-08-08T00:12:00"/>
    <s v="Other"/>
    <s v="Mary Saveley"/>
    <n v="1895"/>
    <d v="2023-08-08T00:00:00"/>
    <d v="1899-12-30T00:12:00"/>
    <s v="August"/>
    <s v="Tuesday"/>
    <s v="Outlier"/>
    <x v="43"/>
  </r>
  <r>
    <n v="572221"/>
    <n v="1253"/>
    <s v="USA"/>
    <d v="2023-07-25T23:27:00"/>
    <s v="Whatsapp"/>
    <s v="Diego Freyre"/>
    <n v="9800"/>
    <d v="2023-07-25T00:00:00"/>
    <d v="1899-12-30T23:27:00"/>
    <s v="July"/>
    <s v="Tuesday"/>
    <s v="Outlier"/>
    <x v="33"/>
  </r>
  <r>
    <n v="572449"/>
    <n v="43"/>
    <s v="Singapore"/>
    <d v="2023-05-01T23:54:00"/>
    <s v="Website"/>
    <s v="Frederique Citeaux"/>
    <n v="2289"/>
    <d v="2023-05-01T00:00:00"/>
    <d v="1899-12-30T23:54:00"/>
    <s v="May"/>
    <s v="Monday"/>
    <s v="Outlier"/>
    <x v="39"/>
  </r>
  <r>
    <n v="573127"/>
    <n v="1960"/>
    <s v="Ireland"/>
    <d v="2023-12-17T22:31:00"/>
    <s v="Other"/>
    <s v="Paolo Accorti"/>
    <n v="7588"/>
    <d v="2023-12-17T00:00:00"/>
    <d v="1899-12-30T22:31:00"/>
    <s v="December"/>
    <s v="Sunday"/>
    <s v="Outlier"/>
    <x v="19"/>
  </r>
  <r>
    <n v="573331"/>
    <n v="1045"/>
    <s v="Spain"/>
    <d v="2023-10-02T01:19:00"/>
    <s v="Website"/>
    <s v="Veysel Oeztan"/>
    <n v="8506"/>
    <d v="2023-10-02T00:00:00"/>
    <d v="1899-12-30T01:19:00"/>
    <s v="October"/>
    <s v="Monday"/>
    <s v="Outlier"/>
    <x v="11"/>
  </r>
  <r>
    <n v="573406"/>
    <n v="695"/>
    <s v="France"/>
    <d v="2023-09-19T23:58:00"/>
    <s v="Other"/>
    <s v="Daniel Tonini"/>
    <n v="989"/>
    <d v="2023-09-19T00:00:00"/>
    <d v="1899-12-30T23:58:00"/>
    <s v="September"/>
    <s v="Tuesday"/>
    <s v="Outlier"/>
    <x v="5"/>
  </r>
  <r>
    <n v="573466"/>
    <n v="1010"/>
    <s v="Spain"/>
    <d v="2023-08-15T00:24:00"/>
    <s v="Website"/>
    <s v="Valarie Nelson"/>
    <n v="8552"/>
    <d v="2023-08-15T00:00:00"/>
    <d v="1899-12-30T00:24:00"/>
    <s v="August"/>
    <s v="Tuesday"/>
    <s v="Outlier"/>
    <x v="9"/>
  </r>
  <r>
    <n v="573585"/>
    <n v="97"/>
    <s v="USA"/>
    <d v="2023-05-19T23:41:00"/>
    <s v="Whatsapp"/>
    <s v="Valarie Young"/>
    <n v="3551"/>
    <d v="2023-05-19T00:00:00"/>
    <d v="1899-12-30T23:41:00"/>
    <s v="May"/>
    <s v="Friday"/>
    <s v="Outlier"/>
    <x v="58"/>
  </r>
  <r>
    <n v="573613"/>
    <n v="1477"/>
    <s v="Spain"/>
    <d v="2023-08-18T01:17:00"/>
    <s v="App"/>
    <s v="Victoria Ashworth"/>
    <n v="7954"/>
    <d v="2023-08-18T00:00:00"/>
    <d v="1899-12-30T01:17:00"/>
    <s v="August"/>
    <s v="Friday"/>
    <s v="Outlier"/>
    <x v="38"/>
  </r>
  <r>
    <n v="573756"/>
    <n v="1900"/>
    <s v="Singapore"/>
    <d v="2023-09-10T01:15:00"/>
    <s v="Whatsapp"/>
    <s v="Peter Ferguson"/>
    <n v="7244"/>
    <d v="2023-09-10T00:00:00"/>
    <d v="1899-12-30T01:15:00"/>
    <s v="September"/>
    <s v="Sunday"/>
    <s v="Outlier"/>
    <x v="9"/>
  </r>
  <r>
    <n v="574480"/>
    <n v="1907"/>
    <s v="Australia"/>
    <d v="2023-09-28T00:23:00"/>
    <s v="Whatsapp"/>
    <s v="Daniel Da Cunha"/>
    <n v="6577"/>
    <d v="2023-09-28T00:00:00"/>
    <d v="1899-12-30T00:23:00"/>
    <s v="September"/>
    <s v="Thursday"/>
    <s v="Outlier"/>
    <x v="69"/>
  </r>
  <r>
    <n v="574845"/>
    <n v="357"/>
    <s v="Norway"/>
    <d v="2023-12-06T23:40:00"/>
    <s v="Other"/>
    <s v="Julie Young"/>
    <n v="1101"/>
    <d v="2023-12-06T00:00:00"/>
    <d v="1899-12-30T23:40:00"/>
    <s v="December"/>
    <s v="Wednesday"/>
    <s v="Outlier"/>
    <x v="41"/>
  </r>
  <r>
    <n v="575162"/>
    <n v="1040"/>
    <s v="India"/>
    <d v="2023-11-21T23:15:00"/>
    <s v="Website"/>
    <s v="Diego Freyre"/>
    <n v="1854"/>
    <d v="2023-11-21T00:00:00"/>
    <d v="1899-12-30T23:15:00"/>
    <s v="November"/>
    <s v="Tuesday"/>
    <s v="Outlier"/>
    <x v="42"/>
  </r>
  <r>
    <n v="576171"/>
    <n v="707"/>
    <s v="France"/>
    <d v="2023-11-01T23:36:00"/>
    <s v="Whatsapp"/>
    <s v="Valarie Nelson"/>
    <n v="9989"/>
    <d v="2023-11-01T00:00:00"/>
    <d v="1899-12-30T23:36:00"/>
    <s v="November"/>
    <s v="Wednesday"/>
    <s v="Outlier"/>
    <x v="12"/>
  </r>
  <r>
    <n v="576486"/>
    <n v="842"/>
    <s v="France"/>
    <d v="2023-06-20T01:39:00"/>
    <s v="Other"/>
    <s v="Valarie Nelson"/>
    <n v="2847"/>
    <d v="2023-06-20T00:00:00"/>
    <d v="1899-12-30T01:39:00"/>
    <s v="June"/>
    <s v="Tuesday"/>
    <s v="Outlier"/>
    <x v="10"/>
  </r>
  <r>
    <n v="577243"/>
    <n v="1283"/>
    <s v="USA"/>
    <d v="2023-01-31T01:24:00"/>
    <s v="Other"/>
    <s v="Rosa Hernandez"/>
    <n v="4138"/>
    <d v="2023-01-31T00:00:00"/>
    <d v="1899-12-30T01:24:00"/>
    <s v="January"/>
    <s v="Tuesday"/>
    <s v="Outlier"/>
    <x v="35"/>
  </r>
  <r>
    <n v="581118"/>
    <n v="1199"/>
    <s v="Italy"/>
    <d v="2023-11-27T00:22:00"/>
    <s v="Website"/>
    <s v="Carine Schmitt"/>
    <n v="3254"/>
    <d v="2023-11-27T00:00:00"/>
    <d v="1899-12-30T00:22:00"/>
    <s v="November"/>
    <s v="Monday"/>
    <s v="Outlier"/>
    <x v="4"/>
  </r>
  <r>
    <n v="581573"/>
    <n v="1670"/>
    <s v="USA"/>
    <d v="2023-08-08T01:06:00"/>
    <s v="App"/>
    <s v="Paul Henriot"/>
    <n v="8547"/>
    <d v="2023-08-08T00:00:00"/>
    <d v="1899-12-30T01:06:00"/>
    <s v="August"/>
    <s v="Tuesday"/>
    <s v="Outlier"/>
    <x v="16"/>
  </r>
  <r>
    <n v="581918"/>
    <n v="1617"/>
    <s v="Austria"/>
    <d v="2023-11-01T00:48:00"/>
    <s v="Other"/>
    <s v="Anna O'Hara"/>
    <n v="6030"/>
    <d v="2023-11-01T00:00:00"/>
    <d v="1899-12-30T00:48:00"/>
    <s v="November"/>
    <s v="Wednesday"/>
    <s v="Outlier"/>
    <x v="63"/>
  </r>
  <r>
    <n v="582139"/>
    <n v="170"/>
    <s v="Italy"/>
    <d v="2023-09-26T02:09:00"/>
    <s v="App"/>
    <s v="Palle Ibsen"/>
    <n v="2002"/>
    <d v="2023-09-26T00:00:00"/>
    <d v="1899-12-30T02:09:00"/>
    <s v="September"/>
    <s v="Tuesday"/>
    <s v="Outlier"/>
    <x v="69"/>
  </r>
  <r>
    <n v="583059"/>
    <n v="786"/>
    <s v="Denmark"/>
    <d v="2023-11-10T22:52:00"/>
    <s v="Website"/>
    <s v="Julie King"/>
    <n v="6333"/>
    <d v="2023-11-10T00:00:00"/>
    <d v="1899-12-30T22:52:00"/>
    <s v="November"/>
    <s v="Friday"/>
    <s v="Outlier"/>
    <x v="57"/>
  </r>
  <r>
    <n v="583129"/>
    <n v="575"/>
    <s v="India"/>
    <d v="2023-11-18T22:53:00"/>
    <s v="Whatsapp"/>
    <s v="Veysel Oeztan"/>
    <n v="7035"/>
    <d v="2023-11-18T00:00:00"/>
    <d v="1899-12-30T22:53:00"/>
    <s v="November"/>
    <s v="Saturday"/>
    <s v="Outlier"/>
    <x v="67"/>
  </r>
  <r>
    <n v="584321"/>
    <n v="1108"/>
    <s v="India"/>
    <d v="2023-03-01T23:28:00"/>
    <s v="App"/>
    <s v="Valarie Young"/>
    <n v="6956"/>
    <d v="2023-03-01T00:00:00"/>
    <d v="1899-12-30T23:28:00"/>
    <s v="March"/>
    <s v="Wednesday"/>
    <s v="Outlier"/>
    <x v="59"/>
  </r>
  <r>
    <n v="585445"/>
    <n v="1665"/>
    <s v="Switzerland"/>
    <d v="2023-07-06T23:49:00"/>
    <s v="Whatsapp"/>
    <s v="Jeff Young"/>
    <n v="7479"/>
    <d v="2023-07-06T00:00:00"/>
    <d v="1899-12-30T23:49:00"/>
    <s v="July"/>
    <s v="Thursday"/>
    <s v="Outlier"/>
    <x v="11"/>
  </r>
  <r>
    <n v="585596"/>
    <n v="1447"/>
    <s v="Singapore"/>
    <d v="2023-10-06T00:36:00"/>
    <s v="Whatsapp"/>
    <s v="Diego Freyre"/>
    <n v="8848"/>
    <d v="2023-10-06T00:00:00"/>
    <d v="1899-12-30T00:36:00"/>
    <s v="October"/>
    <s v="Friday"/>
    <s v="Outlier"/>
    <x v="1"/>
  </r>
  <r>
    <n v="585616"/>
    <n v="318"/>
    <s v="India"/>
    <d v="2023-02-09T00:24:00"/>
    <s v="Other"/>
    <s v="Valarie Thompson"/>
    <n v="7526"/>
    <d v="2023-02-09T00:00:00"/>
    <d v="1899-12-30T00:24:00"/>
    <s v="February"/>
    <s v="Thursday"/>
    <s v="Outlier"/>
    <x v="31"/>
  </r>
  <r>
    <n v="585826"/>
    <n v="988"/>
    <s v="USA"/>
    <d v="2023-12-25T01:35:00"/>
    <s v="Other"/>
    <s v="Frederique Citeaux"/>
    <n v="6591"/>
    <d v="2023-12-25T00:00:00"/>
    <d v="1899-12-30T01:35:00"/>
    <s v="December"/>
    <s v="Monday"/>
    <s v="Outlier"/>
    <x v="14"/>
  </r>
  <r>
    <n v="585827"/>
    <n v="156"/>
    <s v="France"/>
    <d v="2023-01-18T23:38:00"/>
    <s v="Website"/>
    <s v="Elizabeth Devon"/>
    <n v="3966"/>
    <d v="2023-01-18T00:00:00"/>
    <d v="1899-12-30T23:38:00"/>
    <s v="January"/>
    <s v="Wednesday"/>
    <s v="Outlier"/>
    <x v="24"/>
  </r>
  <r>
    <n v="587346"/>
    <n v="1703"/>
    <s v="France"/>
    <d v="2023-08-16T01:41:00"/>
    <s v="Other"/>
    <s v="Maurizio Moroni"/>
    <n v="6858"/>
    <d v="2023-08-16T00:00:00"/>
    <d v="1899-12-30T01:41:00"/>
    <s v="August"/>
    <s v="Wednesday"/>
    <s v="Outlier"/>
    <x v="67"/>
  </r>
  <r>
    <n v="587721"/>
    <n v="417"/>
    <s v="France"/>
    <d v="2023-02-09T01:38:00"/>
    <s v="Other"/>
    <s v="Sue King"/>
    <n v="1430"/>
    <d v="2023-02-09T00:00:00"/>
    <d v="1899-12-30T01:38:00"/>
    <s v="February"/>
    <s v="Thursday"/>
    <s v="Outlier"/>
    <x v="62"/>
  </r>
  <r>
    <n v="588329"/>
    <n v="1170"/>
    <s v="Germany"/>
    <d v="2023-09-01T01:50:00"/>
    <s v="Other"/>
    <s v="Michael Holz"/>
    <n v="987"/>
    <d v="2023-09-01T00:00:00"/>
    <d v="1899-12-30T01:50:00"/>
    <s v="September"/>
    <s v="Friday"/>
    <s v="Outlier"/>
    <x v="48"/>
  </r>
  <r>
    <n v="588451"/>
    <n v="1647"/>
    <s v="USA"/>
    <d v="2023-02-06T00:26:00"/>
    <s v="Whatsapp"/>
    <s v="Jan Klaeboe"/>
    <n v="987"/>
    <d v="2023-02-06T00:00:00"/>
    <d v="1899-12-30T00:26:00"/>
    <s v="February"/>
    <s v="Monday"/>
    <s v="Outlier"/>
    <x v="13"/>
  </r>
  <r>
    <n v="588548"/>
    <n v="442"/>
    <s v="USA"/>
    <d v="2023-03-17T00:42:00"/>
    <s v="Whatsapp"/>
    <s v="Diego Freyre"/>
    <n v="4334"/>
    <d v="2023-03-17T00:00:00"/>
    <d v="1899-12-30T00:42:00"/>
    <s v="March"/>
    <s v="Friday"/>
    <s v="Outlier"/>
    <x v="14"/>
  </r>
  <r>
    <n v="588588"/>
    <n v="548"/>
    <s v="USA"/>
    <d v="2023-08-31T00:27:00"/>
    <s v="Whatsapp"/>
    <s v="Violeta Benitez"/>
    <n v="1656"/>
    <d v="2023-08-31T00:00:00"/>
    <d v="1899-12-30T00:27:00"/>
    <s v="August"/>
    <s v="Thursday"/>
    <s v="Outlier"/>
    <x v="68"/>
  </r>
  <r>
    <n v="588686"/>
    <n v="1224"/>
    <s v="France"/>
    <d v="2023-07-17T23:17:00"/>
    <s v="Website"/>
    <s v="Rosa Hernandez"/>
    <n v="9207"/>
    <d v="2023-07-17T00:00:00"/>
    <d v="1899-12-30T23:17:00"/>
    <s v="July"/>
    <s v="Monday"/>
    <s v="Outlier"/>
    <x v="37"/>
  </r>
  <r>
    <n v="588730"/>
    <n v="40"/>
    <s v="Australia"/>
    <d v="2023-08-25T00:20:00"/>
    <s v="Other"/>
    <s v="Paul Henriot"/>
    <n v="238"/>
    <d v="2023-08-25T00:00:00"/>
    <d v="1899-12-30T00:20:00"/>
    <s v="August"/>
    <s v="Friday"/>
    <s v="Outlier"/>
    <x v="2"/>
  </r>
  <r>
    <n v="589161"/>
    <n v="1613"/>
    <s v="USA"/>
    <d v="2023-12-30T23:54:00"/>
    <s v="Website"/>
    <s v="Pascale Cartrain"/>
    <n v="3750"/>
    <d v="2023-12-30T00:00:00"/>
    <d v="1899-12-30T23:54:00"/>
    <s v="December"/>
    <s v="Saturday"/>
    <s v="Outlier"/>
    <x v="37"/>
  </r>
  <r>
    <n v="590513"/>
    <n v="1139"/>
    <s v="USA"/>
    <d v="2023-08-14T23:10:00"/>
    <s v="Whatsapp"/>
    <s v="Diego Freyre"/>
    <n v="4446"/>
    <d v="2023-08-14T00:00:00"/>
    <d v="1899-12-30T23:10:00"/>
    <s v="August"/>
    <s v="Monday"/>
    <s v="Outlier"/>
    <x v="58"/>
  </r>
  <r>
    <n v="590748"/>
    <n v="1695"/>
    <s v="Spain"/>
    <d v="2023-01-11T22:40:00"/>
    <s v="Other"/>
    <s v="Sue Frick"/>
    <n v="4390"/>
    <d v="2023-01-11T00:00:00"/>
    <d v="1899-12-30T22:40:00"/>
    <s v="January"/>
    <s v="Wednesday"/>
    <s v="Outlier"/>
    <x v="2"/>
  </r>
  <r>
    <n v="590947"/>
    <n v="1745"/>
    <s v="USA"/>
    <d v="2023-04-23T00:56:00"/>
    <s v="Website"/>
    <s v="Georg Pipps"/>
    <n v="7772"/>
    <d v="2023-04-23T00:00:00"/>
    <d v="1899-12-30T00:56:00"/>
    <s v="April"/>
    <s v="Sunday"/>
    <s v="Outlier"/>
    <x v="26"/>
  </r>
  <r>
    <n v="591570"/>
    <n v="419"/>
    <s v="France"/>
    <d v="2023-11-30T01:30:00"/>
    <s v="Whatsapp"/>
    <s v="Jonas Bergulfsen"/>
    <n v="8740"/>
    <d v="2023-11-30T00:00:00"/>
    <d v="1899-12-30T01:30:00"/>
    <s v="November"/>
    <s v="Thursday"/>
    <s v="Outlier"/>
    <x v="50"/>
  </r>
  <r>
    <n v="591821"/>
    <n v="359"/>
    <s v="France"/>
    <d v="2023-03-31T00:28:00"/>
    <s v="App"/>
    <s v="Christina Berglund"/>
    <n v="8262"/>
    <d v="2023-03-31T00:00:00"/>
    <d v="1899-12-30T00:28:00"/>
    <s v="March"/>
    <s v="Friday"/>
    <s v="Outlier"/>
    <x v="2"/>
  </r>
  <r>
    <n v="592435"/>
    <n v="1386"/>
    <s v="Austria"/>
    <d v="2023-02-06T23:52:00"/>
    <s v="Whatsapp"/>
    <s v="Mart¡n Sommer"/>
    <n v="2381"/>
    <d v="2023-02-06T00:00:00"/>
    <d v="1899-12-30T23:52:00"/>
    <s v="February"/>
    <s v="Monday"/>
    <s v="Outlier"/>
    <x v="65"/>
  </r>
  <r>
    <n v="592705"/>
    <n v="987"/>
    <s v="USA"/>
    <d v="2023-04-24T01:43:00"/>
    <s v="App"/>
    <s v="Adrian Huxley"/>
    <n v="5893"/>
    <d v="2023-04-24T00:00:00"/>
    <d v="1899-12-30T01:43:00"/>
    <s v="April"/>
    <s v="Monday"/>
    <s v="Outlier"/>
    <x v="12"/>
  </r>
  <r>
    <n v="593188"/>
    <n v="1615"/>
    <s v="Spain"/>
    <d v="2023-12-08T00:21:00"/>
    <s v="Whatsapp"/>
    <s v="Eric Natividad"/>
    <n v="9830"/>
    <d v="2023-12-08T00:00:00"/>
    <d v="1899-12-30T00:21:00"/>
    <s v="December"/>
    <s v="Friday"/>
    <s v="Outlier"/>
    <x v="71"/>
  </r>
  <r>
    <n v="593240"/>
    <n v="672"/>
    <s v="USA"/>
    <d v="2023-12-05T00:38:00"/>
    <s v="Whatsapp"/>
    <s v="Maria Hernandez"/>
    <n v="7472"/>
    <d v="2023-12-05T00:00:00"/>
    <d v="1899-12-30T00:38:00"/>
    <s v="December"/>
    <s v="Tuesday"/>
    <s v="Outlier"/>
    <x v="61"/>
  </r>
  <r>
    <n v="593583"/>
    <n v="513"/>
    <s v="USA"/>
    <d v="2023-08-22T01:08:00"/>
    <s v="Other"/>
    <s v="Tony Calaghan"/>
    <n v="9848"/>
    <d v="2023-08-22T00:00:00"/>
    <d v="1899-12-30T01:08:00"/>
    <s v="August"/>
    <s v="Tuesday"/>
    <s v="Outlier"/>
    <x v="3"/>
  </r>
  <r>
    <n v="593879"/>
    <n v="907"/>
    <s v="Denmark"/>
    <d v="2023-06-04T01:36:00"/>
    <s v="Other"/>
    <s v="Francisca Cervantes"/>
    <n v="5944"/>
    <d v="2023-06-04T00:00:00"/>
    <d v="1899-12-30T01:36:00"/>
    <s v="June"/>
    <s v="Sunday"/>
    <s v="Outlier"/>
    <x v="39"/>
  </r>
  <r>
    <n v="595005"/>
    <n v="377"/>
    <s v="India"/>
    <d v="2023-10-09T01:49:00"/>
    <s v="Other"/>
    <s v="Sean Connery"/>
    <n v="1845"/>
    <d v="2023-10-09T00:00:00"/>
    <d v="1899-12-30T01:49:00"/>
    <s v="October"/>
    <s v="Monday"/>
    <s v="Outlier"/>
    <x v="72"/>
  </r>
  <r>
    <n v="595284"/>
    <n v="1391"/>
    <s v="USA"/>
    <d v="2023-10-24T00:34:00"/>
    <s v="Website"/>
    <s v="Yoshi Tannamuri"/>
    <n v="8604"/>
    <d v="2023-10-24T00:00:00"/>
    <d v="1899-12-30T00:34:00"/>
    <s v="October"/>
    <s v="Tuesday"/>
    <s v="Outlier"/>
    <x v="57"/>
  </r>
  <r>
    <n v="595446"/>
    <n v="1488"/>
    <s v="USA"/>
    <d v="2023-05-27T23:14:00"/>
    <s v="Other"/>
    <s v="Steve Thompson"/>
    <n v="3770"/>
    <d v="2023-05-27T00:00:00"/>
    <d v="1899-12-30T23:14:00"/>
    <s v="May"/>
    <s v="Saturday"/>
    <s v="Outlier"/>
    <x v="31"/>
  </r>
  <r>
    <n v="595956"/>
    <n v="1501"/>
    <s v="USA"/>
    <d v="2023-01-17T01:40:00"/>
    <s v="App"/>
    <s v="Kyung Tseng"/>
    <n v="3537"/>
    <d v="2023-01-17T00:00:00"/>
    <d v="1899-12-30T01:40:00"/>
    <s v="January"/>
    <s v="Tuesday"/>
    <s v="Outlier"/>
    <x v="66"/>
  </r>
  <r>
    <n v="596143"/>
    <n v="1576"/>
    <s v="USA"/>
    <d v="2023-06-30T01:50:00"/>
    <s v="App"/>
    <s v="Diego Freyre"/>
    <n v="1558"/>
    <d v="2023-06-30T00:00:00"/>
    <d v="1899-12-30T01:50:00"/>
    <s v="June"/>
    <s v="Friday"/>
    <s v="Outlier"/>
    <x v="41"/>
  </r>
  <r>
    <n v="596235"/>
    <n v="1857"/>
    <s v="France"/>
    <d v="2023-10-28T00:40:00"/>
    <s v="Website"/>
    <s v="Sue Frick"/>
    <n v="657"/>
    <d v="2023-10-28T00:00:00"/>
    <d v="1899-12-30T00:40:00"/>
    <s v="October"/>
    <s v="Saturday"/>
    <s v="Outlier"/>
    <x v="21"/>
  </r>
  <r>
    <n v="596287"/>
    <n v="516"/>
    <s v="France"/>
    <d v="2023-09-03T00:51:00"/>
    <s v="Website"/>
    <s v="Adrian Huxley"/>
    <n v="5995"/>
    <d v="2023-09-03T00:00:00"/>
    <d v="1899-12-30T00:51:00"/>
    <s v="September"/>
    <s v="Sunday"/>
    <s v="Outlier"/>
    <x v="66"/>
  </r>
  <r>
    <n v="597539"/>
    <n v="31"/>
    <s v="USA"/>
    <d v="2023-08-23T01:13:00"/>
    <s v="Whatsapp"/>
    <s v="Paolo Accorti"/>
    <n v="6892"/>
    <d v="2023-08-23T00:00:00"/>
    <d v="1899-12-30T01:13:00"/>
    <s v="August"/>
    <s v="Wednesday"/>
    <s v="Outlier"/>
    <x v="13"/>
  </r>
  <r>
    <n v="598766"/>
    <n v="426"/>
    <s v="Singapore"/>
    <d v="2023-03-14T23:25:00"/>
    <s v="Whatsapp"/>
    <s v="Maria Larsson"/>
    <n v="6288"/>
    <d v="2023-03-14T00:00:00"/>
    <d v="1899-12-30T23:25:00"/>
    <s v="March"/>
    <s v="Tuesday"/>
    <s v="Outlier"/>
    <x v="61"/>
  </r>
  <r>
    <n v="599162"/>
    <n v="818"/>
    <s v="France"/>
    <d v="2023-03-30T00:07:00"/>
    <s v="Website"/>
    <s v="Daniel Tonini"/>
    <n v="6921"/>
    <d v="2023-03-30T00:00:00"/>
    <d v="1899-12-30T00:07:00"/>
    <s v="March"/>
    <s v="Thursday"/>
    <s v="Outlier"/>
    <x v="27"/>
  </r>
  <r>
    <n v="600465"/>
    <n v="1845"/>
    <s v="Finland"/>
    <d v="2023-01-14T01:38:00"/>
    <s v="Whatsapp"/>
    <s v="Valarie Nelson"/>
    <n v="4278"/>
    <d v="2023-01-14T00:00:00"/>
    <d v="1899-12-30T01:38:00"/>
    <s v="January"/>
    <s v="Saturday"/>
    <s v="Outlier"/>
    <x v="69"/>
  </r>
  <r>
    <n v="600527"/>
    <n v="278"/>
    <s v="USA"/>
    <d v="2023-08-26T23:16:00"/>
    <s v="Whatsapp"/>
    <s v="Valarie Young"/>
    <n v="8597"/>
    <d v="2023-08-26T00:00:00"/>
    <d v="1899-12-30T23:16:00"/>
    <s v="August"/>
    <s v="Saturday"/>
    <s v="Outlier"/>
    <x v="47"/>
  </r>
  <r>
    <n v="602342"/>
    <n v="1391"/>
    <s v="USA"/>
    <d v="2023-12-14T23:47:00"/>
    <s v="App"/>
    <s v="Julie Murphy"/>
    <n v="4602"/>
    <d v="2023-12-14T00:00:00"/>
    <d v="1899-12-30T23:47:00"/>
    <s v="December"/>
    <s v="Thursday"/>
    <s v="Outlier"/>
    <x v="57"/>
  </r>
  <r>
    <n v="602695"/>
    <n v="773"/>
    <s v="USA"/>
    <d v="2023-07-16T23:57:00"/>
    <s v="Other"/>
    <s v="Peter Ferguson"/>
    <n v="469"/>
    <d v="2023-07-16T00:00:00"/>
    <d v="1899-12-30T23:57:00"/>
    <s v="July"/>
    <s v="Sunday"/>
    <s v="Outlier"/>
    <x v="55"/>
  </r>
  <r>
    <n v="602700"/>
    <n v="214"/>
    <s v="USA"/>
    <d v="2023-07-08T02:06:00"/>
    <s v="Other"/>
    <s v="Valarie Nelson"/>
    <n v="8209"/>
    <d v="2023-07-08T00:00:00"/>
    <d v="1899-12-30T02:06:00"/>
    <s v="July"/>
    <s v="Saturday"/>
    <s v="Outlier"/>
    <x v="65"/>
  </r>
  <r>
    <n v="603758"/>
    <n v="1940"/>
    <s v="Spain"/>
    <d v="2023-05-11T01:57:00"/>
    <s v="Other"/>
    <s v="Allen Nelson"/>
    <n v="6181"/>
    <d v="2023-05-11T00:00:00"/>
    <d v="1899-12-30T01:57:00"/>
    <s v="May"/>
    <s v="Thursday"/>
    <s v="Outlier"/>
    <x v="7"/>
  </r>
  <r>
    <n v="603855"/>
    <n v="1895"/>
    <s v="France"/>
    <d v="2023-07-18T22:39:00"/>
    <s v="Website"/>
    <s v="Julie Brown"/>
    <n v="4237"/>
    <d v="2023-07-18T00:00:00"/>
    <d v="1899-12-30T22:39:00"/>
    <s v="July"/>
    <s v="Tuesday"/>
    <s v="Outlier"/>
    <x v="52"/>
  </r>
  <r>
    <n v="603880"/>
    <n v="1516"/>
    <s v="Norway"/>
    <d v="2023-02-05T01:37:00"/>
    <s v="Website"/>
    <s v="Anna O'Hara"/>
    <n v="4019"/>
    <d v="2023-02-05T00:00:00"/>
    <d v="1899-12-30T01:37:00"/>
    <s v="February"/>
    <s v="Sunday"/>
    <s v="Outlier"/>
    <x v="5"/>
  </r>
  <r>
    <n v="604405"/>
    <n v="36"/>
    <s v="USA"/>
    <d v="2023-11-08T00:53:00"/>
    <s v="Website"/>
    <s v="Catherine Dewey"/>
    <n v="6944"/>
    <d v="2023-11-08T00:00:00"/>
    <d v="1899-12-30T00:53:00"/>
    <s v="November"/>
    <s v="Wednesday"/>
    <s v="Outlier"/>
    <x v="42"/>
  </r>
  <r>
    <n v="604805"/>
    <n v="246"/>
    <s v="France"/>
    <d v="2023-08-12T01:43:00"/>
    <s v="Other"/>
    <s v="Jonas Bergulfsen"/>
    <n v="4349"/>
    <d v="2023-08-12T00:00:00"/>
    <d v="1899-12-30T01:43:00"/>
    <s v="August"/>
    <s v="Saturday"/>
    <s v="Outlier"/>
    <x v="25"/>
  </r>
  <r>
    <n v="606775"/>
    <n v="834"/>
    <s v="Finland"/>
    <d v="2023-02-25T23:52:00"/>
    <s v="Other"/>
    <s v="Julie Murphy"/>
    <n v="7873"/>
    <d v="2023-02-25T00:00:00"/>
    <d v="1899-12-30T23:52:00"/>
    <s v="February"/>
    <s v="Saturday"/>
    <s v="Outlier"/>
    <x v="15"/>
  </r>
  <r>
    <n v="607197"/>
    <n v="330"/>
    <s v="India"/>
    <d v="2023-12-18T23:26:00"/>
    <s v="Website"/>
    <s v="Mart¡n Sommer"/>
    <n v="793"/>
    <d v="2023-12-18T00:00:00"/>
    <d v="1899-12-30T23:26:00"/>
    <s v="December"/>
    <s v="Monday"/>
    <s v="Outlier"/>
    <x v="64"/>
  </r>
  <r>
    <n v="608204"/>
    <n v="1791"/>
    <s v="USA"/>
    <d v="2023-08-20T01:01:00"/>
    <s v="App"/>
    <s v="Adrian Huxley"/>
    <n v="1936"/>
    <d v="2023-08-20T00:00:00"/>
    <d v="1899-12-30T01:01:00"/>
    <s v="August"/>
    <s v="Sunday"/>
    <s v="Outlier"/>
    <x v="19"/>
  </r>
  <r>
    <n v="608296"/>
    <n v="1745"/>
    <s v="USA"/>
    <d v="2023-04-28T01:10:00"/>
    <s v="App"/>
    <s v="Eric Natividad"/>
    <n v="9769"/>
    <d v="2023-04-28T00:00:00"/>
    <d v="1899-12-30T01:10:00"/>
    <s v="April"/>
    <s v="Friday"/>
    <s v="Outlier"/>
    <x v="26"/>
  </r>
  <r>
    <n v="609243"/>
    <n v="1400"/>
    <s v="USA"/>
    <d v="2023-09-14T00:37:00"/>
    <s v="App"/>
    <s v="Maria Hernandez"/>
    <n v="7072"/>
    <d v="2023-09-14T00:00:00"/>
    <d v="1899-12-30T00:37:00"/>
    <s v="September"/>
    <s v="Thursday"/>
    <s v="Outlier"/>
    <x v="6"/>
  </r>
  <r>
    <n v="609375"/>
    <n v="612"/>
    <s v="USA"/>
    <d v="2023-04-26T00:11:00"/>
    <s v="Other"/>
    <s v="Giovanni Rovelli"/>
    <n v="9567"/>
    <d v="2023-04-26T00:00:00"/>
    <d v="1899-12-30T00:11:00"/>
    <s v="April"/>
    <s v="Wednesday"/>
    <s v="Outlier"/>
    <x v="65"/>
  </r>
  <r>
    <n v="609984"/>
    <n v="1488"/>
    <s v="USA"/>
    <d v="2023-05-03T01:09:00"/>
    <s v="Other"/>
    <s v="Francisca Cervantes"/>
    <n v="4417"/>
    <d v="2023-05-03T00:00:00"/>
    <d v="1899-12-30T01:09:00"/>
    <s v="May"/>
    <s v="Wednesday"/>
    <s v="Outlier"/>
    <x v="31"/>
  </r>
  <r>
    <n v="610023"/>
    <n v="789"/>
    <s v="France"/>
    <d v="2023-05-28T01:14:00"/>
    <s v="Whatsapp"/>
    <s v="Sean Connery"/>
    <n v="620"/>
    <d v="2023-05-28T00:00:00"/>
    <d v="1899-12-30T01:14:00"/>
    <s v="May"/>
    <s v="Sunday"/>
    <s v="Outlier"/>
    <x v="14"/>
  </r>
  <r>
    <n v="610367"/>
    <n v="1096"/>
    <s v="Spain"/>
    <d v="2023-01-10T00:01:00"/>
    <s v="App"/>
    <s v="Yoshi Tannamuri"/>
    <n v="5230"/>
    <d v="2023-01-10T00:00:00"/>
    <d v="1899-12-30T00:01:00"/>
    <s v="January"/>
    <s v="Tuesday"/>
    <s v="Outlier"/>
    <x v="27"/>
  </r>
  <r>
    <n v="611265"/>
    <n v="396"/>
    <s v="Spain"/>
    <d v="2023-10-12T00:06:00"/>
    <s v="Other"/>
    <s v="Steve Thompson"/>
    <n v="1305"/>
    <d v="2023-10-12T00:00:00"/>
    <d v="1899-12-30T00:06:00"/>
    <s v="October"/>
    <s v="Thursday"/>
    <s v="Outlier"/>
    <x v="62"/>
  </r>
  <r>
    <n v="611594"/>
    <n v="827"/>
    <s v="Singapore"/>
    <d v="2023-01-07T00:06:00"/>
    <s v="Website"/>
    <s v="Kyung Tseng"/>
    <n v="4635"/>
    <d v="2023-01-07T00:00:00"/>
    <d v="1899-12-30T00:06:00"/>
    <s v="January"/>
    <s v="Saturday"/>
    <s v="Outlier"/>
    <x v="28"/>
  </r>
  <r>
    <n v="611621"/>
    <n v="1357"/>
    <s v="Ireland"/>
    <d v="2023-05-31T00:05:00"/>
    <s v="Website"/>
    <s v="Diego Freyre"/>
    <n v="9926"/>
    <d v="2023-05-31T00:00:00"/>
    <d v="1899-12-30T00:05:00"/>
    <s v="May"/>
    <s v="Wednesday"/>
    <s v="Outlier"/>
    <x v="64"/>
  </r>
  <r>
    <n v="611767"/>
    <n v="917"/>
    <s v="Norway"/>
    <d v="2023-04-28T23:59:00"/>
    <s v="App"/>
    <s v="Sue Frick"/>
    <n v="1716"/>
    <d v="2023-04-28T00:00:00"/>
    <d v="1899-12-30T23:59:00"/>
    <s v="April"/>
    <s v="Friday"/>
    <s v="Outlier"/>
    <x v="10"/>
  </r>
  <r>
    <n v="611976"/>
    <n v="1269"/>
    <s v="Switzerland"/>
    <d v="2023-11-11T23:14:00"/>
    <s v="Whatsapp"/>
    <s v="Georg Pipps"/>
    <n v="3073"/>
    <d v="2023-11-11T00:00:00"/>
    <d v="1899-12-30T23:14:00"/>
    <s v="November"/>
    <s v="Saturday"/>
    <s v="Outlier"/>
    <x v="68"/>
  </r>
  <r>
    <n v="612088"/>
    <n v="1411"/>
    <s v="Spain"/>
    <d v="2023-10-10T01:41:00"/>
    <s v="Whatsapp"/>
    <s v="Paolo Accorti"/>
    <n v="2946"/>
    <d v="2023-10-10T00:00:00"/>
    <d v="1899-12-30T01:41:00"/>
    <s v="October"/>
    <s v="Tuesday"/>
    <s v="Outlier"/>
    <x v="44"/>
  </r>
  <r>
    <n v="613070"/>
    <n v="1755"/>
    <s v="Spain"/>
    <d v="2023-11-21T00:03:00"/>
    <s v="App"/>
    <s v="Maria Larsson"/>
    <n v="895"/>
    <d v="2023-11-21T00:00:00"/>
    <d v="1899-12-30T00:03:00"/>
    <s v="November"/>
    <s v="Tuesday"/>
    <s v="Outlier"/>
    <x v="50"/>
  </r>
  <r>
    <n v="614468"/>
    <n v="801"/>
    <s v="France"/>
    <d v="2023-09-16T01:04:00"/>
    <s v="Website"/>
    <s v="Daniel Tonini"/>
    <n v="1451"/>
    <d v="2023-09-16T00:00:00"/>
    <d v="1899-12-30T01:04:00"/>
    <s v="September"/>
    <s v="Saturday"/>
    <s v="Outlier"/>
    <x v="55"/>
  </r>
  <r>
    <n v="615484"/>
    <n v="1044"/>
    <s v="India"/>
    <d v="2023-04-27T23:54:00"/>
    <s v="App"/>
    <s v="Valarie Nelson"/>
    <n v="8774"/>
    <d v="2023-04-27T00:00:00"/>
    <d v="1899-12-30T23:54:00"/>
    <s v="April"/>
    <s v="Thursday"/>
    <s v="Outlier"/>
    <x v="47"/>
  </r>
  <r>
    <n v="615675"/>
    <n v="1502"/>
    <s v="Spain"/>
    <d v="2023-05-13T00:26:00"/>
    <s v="Whatsapp"/>
    <s v="Valarie Young"/>
    <n v="3875"/>
    <d v="2023-05-13T00:00:00"/>
    <d v="1899-12-30T00:26:00"/>
    <s v="May"/>
    <s v="Saturday"/>
    <s v="Outlier"/>
    <x v="19"/>
  </r>
  <r>
    <n v="617035"/>
    <n v="704"/>
    <s v="USA"/>
    <d v="2023-07-08T23:25:00"/>
    <s v="App"/>
    <s v="Victoria Ashworth"/>
    <n v="777"/>
    <d v="2023-07-08T00:00:00"/>
    <d v="1899-12-30T23:25:00"/>
    <s v="July"/>
    <s v="Saturday"/>
    <s v="Outlier"/>
    <x v="15"/>
  </r>
  <r>
    <n v="618196"/>
    <n v="780"/>
    <s v="India"/>
    <d v="2023-11-20T01:35:00"/>
    <s v="Whatsapp"/>
    <s v="Peter Ferguson"/>
    <n v="9962"/>
    <d v="2023-11-20T00:00:00"/>
    <d v="1899-12-30T01:35:00"/>
    <s v="November"/>
    <s v="Monday"/>
    <s v="Outlier"/>
    <x v="64"/>
  </r>
  <r>
    <n v="618986"/>
    <n v="1458"/>
    <s v="France"/>
    <d v="2023-10-30T00:53:00"/>
    <s v="Website"/>
    <s v="Valarie Nelson"/>
    <n v="3216"/>
    <d v="2023-10-30T00:00:00"/>
    <d v="1899-12-30T00:53:00"/>
    <s v="October"/>
    <s v="Monday"/>
    <s v="Outlier"/>
    <x v="25"/>
  </r>
  <r>
    <n v="619879"/>
    <n v="446"/>
    <s v="USA"/>
    <d v="2023-01-11T01:22:00"/>
    <s v="Other"/>
    <s v="Allen Nelson"/>
    <n v="2645"/>
    <d v="2023-01-11T00:00:00"/>
    <d v="1899-12-30T01:22:00"/>
    <s v="January"/>
    <s v="Wednesday"/>
    <s v="Outlier"/>
    <x v="25"/>
  </r>
  <r>
    <n v="619949"/>
    <n v="1002"/>
    <s v="India"/>
    <d v="2023-03-16T01:14:00"/>
    <s v="App"/>
    <s v="Julie Brown"/>
    <n v="1392"/>
    <d v="2023-03-16T00:00:00"/>
    <d v="1899-12-30T01:14:00"/>
    <s v="March"/>
    <s v="Thursday"/>
    <s v="Outlier"/>
    <x v="46"/>
  </r>
  <r>
    <n v="620937"/>
    <n v="1822"/>
    <s v="USA"/>
    <d v="2023-06-02T00:36:00"/>
    <s v="App"/>
    <s v="Roland Mendel"/>
    <n v="8767"/>
    <d v="2023-06-02T00:00:00"/>
    <d v="1899-12-30T00:36:00"/>
    <s v="June"/>
    <s v="Friday"/>
    <s v="Outlier"/>
    <x v="72"/>
  </r>
  <r>
    <n v="621177"/>
    <n v="1452"/>
    <s v="France"/>
    <d v="2023-01-28T00:41:00"/>
    <s v="App"/>
    <s v="Catherine Dewey"/>
    <n v="2907"/>
    <d v="2023-01-28T00:00:00"/>
    <d v="1899-12-30T00:41:00"/>
    <s v="January"/>
    <s v="Saturday"/>
    <s v="Outlier"/>
    <x v="13"/>
  </r>
  <r>
    <n v="621694"/>
    <n v="1769"/>
    <s v="Spain"/>
    <d v="2023-12-09T01:35:00"/>
    <s v="Other"/>
    <s v="Giovanni Rovelli"/>
    <n v="1826"/>
    <d v="2023-12-09T00:00:00"/>
    <d v="1899-12-30T01:35:00"/>
    <s v="December"/>
    <s v="Saturday"/>
    <s v="Outlier"/>
    <x v="18"/>
  </r>
  <r>
    <n v="622405"/>
    <n v="953"/>
    <s v="USA"/>
    <d v="2023-09-24T01:23:00"/>
    <s v="Whatsapp"/>
    <s v="Georg Pipps"/>
    <n v="9431"/>
    <d v="2023-09-24T00:00:00"/>
    <d v="1899-12-30T01:23:00"/>
    <s v="September"/>
    <s v="Sunday"/>
    <s v="Outlier"/>
    <x v="25"/>
  </r>
  <r>
    <n v="622656"/>
    <n v="418"/>
    <s v="Singapore"/>
    <d v="2023-08-19T00:03:00"/>
    <s v="Other"/>
    <s v="Leslie Taylor"/>
    <n v="6905"/>
    <d v="2023-08-19T00:00:00"/>
    <d v="1899-12-30T00:03:00"/>
    <s v="August"/>
    <s v="Saturday"/>
    <s v="Outlier"/>
    <x v="13"/>
  </r>
  <r>
    <n v="622835"/>
    <n v="998"/>
    <s v="Norway"/>
    <d v="2023-11-28T01:47:00"/>
    <s v="Whatsapp"/>
    <s v="Wing C Tam"/>
    <n v="678"/>
    <d v="2023-11-28T00:00:00"/>
    <d v="1899-12-30T01:47:00"/>
    <s v="November"/>
    <s v="Tuesday"/>
    <s v="Outlier"/>
    <x v="20"/>
  </r>
  <r>
    <n v="623784"/>
    <n v="781"/>
    <s v="Finland"/>
    <d v="2023-11-10T01:46:00"/>
    <s v="App"/>
    <s v="Matti Karttunen"/>
    <n v="6494"/>
    <d v="2023-11-10T00:00:00"/>
    <d v="1899-12-30T01:46:00"/>
    <s v="November"/>
    <s v="Friday"/>
    <s v="Outlier"/>
    <x v="50"/>
  </r>
  <r>
    <n v="623935"/>
    <n v="1278"/>
    <s v="USA"/>
    <d v="2023-04-11T01:24:00"/>
    <s v="Other"/>
    <s v="Maria Larsson"/>
    <n v="7665"/>
    <d v="2023-04-11T00:00:00"/>
    <d v="1899-12-30T01:24:00"/>
    <s v="April"/>
    <s v="Tuesday"/>
    <s v="Outlier"/>
    <x v="45"/>
  </r>
  <r>
    <n v="624499"/>
    <n v="1290"/>
    <s v="USA"/>
    <d v="2023-01-06T00:40:00"/>
    <s v="Other"/>
    <s v="Annette Roulet"/>
    <n v="4403"/>
    <d v="2023-01-06T00:00:00"/>
    <d v="1899-12-30T00:40:00"/>
    <s v="January"/>
    <s v="Friday"/>
    <s v="Outlier"/>
    <x v="34"/>
  </r>
  <r>
    <n v="624700"/>
    <n v="1948"/>
    <s v="USA"/>
    <d v="2023-12-16T23:19:00"/>
    <s v="Website"/>
    <s v="Thomas Hardy"/>
    <n v="5277"/>
    <d v="2023-12-16T00:00:00"/>
    <d v="1899-12-30T23:19:00"/>
    <s v="December"/>
    <s v="Saturday"/>
    <s v="Outlier"/>
    <x v="33"/>
  </r>
  <r>
    <n v="624736"/>
    <n v="633"/>
    <s v="France"/>
    <d v="2023-05-21T01:42:00"/>
    <s v="Website"/>
    <s v="Eduardo Saavedra"/>
    <n v="486"/>
    <d v="2023-05-21T00:00:00"/>
    <d v="1899-12-30T01:42:00"/>
    <s v="May"/>
    <s v="Sunday"/>
    <s v="Outlier"/>
    <x v="51"/>
  </r>
  <r>
    <n v="625994"/>
    <n v="476"/>
    <s v="USA"/>
    <d v="2023-05-21T23:11:00"/>
    <s v="Website"/>
    <s v="Michael Chandler"/>
    <n v="7369"/>
    <d v="2023-05-21T00:00:00"/>
    <d v="1899-12-30T23:11:00"/>
    <s v="May"/>
    <s v="Sunday"/>
    <s v="Outlier"/>
    <x v="16"/>
  </r>
  <r>
    <n v="626705"/>
    <n v="868"/>
    <s v="Switzerland"/>
    <d v="2023-09-23T01:31:00"/>
    <s v="App"/>
    <s v="Valarie Thompson"/>
    <n v="2713"/>
    <d v="2023-09-23T00:00:00"/>
    <d v="1899-12-30T01:31:00"/>
    <s v="September"/>
    <s v="Saturday"/>
    <s v="Outlier"/>
    <x v="34"/>
  </r>
  <r>
    <n v="626849"/>
    <n v="1679"/>
    <s v="Australia"/>
    <d v="2023-05-03T00:16:00"/>
    <s v="Website"/>
    <s v="Kwai Yu"/>
    <n v="3639"/>
    <d v="2023-05-03T00:00:00"/>
    <d v="1899-12-30T00:16:00"/>
    <s v="May"/>
    <s v="Wednesday"/>
    <s v="Outlier"/>
    <x v="0"/>
  </r>
  <r>
    <n v="627473"/>
    <n v="1766"/>
    <s v="Spain"/>
    <d v="2023-03-27T00:56:00"/>
    <s v="Whatsapp"/>
    <s v="Diego Freyre"/>
    <n v="5427"/>
    <d v="2023-03-27T00:00:00"/>
    <d v="1899-12-30T00:56:00"/>
    <s v="March"/>
    <s v="Monday"/>
    <s v="Outlier"/>
    <x v="53"/>
  </r>
  <r>
    <n v="627652"/>
    <n v="330"/>
    <s v="India"/>
    <d v="2023-12-25T00:42:00"/>
    <s v="Other"/>
    <s v="Catherine Dewey"/>
    <n v="4651"/>
    <d v="2023-12-25T00:00:00"/>
    <d v="1899-12-30T00:42:00"/>
    <s v="December"/>
    <s v="Monday"/>
    <s v="Outlier"/>
    <x v="64"/>
  </r>
  <r>
    <n v="628471"/>
    <n v="240"/>
    <s v="USA"/>
    <d v="2023-04-17T23:59:00"/>
    <s v="Whatsapp"/>
    <s v="Elizabeth Lincoln"/>
    <n v="9883"/>
    <d v="2023-04-17T00:00:00"/>
    <d v="1899-12-30T23:59:00"/>
    <s v="April"/>
    <s v="Monday"/>
    <s v="Outlier"/>
    <x v="42"/>
  </r>
  <r>
    <n v="628608"/>
    <n v="1060"/>
    <s v="India"/>
    <d v="2023-01-01T00:44:00"/>
    <s v="App"/>
    <s v="Michael Donnermeyer"/>
    <n v="89"/>
    <d v="2023-01-01T00:00:00"/>
    <d v="1899-12-30T00:44:00"/>
    <s v="January"/>
    <s v="Sunday"/>
    <s v="Outlier"/>
    <x v="14"/>
  </r>
  <r>
    <n v="628945"/>
    <n v="329"/>
    <s v="Spain"/>
    <d v="2023-06-20T01:20:00"/>
    <s v="Website"/>
    <s v="Francisca Cervantes"/>
    <n v="7750"/>
    <d v="2023-06-20T00:00:00"/>
    <d v="1899-12-30T01:20:00"/>
    <s v="June"/>
    <s v="Tuesday"/>
    <s v="Outlier"/>
    <x v="39"/>
  </r>
  <r>
    <n v="629227"/>
    <n v="1665"/>
    <s v="Switzerland"/>
    <d v="2023-11-27T23:34:00"/>
    <s v="Other"/>
    <s v="Helen Bennett"/>
    <n v="2109"/>
    <d v="2023-11-27T00:00:00"/>
    <d v="1899-12-30T23:34:00"/>
    <s v="November"/>
    <s v="Monday"/>
    <s v="Outlier"/>
    <x v="11"/>
  </r>
  <r>
    <n v="629953"/>
    <n v="787"/>
    <s v="Austria"/>
    <d v="2023-04-29T00:45:00"/>
    <s v="Website"/>
    <s v="Jytte Petersen"/>
    <n v="9460"/>
    <d v="2023-04-29T00:00:00"/>
    <d v="1899-12-30T00:45:00"/>
    <s v="April"/>
    <s v="Saturday"/>
    <s v="Outlier"/>
    <x v="28"/>
  </r>
  <r>
    <n v="630561"/>
    <n v="1201"/>
    <s v="France"/>
    <d v="2023-08-28T01:11:00"/>
    <s v="Whatsapp"/>
    <s v="Pascale Cartrain"/>
    <n v="6934"/>
    <d v="2023-08-28T00:00:00"/>
    <d v="1899-12-30T01:11:00"/>
    <s v="August"/>
    <s v="Monday"/>
    <s v="Outlier"/>
    <x v="20"/>
  </r>
  <r>
    <n v="630634"/>
    <n v="723"/>
    <s v="Denmark"/>
    <d v="2023-09-13T23:47:00"/>
    <s v="Other"/>
    <s v="Diego Freyre"/>
    <n v="2225"/>
    <d v="2023-09-13T00:00:00"/>
    <d v="1899-12-30T23:47:00"/>
    <s v="September"/>
    <s v="Wednesday"/>
    <s v="Outlier"/>
    <x v="16"/>
  </r>
  <r>
    <n v="631266"/>
    <n v="94"/>
    <s v="Denmark"/>
    <d v="2023-06-04T00:20:00"/>
    <s v="Website"/>
    <s v="Pirkko Koskitalo"/>
    <n v="985"/>
    <d v="2023-06-04T00:00:00"/>
    <d v="1899-12-30T00:20:00"/>
    <s v="June"/>
    <s v="Sunday"/>
    <s v="Outlier"/>
    <x v="48"/>
  </r>
  <r>
    <n v="631384"/>
    <n v="1975"/>
    <s v="USA"/>
    <d v="2023-02-06T01:19:00"/>
    <s v="App"/>
    <s v="Diego Freyre"/>
    <n v="5484"/>
    <d v="2023-02-06T00:00:00"/>
    <d v="1899-12-30T01:19:00"/>
    <s v="February"/>
    <s v="Monday"/>
    <s v="Outlier"/>
    <x v="28"/>
  </r>
  <r>
    <n v="631614"/>
    <n v="1395"/>
    <s v="USA"/>
    <d v="2023-11-08T23:45:00"/>
    <s v="Whatsapp"/>
    <s v="Paul Henriot"/>
    <n v="4587"/>
    <d v="2023-11-08T00:00:00"/>
    <d v="1899-12-30T23:45:00"/>
    <s v="November"/>
    <s v="Wednesday"/>
    <s v="Outlier"/>
    <x v="42"/>
  </r>
  <r>
    <n v="631808"/>
    <n v="1219"/>
    <s v="USA"/>
    <d v="2023-11-04T01:06:00"/>
    <s v="Other"/>
    <s v="Sue Frick"/>
    <n v="9502"/>
    <d v="2023-11-04T00:00:00"/>
    <d v="1899-12-30T01:06:00"/>
    <s v="November"/>
    <s v="Saturday"/>
    <s v="Outlier"/>
    <x v="11"/>
  </r>
  <r>
    <n v="633156"/>
    <n v="990"/>
    <s v="Germany"/>
    <d v="2023-02-09T00:04:00"/>
    <s v="App"/>
    <s v="Juri Yoshido"/>
    <n v="9361"/>
    <d v="2023-02-09T00:00:00"/>
    <d v="1899-12-30T00:04:00"/>
    <s v="February"/>
    <s v="Thursday"/>
    <s v="Outlier"/>
    <x v="2"/>
  </r>
  <r>
    <n v="635137"/>
    <n v="795"/>
    <s v="Finland"/>
    <d v="2023-07-07T00:26:00"/>
    <s v="App"/>
    <s v="Jonas Bergulfsen"/>
    <n v="7566"/>
    <d v="2023-07-07T00:00:00"/>
    <d v="1899-12-30T00:26:00"/>
    <s v="July"/>
    <s v="Friday"/>
    <s v="Outlier"/>
    <x v="69"/>
  </r>
  <r>
    <n v="635304"/>
    <n v="95"/>
    <s v="India"/>
    <d v="2023-10-08T01:28:00"/>
    <s v="App"/>
    <s v="Julie Murphy"/>
    <n v="201"/>
    <d v="2023-10-08T00:00:00"/>
    <d v="1899-12-30T01:28:00"/>
    <s v="October"/>
    <s v="Sunday"/>
    <s v="Outlier"/>
    <x v="63"/>
  </r>
  <r>
    <n v="635743"/>
    <n v="1239"/>
    <s v="Spain"/>
    <d v="2023-12-06T22:37:00"/>
    <s v="App"/>
    <s v="Mart¡n Sommer"/>
    <n v="782"/>
    <d v="2023-12-06T00:00:00"/>
    <d v="1899-12-30T22:37:00"/>
    <s v="December"/>
    <s v="Wednesday"/>
    <s v="Outlier"/>
    <x v="46"/>
  </r>
  <r>
    <n v="636616"/>
    <n v="51"/>
    <s v="USA"/>
    <d v="2023-01-28T23:33:00"/>
    <s v="Website"/>
    <s v="Adrian Huxley"/>
    <n v="5103"/>
    <d v="2023-01-28T00:00:00"/>
    <d v="1899-12-30T23:33:00"/>
    <s v="January"/>
    <s v="Saturday"/>
    <s v="Outlier"/>
    <x v="42"/>
  </r>
  <r>
    <n v="636888"/>
    <n v="770"/>
    <s v="India"/>
    <d v="2023-11-26T01:27:00"/>
    <s v="Website"/>
    <s v="Eric Natividad"/>
    <n v="3115"/>
    <d v="2023-11-26T00:00:00"/>
    <d v="1899-12-30T01:27:00"/>
    <s v="November"/>
    <s v="Sunday"/>
    <s v="Outlier"/>
    <x v="54"/>
  </r>
  <r>
    <n v="637916"/>
    <n v="853"/>
    <s v="USA"/>
    <d v="2023-07-30T00:24:00"/>
    <s v="Other"/>
    <s v="Maria Hernandez"/>
    <n v="613"/>
    <d v="2023-07-30T00:00:00"/>
    <d v="1899-12-30T00:24:00"/>
    <s v="July"/>
    <s v="Sunday"/>
    <s v="Outlier"/>
    <x v="56"/>
  </r>
  <r>
    <n v="638044"/>
    <n v="255"/>
    <s v="Italy"/>
    <d v="2023-01-29T23:33:00"/>
    <s v="Other"/>
    <s v="Giovanni Rovelli"/>
    <n v="8196"/>
    <d v="2023-01-29T00:00:00"/>
    <d v="1899-12-30T23:33:00"/>
    <s v="January"/>
    <s v="Sunday"/>
    <s v="Outlier"/>
    <x v="14"/>
  </r>
  <r>
    <n v="638603"/>
    <n v="876"/>
    <s v="USA"/>
    <d v="2023-05-28T01:55:00"/>
    <s v="App"/>
    <s v="Francisca Cervantes"/>
    <n v="4319"/>
    <d v="2023-05-28T00:00:00"/>
    <d v="1899-12-30T01:55:00"/>
    <s v="May"/>
    <s v="Sunday"/>
    <s v="Outlier"/>
    <x v="15"/>
  </r>
  <r>
    <n v="639027"/>
    <n v="390"/>
    <s v="India"/>
    <d v="2023-07-24T23:45:00"/>
    <s v="Other"/>
    <s v="Sean Connery"/>
    <n v="2403"/>
    <d v="2023-07-24T00:00:00"/>
    <d v="1899-12-30T23:45:00"/>
    <s v="July"/>
    <s v="Monday"/>
    <s v="Outlier"/>
    <x v="20"/>
  </r>
  <r>
    <n v="640940"/>
    <n v="1725"/>
    <s v="USA"/>
    <d v="2023-03-01T23:36:00"/>
    <s v="Whatsapp"/>
    <s v="Yoshi Tannamuri"/>
    <n v="3582"/>
    <d v="2023-03-01T00:00:00"/>
    <d v="1899-12-30T23:36:00"/>
    <s v="March"/>
    <s v="Wednesday"/>
    <s v="Outlier"/>
    <x v="49"/>
  </r>
  <r>
    <n v="640945"/>
    <n v="174"/>
    <s v="Italy"/>
    <d v="2023-05-16T00:09:00"/>
    <s v="Whatsapp"/>
    <s v="Steve Thompson"/>
    <n v="5492"/>
    <d v="2023-05-16T00:00:00"/>
    <d v="1899-12-30T00:09:00"/>
    <s v="May"/>
    <s v="Tuesday"/>
    <s v="Outlier"/>
    <x v="17"/>
  </r>
  <r>
    <n v="641229"/>
    <n v="781"/>
    <s v="Finland"/>
    <d v="2023-01-10T23:46:00"/>
    <s v="Whatsapp"/>
    <s v="Kyung Tseng"/>
    <n v="5740"/>
    <d v="2023-01-10T00:00:00"/>
    <d v="1899-12-30T23:46:00"/>
    <s v="January"/>
    <s v="Tuesday"/>
    <s v="Outlier"/>
    <x v="50"/>
  </r>
  <r>
    <n v="641966"/>
    <n v="1767"/>
    <s v="France"/>
    <d v="2023-02-08T01:37:00"/>
    <s v="Whatsapp"/>
    <s v="Diego Freyre"/>
    <n v="3140"/>
    <d v="2023-02-08T00:00:00"/>
    <d v="1899-12-30T01:37:00"/>
    <s v="February"/>
    <s v="Wednesday"/>
    <s v="Outlier"/>
    <x v="44"/>
  </r>
  <r>
    <n v="642754"/>
    <n v="542"/>
    <s v="Australia"/>
    <d v="2023-02-06T00:40:00"/>
    <s v="Whatsapp"/>
    <s v="Sue Frick"/>
    <n v="4849"/>
    <d v="2023-02-06T00:00:00"/>
    <d v="1899-12-30T00:40:00"/>
    <s v="February"/>
    <s v="Monday"/>
    <s v="Outlier"/>
    <x v="19"/>
  </r>
  <r>
    <n v="642874"/>
    <n v="901"/>
    <s v="USA"/>
    <d v="2023-10-07T00:54:00"/>
    <s v="Website"/>
    <s v="Adrian Huxley"/>
    <n v="1789"/>
    <d v="2023-10-07T00:00:00"/>
    <d v="1899-12-30T00:54:00"/>
    <s v="October"/>
    <s v="Saturday"/>
    <s v="Outlier"/>
    <x v="60"/>
  </r>
  <r>
    <n v="645557"/>
    <n v="1114"/>
    <s v="India"/>
    <d v="2023-09-16T23:33:00"/>
    <s v="Whatsapp"/>
    <s v="Paolo Accorti"/>
    <n v="1567"/>
    <d v="2023-09-16T00:00:00"/>
    <d v="1899-12-30T23:33:00"/>
    <s v="September"/>
    <s v="Saturday"/>
    <s v="Outlier"/>
    <x v="36"/>
  </r>
  <r>
    <n v="646139"/>
    <n v="1792"/>
    <s v="Denmark"/>
    <d v="2023-08-21T23:33:00"/>
    <s v="App"/>
    <s v="Maria Larsson"/>
    <n v="5161"/>
    <d v="2023-08-21T00:00:00"/>
    <d v="1899-12-30T23:33:00"/>
    <s v="August"/>
    <s v="Monday"/>
    <s v="Outlier"/>
    <x v="0"/>
  </r>
  <r>
    <n v="647292"/>
    <n v="1553"/>
    <s v="France"/>
    <d v="2023-01-04T00:48:00"/>
    <s v="Whatsapp"/>
    <s v="Daniel Tonini"/>
    <n v="8207"/>
    <d v="2023-01-04T00:00:00"/>
    <d v="1899-12-30T00:48:00"/>
    <s v="January"/>
    <s v="Wednesday"/>
    <s v="Outlier"/>
    <x v="49"/>
  </r>
  <r>
    <n v="649627"/>
    <n v="159"/>
    <s v="USA"/>
    <d v="2023-11-19T00:38:00"/>
    <s v="Other"/>
    <s v="Valarie Nelson"/>
    <n v="5618"/>
    <d v="2023-11-19T00:00:00"/>
    <d v="1899-12-30T00:38:00"/>
    <s v="November"/>
    <s v="Sunday"/>
    <s v="Outlier"/>
    <x v="5"/>
  </r>
  <r>
    <n v="649787"/>
    <n v="132"/>
    <s v="Spain"/>
    <d v="2023-03-16T00:42:00"/>
    <s v="Website"/>
    <s v="Valarie Young"/>
    <n v="8578"/>
    <d v="2023-03-16T00:00:00"/>
    <d v="1899-12-30T00:42:00"/>
    <s v="March"/>
    <s v="Thursday"/>
    <s v="Outlier"/>
    <x v="63"/>
  </r>
  <r>
    <n v="650459"/>
    <n v="928"/>
    <s v="Austria"/>
    <d v="2023-05-09T00:37:00"/>
    <s v="App"/>
    <s v="Victoria Ashworth"/>
    <n v="6510"/>
    <d v="2023-05-09T00:00:00"/>
    <d v="1899-12-30T00:37:00"/>
    <s v="May"/>
    <s v="Tuesday"/>
    <s v="Outlier"/>
    <x v="72"/>
  </r>
  <r>
    <n v="652344"/>
    <n v="1854"/>
    <s v="USA"/>
    <d v="2023-09-25T00:54:00"/>
    <s v="Other"/>
    <s v="Peter Ferguson"/>
    <n v="1170"/>
    <d v="2023-09-25T00:00:00"/>
    <d v="1899-12-30T00:54:00"/>
    <s v="September"/>
    <s v="Monday"/>
    <s v="Outlier"/>
    <x v="27"/>
  </r>
  <r>
    <n v="653986"/>
    <n v="1079"/>
    <s v="India"/>
    <d v="2023-10-03T23:26:00"/>
    <s v="Other"/>
    <s v="Valarie Nelson"/>
    <n v="6834"/>
    <d v="2023-10-03T00:00:00"/>
    <d v="1899-12-30T23:26:00"/>
    <s v="October"/>
    <s v="Tuesday"/>
    <s v="Outlier"/>
    <x v="3"/>
  </r>
  <r>
    <n v="654071"/>
    <n v="1039"/>
    <s v="Spain"/>
    <d v="2023-11-28T00:26:00"/>
    <s v="App"/>
    <s v="Allen Nelson"/>
    <n v="5670"/>
    <d v="2023-11-28T00:00:00"/>
    <d v="1899-12-30T00:26:00"/>
    <s v="November"/>
    <s v="Tuesday"/>
    <s v="Outlier"/>
    <x v="50"/>
  </r>
  <r>
    <n v="655800"/>
    <n v="672"/>
    <s v="USA"/>
    <d v="2023-01-18T23:39:00"/>
    <s v="Whatsapp"/>
    <s v="Julie Brown"/>
    <n v="6855"/>
    <d v="2023-01-18T00:00:00"/>
    <d v="1899-12-30T23:39:00"/>
    <s v="January"/>
    <s v="Wednesday"/>
    <s v="Outlier"/>
    <x v="61"/>
  </r>
  <r>
    <n v="656865"/>
    <n v="1462"/>
    <s v="USA"/>
    <d v="2023-06-02T00:18:00"/>
    <s v="Whatsapp"/>
    <s v="Roland Mendel"/>
    <n v="7427"/>
    <d v="2023-06-02T00:00:00"/>
    <d v="1899-12-30T00:18:00"/>
    <s v="June"/>
    <s v="Friday"/>
    <s v="Outlier"/>
    <x v="48"/>
  </r>
  <r>
    <n v="656929"/>
    <n v="1773"/>
    <s v="USA"/>
    <d v="2023-12-18T23:41:00"/>
    <s v="App"/>
    <s v="Catherine Dewey"/>
    <n v="2228"/>
    <d v="2023-12-18T00:00:00"/>
    <d v="1899-12-30T23:41:00"/>
    <s v="December"/>
    <s v="Monday"/>
    <s v="Outlier"/>
    <x v="13"/>
  </r>
  <r>
    <n v="658249"/>
    <n v="1588"/>
    <s v="France"/>
    <d v="2023-08-22T23:10:00"/>
    <s v="Whatsapp"/>
    <s v="Jytte Petersen"/>
    <n v="6820"/>
    <d v="2023-08-22T00:00:00"/>
    <d v="1899-12-30T23:10:00"/>
    <s v="August"/>
    <s v="Tuesday"/>
    <s v="Outlier"/>
    <x v="8"/>
  </r>
  <r>
    <n v="658815"/>
    <n v="1190"/>
    <s v="Norway"/>
    <d v="2023-11-25T00:15:00"/>
    <s v="Whatsapp"/>
    <s v="Eric Natividad"/>
    <n v="5243"/>
    <d v="2023-11-25T00:00:00"/>
    <d v="1899-12-30T00:15:00"/>
    <s v="November"/>
    <s v="Saturday"/>
    <s v="Outlier"/>
    <x v="63"/>
  </r>
  <r>
    <n v="659390"/>
    <n v="159"/>
    <s v="USA"/>
    <d v="2023-12-16T00:15:00"/>
    <s v="App"/>
    <s v="Diego Freyre"/>
    <n v="2372"/>
    <d v="2023-12-16T00:00:00"/>
    <d v="1899-12-30T00:15:00"/>
    <s v="December"/>
    <s v="Saturday"/>
    <s v="Outlier"/>
    <x v="5"/>
  </r>
  <r>
    <n v="659698"/>
    <n v="767"/>
    <s v="USA"/>
    <d v="2023-08-30T01:20:00"/>
    <s v="Website"/>
    <s v="Valarie Nelson"/>
    <n v="6482"/>
    <d v="2023-08-30T00:00:00"/>
    <d v="1899-12-30T01:20:00"/>
    <s v="August"/>
    <s v="Wednesday"/>
    <s v="Outlier"/>
    <x v="35"/>
  </r>
  <r>
    <n v="659911"/>
    <n v="983"/>
    <s v="USA"/>
    <d v="2023-08-06T01:17:00"/>
    <s v="Other"/>
    <s v="Diego Freyre"/>
    <n v="1431"/>
    <d v="2023-08-06T00:00:00"/>
    <d v="1899-12-30T01:17:00"/>
    <s v="August"/>
    <s v="Sunday"/>
    <s v="Outlier"/>
    <x v="30"/>
  </r>
  <r>
    <n v="660187"/>
    <n v="1374"/>
    <s v="France"/>
    <d v="2023-07-23T23:02:00"/>
    <s v="Other"/>
    <s v="Violeta Benitez"/>
    <n v="6369"/>
    <d v="2023-07-23T00:00:00"/>
    <d v="1899-12-30T23:02:00"/>
    <s v="July"/>
    <s v="Sunday"/>
    <s v="Outlier"/>
    <x v="16"/>
  </r>
  <r>
    <n v="660830"/>
    <n v="1404"/>
    <s v="USA"/>
    <d v="2023-01-06T00:01:00"/>
    <s v="Whatsapp"/>
    <s v="Jesus Fernandez"/>
    <n v="7643"/>
    <d v="2023-01-06T00:00:00"/>
    <d v="1899-12-30T00:01:00"/>
    <s v="January"/>
    <s v="Friday"/>
    <s v="Outlier"/>
    <x v="0"/>
  </r>
  <r>
    <n v="661163"/>
    <n v="1426"/>
    <s v="USA"/>
    <d v="2023-03-16T00:50:00"/>
    <s v="Whatsapp"/>
    <s v="Wing C Tam"/>
    <n v="5069"/>
    <d v="2023-03-16T00:00:00"/>
    <d v="1899-12-30T00:50:00"/>
    <s v="March"/>
    <s v="Thursday"/>
    <s v="Outlier"/>
    <x v="2"/>
  </r>
  <r>
    <n v="661382"/>
    <n v="1488"/>
    <s v="USA"/>
    <d v="2023-01-23T23:14:00"/>
    <s v="Whatsapp"/>
    <s v="Leslie Murphy"/>
    <n v="970"/>
    <d v="2023-01-23T00:00:00"/>
    <d v="1899-12-30T23:14:00"/>
    <s v="January"/>
    <s v="Monday"/>
    <s v="Outlier"/>
    <x v="31"/>
  </r>
  <r>
    <n v="661822"/>
    <n v="177"/>
    <s v="India"/>
    <d v="2023-10-15T23:37:00"/>
    <s v="Whatsapp"/>
    <s v="Mary Saveley"/>
    <n v="2352"/>
    <d v="2023-10-15T00:00:00"/>
    <d v="1899-12-30T23:37:00"/>
    <s v="October"/>
    <s v="Sunday"/>
    <s v="Outlier"/>
    <x v="21"/>
  </r>
  <r>
    <n v="662950"/>
    <n v="1320"/>
    <s v="Germany"/>
    <d v="2023-06-21T23:34:00"/>
    <s v="App"/>
    <s v="Catherine Dewey"/>
    <n v="8477"/>
    <d v="2023-06-21T00:00:00"/>
    <d v="1899-12-30T23:34:00"/>
    <s v="June"/>
    <s v="Wednesday"/>
    <s v="Outlier"/>
    <x v="37"/>
  </r>
  <r>
    <n v="663055"/>
    <n v="626"/>
    <s v="USA"/>
    <d v="2023-06-19T23:25:00"/>
    <s v="App"/>
    <s v="Helen Bennett"/>
    <n v="6976"/>
    <d v="2023-06-19T00:00:00"/>
    <d v="1899-12-30T23:25:00"/>
    <s v="June"/>
    <s v="Monday"/>
    <s v="Outlier"/>
    <x v="0"/>
  </r>
  <r>
    <n v="664585"/>
    <n v="1236"/>
    <s v="USA"/>
    <d v="2023-06-10T00:50:00"/>
    <s v="Whatsapp"/>
    <s v="Kwai Yu"/>
    <n v="9357"/>
    <d v="2023-06-10T00:00:00"/>
    <d v="1899-12-30T00:50:00"/>
    <s v="June"/>
    <s v="Saturday"/>
    <s v="Outlier"/>
    <x v="59"/>
  </r>
  <r>
    <n v="664724"/>
    <n v="29"/>
    <s v="Spain"/>
    <d v="2023-09-07T23:40:00"/>
    <s v="App"/>
    <s v="Catherine Dewey"/>
    <n v="6535"/>
    <d v="2023-09-07T00:00:00"/>
    <d v="1899-12-30T23:40:00"/>
    <s v="September"/>
    <s v="Thursday"/>
    <s v="Outlier"/>
    <x v="11"/>
  </r>
  <r>
    <n v="666564"/>
    <n v="1217"/>
    <s v="USA"/>
    <d v="2023-01-22T00:21:00"/>
    <s v="Other"/>
    <s v="Valarie Nelson"/>
    <n v="5348"/>
    <d v="2023-01-22T00:00:00"/>
    <d v="1899-12-30T00:21:00"/>
    <s v="January"/>
    <s v="Sunday"/>
    <s v="Outlier"/>
    <x v="17"/>
  </r>
  <r>
    <n v="666686"/>
    <n v="1580"/>
    <s v="Australia"/>
    <d v="2023-12-09T00:31:00"/>
    <s v="Whatsapp"/>
    <s v="Paolo Accorti"/>
    <n v="3933"/>
    <d v="2023-12-09T00:00:00"/>
    <d v="1899-12-30T00:31:00"/>
    <s v="December"/>
    <s v="Saturday"/>
    <s v="Outlier"/>
    <x v="67"/>
  </r>
  <r>
    <n v="668693"/>
    <n v="27"/>
    <s v="USA"/>
    <d v="2023-01-10T23:11:00"/>
    <s v="Whatsapp"/>
    <s v="Victoria Ashworth"/>
    <n v="3654"/>
    <d v="2023-01-10T00:00:00"/>
    <d v="1899-12-30T23:11:00"/>
    <s v="January"/>
    <s v="Tuesday"/>
    <s v="Outlier"/>
    <x v="50"/>
  </r>
  <r>
    <n v="670170"/>
    <n v="1773"/>
    <s v="USA"/>
    <d v="2023-03-24T22:52:00"/>
    <s v="Whatsapp"/>
    <s v="Palle Ibsen"/>
    <n v="877"/>
    <d v="2023-03-24T00:00:00"/>
    <d v="1899-12-30T22:52:00"/>
    <s v="March"/>
    <s v="Friday"/>
    <s v="Outlier"/>
    <x v="13"/>
  </r>
  <r>
    <n v="670697"/>
    <n v="171"/>
    <s v="USA"/>
    <d v="2023-05-16T00:23:00"/>
    <s v="Whatsapp"/>
    <s v="Jonas Bergulfsen"/>
    <n v="4251"/>
    <d v="2023-05-16T00:00:00"/>
    <d v="1899-12-30T00:23:00"/>
    <s v="May"/>
    <s v="Tuesday"/>
    <s v="Outlier"/>
    <x v="34"/>
  </r>
  <r>
    <n v="670916"/>
    <n v="1977"/>
    <s v="USA"/>
    <d v="2023-04-01T01:10:00"/>
    <s v="Website"/>
    <s v="Marie Bertrand"/>
    <n v="9847"/>
    <d v="2023-04-01T00:00:00"/>
    <d v="1899-12-30T01:10:00"/>
    <s v="April"/>
    <s v="Saturday"/>
    <s v="Outlier"/>
    <x v="33"/>
  </r>
  <r>
    <n v="671201"/>
    <n v="456"/>
    <s v="Australia"/>
    <d v="2023-05-29T01:20:00"/>
    <s v="Whatsapp"/>
    <s v="Diego Freyre"/>
    <n v="9565"/>
    <d v="2023-05-29T00:00:00"/>
    <d v="1899-12-30T01:20:00"/>
    <s v="May"/>
    <s v="Monday"/>
    <s v="Outlier"/>
    <x v="21"/>
  </r>
  <r>
    <n v="671270"/>
    <n v="1084"/>
    <s v="India"/>
    <d v="2023-12-09T23:46:00"/>
    <s v="Other"/>
    <s v="Akiko Shimamura"/>
    <n v="258"/>
    <d v="2023-12-09T00:00:00"/>
    <d v="1899-12-30T23:46:00"/>
    <s v="December"/>
    <s v="Saturday"/>
    <s v="Outlier"/>
    <x v="21"/>
  </r>
  <r>
    <n v="671412"/>
    <n v="356"/>
    <s v="India"/>
    <d v="2023-10-16T00:11:00"/>
    <s v="Whatsapp"/>
    <s v="Diego Freyre"/>
    <n v="1921"/>
    <d v="2023-10-16T00:00:00"/>
    <d v="1899-12-30T00:11:00"/>
    <s v="October"/>
    <s v="Monday"/>
    <s v="Outlier"/>
    <x v="10"/>
  </r>
  <r>
    <n v="671598"/>
    <n v="342"/>
    <s v="USA"/>
    <d v="2023-02-12T00:39:00"/>
    <s v="Website"/>
    <s v="Valarie Nelson"/>
    <n v="8711"/>
    <d v="2023-02-12T00:00:00"/>
    <d v="1899-12-30T00:39:00"/>
    <s v="February"/>
    <s v="Sunday"/>
    <s v="Outlier"/>
    <x v="48"/>
  </r>
  <r>
    <n v="671670"/>
    <n v="523"/>
    <s v="USA"/>
    <d v="2023-08-17T01:05:00"/>
    <s v="Whatsapp"/>
    <s v="Juri Yoshido"/>
    <n v="6441"/>
    <d v="2023-08-17T00:00:00"/>
    <d v="1899-12-30T01:05:00"/>
    <s v="August"/>
    <s v="Thursday"/>
    <s v="Outlier"/>
    <x v="47"/>
  </r>
  <r>
    <n v="672076"/>
    <n v="27"/>
    <s v="USA"/>
    <d v="2023-01-07T22:29:00"/>
    <s v="Other"/>
    <s v="Diego Freyre"/>
    <n v="9162"/>
    <d v="2023-01-07T00:00:00"/>
    <d v="1899-12-30T22:29:00"/>
    <s v="January"/>
    <s v="Saturday"/>
    <s v="Outlier"/>
    <x v="50"/>
  </r>
  <r>
    <n v="672686"/>
    <n v="1985"/>
    <s v="France"/>
    <d v="2023-11-29T01:42:00"/>
    <s v="Whatsapp"/>
    <s v="Rosa Hernandez"/>
    <n v="2269"/>
    <d v="2023-11-29T00:00:00"/>
    <d v="1899-12-30T01:42:00"/>
    <s v="November"/>
    <s v="Wednesday"/>
    <s v="Outlier"/>
    <x v="22"/>
  </r>
  <r>
    <n v="673115"/>
    <n v="1619"/>
    <s v="USA"/>
    <d v="2023-02-03T23:13:00"/>
    <s v="Whatsapp"/>
    <s v="Marie Bertrand"/>
    <n v="3556"/>
    <d v="2023-02-03T00:00:00"/>
    <d v="1899-12-30T23:13:00"/>
    <s v="February"/>
    <s v="Friday"/>
    <s v="Outlier"/>
    <x v="72"/>
  </r>
  <r>
    <n v="673915"/>
    <n v="1426"/>
    <s v="USA"/>
    <d v="2023-11-20T22:52:00"/>
    <s v="Website"/>
    <s v="Laurence Lebihan"/>
    <n v="1043"/>
    <d v="2023-11-20T00:00:00"/>
    <d v="1899-12-30T22:52:00"/>
    <s v="November"/>
    <s v="Monday"/>
    <s v="Outlier"/>
    <x v="2"/>
  </r>
  <r>
    <n v="674745"/>
    <n v="613"/>
    <s v="India"/>
    <d v="2023-02-21T01:01:00"/>
    <s v="Whatsapp"/>
    <s v="Jeff Young"/>
    <n v="4027"/>
    <d v="2023-02-21T00:00:00"/>
    <d v="1899-12-30T01:01:00"/>
    <s v="February"/>
    <s v="Tuesday"/>
    <s v="Outlier"/>
    <x v="66"/>
  </r>
  <r>
    <n v="675163"/>
    <n v="26"/>
    <s v="France"/>
    <d v="2023-06-23T22:33:00"/>
    <s v="Whatsapp"/>
    <s v="Annette Roulet"/>
    <n v="8499"/>
    <d v="2023-06-23T00:00:00"/>
    <d v="1899-12-30T22:33:00"/>
    <s v="June"/>
    <s v="Friday"/>
    <s v="Outlier"/>
    <x v="18"/>
  </r>
  <r>
    <n v="675362"/>
    <n v="851"/>
    <s v="Singapore"/>
    <d v="2023-05-15T23:16:00"/>
    <s v="Other"/>
    <s v="Kalle Suominen"/>
    <n v="6791"/>
    <d v="2023-05-15T00:00:00"/>
    <d v="1899-12-30T23:16:00"/>
    <s v="May"/>
    <s v="Monday"/>
    <s v="Outlier"/>
    <x v="30"/>
  </r>
  <r>
    <n v="675864"/>
    <n v="15"/>
    <s v="Germany"/>
    <d v="2023-08-21T00:12:00"/>
    <s v="Website"/>
    <s v="Anna O'Hara"/>
    <n v="9493"/>
    <d v="2023-08-21T00:00:00"/>
    <d v="1899-12-30T00:12:00"/>
    <s v="August"/>
    <s v="Monday"/>
    <s v="Outlier"/>
    <x v="68"/>
  </r>
  <r>
    <n v="677135"/>
    <n v="413"/>
    <s v="Spain"/>
    <d v="2023-05-03T00:17:00"/>
    <s v="Whatsapp"/>
    <s v="Pirkko Koskitalo"/>
    <n v="4602"/>
    <d v="2023-05-03T00:00:00"/>
    <d v="1899-12-30T00:17:00"/>
    <s v="May"/>
    <s v="Wednesday"/>
    <s v="Outlier"/>
    <x v="59"/>
  </r>
  <r>
    <n v="679362"/>
    <n v="955"/>
    <s v="India"/>
    <d v="2023-03-22T00:34:00"/>
    <s v="App"/>
    <s v="Michael Chandler"/>
    <n v="1750"/>
    <d v="2023-03-22T00:00:00"/>
    <d v="1899-12-30T00:34:00"/>
    <s v="March"/>
    <s v="Wednesday"/>
    <s v="Outlier"/>
    <x v="67"/>
  </r>
  <r>
    <n v="679845"/>
    <n v="95"/>
    <s v="India"/>
    <d v="2023-02-24T00:06:00"/>
    <s v="Other"/>
    <s v="Eric Natividad"/>
    <n v="8415"/>
    <d v="2023-02-24T00:00:00"/>
    <d v="1899-12-30T00:06:00"/>
    <s v="February"/>
    <s v="Friday"/>
    <s v="Outlier"/>
    <x v="63"/>
  </r>
  <r>
    <n v="680722"/>
    <n v="1278"/>
    <s v="USA"/>
    <d v="2023-04-16T02:00:00"/>
    <s v="Website"/>
    <s v="Jean Fresnisre"/>
    <n v="421"/>
    <d v="2023-04-16T00:00:00"/>
    <d v="1899-12-30T02:00:00"/>
    <s v="April"/>
    <s v="Sunday"/>
    <s v="Outlier"/>
    <x v="45"/>
  </r>
  <r>
    <n v="682438"/>
    <n v="361"/>
    <s v="Italy"/>
    <d v="2023-12-11T01:01:00"/>
    <s v="Whatsapp"/>
    <s v="Ann Brown"/>
    <n v="1181"/>
    <d v="2023-12-11T00:00:00"/>
    <d v="1899-12-30T01:01:00"/>
    <s v="December"/>
    <s v="Monday"/>
    <s v="Outlier"/>
    <x v="27"/>
  </r>
  <r>
    <n v="683069"/>
    <n v="1757"/>
    <s v="Spain"/>
    <d v="2023-10-20T23:19:00"/>
    <s v="Other"/>
    <s v="Veysel Oeztan"/>
    <n v="8159"/>
    <d v="2023-10-20T00:00:00"/>
    <d v="1899-12-30T23:19:00"/>
    <s v="October"/>
    <s v="Friday"/>
    <s v="Outlier"/>
    <x v="1"/>
  </r>
  <r>
    <n v="683536"/>
    <n v="1986"/>
    <s v="France"/>
    <d v="2023-12-18T22:59:00"/>
    <s v="App"/>
    <s v="Jose Pedro Roel"/>
    <n v="4037"/>
    <d v="2023-12-18T00:00:00"/>
    <d v="1899-12-30T22:59:00"/>
    <s v="December"/>
    <s v="Monday"/>
    <s v="Outlier"/>
    <x v="29"/>
  </r>
  <r>
    <n v="685513"/>
    <n v="252"/>
    <s v="USA"/>
    <d v="2023-03-13T00:17:00"/>
    <s v="Other"/>
    <s v="Valarie Young"/>
    <n v="7916"/>
    <d v="2023-03-13T00:00:00"/>
    <d v="1899-12-30T00:17:00"/>
    <s v="March"/>
    <s v="Monday"/>
    <s v="Outlier"/>
    <x v="20"/>
  </r>
  <r>
    <n v="685841"/>
    <n v="446"/>
    <s v="USA"/>
    <d v="2023-10-02T22:56:00"/>
    <s v="App"/>
    <s v="Steve Frick"/>
    <n v="7514"/>
    <d v="2023-10-02T00:00:00"/>
    <d v="1899-12-30T22:56:00"/>
    <s v="October"/>
    <s v="Monday"/>
    <s v="Outlier"/>
    <x v="25"/>
  </r>
  <r>
    <n v="686575"/>
    <n v="184"/>
    <s v="Singapore"/>
    <d v="2023-07-05T23:20:00"/>
    <s v="Website"/>
    <s v="Diego Freyre"/>
    <n v="5597"/>
    <d v="2023-07-05T00:00:00"/>
    <d v="1899-12-30T23:20:00"/>
    <s v="July"/>
    <s v="Wednesday"/>
    <s v="Outlier"/>
    <x v="33"/>
  </r>
  <r>
    <n v="686952"/>
    <n v="1685"/>
    <s v="USA"/>
    <d v="2023-04-13T00:58:00"/>
    <s v="App"/>
    <s v="Valarie Franco"/>
    <n v="6047"/>
    <d v="2023-04-13T00:00:00"/>
    <d v="1899-12-30T00:58:00"/>
    <s v="April"/>
    <s v="Thursday"/>
    <s v="Outlier"/>
    <x v="8"/>
  </r>
  <r>
    <n v="687364"/>
    <n v="444"/>
    <s v="Spain"/>
    <d v="2023-08-15T23:40:00"/>
    <s v="Website"/>
    <s v="Diego Freyre"/>
    <n v="4487"/>
    <d v="2023-08-15T00:00:00"/>
    <d v="1899-12-30T23:40:00"/>
    <s v="August"/>
    <s v="Tuesday"/>
    <s v="Outlier"/>
    <x v="12"/>
  </r>
  <r>
    <n v="687698"/>
    <n v="814"/>
    <s v="USA"/>
    <d v="2023-01-16T00:45:00"/>
    <s v="App"/>
    <s v="Michael Holz"/>
    <n v="4616"/>
    <d v="2023-01-16T00:00:00"/>
    <d v="1899-12-30T00:45:00"/>
    <s v="January"/>
    <s v="Monday"/>
    <s v="Outlier"/>
    <x v="52"/>
  </r>
  <r>
    <n v="688175"/>
    <n v="642"/>
    <s v="France"/>
    <d v="2023-11-08T00:52:00"/>
    <s v="App"/>
    <s v="Valarie Nelson"/>
    <n v="1612"/>
    <d v="2023-11-08T00:00:00"/>
    <d v="1899-12-30T00:52:00"/>
    <s v="November"/>
    <s v="Wednesday"/>
    <s v="Outlier"/>
    <x v="24"/>
  </r>
  <r>
    <n v="688366"/>
    <n v="268"/>
    <s v="India"/>
    <d v="2023-12-12T01:07:00"/>
    <s v="Whatsapp"/>
    <s v="Pirkko Koskitalo"/>
    <n v="345"/>
    <d v="2023-12-12T00:00:00"/>
    <d v="1899-12-30T01:07:00"/>
    <s v="December"/>
    <s v="Tuesday"/>
    <s v="Outlier"/>
    <x v="59"/>
  </r>
  <r>
    <n v="688473"/>
    <n v="829"/>
    <s v="USA"/>
    <d v="2023-09-25T01:13:00"/>
    <s v="App"/>
    <s v="Diego Freyre"/>
    <n v="2835"/>
    <d v="2023-09-25T00:00:00"/>
    <d v="1899-12-30T01:13:00"/>
    <s v="September"/>
    <s v="Monday"/>
    <s v="Outlier"/>
    <x v="48"/>
  </r>
  <r>
    <n v="689972"/>
    <n v="916"/>
    <s v="USA"/>
    <d v="2023-02-08T01:49:00"/>
    <s v="Other"/>
    <s v="Elizabeth Devon"/>
    <n v="2682"/>
    <d v="2023-02-08T00:00:00"/>
    <d v="1899-12-30T01:49:00"/>
    <s v="February"/>
    <s v="Wednesday"/>
    <s v="Outlier"/>
    <x v="57"/>
  </r>
  <r>
    <n v="690697"/>
    <n v="1330"/>
    <s v="Australia"/>
    <d v="2023-03-02T00:12:00"/>
    <s v="Website"/>
    <s v="Wendy Victorino"/>
    <n v="2726"/>
    <d v="2023-03-02T00:00:00"/>
    <d v="1899-12-30T00:12:00"/>
    <s v="March"/>
    <s v="Thursday"/>
    <s v="Outlier"/>
    <x v="0"/>
  </r>
  <r>
    <n v="690812"/>
    <n v="985"/>
    <s v="USA"/>
    <d v="2023-08-29T00:07:00"/>
    <s v="App"/>
    <s v="Maurizio Moroni"/>
    <n v="3887"/>
    <d v="2023-08-29T00:00:00"/>
    <d v="1899-12-30T00:07:00"/>
    <s v="August"/>
    <s v="Tuesday"/>
    <s v="Outlier"/>
    <x v="45"/>
  </r>
  <r>
    <n v="691227"/>
    <n v="955"/>
    <s v="India"/>
    <d v="2023-07-09T00:49:00"/>
    <s v="Whatsapp"/>
    <s v="Valarie Nelson"/>
    <n v="5936"/>
    <d v="2023-07-09T00:00:00"/>
    <d v="1899-12-30T00:49:00"/>
    <s v="July"/>
    <s v="Sunday"/>
    <s v="Outlier"/>
    <x v="67"/>
  </r>
  <r>
    <n v="691268"/>
    <n v="809"/>
    <s v="USA"/>
    <d v="2023-05-22T00:53:00"/>
    <s v="Website"/>
    <s v="Sue King"/>
    <n v="9498"/>
    <d v="2023-05-22T00:00:00"/>
    <d v="1899-12-30T00:53:00"/>
    <s v="May"/>
    <s v="Monday"/>
    <s v="Outlier"/>
    <x v="27"/>
  </r>
  <r>
    <n v="691913"/>
    <n v="1566"/>
    <s v="USA"/>
    <d v="2023-02-12T01:08:00"/>
    <s v="Whatsapp"/>
    <s v="Kyung Yu"/>
    <n v="6689"/>
    <d v="2023-02-12T00:00:00"/>
    <d v="1899-12-30T01:08:00"/>
    <s v="February"/>
    <s v="Sunday"/>
    <s v="Outlier"/>
    <x v="71"/>
  </r>
  <r>
    <n v="691946"/>
    <n v="455"/>
    <s v="Germany"/>
    <d v="2023-02-03T23:46:00"/>
    <s v="Whatsapp"/>
    <s v="Michael Holz"/>
    <n v="1893"/>
    <d v="2023-02-03T00:00:00"/>
    <d v="1899-12-30T23:46:00"/>
    <s v="February"/>
    <s v="Friday"/>
    <s v="Outlier"/>
    <x v="44"/>
  </r>
  <r>
    <n v="692440"/>
    <n v="159"/>
    <s v="USA"/>
    <d v="2023-07-19T23:42:00"/>
    <s v="Other"/>
    <s v="Kwai Yu"/>
    <n v="7041"/>
    <d v="2023-07-19T00:00:00"/>
    <d v="1899-12-30T23:42:00"/>
    <s v="July"/>
    <s v="Wednesday"/>
    <s v="Outlier"/>
    <x v="5"/>
  </r>
  <r>
    <n v="692808"/>
    <n v="1797"/>
    <s v="USA"/>
    <d v="2023-08-08T00:28:00"/>
    <s v="Other"/>
    <s v="Jan Klaeboe"/>
    <n v="7362"/>
    <d v="2023-08-08T00:00:00"/>
    <d v="1899-12-30T00:28:00"/>
    <s v="August"/>
    <s v="Tuesday"/>
    <s v="Outlier"/>
    <x v="23"/>
  </r>
  <r>
    <n v="692957"/>
    <n v="941"/>
    <s v="USA"/>
    <d v="2023-12-02T23:46:00"/>
    <s v="Website"/>
    <s v="Marta Hernandez"/>
    <n v="8917"/>
    <d v="2023-12-02T00:00:00"/>
    <d v="1899-12-30T23:46:00"/>
    <s v="December"/>
    <s v="Saturday"/>
    <s v="Outlier"/>
    <x v="49"/>
  </r>
  <r>
    <n v="692962"/>
    <n v="442"/>
    <s v="USA"/>
    <d v="2023-07-17T00:31:00"/>
    <s v="Website"/>
    <s v="Henriette Pfalzheim"/>
    <n v="1328"/>
    <d v="2023-07-17T00:00:00"/>
    <d v="1899-12-30T00:31:00"/>
    <s v="July"/>
    <s v="Monday"/>
    <s v="Outlier"/>
    <x v="14"/>
  </r>
  <r>
    <n v="694715"/>
    <n v="519"/>
    <s v="France"/>
    <d v="2023-08-01T23:07:00"/>
    <s v="Other"/>
    <s v="Yoshi Tannamuri"/>
    <n v="6870"/>
    <d v="2023-08-01T00:00:00"/>
    <d v="1899-12-30T23:07:00"/>
    <s v="August"/>
    <s v="Tuesday"/>
    <s v="Outlier"/>
    <x v="41"/>
  </r>
  <r>
    <n v="695237"/>
    <n v="520"/>
    <s v="Spain"/>
    <d v="2023-01-11T23:40:00"/>
    <s v="Website"/>
    <s v="Violeta Benitez"/>
    <n v="1232"/>
    <d v="2023-01-11T00:00:00"/>
    <d v="1899-12-30T23:40:00"/>
    <s v="January"/>
    <s v="Wednesday"/>
    <s v="Outlier"/>
    <x v="49"/>
  </r>
  <r>
    <n v="695670"/>
    <n v="58"/>
    <s v="Germany"/>
    <d v="2023-06-13T02:22:00"/>
    <s v="Whatsapp"/>
    <s v="Michael Frick"/>
    <n v="8331"/>
    <d v="2023-06-13T00:00:00"/>
    <d v="1899-12-30T02:22:00"/>
    <s v="June"/>
    <s v="Tuesday"/>
    <s v="Outlier"/>
    <x v="3"/>
  </r>
  <r>
    <n v="696736"/>
    <n v="899"/>
    <s v="USA"/>
    <d v="2023-11-19T00:57:00"/>
    <s v="App"/>
    <s v="Rosa Hernandez"/>
    <n v="2627"/>
    <d v="2023-11-19T00:00:00"/>
    <d v="1899-12-30T00:57:00"/>
    <s v="November"/>
    <s v="Sunday"/>
    <s v="Outlier"/>
    <x v="21"/>
  </r>
  <r>
    <n v="696792"/>
    <n v="1651"/>
    <s v="Australia"/>
    <d v="2023-06-06T23:49:00"/>
    <s v="Website"/>
    <s v="Christina Berglund"/>
    <n v="9568"/>
    <d v="2023-06-06T00:00:00"/>
    <d v="1899-12-30T23:49:00"/>
    <s v="June"/>
    <s v="Tuesday"/>
    <s v="Outlier"/>
    <x v="62"/>
  </r>
  <r>
    <n v="696860"/>
    <n v="270"/>
    <s v="Australia"/>
    <d v="2023-03-11T00:55:00"/>
    <s v="Other"/>
    <s v="Peter Ferguson"/>
    <n v="4174"/>
    <d v="2023-03-11T00:00:00"/>
    <d v="1899-12-30T00:55:00"/>
    <s v="March"/>
    <s v="Saturday"/>
    <s v="Outlier"/>
    <x v="8"/>
  </r>
  <r>
    <n v="697123"/>
    <n v="1959"/>
    <s v="Germany"/>
    <d v="2023-11-11T01:50:00"/>
    <s v="App"/>
    <s v="Jeff Young"/>
    <n v="6636"/>
    <d v="2023-11-11T00:00:00"/>
    <d v="1899-12-30T01:50:00"/>
    <s v="November"/>
    <s v="Saturday"/>
    <s v="Outlier"/>
    <x v="9"/>
  </r>
  <r>
    <n v="698048"/>
    <n v="175"/>
    <s v="USA"/>
    <d v="2023-11-04T01:48:00"/>
    <s v="Other"/>
    <s v="Diego Freyre"/>
    <n v="731"/>
    <d v="2023-11-04T00:00:00"/>
    <d v="1899-12-30T01:48:00"/>
    <s v="November"/>
    <s v="Saturday"/>
    <s v="Outlier"/>
    <x v="41"/>
  </r>
  <r>
    <n v="698175"/>
    <n v="1372"/>
    <s v="France"/>
    <d v="2023-06-17T01:33:00"/>
    <s v="Website"/>
    <s v="Pascale Cartrain"/>
    <n v="6322"/>
    <d v="2023-06-17T00:00:00"/>
    <d v="1899-12-30T01:33:00"/>
    <s v="June"/>
    <s v="Saturday"/>
    <s v="Outlier"/>
    <x v="9"/>
  </r>
  <r>
    <n v="698222"/>
    <n v="1836"/>
    <s v="France"/>
    <d v="2023-03-22T00:05:00"/>
    <s v="Website"/>
    <s v="Anna O'Hara"/>
    <n v="1804"/>
    <d v="2023-03-22T00:00:00"/>
    <d v="1899-12-30T00:05:00"/>
    <s v="March"/>
    <s v="Wednesday"/>
    <s v="Outlier"/>
    <x v="40"/>
  </r>
  <r>
    <n v="699766"/>
    <n v="202"/>
    <s v="USA"/>
    <d v="2023-12-29T01:28:00"/>
    <s v="App"/>
    <s v="Matti Karttunen"/>
    <n v="2379"/>
    <d v="2023-12-29T00:00:00"/>
    <d v="1899-12-30T01:28:00"/>
    <s v="December"/>
    <s v="Friday"/>
    <s v="Outlier"/>
    <x v="46"/>
  </r>
  <r>
    <n v="700751"/>
    <n v="1082"/>
    <s v="India"/>
    <d v="2023-04-07T00:29:00"/>
    <s v="Whatsapp"/>
    <s v="Diego Freyre"/>
    <n v="1547"/>
    <d v="2023-04-07T00:00:00"/>
    <d v="1899-12-30T00:29:00"/>
    <s v="April"/>
    <s v="Friday"/>
    <s v="Outlier"/>
    <x v="41"/>
  </r>
  <r>
    <n v="701790"/>
    <n v="1704"/>
    <s v="USA"/>
    <d v="2023-02-22T00:40:00"/>
    <s v="Whatsapp"/>
    <s v="Diego Freyre"/>
    <n v="4202"/>
    <d v="2023-02-22T00:00:00"/>
    <d v="1899-12-30T00:40:00"/>
    <s v="February"/>
    <s v="Wednesday"/>
    <s v="Outlier"/>
    <x v="25"/>
  </r>
  <r>
    <n v="701802"/>
    <n v="151"/>
    <s v="Germany"/>
    <d v="2023-04-04T01:12:00"/>
    <s v="Other"/>
    <s v="Frederique Citeaux"/>
    <n v="927"/>
    <d v="2023-04-04T00:00:00"/>
    <d v="1899-12-30T01:12:00"/>
    <s v="April"/>
    <s v="Tuesday"/>
    <s v="Outlier"/>
    <x v="15"/>
  </r>
  <r>
    <n v="702331"/>
    <n v="1848"/>
    <s v="USA"/>
    <d v="2023-08-28T00:33:00"/>
    <s v="App"/>
    <s v="Diego Freyre"/>
    <n v="5015"/>
    <d v="2023-08-28T00:00:00"/>
    <d v="1899-12-30T00:33:00"/>
    <s v="August"/>
    <s v="Monday"/>
    <s v="Outlier"/>
    <x v="42"/>
  </r>
  <r>
    <n v="703166"/>
    <n v="1228"/>
    <s v="USA"/>
    <d v="2023-11-03T00:22:00"/>
    <s v="Whatsapp"/>
    <s v="Georg Pipps"/>
    <n v="2916"/>
    <d v="2023-11-03T00:00:00"/>
    <d v="1899-12-30T00:22:00"/>
    <s v="November"/>
    <s v="Friday"/>
    <s v="Outlier"/>
    <x v="27"/>
  </r>
  <r>
    <n v="704734"/>
    <n v="1243"/>
    <s v="Spain"/>
    <d v="2023-09-25T22:35:00"/>
    <s v="Website"/>
    <s v="Janine Labrune"/>
    <n v="9313"/>
    <d v="2023-09-25T00:00:00"/>
    <d v="1899-12-30T22:35:00"/>
    <s v="September"/>
    <s v="Monday"/>
    <s v="Outlier"/>
    <x v="32"/>
  </r>
  <r>
    <n v="705322"/>
    <n v="1718"/>
    <s v="USA"/>
    <d v="2023-05-03T23:24:00"/>
    <s v="Whatsapp"/>
    <s v="Jytte Petersen"/>
    <n v="1519"/>
    <d v="2023-05-03T00:00:00"/>
    <d v="1899-12-30T23:24:00"/>
    <s v="May"/>
    <s v="Wednesday"/>
    <s v="Outlier"/>
    <x v="47"/>
  </r>
  <r>
    <n v="705612"/>
    <n v="1886"/>
    <s v="Australia"/>
    <d v="2023-04-29T23:31:00"/>
    <s v="Whatsapp"/>
    <s v="Eric Natividad"/>
    <n v="2657"/>
    <d v="2023-04-29T00:00:00"/>
    <d v="1899-12-30T23:31:00"/>
    <s v="April"/>
    <s v="Saturday"/>
    <s v="Outlier"/>
    <x v="9"/>
  </r>
  <r>
    <n v="706153"/>
    <n v="1053"/>
    <s v="India"/>
    <d v="2023-03-22T00:32:00"/>
    <s v="App"/>
    <s v="Diego Freyre"/>
    <n v="777"/>
    <d v="2023-03-22T00:00:00"/>
    <d v="1899-12-30T00:32:00"/>
    <s v="March"/>
    <s v="Wednesday"/>
    <s v="Outlier"/>
    <x v="25"/>
  </r>
  <r>
    <n v="706669"/>
    <n v="1153"/>
    <s v="Italy"/>
    <d v="2023-05-06T01:45:00"/>
    <s v="Website"/>
    <s v="Valarie Nelson"/>
    <n v="4666"/>
    <d v="2023-05-06T00:00:00"/>
    <d v="1899-12-30T01:45:00"/>
    <s v="May"/>
    <s v="Saturday"/>
    <s v="Outlier"/>
    <x v="36"/>
  </r>
  <r>
    <n v="706696"/>
    <n v="606"/>
    <s v="USA"/>
    <d v="2023-07-09T00:41:00"/>
    <s v="Other"/>
    <s v="Diego Freyre"/>
    <n v="3500"/>
    <d v="2023-07-09T00:00:00"/>
    <d v="1899-12-30T00:41:00"/>
    <s v="July"/>
    <s v="Sunday"/>
    <s v="Outlier"/>
    <x v="65"/>
  </r>
  <r>
    <n v="706725"/>
    <n v="1812"/>
    <s v="Spain"/>
    <d v="2023-02-25T00:16:00"/>
    <s v="Website"/>
    <s v="Eric Natividad"/>
    <n v="7569"/>
    <d v="2023-02-25T00:00:00"/>
    <d v="1899-12-30T00:16:00"/>
    <s v="February"/>
    <s v="Saturday"/>
    <s v="Outlier"/>
    <x v="22"/>
  </r>
  <r>
    <n v="708480"/>
    <n v="1060"/>
    <s v="India"/>
    <d v="2023-10-19T23:33:00"/>
    <s v="App"/>
    <s v="Jesus Fernandez"/>
    <n v="2493"/>
    <d v="2023-10-19T00:00:00"/>
    <d v="1899-12-30T23:33:00"/>
    <s v="October"/>
    <s v="Thursday"/>
    <s v="Outlier"/>
    <x v="14"/>
  </r>
  <r>
    <n v="708846"/>
    <n v="1644"/>
    <s v="Australia"/>
    <d v="2023-10-07T00:33:00"/>
    <s v="App"/>
    <s v="Wing C Tam"/>
    <n v="3069"/>
    <d v="2023-10-07T00:00:00"/>
    <d v="1899-12-30T00:33:00"/>
    <s v="October"/>
    <s v="Saturday"/>
    <s v="Outlier"/>
    <x v="5"/>
  </r>
  <r>
    <n v="709317"/>
    <n v="253"/>
    <s v="France"/>
    <d v="2023-09-06T00:01:00"/>
    <s v="Whatsapp"/>
    <s v="Leslie Murphy"/>
    <n v="9441"/>
    <d v="2023-09-06T00:00:00"/>
    <d v="1899-12-30T00:01:00"/>
    <s v="September"/>
    <s v="Wednesday"/>
    <s v="Outlier"/>
    <x v="25"/>
  </r>
  <r>
    <n v="710669"/>
    <n v="1366"/>
    <s v="USA"/>
    <d v="2023-12-15T00:04:00"/>
    <s v="Website"/>
    <s v="Mary Saveley"/>
    <n v="5405"/>
    <d v="2023-12-15T00:00:00"/>
    <d v="1899-12-30T00:04:00"/>
    <s v="December"/>
    <s v="Friday"/>
    <s v="Outlier"/>
    <x v="60"/>
  </r>
  <r>
    <n v="710673"/>
    <n v="1229"/>
    <s v="Australia"/>
    <d v="2023-06-13T01:26:00"/>
    <s v="App"/>
    <s v="Catherine Dewey"/>
    <n v="6405"/>
    <d v="2023-06-13T00:00:00"/>
    <d v="1899-12-30T01:26:00"/>
    <s v="June"/>
    <s v="Tuesday"/>
    <s v="Outlier"/>
    <x v="25"/>
  </r>
  <r>
    <n v="711277"/>
    <n v="933"/>
    <s v="USA"/>
    <d v="2023-08-11T23:08:00"/>
    <s v="Whatsapp"/>
    <s v="Helen Bennett"/>
    <n v="2857"/>
    <d v="2023-08-11T00:00:00"/>
    <d v="1899-12-30T23:08:00"/>
    <s v="August"/>
    <s v="Friday"/>
    <s v="Outlier"/>
    <x v="32"/>
  </r>
  <r>
    <n v="711681"/>
    <n v="1344"/>
    <s v="Spain"/>
    <d v="2023-05-22T00:35:00"/>
    <s v="Website"/>
    <s v="Kwai Yu"/>
    <n v="3885"/>
    <d v="2023-05-22T00:00:00"/>
    <d v="1899-12-30T00:35:00"/>
    <s v="May"/>
    <s v="Monday"/>
    <s v="Outlier"/>
    <x v="28"/>
  </r>
  <r>
    <n v="712741"/>
    <n v="1001"/>
    <s v="USA"/>
    <d v="2023-12-20T00:20:00"/>
    <s v="Other"/>
    <s v="Catherine Dewey"/>
    <n v="1475"/>
    <d v="2023-12-20T00:00:00"/>
    <d v="1899-12-30T00:20:00"/>
    <s v="December"/>
    <s v="Wednesday"/>
    <s v="Outlier"/>
    <x v="10"/>
  </r>
  <r>
    <n v="713425"/>
    <n v="1254"/>
    <s v="France"/>
    <d v="2023-11-28T00:55:00"/>
    <s v="Other"/>
    <s v="Valarie Nelson"/>
    <n v="918"/>
    <d v="2023-11-28T00:00:00"/>
    <d v="1899-12-30T00:55:00"/>
    <s v="November"/>
    <s v="Tuesday"/>
    <s v="Outlier"/>
    <x v="37"/>
  </r>
  <r>
    <n v="716091"/>
    <n v="1691"/>
    <s v="USA"/>
    <d v="2023-06-12T01:28:00"/>
    <s v="App"/>
    <s v="Paolo Accorti"/>
    <n v="6454"/>
    <d v="2023-06-12T00:00:00"/>
    <d v="1899-12-30T01:28:00"/>
    <s v="June"/>
    <s v="Monday"/>
    <s v="Outlier"/>
    <x v="64"/>
  </r>
  <r>
    <n v="717493"/>
    <n v="180"/>
    <s v="USA"/>
    <d v="2023-02-21T00:53:00"/>
    <s v="Other"/>
    <s v="Victoria Ashworth"/>
    <n v="1788"/>
    <d v="2023-02-21T00:00:00"/>
    <d v="1899-12-30T00:53:00"/>
    <s v="February"/>
    <s v="Tuesday"/>
    <s v="Outlier"/>
    <x v="49"/>
  </r>
  <r>
    <n v="718344"/>
    <n v="375"/>
    <s v="Australia"/>
    <d v="2023-03-30T23:21:00"/>
    <s v="Whatsapp"/>
    <s v="Palle Ibsen"/>
    <n v="1580"/>
    <d v="2023-03-30T00:00:00"/>
    <d v="1899-12-30T23:21:00"/>
    <s v="March"/>
    <s v="Thursday"/>
    <s v="Outlier"/>
    <x v="23"/>
  </r>
  <r>
    <n v="719496"/>
    <n v="958"/>
    <s v="USA"/>
    <d v="2023-04-05T23:14:00"/>
    <s v="App"/>
    <s v="Christina Berglund"/>
    <n v="8062"/>
    <d v="2023-04-05T00:00:00"/>
    <d v="1899-12-30T23:14:00"/>
    <s v="April"/>
    <s v="Wednesday"/>
    <s v="Outlier"/>
    <x v="20"/>
  </r>
  <r>
    <n v="719899"/>
    <n v="748"/>
    <s v="USA"/>
    <d v="2023-03-08T23:29:00"/>
    <s v="App"/>
    <s v="Marie Bertrand"/>
    <n v="2445"/>
    <d v="2023-03-08T00:00:00"/>
    <d v="1899-12-30T23:29:00"/>
    <s v="March"/>
    <s v="Wednesday"/>
    <s v="Outlier"/>
    <x v="28"/>
  </r>
  <r>
    <n v="720311"/>
    <n v="425"/>
    <s v="India"/>
    <d v="2023-02-27T00:22:00"/>
    <s v="Website"/>
    <s v="Diego Freyre"/>
    <n v="4868"/>
    <d v="2023-02-27T00:00:00"/>
    <d v="1899-12-30T00:22:00"/>
    <s v="February"/>
    <s v="Monday"/>
    <s v="Outlier"/>
    <x v="66"/>
  </r>
  <r>
    <n v="721053"/>
    <n v="579"/>
    <s v="USA"/>
    <d v="2023-04-23T00:03:00"/>
    <s v="Other"/>
    <s v="Akiko Shimamura"/>
    <n v="5093"/>
    <d v="2023-04-23T00:00:00"/>
    <d v="1899-12-30T00:03:00"/>
    <s v="April"/>
    <s v="Sunday"/>
    <s v="Outlier"/>
    <x v="14"/>
  </r>
  <r>
    <n v="721298"/>
    <n v="1717"/>
    <s v="Australia"/>
    <d v="2023-03-28T00:54:00"/>
    <s v="Whatsapp"/>
    <s v="Diego Freyre"/>
    <n v="3875"/>
    <d v="2023-03-28T00:00:00"/>
    <d v="1899-12-30T00:54:00"/>
    <s v="March"/>
    <s v="Tuesday"/>
    <s v="Outlier"/>
    <x v="19"/>
  </r>
  <r>
    <n v="721384"/>
    <n v="922"/>
    <s v="Switzerland"/>
    <d v="2023-03-17T00:04:00"/>
    <s v="Whatsapp"/>
    <s v="Valarie Nelson"/>
    <n v="1833"/>
    <d v="2023-03-17T00:00:00"/>
    <d v="1899-12-30T00:04:00"/>
    <s v="March"/>
    <s v="Friday"/>
    <s v="Outlier"/>
    <x v="34"/>
  </r>
  <r>
    <n v="722572"/>
    <n v="1948"/>
    <s v="USA"/>
    <d v="2023-01-28T23:35:00"/>
    <s v="Other"/>
    <s v="Juri Yoshido"/>
    <n v="1207"/>
    <d v="2023-01-28T00:00:00"/>
    <d v="1899-12-30T23:35:00"/>
    <s v="January"/>
    <s v="Saturday"/>
    <s v="Outlier"/>
    <x v="33"/>
  </r>
  <r>
    <n v="723244"/>
    <n v="1347"/>
    <s v="France"/>
    <d v="2023-08-23T00:11:00"/>
    <s v="Whatsapp"/>
    <s v="Arnold Cruz"/>
    <n v="6759"/>
    <d v="2023-08-23T00:00:00"/>
    <d v="1899-12-30T00:11:00"/>
    <s v="August"/>
    <s v="Wednesday"/>
    <s v="Outlier"/>
    <x v="39"/>
  </r>
  <r>
    <n v="723357"/>
    <n v="1297"/>
    <s v="USA"/>
    <d v="2023-03-04T01:05:00"/>
    <s v="Website"/>
    <s v="Laurence Lebihan"/>
    <n v="4674"/>
    <d v="2023-03-04T00:00:00"/>
    <d v="1899-12-30T01:05:00"/>
    <s v="March"/>
    <s v="Saturday"/>
    <s v="Outlier"/>
    <x v="46"/>
  </r>
  <r>
    <n v="723458"/>
    <n v="1716"/>
    <s v="USA"/>
    <d v="2023-04-13T00:07:00"/>
    <s v="Whatsapp"/>
    <s v="Valarie Nelson"/>
    <n v="946"/>
    <d v="2023-04-13T00:00:00"/>
    <d v="1899-12-30T00:07:00"/>
    <s v="April"/>
    <s v="Thursday"/>
    <s v="Outlier"/>
    <x v="65"/>
  </r>
  <r>
    <n v="723480"/>
    <n v="1961"/>
    <s v="Germany"/>
    <d v="2023-02-24T00:47:00"/>
    <s v="App"/>
    <s v="Allen Nelson"/>
    <n v="8332"/>
    <d v="2023-02-24T00:00:00"/>
    <d v="1899-12-30T00:47:00"/>
    <s v="February"/>
    <s v="Friday"/>
    <s v="Outlier"/>
    <x v="27"/>
  </r>
  <r>
    <n v="723551"/>
    <n v="1849"/>
    <s v="Denmark"/>
    <d v="2023-04-23T01:40:00"/>
    <s v="App"/>
    <s v="Julie Brown"/>
    <n v="6416"/>
    <d v="2023-04-23T00:00:00"/>
    <d v="1899-12-30T01:40:00"/>
    <s v="April"/>
    <s v="Sunday"/>
    <s v="Outlier"/>
    <x v="31"/>
  </r>
  <r>
    <n v="723623"/>
    <n v="1818"/>
    <s v="USA"/>
    <d v="2023-07-03T00:46:00"/>
    <s v="Whatsapp"/>
    <s v="Anna O'Hara"/>
    <n v="9468"/>
    <d v="2023-07-03T00:00:00"/>
    <d v="1899-12-30T00:46:00"/>
    <s v="July"/>
    <s v="Monday"/>
    <s v="Outlier"/>
    <x v="1"/>
  </r>
  <r>
    <n v="725071"/>
    <n v="1825"/>
    <s v="Australia"/>
    <d v="2023-02-15T00:32:00"/>
    <s v="Whatsapp"/>
    <s v="Veysel Oeztan"/>
    <n v="8859"/>
    <d v="2023-02-15T00:00:00"/>
    <d v="1899-12-30T00:32:00"/>
    <s v="February"/>
    <s v="Wednesday"/>
    <s v="Outlier"/>
    <x v="13"/>
  </r>
  <r>
    <n v="725371"/>
    <n v="634"/>
    <s v="USA"/>
    <d v="2023-01-02T23:37:00"/>
    <s v="Website"/>
    <s v="Henriette Pfalzheim"/>
    <n v="7071"/>
    <d v="2023-01-02T00:00:00"/>
    <d v="1899-12-30T23:37:00"/>
    <s v="January"/>
    <s v="Monday"/>
    <s v="Outlier"/>
    <x v="14"/>
  </r>
  <r>
    <n v="725482"/>
    <n v="1874"/>
    <s v="USA"/>
    <d v="2023-07-11T23:27:00"/>
    <s v="Website"/>
    <s v="Diego Freyre"/>
    <n v="6488"/>
    <d v="2023-07-11T00:00:00"/>
    <d v="1899-12-30T23:27:00"/>
    <s v="July"/>
    <s v="Tuesday"/>
    <s v="Outlier"/>
    <x v="66"/>
  </r>
  <r>
    <n v="726616"/>
    <n v="1290"/>
    <s v="USA"/>
    <d v="2023-08-06T23:38:00"/>
    <s v="Whatsapp"/>
    <s v="Dominique Perrier"/>
    <n v="6697"/>
    <d v="2023-08-06T00:00:00"/>
    <d v="1899-12-30T23:38:00"/>
    <s v="August"/>
    <s v="Sunday"/>
    <s v="Outlier"/>
    <x v="34"/>
  </r>
  <r>
    <n v="728697"/>
    <n v="1913"/>
    <s v="Italy"/>
    <d v="2023-08-25T00:11:00"/>
    <s v="App"/>
    <s v="Michael Holz"/>
    <n v="6226"/>
    <d v="2023-08-25T00:00:00"/>
    <d v="1899-12-30T00:11:00"/>
    <s v="August"/>
    <s v="Friday"/>
    <s v="Outlier"/>
    <x v="66"/>
  </r>
  <r>
    <n v="730295"/>
    <n v="134"/>
    <s v="Australia"/>
    <d v="2023-08-06T00:04:00"/>
    <s v="Whatsapp"/>
    <s v="Jytte Petersen"/>
    <n v="4721"/>
    <d v="2023-08-06T00:00:00"/>
    <d v="1899-12-30T00:04:00"/>
    <s v="August"/>
    <s v="Sunday"/>
    <s v="Outlier"/>
    <x v="43"/>
  </r>
  <r>
    <n v="730976"/>
    <n v="1908"/>
    <s v="USA"/>
    <d v="2023-11-01T00:58:00"/>
    <s v="App"/>
    <s v="Dominique Perrier"/>
    <n v="4073"/>
    <d v="2023-11-01T00:00:00"/>
    <d v="1899-12-30T00:58:00"/>
    <s v="November"/>
    <s v="Wednesday"/>
    <s v="Outlier"/>
    <x v="1"/>
  </r>
  <r>
    <n v="731161"/>
    <n v="1367"/>
    <s v="Italy"/>
    <d v="2023-06-02T00:09:00"/>
    <s v="Other"/>
    <s v="Sean Connery"/>
    <n v="3548"/>
    <d v="2023-06-02T00:00:00"/>
    <d v="1899-12-30T00:09:00"/>
    <s v="June"/>
    <s v="Friday"/>
    <s v="Outlier"/>
    <x v="5"/>
  </r>
  <r>
    <n v="731345"/>
    <n v="1365"/>
    <s v="USA"/>
    <d v="2023-03-28T22:59:00"/>
    <s v="Website"/>
    <s v="Miguel Barajas"/>
    <n v="5198"/>
    <d v="2023-03-28T00:00:00"/>
    <d v="1899-12-30T22:59:00"/>
    <s v="March"/>
    <s v="Tuesday"/>
    <s v="Outlier"/>
    <x v="62"/>
  </r>
  <r>
    <n v="732301"/>
    <n v="250"/>
    <s v="India"/>
    <d v="2023-11-01T00:05:00"/>
    <s v="Whatsapp"/>
    <s v="Michael Holz"/>
    <n v="4048"/>
    <d v="2023-11-01T00:00:00"/>
    <d v="1899-12-30T00:05:00"/>
    <s v="November"/>
    <s v="Wednesday"/>
    <s v="Outlier"/>
    <x v="66"/>
  </r>
  <r>
    <n v="732319"/>
    <n v="1802"/>
    <s v="France"/>
    <d v="2023-04-24T00:07:00"/>
    <s v="Other"/>
    <s v="Roland Keitel"/>
    <n v="3911"/>
    <d v="2023-04-24T00:00:00"/>
    <d v="1899-12-30T00:07:00"/>
    <s v="April"/>
    <s v="Monday"/>
    <s v="Outlier"/>
    <x v="57"/>
  </r>
  <r>
    <n v="733263"/>
    <n v="881"/>
    <s v="France"/>
    <d v="2023-10-25T00:34:00"/>
    <s v="Whatsapp"/>
    <s v="Henriette Pfalzheim"/>
    <n v="9697"/>
    <d v="2023-10-25T00:00:00"/>
    <d v="1899-12-30T00:34:00"/>
    <s v="October"/>
    <s v="Wednesday"/>
    <s v="Outlier"/>
    <x v="25"/>
  </r>
  <r>
    <n v="734449"/>
    <n v="1061"/>
    <s v="Finland"/>
    <d v="2023-10-26T02:12:00"/>
    <s v="Whatsapp"/>
    <s v="Kee Kuo"/>
    <n v="8005"/>
    <d v="2023-10-26T00:00:00"/>
    <d v="1899-12-30T02:12:00"/>
    <s v="October"/>
    <s v="Thursday"/>
    <s v="Outlier"/>
    <x v="57"/>
  </r>
  <r>
    <n v="734468"/>
    <n v="83"/>
    <s v="Italy"/>
    <d v="2023-02-15T00:55:00"/>
    <s v="Website"/>
    <s v="Kwai Yu"/>
    <n v="5705"/>
    <d v="2023-02-15T00:00:00"/>
    <d v="1899-12-30T00:55:00"/>
    <s v="February"/>
    <s v="Wednesday"/>
    <s v="Outlier"/>
    <x v="34"/>
  </r>
  <r>
    <n v="734939"/>
    <n v="1797"/>
    <s v="USA"/>
    <d v="2023-02-27T01:23:00"/>
    <s v="Website"/>
    <s v="Peter Ferguson"/>
    <n v="5602"/>
    <d v="2023-02-27T00:00:00"/>
    <d v="1899-12-30T01:23:00"/>
    <s v="February"/>
    <s v="Monday"/>
    <s v="Outlier"/>
    <x v="23"/>
  </r>
  <r>
    <n v="735675"/>
    <n v="412"/>
    <s v="India"/>
    <d v="2023-11-21T01:16:00"/>
    <s v="Other"/>
    <s v="Kalle Suominen"/>
    <n v="2472"/>
    <d v="2023-11-21T00:00:00"/>
    <d v="1899-12-30T01:16:00"/>
    <s v="November"/>
    <s v="Tuesday"/>
    <s v="Outlier"/>
    <x v="10"/>
  </r>
  <r>
    <n v="737059"/>
    <n v="849"/>
    <s v="France"/>
    <d v="2023-10-08T00:44:00"/>
    <s v="App"/>
    <s v="Diego Freyre"/>
    <n v="8652"/>
    <d v="2023-10-08T00:00:00"/>
    <d v="1899-12-30T00:44:00"/>
    <s v="October"/>
    <s v="Sunday"/>
    <s v="Outlier"/>
    <x v="11"/>
  </r>
  <r>
    <n v="737066"/>
    <n v="744"/>
    <s v="Finland"/>
    <d v="2023-02-21T00:20:00"/>
    <s v="Other"/>
    <s v="Valarie Nelson"/>
    <n v="9597"/>
    <d v="2023-02-21T00:00:00"/>
    <d v="1899-12-30T00:20:00"/>
    <s v="February"/>
    <s v="Tuesday"/>
    <s v="Outlier"/>
    <x v="19"/>
  </r>
  <r>
    <n v="737790"/>
    <n v="1646"/>
    <s v="Spain"/>
    <d v="2023-06-10T01:41:00"/>
    <s v="App"/>
    <s v="Jonas Bergulfsen"/>
    <n v="7589"/>
    <d v="2023-06-10T00:00:00"/>
    <d v="1899-12-30T01:41:00"/>
    <s v="June"/>
    <s v="Saturday"/>
    <s v="Outlier"/>
    <x v="66"/>
  </r>
  <r>
    <n v="739012"/>
    <n v="1708"/>
    <s v="France"/>
    <d v="2023-12-18T00:47:00"/>
    <s v="Other"/>
    <s v="Julie Murphy"/>
    <n v="265"/>
    <d v="2023-12-18T00:00:00"/>
    <d v="1899-12-30T00:47:00"/>
    <s v="December"/>
    <s v="Monday"/>
    <s v="Outlier"/>
    <x v="27"/>
  </r>
  <r>
    <n v="740082"/>
    <n v="736"/>
    <s v="USA"/>
    <d v="2023-04-10T23:51:00"/>
    <s v="App"/>
    <s v="Mart¡n Sommer"/>
    <n v="2994"/>
    <d v="2023-04-10T00:00:00"/>
    <d v="1899-12-30T23:51:00"/>
    <s v="April"/>
    <s v="Monday"/>
    <s v="Outlier"/>
    <x v="63"/>
  </r>
  <r>
    <n v="740564"/>
    <n v="569"/>
    <s v="USA"/>
    <d v="2023-02-13T00:48:00"/>
    <s v="Whatsapp"/>
    <s v="Adrian Huxley"/>
    <n v="1398"/>
    <d v="2023-02-13T00:00:00"/>
    <d v="1899-12-30T00:48:00"/>
    <s v="February"/>
    <s v="Monday"/>
    <s v="Outlier"/>
    <x v="14"/>
  </r>
  <r>
    <n v="741193"/>
    <n v="879"/>
    <s v="USA"/>
    <d v="2023-06-20T00:02:00"/>
    <s v="App"/>
    <s v="Sue Taylor"/>
    <n v="4307"/>
    <d v="2023-06-20T00:00:00"/>
    <d v="1899-12-30T00:02:00"/>
    <s v="June"/>
    <s v="Tuesday"/>
    <s v="Outlier"/>
    <x v="41"/>
  </r>
  <r>
    <n v="742561"/>
    <n v="1509"/>
    <s v="USA"/>
    <d v="2023-01-20T22:39:00"/>
    <s v="Whatsapp"/>
    <s v="Maria Hernandez"/>
    <n v="1879"/>
    <d v="2023-01-20T00:00:00"/>
    <d v="1899-12-30T22:39:00"/>
    <s v="January"/>
    <s v="Friday"/>
    <s v="Outlier"/>
    <x v="34"/>
  </r>
  <r>
    <n v="742778"/>
    <n v="982"/>
    <s v="USA"/>
    <d v="2023-07-14T23:32:00"/>
    <s v="Whatsapp"/>
    <s v="Giovanni Rovelli"/>
    <n v="8688"/>
    <d v="2023-07-14T00:00:00"/>
    <d v="1899-12-30T23:32:00"/>
    <s v="July"/>
    <s v="Friday"/>
    <s v="Outlier"/>
    <x v="31"/>
  </r>
  <r>
    <n v="743589"/>
    <n v="1559"/>
    <s v="Spain"/>
    <d v="2023-12-26T01:09:00"/>
    <s v="Whatsapp"/>
    <s v="Valarie Nelson"/>
    <n v="2636"/>
    <d v="2023-12-26T00:00:00"/>
    <d v="1899-12-30T01:09:00"/>
    <s v="December"/>
    <s v="Tuesday"/>
    <s v="Outlier"/>
    <x v="17"/>
  </r>
  <r>
    <n v="743932"/>
    <n v="543"/>
    <s v="France"/>
    <d v="2023-08-26T00:28:00"/>
    <s v="Other"/>
    <s v="Sean Connery"/>
    <n v="5966"/>
    <d v="2023-08-26T00:00:00"/>
    <d v="1899-12-30T00:28:00"/>
    <s v="August"/>
    <s v="Saturday"/>
    <s v="Outlier"/>
    <x v="16"/>
  </r>
  <r>
    <n v="743961"/>
    <n v="98"/>
    <s v="Denmark"/>
    <d v="2023-09-07T00:39:00"/>
    <s v="Other"/>
    <s v="Yoshi Tannamuri"/>
    <n v="2467"/>
    <d v="2023-09-07T00:00:00"/>
    <d v="1899-12-30T00:39:00"/>
    <s v="September"/>
    <s v="Thursday"/>
    <s v="Outlier"/>
    <x v="31"/>
  </r>
  <r>
    <n v="745795"/>
    <n v="919"/>
    <s v="Denmark"/>
    <d v="2023-03-01T00:51:00"/>
    <s v="Other"/>
    <s v="Steve Thompson"/>
    <n v="8983"/>
    <d v="2023-03-01T00:00:00"/>
    <d v="1899-12-30T00:51:00"/>
    <s v="March"/>
    <s v="Wednesday"/>
    <s v="Outlier"/>
    <x v="18"/>
  </r>
  <r>
    <n v="746060"/>
    <n v="1477"/>
    <s v="Spain"/>
    <d v="2023-03-31T23:52:00"/>
    <s v="App"/>
    <s v="Mary Saveley"/>
    <n v="1387"/>
    <d v="2023-03-31T00:00:00"/>
    <d v="1899-12-30T23:52:00"/>
    <s v="March"/>
    <s v="Friday"/>
    <s v="Outlier"/>
    <x v="38"/>
  </r>
  <r>
    <n v="746275"/>
    <n v="1020"/>
    <s v="Australia"/>
    <d v="2023-05-13T01:19:00"/>
    <s v="App"/>
    <s v="Diego Freyre"/>
    <n v="3551"/>
    <d v="2023-05-13T00:00:00"/>
    <d v="1899-12-30T01:19:00"/>
    <s v="May"/>
    <s v="Saturday"/>
    <s v="Outlier"/>
    <x v="46"/>
  </r>
  <r>
    <n v="748106"/>
    <n v="1295"/>
    <s v="Finland"/>
    <d v="2023-10-27T23:58:00"/>
    <s v="Website"/>
    <s v="Sue Frick"/>
    <n v="5025"/>
    <d v="2023-10-27T00:00:00"/>
    <d v="1899-12-30T23:58:00"/>
    <s v="October"/>
    <s v="Friday"/>
    <s v="Outlier"/>
    <x v="46"/>
  </r>
  <r>
    <n v="748762"/>
    <n v="946"/>
    <s v="India"/>
    <d v="2023-09-11T00:40:00"/>
    <s v="Website"/>
    <s v="Paolo Accorti"/>
    <n v="9843"/>
    <d v="2023-09-11T00:00:00"/>
    <d v="1899-12-30T00:40:00"/>
    <s v="September"/>
    <s v="Monday"/>
    <s v="Outlier"/>
    <x v="18"/>
  </r>
  <r>
    <n v="748997"/>
    <n v="1277"/>
    <s v="Switzerland"/>
    <d v="2023-06-14T00:13:00"/>
    <s v="Other"/>
    <s v="Leslie Taylor"/>
    <n v="9873"/>
    <d v="2023-06-14T00:00:00"/>
    <d v="1899-12-30T00:13:00"/>
    <s v="June"/>
    <s v="Wednesday"/>
    <s v="Outlier"/>
    <x v="38"/>
  </r>
  <r>
    <n v="749692"/>
    <n v="184"/>
    <s v="Singapore"/>
    <d v="2023-03-27T01:08:00"/>
    <s v="Website"/>
    <s v="Daniel Tonini"/>
    <n v="6601"/>
    <d v="2023-03-27T00:00:00"/>
    <d v="1899-12-30T01:08:00"/>
    <s v="March"/>
    <s v="Monday"/>
    <s v="Outlier"/>
    <x v="33"/>
  </r>
  <r>
    <n v="749782"/>
    <n v="1506"/>
    <s v="USA"/>
    <d v="2023-06-18T02:16:00"/>
    <s v="App"/>
    <s v="Valarie Nelson"/>
    <n v="8021"/>
    <d v="2023-06-18T00:00:00"/>
    <d v="1899-12-30T02:16:00"/>
    <s v="June"/>
    <s v="Sunday"/>
    <s v="Outlier"/>
    <x v="65"/>
  </r>
  <r>
    <n v="750732"/>
    <n v="194"/>
    <s v="India"/>
    <d v="2023-11-17T23:34:00"/>
    <s v="App"/>
    <s v="Roland Keitel"/>
    <n v="8355"/>
    <d v="2023-11-17T00:00:00"/>
    <d v="1899-12-30T23:34:00"/>
    <s v="November"/>
    <s v="Friday"/>
    <s v="Outlier"/>
    <x v="71"/>
  </r>
  <r>
    <n v="750814"/>
    <n v="862"/>
    <s v="USA"/>
    <d v="2023-04-23T23:47:00"/>
    <s v="Other"/>
    <s v="Julie Murphy"/>
    <n v="1843"/>
    <d v="2023-04-23T00:00:00"/>
    <d v="1899-12-30T23:47:00"/>
    <s v="April"/>
    <s v="Sunday"/>
    <s v="Outlier"/>
    <x v="17"/>
  </r>
  <r>
    <n v="750826"/>
    <n v="451"/>
    <s v="Norway"/>
    <d v="2023-04-13T23:39:00"/>
    <s v="Website"/>
    <s v="Peter Ferguson"/>
    <n v="9467"/>
    <d v="2023-04-13T00:00:00"/>
    <d v="1899-12-30T23:39:00"/>
    <s v="April"/>
    <s v="Thursday"/>
    <s v="Outlier"/>
    <x v="8"/>
  </r>
  <r>
    <n v="751811"/>
    <n v="1745"/>
    <s v="USA"/>
    <d v="2023-11-27T01:53:00"/>
    <s v="Whatsapp"/>
    <s v="Valarie Nelson"/>
    <n v="2348"/>
    <d v="2023-11-27T00:00:00"/>
    <d v="1899-12-30T01:53:00"/>
    <s v="November"/>
    <s v="Monday"/>
    <s v="Outlier"/>
    <x v="26"/>
  </r>
  <r>
    <n v="751921"/>
    <n v="928"/>
    <s v="Austria"/>
    <d v="2023-06-22T01:29:00"/>
    <s v="Website"/>
    <s v="Allen Nelson"/>
    <n v="9633"/>
    <d v="2023-06-22T00:00:00"/>
    <d v="1899-12-30T01:29:00"/>
    <s v="June"/>
    <s v="Thursday"/>
    <s v="Outlier"/>
    <x v="72"/>
  </r>
  <r>
    <n v="752092"/>
    <n v="62"/>
    <s v="USA"/>
    <d v="2023-01-23T01:07:00"/>
    <s v="App"/>
    <s v="Valarie Nelson"/>
    <n v="9268"/>
    <d v="2023-01-23T00:00:00"/>
    <d v="1899-12-30T01:07:00"/>
    <s v="January"/>
    <s v="Monday"/>
    <s v="Outlier"/>
    <x v="53"/>
  </r>
  <r>
    <n v="752814"/>
    <n v="1661"/>
    <s v="France"/>
    <d v="2023-11-23T23:40:00"/>
    <s v="Whatsapp"/>
    <s v="Roland Mendel"/>
    <n v="7540"/>
    <d v="2023-11-23T00:00:00"/>
    <d v="1899-12-30T23:40:00"/>
    <s v="November"/>
    <s v="Thursday"/>
    <s v="Outlier"/>
    <x v="19"/>
  </r>
  <r>
    <n v="754290"/>
    <n v="977"/>
    <s v="India"/>
    <d v="2023-03-05T01:51:00"/>
    <s v="App"/>
    <s v="Catherine Dewey"/>
    <n v="7063"/>
    <d v="2023-03-05T00:00:00"/>
    <d v="1899-12-30T01:51:00"/>
    <s v="March"/>
    <s v="Sunday"/>
    <s v="Outlier"/>
    <x v="34"/>
  </r>
  <r>
    <n v="754402"/>
    <n v="164"/>
    <s v="USA"/>
    <d v="2023-06-26T01:26:00"/>
    <s v="Whatsapp"/>
    <s v="Arnold Cruz"/>
    <n v="136"/>
    <d v="2023-06-26T00:00:00"/>
    <d v="1899-12-30T01:26:00"/>
    <s v="June"/>
    <s v="Monday"/>
    <s v="Outlier"/>
    <x v="40"/>
  </r>
  <r>
    <n v="754474"/>
    <n v="48"/>
    <s v="USA"/>
    <d v="2023-03-19T22:54:00"/>
    <s v="Whatsapp"/>
    <s v="Laurence Lebihan"/>
    <n v="5288"/>
    <d v="2023-03-19T00:00:00"/>
    <d v="1899-12-30T22:54:00"/>
    <s v="March"/>
    <s v="Sunday"/>
    <s v="Outlier"/>
    <x v="50"/>
  </r>
  <r>
    <n v="756887"/>
    <n v="1676"/>
    <s v="Austria"/>
    <d v="2023-04-20T00:49:00"/>
    <s v="Whatsapp"/>
    <s v="Valarie Nelson"/>
    <n v="5656"/>
    <d v="2023-04-20T00:00:00"/>
    <d v="1899-12-30T00:49:00"/>
    <s v="April"/>
    <s v="Thursday"/>
    <s v="Outlier"/>
    <x v="5"/>
  </r>
  <r>
    <n v="757855"/>
    <n v="1479"/>
    <s v="USA"/>
    <d v="2023-11-12T22:36:00"/>
    <s v="Other"/>
    <s v="Allen Nelson"/>
    <n v="5528"/>
    <d v="2023-11-12T00:00:00"/>
    <d v="1899-12-30T22:36:00"/>
    <s v="November"/>
    <s v="Sunday"/>
    <s v="Outlier"/>
    <x v="27"/>
  </r>
  <r>
    <n v="758496"/>
    <n v="1974"/>
    <s v="USA"/>
    <d v="2023-10-09T00:40:00"/>
    <s v="Website"/>
    <s v="Julie Brown"/>
    <n v="2202"/>
    <d v="2023-10-09T00:00:00"/>
    <d v="1899-12-30T00:40:00"/>
    <s v="October"/>
    <s v="Monday"/>
    <s v="Outlier"/>
    <x v="8"/>
  </r>
  <r>
    <n v="758962"/>
    <n v="1988"/>
    <s v="USA"/>
    <d v="2023-05-12T00:51:00"/>
    <s v="Website"/>
    <s v="Anna O'Hara"/>
    <n v="6385"/>
    <d v="2023-05-12T00:00:00"/>
    <d v="1899-12-30T00:51:00"/>
    <s v="May"/>
    <s v="Friday"/>
    <s v="Outlier"/>
    <x v="50"/>
  </r>
  <r>
    <n v="759664"/>
    <n v="494"/>
    <s v="France"/>
    <d v="2023-07-18T23:40:00"/>
    <s v="Whatsapp"/>
    <s v="Veysel Oeztan"/>
    <n v="8605"/>
    <d v="2023-07-18T00:00:00"/>
    <d v="1899-12-30T23:40:00"/>
    <s v="July"/>
    <s v="Tuesday"/>
    <s v="Outlier"/>
    <x v="11"/>
  </r>
  <r>
    <n v="759796"/>
    <n v="92"/>
    <s v="Denmark"/>
    <d v="2023-10-28T00:10:00"/>
    <s v="Other"/>
    <s v="Henriette Pfalzheim"/>
    <n v="545"/>
    <d v="2023-10-28T00:00:00"/>
    <d v="1899-12-30T00:10:00"/>
    <s v="October"/>
    <s v="Saturday"/>
    <s v="Outlier"/>
    <x v="21"/>
  </r>
  <r>
    <n v="760774"/>
    <n v="63"/>
    <s v="Norway"/>
    <d v="2023-04-03T00:10:00"/>
    <s v="Website"/>
    <s v="Diego Freyre"/>
    <n v="2846"/>
    <d v="2023-04-03T00:00:00"/>
    <d v="1899-12-30T00:10:00"/>
    <s v="April"/>
    <s v="Monday"/>
    <s v="Outlier"/>
    <x v="12"/>
  </r>
  <r>
    <n v="761079"/>
    <n v="1813"/>
    <s v="USA"/>
    <d v="2023-08-11T00:13:00"/>
    <s v="Website"/>
    <s v="Dominique Perrier"/>
    <n v="8446"/>
    <d v="2023-08-11T00:00:00"/>
    <d v="1899-12-30T00:13:00"/>
    <s v="August"/>
    <s v="Friday"/>
    <s v="Outlier"/>
    <x v="29"/>
  </r>
  <r>
    <n v="761261"/>
    <n v="930"/>
    <s v="Australia"/>
    <d v="2023-06-18T23:31:00"/>
    <s v="Other"/>
    <s v="Michael Holz"/>
    <n v="2321"/>
    <d v="2023-06-18T00:00:00"/>
    <d v="1899-12-30T23:31:00"/>
    <s v="June"/>
    <s v="Sunday"/>
    <s v="Outlier"/>
    <x v="29"/>
  </r>
  <r>
    <n v="762584"/>
    <n v="226"/>
    <s v="USA"/>
    <d v="2023-04-02T01:12:00"/>
    <s v="Whatsapp"/>
    <s v="Jytte Petersen"/>
    <n v="6342"/>
    <d v="2023-04-02T00:00:00"/>
    <d v="1899-12-30T01:12:00"/>
    <s v="April"/>
    <s v="Sunday"/>
    <s v="Outlier"/>
    <x v="34"/>
  </r>
  <r>
    <n v="763962"/>
    <n v="1590"/>
    <s v="Singapore"/>
    <d v="2023-01-16T00:27:00"/>
    <s v="Website"/>
    <s v="Dominique Perrier"/>
    <n v="4623"/>
    <d v="2023-01-16T00:00:00"/>
    <d v="1899-12-30T00:27:00"/>
    <s v="January"/>
    <s v="Monday"/>
    <s v="Outlier"/>
    <x v="45"/>
  </r>
  <r>
    <n v="764467"/>
    <n v="1998"/>
    <s v="Australia"/>
    <d v="2023-03-16T01:37:00"/>
    <s v="Whatsapp"/>
    <s v="Sean Connery"/>
    <n v="7362"/>
    <d v="2023-03-16T00:00:00"/>
    <d v="1899-12-30T01:37:00"/>
    <s v="March"/>
    <s v="Thursday"/>
    <s v="Outlier"/>
    <x v="43"/>
  </r>
  <r>
    <n v="765043"/>
    <n v="273"/>
    <s v="USA"/>
    <d v="2023-10-23T23:19:00"/>
    <s v="Whatsapp"/>
    <s v="Miguel Barajas"/>
    <n v="7579"/>
    <d v="2023-10-23T00:00:00"/>
    <d v="1899-12-30T23:19:00"/>
    <s v="October"/>
    <s v="Monday"/>
    <s v="Outlier"/>
    <x v="6"/>
  </r>
  <r>
    <n v="765994"/>
    <n v="220"/>
    <s v="Australia"/>
    <d v="2023-05-10T00:23:00"/>
    <s v="Website"/>
    <s v="Michael Holz"/>
    <n v="5250"/>
    <d v="2023-05-10T00:00:00"/>
    <d v="1899-12-30T00:23:00"/>
    <s v="May"/>
    <s v="Wednesday"/>
    <s v="Outlier"/>
    <x v="37"/>
  </r>
  <r>
    <n v="767130"/>
    <n v="1627"/>
    <s v="Australia"/>
    <d v="2023-06-19T22:57:00"/>
    <s v="Whatsapp"/>
    <s v="Roland Keitel"/>
    <n v="4936"/>
    <d v="2023-06-19T00:00:00"/>
    <d v="1899-12-30T22:57:00"/>
    <s v="June"/>
    <s v="Monday"/>
    <s v="Outlier"/>
    <x v="57"/>
  </r>
  <r>
    <n v="767512"/>
    <n v="1219"/>
    <s v="USA"/>
    <d v="2023-12-30T00:35:00"/>
    <s v="App"/>
    <s v="Henriette Pfalzheim"/>
    <n v="4002"/>
    <d v="2023-12-30T00:00:00"/>
    <d v="1899-12-30T00:35:00"/>
    <s v="December"/>
    <s v="Saturday"/>
    <s v="Outlier"/>
    <x v="11"/>
  </r>
  <r>
    <n v="767976"/>
    <n v="1079"/>
    <s v="India"/>
    <d v="2023-10-14T00:45:00"/>
    <s v="App"/>
    <s v="Christina Berglund"/>
    <n v="4080"/>
    <d v="2023-10-14T00:00:00"/>
    <d v="1899-12-30T00:45:00"/>
    <s v="October"/>
    <s v="Saturday"/>
    <s v="Outlier"/>
    <x v="3"/>
  </r>
  <r>
    <n v="768093"/>
    <n v="680"/>
    <s v="USA"/>
    <d v="2023-03-01T00:30:00"/>
    <s v="Other"/>
    <s v="Arnold Cruz"/>
    <n v="8126"/>
    <d v="2023-03-01T00:00:00"/>
    <d v="1899-12-30T00:30:00"/>
    <s v="March"/>
    <s v="Wednesday"/>
    <s v="Outlier"/>
    <x v="49"/>
  </r>
  <r>
    <n v="768435"/>
    <n v="1878"/>
    <s v="Spain"/>
    <d v="2023-06-15T00:43:00"/>
    <s v="Website"/>
    <s v="Peter Ferguson"/>
    <n v="1281"/>
    <d v="2023-06-15T00:00:00"/>
    <d v="1899-12-30T00:43:00"/>
    <s v="June"/>
    <s v="Thursday"/>
    <s v="Outlier"/>
    <x v="32"/>
  </r>
  <r>
    <n v="769005"/>
    <n v="1308"/>
    <s v="Spain"/>
    <d v="2023-12-31T01:51:00"/>
    <s v="Other"/>
    <s v="Diego Freyre"/>
    <n v="6183"/>
    <d v="2023-12-31T00:00:00"/>
    <d v="1899-12-30T01:51:00"/>
    <s v="December"/>
    <s v="Sunday"/>
    <s v="Outlier"/>
    <x v="72"/>
  </r>
  <r>
    <n v="769009"/>
    <n v="541"/>
    <s v="USA"/>
    <d v="2023-10-07T22:59:00"/>
    <s v="Whatsapp"/>
    <s v="Kalle Suominen"/>
    <n v="2143"/>
    <d v="2023-10-07T00:00:00"/>
    <d v="1899-12-30T22:59:00"/>
    <s v="October"/>
    <s v="Saturday"/>
    <s v="Outlier"/>
    <x v="67"/>
  </r>
  <r>
    <n v="769050"/>
    <n v="1934"/>
    <s v="Spain"/>
    <d v="2023-03-25T00:01:00"/>
    <s v="App"/>
    <s v="Diego Freyre"/>
    <n v="1290"/>
    <d v="2023-03-25T00:00:00"/>
    <d v="1899-12-30T00:01:00"/>
    <s v="March"/>
    <s v="Saturday"/>
    <s v="Outlier"/>
    <x v="5"/>
  </r>
  <r>
    <n v="770892"/>
    <n v="824"/>
    <s v="USA"/>
    <d v="2023-08-02T02:26:00"/>
    <s v="Website"/>
    <s v="Valarie Nelson"/>
    <n v="8032"/>
    <d v="2023-08-02T00:00:00"/>
    <d v="1899-12-30T02:26:00"/>
    <s v="August"/>
    <s v="Wednesday"/>
    <s v="Outlier"/>
    <x v="31"/>
  </r>
  <r>
    <n v="772693"/>
    <n v="1191"/>
    <s v="Australia"/>
    <d v="2023-05-01T23:29:00"/>
    <s v="App"/>
    <s v="Rosa Hernandez"/>
    <n v="8999"/>
    <d v="2023-05-01T00:00:00"/>
    <d v="1899-12-30T23:29:00"/>
    <s v="May"/>
    <s v="Monday"/>
    <s v="Outlier"/>
    <x v="68"/>
  </r>
  <r>
    <n v="772763"/>
    <n v="452"/>
    <s v="Spain"/>
    <d v="2023-03-22T00:10:00"/>
    <s v="Whatsapp"/>
    <s v="Carine Schmitt"/>
    <n v="5141"/>
    <d v="2023-03-22T00:00:00"/>
    <d v="1899-12-30T00:10:00"/>
    <s v="March"/>
    <s v="Wednesday"/>
    <s v="Outlier"/>
    <x v="21"/>
  </r>
  <r>
    <n v="774603"/>
    <n v="101"/>
    <s v="USA"/>
    <d v="2023-05-03T00:55:00"/>
    <s v="Other"/>
    <s v="Paul Henriot"/>
    <n v="1913"/>
    <d v="2023-05-03T00:00:00"/>
    <d v="1899-12-30T00:55:00"/>
    <s v="May"/>
    <s v="Wednesday"/>
    <s v="Outlier"/>
    <x v="42"/>
  </r>
  <r>
    <n v="775306"/>
    <n v="655"/>
    <s v="USA"/>
    <d v="2023-06-24T23:02:00"/>
    <s v="Website"/>
    <s v="Anna O'Hara"/>
    <n v="7346"/>
    <d v="2023-06-24T00:00:00"/>
    <d v="1899-12-30T23:02:00"/>
    <s v="June"/>
    <s v="Saturday"/>
    <s v="Outlier"/>
    <x v="13"/>
  </r>
  <r>
    <n v="775387"/>
    <n v="945"/>
    <s v="France"/>
    <d v="2023-09-16T23:07:00"/>
    <s v="Whatsapp"/>
    <s v="Palle Ibsen"/>
    <n v="8620"/>
    <d v="2023-09-16T00:00:00"/>
    <d v="1899-12-30T23:07:00"/>
    <s v="September"/>
    <s v="Saturday"/>
    <s v="Outlier"/>
    <x v="6"/>
  </r>
  <r>
    <n v="775856"/>
    <n v="146"/>
    <s v="Norway"/>
    <d v="2023-10-15T00:24:00"/>
    <s v="App"/>
    <s v="Julie King"/>
    <n v="5780"/>
    <d v="2023-10-15T00:00:00"/>
    <d v="1899-12-30T00:24:00"/>
    <s v="October"/>
    <s v="Sunday"/>
    <s v="Outlier"/>
    <x v="67"/>
  </r>
  <r>
    <n v="778907"/>
    <n v="915"/>
    <s v="France"/>
    <d v="2023-11-08T00:09:00"/>
    <s v="Other"/>
    <s v="Veysel Oeztan"/>
    <n v="8273"/>
    <d v="2023-11-08T00:00:00"/>
    <d v="1899-12-30T00:09:00"/>
    <s v="November"/>
    <s v="Wednesday"/>
    <s v="Outlier"/>
    <x v="36"/>
  </r>
  <r>
    <n v="779276"/>
    <n v="1162"/>
    <s v="USA"/>
    <d v="2023-06-10T23:57:00"/>
    <s v="Website"/>
    <s v="Valarie Young"/>
    <n v="4738"/>
    <d v="2023-06-10T00:00:00"/>
    <d v="1899-12-30T23:57:00"/>
    <s v="June"/>
    <s v="Saturday"/>
    <s v="Outlier"/>
    <x v="27"/>
  </r>
  <r>
    <n v="780193"/>
    <n v="1979"/>
    <s v="Finland"/>
    <d v="2023-08-05T01:48:00"/>
    <s v="Other"/>
    <s v="Jeff Young"/>
    <n v="1562"/>
    <d v="2023-08-05T00:00:00"/>
    <d v="1899-12-30T01:48:00"/>
    <s v="August"/>
    <s v="Saturday"/>
    <s v="Outlier"/>
    <x v="29"/>
  </r>
  <r>
    <n v="780651"/>
    <n v="1630"/>
    <s v="France"/>
    <d v="2023-07-23T01:42:00"/>
    <s v="Other"/>
    <s v="Diego Freyre"/>
    <n v="2596"/>
    <d v="2023-07-23T00:00:00"/>
    <d v="1899-12-30T01:42:00"/>
    <s v="July"/>
    <s v="Sunday"/>
    <s v="Outlier"/>
    <x v="29"/>
  </r>
  <r>
    <n v="780700"/>
    <n v="1677"/>
    <s v="Italy"/>
    <d v="2023-05-09T23:51:00"/>
    <s v="Other"/>
    <s v="Valarie Thompson"/>
    <n v="9948"/>
    <d v="2023-05-09T00:00:00"/>
    <d v="1899-12-30T23:51:00"/>
    <s v="May"/>
    <s v="Tuesday"/>
    <s v="Outlier"/>
    <x v="66"/>
  </r>
  <r>
    <n v="780895"/>
    <n v="1569"/>
    <s v="Spain"/>
    <d v="2023-04-30T23:52:00"/>
    <s v="Website"/>
    <s v="Mory Kentary"/>
    <n v="5917"/>
    <d v="2023-04-30T00:00:00"/>
    <d v="1899-12-30T23:52:00"/>
    <s v="April"/>
    <s v="Sunday"/>
    <s v="Outlier"/>
    <x v="1"/>
  </r>
  <r>
    <n v="781125"/>
    <n v="1723"/>
    <s v="Spain"/>
    <d v="2023-01-24T00:58:00"/>
    <s v="Other"/>
    <s v="Elizabeth Devon"/>
    <n v="3855"/>
    <d v="2023-01-24T00:00:00"/>
    <d v="1899-12-30T00:58:00"/>
    <s v="January"/>
    <s v="Tuesday"/>
    <s v="Outlier"/>
    <x v="43"/>
  </r>
  <r>
    <n v="781195"/>
    <n v="184"/>
    <s v="Singapore"/>
    <d v="2023-11-02T00:11:00"/>
    <s v="App"/>
    <s v="Maurizio Moroni"/>
    <n v="5349"/>
    <d v="2023-11-02T00:00:00"/>
    <d v="1899-12-30T00:11:00"/>
    <s v="November"/>
    <s v="Thursday"/>
    <s v="Outlier"/>
    <x v="33"/>
  </r>
  <r>
    <n v="781771"/>
    <n v="1377"/>
    <s v="Germany"/>
    <d v="2023-02-12T00:10:00"/>
    <s v="Other"/>
    <s v="Sue King"/>
    <n v="9605"/>
    <d v="2023-02-12T00:00:00"/>
    <d v="1899-12-30T00:10:00"/>
    <s v="February"/>
    <s v="Sunday"/>
    <s v="Outlier"/>
    <x v="19"/>
  </r>
  <r>
    <n v="782836"/>
    <n v="1896"/>
    <s v="France"/>
    <d v="2023-08-03T00:27:00"/>
    <s v="Whatsapp"/>
    <s v="Michael Holz"/>
    <n v="8153"/>
    <d v="2023-08-03T00:00:00"/>
    <d v="1899-12-30T00:27:00"/>
    <s v="August"/>
    <s v="Thursday"/>
    <s v="Outlier"/>
    <x v="13"/>
  </r>
  <r>
    <n v="783763"/>
    <n v="447"/>
    <s v="USA"/>
    <d v="2023-07-20T01:32:00"/>
    <s v="App"/>
    <s v="Jan Klaeboe"/>
    <n v="3794"/>
    <d v="2023-07-20T00:00:00"/>
    <d v="1899-12-30T01:32:00"/>
    <s v="July"/>
    <s v="Thursday"/>
    <s v="Outlier"/>
    <x v="55"/>
  </r>
  <r>
    <n v="783822"/>
    <n v="221"/>
    <s v="Australia"/>
    <d v="2023-11-23T23:33:00"/>
    <s v="App"/>
    <s v="Diego Freyre"/>
    <n v="5404"/>
    <d v="2023-11-23T00:00:00"/>
    <d v="1899-12-30T23:33:00"/>
    <s v="November"/>
    <s v="Thursday"/>
    <s v="Outlier"/>
    <x v="71"/>
  </r>
  <r>
    <n v="784475"/>
    <n v="109"/>
    <s v="USA"/>
    <d v="2023-12-24T01:43:00"/>
    <s v="App"/>
    <s v="Violeta Benitez"/>
    <n v="505"/>
    <d v="2023-12-24T00:00:00"/>
    <d v="1899-12-30T01:43:00"/>
    <s v="December"/>
    <s v="Sunday"/>
    <s v="Outlier"/>
    <x v="24"/>
  </r>
  <r>
    <n v="784839"/>
    <n v="222"/>
    <s v="Norway"/>
    <d v="2023-10-27T22:41:00"/>
    <s v="Whatsapp"/>
    <s v="Rosa Hernandez"/>
    <n v="6391"/>
    <d v="2023-10-27T00:00:00"/>
    <d v="1899-12-30T22:41:00"/>
    <s v="October"/>
    <s v="Friday"/>
    <s v="Outlier"/>
    <x v="2"/>
  </r>
  <r>
    <n v="786170"/>
    <n v="1676"/>
    <s v="Austria"/>
    <d v="2023-09-13T00:44:00"/>
    <s v="Website"/>
    <s v="Paul Henriot"/>
    <n v="5008"/>
    <d v="2023-09-13T00:00:00"/>
    <d v="1899-12-30T00:44:00"/>
    <s v="September"/>
    <s v="Wednesday"/>
    <s v="Outlier"/>
    <x v="5"/>
  </r>
  <r>
    <n v="787058"/>
    <n v="1587"/>
    <s v="USA"/>
    <d v="2023-05-17T00:53:00"/>
    <s v="App"/>
    <s v="Julie Young"/>
    <n v="7663"/>
    <d v="2023-05-17T00:00:00"/>
    <d v="1899-12-30T00:53:00"/>
    <s v="May"/>
    <s v="Wednesday"/>
    <s v="Outlier"/>
    <x v="10"/>
  </r>
  <r>
    <n v="787848"/>
    <n v="1855"/>
    <s v="Denmark"/>
    <d v="2023-06-14T23:57:00"/>
    <s v="Whatsapp"/>
    <s v="Diego Freyre"/>
    <n v="7298"/>
    <d v="2023-06-14T00:00:00"/>
    <d v="1899-12-30T23:57:00"/>
    <s v="June"/>
    <s v="Wednesday"/>
    <s v="Outlier"/>
    <x v="60"/>
  </r>
  <r>
    <n v="788037"/>
    <n v="284"/>
    <s v="USA"/>
    <d v="2023-05-20T00:36:00"/>
    <s v="Whatsapp"/>
    <s v="Jytte Petersen"/>
    <n v="4007"/>
    <d v="2023-05-20T00:00:00"/>
    <d v="1899-12-30T00:36:00"/>
    <s v="May"/>
    <s v="Saturday"/>
    <s v="Outlier"/>
    <x v="43"/>
  </r>
  <r>
    <n v="788243"/>
    <n v="1856"/>
    <s v="USA"/>
    <d v="2023-10-19T00:12:00"/>
    <s v="App"/>
    <s v="Georg Pipps"/>
    <n v="1117"/>
    <d v="2023-10-19T00:00:00"/>
    <d v="1899-12-30T00:12:00"/>
    <s v="October"/>
    <s v="Thursday"/>
    <s v="Outlier"/>
    <x v="61"/>
  </r>
  <r>
    <n v="788263"/>
    <n v="759"/>
    <s v="USA"/>
    <d v="2023-01-08T01:04:00"/>
    <s v="App"/>
    <s v="Arnold Cruz"/>
    <n v="8883"/>
    <d v="2023-01-08T00:00:00"/>
    <d v="1899-12-30T01:04:00"/>
    <s v="January"/>
    <s v="Sunday"/>
    <s v="Outlier"/>
    <x v="11"/>
  </r>
  <r>
    <n v="788290"/>
    <n v="29"/>
    <s v="Spain"/>
    <d v="2023-08-29T01:11:00"/>
    <s v="App"/>
    <s v="Laurence Lebihan"/>
    <n v="9872"/>
    <d v="2023-08-29T00:00:00"/>
    <d v="1899-12-30T01:11:00"/>
    <s v="August"/>
    <s v="Tuesday"/>
    <s v="Outlier"/>
    <x v="11"/>
  </r>
  <r>
    <n v="789675"/>
    <n v="817"/>
    <s v="USA"/>
    <d v="2023-10-12T00:15:00"/>
    <s v="Website"/>
    <s v="Valarie Nelson"/>
    <n v="627"/>
    <d v="2023-10-12T00:00:00"/>
    <d v="1899-12-30T00:15:00"/>
    <s v="October"/>
    <s v="Thursday"/>
    <s v="Outlier"/>
    <x v="36"/>
  </r>
  <r>
    <n v="794197"/>
    <n v="313"/>
    <s v="India"/>
    <d v="2023-09-01T23:47:00"/>
    <s v="Other"/>
    <s v="Dan Lewis"/>
    <n v="4130"/>
    <d v="2023-09-01T00:00:00"/>
    <d v="1899-12-30T23:47:00"/>
    <s v="September"/>
    <s v="Friday"/>
    <s v="Outlier"/>
    <x v="57"/>
  </r>
  <r>
    <n v="794297"/>
    <n v="221"/>
    <s v="Australia"/>
    <d v="2023-07-04T00:50:00"/>
    <s v="Other"/>
    <s v="Julie Brown"/>
    <n v="7199"/>
    <d v="2023-07-04T00:00:00"/>
    <d v="1899-12-30T00:50:00"/>
    <s v="July"/>
    <s v="Tuesday"/>
    <s v="Outlier"/>
    <x v="71"/>
  </r>
  <r>
    <n v="794975"/>
    <n v="738"/>
    <s v="France"/>
    <d v="2023-02-22T01:24:00"/>
    <s v="App"/>
    <s v="Anna O'Hara"/>
    <n v="1230"/>
    <d v="2023-02-22T00:00:00"/>
    <d v="1899-12-30T01:24:00"/>
    <s v="February"/>
    <s v="Wednesday"/>
    <s v="Outlier"/>
    <x v="5"/>
  </r>
  <r>
    <n v="795216"/>
    <n v="1588"/>
    <s v="France"/>
    <d v="2023-12-08T00:09:00"/>
    <s v="Whatsapp"/>
    <s v="Martine Rance"/>
    <n v="1033"/>
    <d v="2023-12-08T00:00:00"/>
    <d v="1899-12-30T00:09:00"/>
    <s v="December"/>
    <s v="Friday"/>
    <s v="Outlier"/>
    <x v="8"/>
  </r>
  <r>
    <n v="795276"/>
    <n v="836"/>
    <s v="India"/>
    <d v="2023-04-18T22:55:00"/>
    <s v="Whatsapp"/>
    <s v="Henriette Pfalzheim"/>
    <n v="1032"/>
    <d v="2023-04-18T00:00:00"/>
    <d v="1899-12-30T22:55:00"/>
    <s v="April"/>
    <s v="Tuesday"/>
    <s v="Outlier"/>
    <x v="41"/>
  </r>
  <r>
    <n v="797415"/>
    <n v="842"/>
    <s v="France"/>
    <d v="2023-12-09T00:00:00"/>
    <s v="Website"/>
    <s v="Dominique Perrier"/>
    <n v="7700"/>
    <d v="2023-12-09T00:00:00"/>
    <d v="1899-12-30T00:00:00"/>
    <s v="December"/>
    <s v="Saturday"/>
    <s v="Outlier"/>
    <x v="10"/>
  </r>
  <r>
    <n v="797735"/>
    <n v="1192"/>
    <s v="USA"/>
    <d v="2023-12-16T01:10:00"/>
    <s v="Website"/>
    <s v="Martine Rance"/>
    <n v="322"/>
    <d v="2023-12-16T00:00:00"/>
    <d v="1899-12-30T01:10:00"/>
    <s v="December"/>
    <s v="Saturday"/>
    <s v="Outlier"/>
    <x v="27"/>
  </r>
  <r>
    <n v="797824"/>
    <n v="931"/>
    <s v="USA"/>
    <d v="2023-08-26T23:38:00"/>
    <s v="Other"/>
    <s v="Michael Frick"/>
    <n v="7354"/>
    <d v="2023-08-26T00:00:00"/>
    <d v="1899-12-30T23:38:00"/>
    <s v="August"/>
    <s v="Saturday"/>
    <s v="Outlier"/>
    <x v="30"/>
  </r>
  <r>
    <n v="798176"/>
    <n v="1070"/>
    <s v="Singapore"/>
    <d v="2023-12-23T01:15:00"/>
    <s v="Whatsapp"/>
    <s v="Dominique Perrier"/>
    <n v="311"/>
    <d v="2023-12-23T00:00:00"/>
    <d v="1899-12-30T01:15:00"/>
    <s v="December"/>
    <s v="Saturday"/>
    <s v="Outlier"/>
    <x v="52"/>
  </r>
  <r>
    <n v="799277"/>
    <n v="1432"/>
    <s v="USA"/>
    <d v="2023-11-28T23:31:00"/>
    <s v="App"/>
    <s v="Juri Yoshido"/>
    <n v="9518"/>
    <d v="2023-11-28T00:00:00"/>
    <d v="1899-12-30T23:31:00"/>
    <s v="November"/>
    <s v="Tuesday"/>
    <s v="Outlier"/>
    <x v="35"/>
  </r>
  <r>
    <n v="800145"/>
    <n v="653"/>
    <s v="France"/>
    <d v="2023-04-01T00:49:00"/>
    <s v="Website"/>
    <s v="Miguel Barajas"/>
    <n v="2086"/>
    <d v="2023-04-01T00:00:00"/>
    <d v="1899-12-30T00:49:00"/>
    <s v="April"/>
    <s v="Saturday"/>
    <s v="Outlier"/>
    <x v="17"/>
  </r>
  <r>
    <n v="800248"/>
    <n v="1360"/>
    <s v="Spain"/>
    <d v="2023-07-23T01:21:00"/>
    <s v="Website"/>
    <s v="Marie Bertrand"/>
    <n v="4265"/>
    <d v="2023-07-23T00:00:00"/>
    <d v="1899-12-30T01:21:00"/>
    <s v="July"/>
    <s v="Sunday"/>
    <s v="Outlier"/>
    <x v="28"/>
  </r>
  <r>
    <n v="800421"/>
    <n v="736"/>
    <s v="USA"/>
    <d v="2023-07-26T02:00:00"/>
    <s v="App"/>
    <s v="Matti Karttunen"/>
    <n v="3687"/>
    <d v="2023-07-26T00:00:00"/>
    <d v="1899-12-30T02:00:00"/>
    <s v="July"/>
    <s v="Wednesday"/>
    <s v="Outlier"/>
    <x v="63"/>
  </r>
  <r>
    <n v="801394"/>
    <n v="1922"/>
    <s v="Spain"/>
    <d v="2023-04-01T01:46:00"/>
    <s v="Website"/>
    <s v="Henriette Pfalzheim"/>
    <n v="5526"/>
    <d v="2023-04-01T00:00:00"/>
    <d v="1899-12-30T01:46:00"/>
    <s v="April"/>
    <s v="Saturday"/>
    <s v="Outlier"/>
    <x v="0"/>
  </r>
  <r>
    <n v="802352"/>
    <n v="1838"/>
    <s v="USA"/>
    <d v="2023-06-09T01:03:00"/>
    <s v="Website"/>
    <s v="Kee Kuo"/>
    <n v="7995"/>
    <d v="2023-06-09T00:00:00"/>
    <d v="1899-12-30T01:03:00"/>
    <s v="June"/>
    <s v="Friday"/>
    <s v="Outlier"/>
    <x v="68"/>
  </r>
  <r>
    <n v="804031"/>
    <n v="1267"/>
    <s v="Italy"/>
    <d v="2023-01-02T01:19:00"/>
    <s v="Other"/>
    <s v="Arnold Cruz"/>
    <n v="9935"/>
    <d v="2023-01-02T00:00:00"/>
    <d v="1899-12-30T01:19:00"/>
    <s v="January"/>
    <s v="Monday"/>
    <s v="Outlier"/>
    <x v="14"/>
  </r>
  <r>
    <n v="804076"/>
    <n v="279"/>
    <s v="India"/>
    <d v="2023-08-13T00:13:00"/>
    <s v="Other"/>
    <s v="Peter Ferguson"/>
    <n v="4684"/>
    <d v="2023-08-13T00:00:00"/>
    <d v="1899-12-30T00:13:00"/>
    <s v="August"/>
    <s v="Sunday"/>
    <s v="Outlier"/>
    <x v="16"/>
  </r>
  <r>
    <n v="804356"/>
    <n v="1586"/>
    <s v="France"/>
    <d v="2023-09-05T02:07:00"/>
    <s v="Whatsapp"/>
    <s v="Diego Freyre"/>
    <n v="9054"/>
    <d v="2023-09-05T00:00:00"/>
    <d v="1899-12-30T02:07:00"/>
    <s v="September"/>
    <s v="Tuesday"/>
    <s v="Outlier"/>
    <x v="53"/>
  </r>
  <r>
    <n v="805121"/>
    <n v="704"/>
    <s v="USA"/>
    <d v="2023-09-05T01:46:00"/>
    <s v="Website"/>
    <s v="Kalle Suominen"/>
    <n v="6764"/>
    <d v="2023-09-05T00:00:00"/>
    <d v="1899-12-30T01:46:00"/>
    <s v="September"/>
    <s v="Tuesday"/>
    <s v="Outlier"/>
    <x v="15"/>
  </r>
  <r>
    <n v="805282"/>
    <n v="935"/>
    <s v="France"/>
    <d v="2023-08-10T00:22:00"/>
    <s v="Whatsapp"/>
    <s v="Diego Freyre"/>
    <n v="7748"/>
    <d v="2023-08-10T00:00:00"/>
    <d v="1899-12-30T00:22:00"/>
    <s v="August"/>
    <s v="Thursday"/>
    <s v="Outlier"/>
    <x v="4"/>
  </r>
  <r>
    <n v="806906"/>
    <n v="1603"/>
    <s v="USA"/>
    <d v="2023-05-12T23:20:00"/>
    <s v="Website"/>
    <s v="Valarie Nelson"/>
    <n v="585"/>
    <d v="2023-05-12T00:00:00"/>
    <d v="1899-12-30T23:20:00"/>
    <s v="May"/>
    <s v="Friday"/>
    <s v="Outlier"/>
    <x v="38"/>
  </r>
  <r>
    <n v="807901"/>
    <n v="768"/>
    <s v="USA"/>
    <d v="2023-02-14T01:37:00"/>
    <s v="Other"/>
    <s v="Elizabeth Devon"/>
    <n v="1538"/>
    <d v="2023-02-14T00:00:00"/>
    <d v="1899-12-30T01:37:00"/>
    <s v="February"/>
    <s v="Tuesday"/>
    <s v="Outlier"/>
    <x v="4"/>
  </r>
  <r>
    <n v="808278"/>
    <n v="1796"/>
    <s v="Denmark"/>
    <d v="2023-09-25T23:39:00"/>
    <s v="Website"/>
    <s v="Giovanni Rovelli"/>
    <n v="1968"/>
    <d v="2023-09-25T00:00:00"/>
    <d v="1899-12-30T23:39:00"/>
    <s v="September"/>
    <s v="Monday"/>
    <s v="Outlier"/>
    <x v="46"/>
  </r>
  <r>
    <n v="808789"/>
    <n v="1538"/>
    <s v="USA"/>
    <d v="2023-07-16T23:29:00"/>
    <s v="Whatsapp"/>
    <s v="Georg Pipps"/>
    <n v="5681"/>
    <d v="2023-07-16T00:00:00"/>
    <d v="1899-12-30T23:29:00"/>
    <s v="July"/>
    <s v="Sunday"/>
    <s v="Outlier"/>
    <x v="29"/>
  </r>
  <r>
    <n v="810114"/>
    <n v="62"/>
    <s v="USA"/>
    <d v="2023-06-04T01:59:00"/>
    <s v="App"/>
    <s v="Leslie Taylor"/>
    <n v="2084"/>
    <d v="2023-06-04T00:00:00"/>
    <d v="1899-12-30T01:59:00"/>
    <s v="June"/>
    <s v="Sunday"/>
    <s v="Outlier"/>
    <x v="53"/>
  </r>
  <r>
    <n v="812395"/>
    <n v="717"/>
    <s v="Australia"/>
    <d v="2023-08-01T23:24:00"/>
    <s v="Other"/>
    <s v="Wing C Tam"/>
    <n v="9421"/>
    <d v="2023-08-01T00:00:00"/>
    <d v="1899-12-30T23:24:00"/>
    <s v="August"/>
    <s v="Tuesday"/>
    <s v="Outlier"/>
    <x v="70"/>
  </r>
  <r>
    <n v="812558"/>
    <n v="1160"/>
    <s v="Australia"/>
    <d v="2023-06-23T01:03:00"/>
    <s v="App"/>
    <s v="Matti Karttunen"/>
    <n v="4185"/>
    <d v="2023-06-23T00:00:00"/>
    <d v="1899-12-30T01:03:00"/>
    <s v="June"/>
    <s v="Friday"/>
    <s v="Outlier"/>
    <x v="30"/>
  </r>
  <r>
    <n v="812612"/>
    <n v="509"/>
    <s v="France"/>
    <d v="2023-11-26T01:29:00"/>
    <s v="Whatsapp"/>
    <s v="Maria Larsson"/>
    <n v="3471"/>
    <d v="2023-11-26T00:00:00"/>
    <d v="1899-12-30T01:29:00"/>
    <s v="November"/>
    <s v="Sunday"/>
    <s v="Outlier"/>
    <x v="32"/>
  </r>
  <r>
    <n v="812864"/>
    <n v="1007"/>
    <s v="USA"/>
    <d v="2023-08-11T00:11:00"/>
    <s v="Website"/>
    <s v="Annette Roulet"/>
    <n v="9730"/>
    <d v="2023-08-11T00:00:00"/>
    <d v="1899-12-30T00:11:00"/>
    <s v="August"/>
    <s v="Friday"/>
    <s v="Outlier"/>
    <x v="14"/>
  </r>
  <r>
    <n v="813036"/>
    <n v="22"/>
    <s v="Spain"/>
    <d v="2023-11-18T22:41:00"/>
    <s v="App"/>
    <s v="Thomas Hardy"/>
    <n v="5132"/>
    <d v="2023-11-18T00:00:00"/>
    <d v="1899-12-30T22:41:00"/>
    <s v="November"/>
    <s v="Saturday"/>
    <s v="Outlier"/>
    <x v="61"/>
  </r>
  <r>
    <n v="813819"/>
    <n v="437"/>
    <s v="USA"/>
    <d v="2023-02-24T23:21:00"/>
    <s v="App"/>
    <s v="Eduardo Saavedra"/>
    <n v="8001"/>
    <d v="2023-02-24T00:00:00"/>
    <d v="1899-12-30T23:21:00"/>
    <s v="February"/>
    <s v="Friday"/>
    <s v="Outlier"/>
    <x v="13"/>
  </r>
  <r>
    <n v="813822"/>
    <n v="894"/>
    <s v="Australia"/>
    <d v="2023-04-14T22:50:00"/>
    <s v="Whatsapp"/>
    <s v="Michael Chandler"/>
    <n v="3283"/>
    <d v="2023-04-14T00:00:00"/>
    <d v="1899-12-30T22:50:00"/>
    <s v="April"/>
    <s v="Friday"/>
    <s v="Outlier"/>
    <x v="2"/>
  </r>
  <r>
    <n v="814175"/>
    <n v="836"/>
    <s v="India"/>
    <d v="2023-03-30T00:55:00"/>
    <s v="Website"/>
    <s v="Valarie Thompson"/>
    <n v="7467"/>
    <d v="2023-03-30T00:00:00"/>
    <d v="1899-12-30T00:55:00"/>
    <s v="March"/>
    <s v="Thursday"/>
    <s v="Outlier"/>
    <x v="41"/>
  </r>
  <r>
    <n v="814705"/>
    <n v="1590"/>
    <s v="Singapore"/>
    <d v="2023-04-08T00:27:00"/>
    <s v="Whatsapp"/>
    <s v="Kyung Tseng"/>
    <n v="6227"/>
    <d v="2023-04-08T00:00:00"/>
    <d v="1899-12-30T00:27:00"/>
    <s v="April"/>
    <s v="Saturday"/>
    <s v="Outlier"/>
    <x v="45"/>
  </r>
  <r>
    <n v="816536"/>
    <n v="1147"/>
    <s v="France"/>
    <d v="2023-09-11T23:28:00"/>
    <s v="Whatsapp"/>
    <s v="Diego Freyre"/>
    <n v="5485"/>
    <d v="2023-09-11T00:00:00"/>
    <d v="1899-12-30T23:28:00"/>
    <s v="September"/>
    <s v="Monday"/>
    <s v="Outlier"/>
    <x v="62"/>
  </r>
  <r>
    <n v="817610"/>
    <n v="493"/>
    <s v="USA"/>
    <d v="2023-01-04T23:36:00"/>
    <s v="Website"/>
    <s v="Catherine Dewey"/>
    <n v="4047"/>
    <d v="2023-01-04T00:00:00"/>
    <d v="1899-12-30T23:36:00"/>
    <s v="January"/>
    <s v="Wednesday"/>
    <s v="Outlier"/>
    <x v="43"/>
  </r>
  <r>
    <n v="818956"/>
    <n v="857"/>
    <s v="USA"/>
    <d v="2023-07-05T00:34:00"/>
    <s v="Whatsapp"/>
    <s v="Elizabeth Lincoln"/>
    <n v="1268"/>
    <d v="2023-07-05T00:00:00"/>
    <d v="1899-12-30T00:34:00"/>
    <s v="July"/>
    <s v="Wednesday"/>
    <s v="Outlier"/>
    <x v="6"/>
  </r>
  <r>
    <n v="821575"/>
    <n v="1215"/>
    <s v="USA"/>
    <d v="2023-01-11T00:54:00"/>
    <s v="Website"/>
    <s v="Michael Donnermeyer"/>
    <n v="4655"/>
    <d v="2023-01-11T00:00:00"/>
    <d v="1899-12-30T00:54:00"/>
    <s v="January"/>
    <s v="Wednesday"/>
    <s v="Outlier"/>
    <x v="19"/>
  </r>
  <r>
    <n v="822544"/>
    <n v="1930"/>
    <s v="USA"/>
    <d v="2023-09-04T02:00:00"/>
    <s v="Website"/>
    <s v="Francisca Cervantes"/>
    <n v="708"/>
    <d v="2023-09-04T00:00:00"/>
    <d v="1899-12-30T02:00:00"/>
    <s v="September"/>
    <s v="Monday"/>
    <s v="Outlier"/>
    <x v="28"/>
  </r>
  <r>
    <n v="822906"/>
    <n v="882"/>
    <s v="Singapore"/>
    <d v="2023-10-02T00:29:00"/>
    <s v="App"/>
    <s v="Helen Bennett"/>
    <n v="8093"/>
    <d v="2023-10-02T00:00:00"/>
    <d v="1899-12-30T00:29:00"/>
    <s v="October"/>
    <s v="Monday"/>
    <s v="Outlier"/>
    <x v="1"/>
  </r>
  <r>
    <n v="823294"/>
    <n v="1466"/>
    <s v="Ireland"/>
    <d v="2023-12-01T23:15:00"/>
    <s v="App"/>
    <s v="Giovanni Rovelli"/>
    <n v="255"/>
    <d v="2023-12-01T00:00:00"/>
    <d v="1899-12-30T23:15:00"/>
    <s v="December"/>
    <s v="Friday"/>
    <s v="Outlier"/>
    <x v="36"/>
  </r>
  <r>
    <n v="823885"/>
    <n v="687"/>
    <s v="France"/>
    <d v="2023-05-08T01:04:00"/>
    <s v="Whatsapp"/>
    <s v="Pascale Cartrain"/>
    <n v="5519"/>
    <d v="2023-05-08T00:00:00"/>
    <d v="1899-12-30T01:04:00"/>
    <s v="May"/>
    <s v="Monday"/>
    <s v="Outlier"/>
    <x v="63"/>
  </r>
  <r>
    <n v="823894"/>
    <n v="700"/>
    <s v="USA"/>
    <d v="2023-04-17T00:58:00"/>
    <s v="Website"/>
    <s v="Ann Brown"/>
    <n v="1666"/>
    <d v="2023-04-17T00:00:00"/>
    <d v="1899-12-30T00:58:00"/>
    <s v="April"/>
    <s v="Monday"/>
    <s v="Outlier"/>
    <x v="62"/>
  </r>
  <r>
    <n v="824383"/>
    <n v="1728"/>
    <s v="France"/>
    <d v="2023-01-02T00:48:00"/>
    <s v="Website"/>
    <s v="Pirkko Koskitalo"/>
    <n v="66"/>
    <d v="2023-01-02T00:00:00"/>
    <d v="1899-12-30T00:48:00"/>
    <s v="January"/>
    <s v="Monday"/>
    <s v="Outlier"/>
    <x v="18"/>
  </r>
  <r>
    <n v="824598"/>
    <n v="189"/>
    <s v="USA"/>
    <d v="2023-11-23T00:49:00"/>
    <s v="Other"/>
    <s v="Diego Freyre"/>
    <n v="5989"/>
    <d v="2023-11-23T00:00:00"/>
    <d v="1899-12-30T00:49:00"/>
    <s v="November"/>
    <s v="Thursday"/>
    <s v="Outlier"/>
    <x v="0"/>
  </r>
  <r>
    <n v="825270"/>
    <n v="926"/>
    <s v="USA"/>
    <d v="2023-01-13T23:22:00"/>
    <s v="App"/>
    <s v="Paul Henriot"/>
    <n v="9917"/>
    <d v="2023-01-13T00:00:00"/>
    <d v="1899-12-30T23:22:00"/>
    <s v="January"/>
    <s v="Friday"/>
    <s v="Outlier"/>
    <x v="11"/>
  </r>
  <r>
    <n v="825424"/>
    <n v="916"/>
    <s v="France"/>
    <d v="2023-06-17T00:50:00"/>
    <s v="Whatsapp"/>
    <s v="Sue Frick"/>
    <n v="7143"/>
    <d v="2023-06-17T00:00:00"/>
    <d v="1899-12-30T00:50:00"/>
    <s v="June"/>
    <s v="Saturday"/>
    <s v="Outlier"/>
    <x v="57"/>
  </r>
  <r>
    <n v="829148"/>
    <n v="1294"/>
    <s v="France"/>
    <d v="2023-01-17T00:34:00"/>
    <s v="Whatsapp"/>
    <s v="Sean Connery"/>
    <n v="2908"/>
    <d v="2023-01-17T00:00:00"/>
    <d v="1899-12-30T00:34:00"/>
    <s v="January"/>
    <s v="Tuesday"/>
    <s v="Outlier"/>
    <x v="26"/>
  </r>
  <r>
    <n v="829375"/>
    <n v="956"/>
    <s v="France"/>
    <d v="2023-09-14T00:16:00"/>
    <s v="Other"/>
    <s v="Diego Freyre"/>
    <n v="1515"/>
    <d v="2023-09-14T00:00:00"/>
    <d v="1899-12-30T00:16:00"/>
    <s v="September"/>
    <s v="Thursday"/>
    <s v="Outlier"/>
    <x v="18"/>
  </r>
  <r>
    <n v="831130"/>
    <n v="315"/>
    <s v="India"/>
    <d v="2023-09-11T00:35:00"/>
    <s v="Website"/>
    <s v="Eric Natividad"/>
    <n v="7205"/>
    <d v="2023-09-11T00:00:00"/>
    <d v="1899-12-30T00:35:00"/>
    <s v="September"/>
    <s v="Monday"/>
    <s v="Outlier"/>
    <x v="67"/>
  </r>
  <r>
    <n v="831821"/>
    <n v="609"/>
    <s v="USA"/>
    <d v="2023-05-23T00:35:00"/>
    <s v="App"/>
    <s v="Jeff Young"/>
    <n v="1827"/>
    <d v="2023-05-23T00:00:00"/>
    <d v="1899-12-30T00:35:00"/>
    <s v="May"/>
    <s v="Tuesday"/>
    <s v="Outlier"/>
    <x v="27"/>
  </r>
  <r>
    <n v="831974"/>
    <n v="548"/>
    <s v="USA"/>
    <d v="2023-12-26T00:54:00"/>
    <s v="Website"/>
    <s v="Valarie Nelson"/>
    <n v="6182"/>
    <d v="2023-12-26T00:00:00"/>
    <d v="1899-12-30T00:54:00"/>
    <s v="December"/>
    <s v="Tuesday"/>
    <s v="Outlier"/>
    <x v="68"/>
  </r>
  <r>
    <n v="832154"/>
    <n v="1586"/>
    <s v="France"/>
    <d v="2023-05-15T00:57:00"/>
    <s v="Other"/>
    <s v="Tony Calaghan"/>
    <n v="1928"/>
    <d v="2023-05-15T00:00:00"/>
    <d v="1899-12-30T00:57:00"/>
    <s v="May"/>
    <s v="Monday"/>
    <s v="Outlier"/>
    <x v="53"/>
  </r>
  <r>
    <n v="832361"/>
    <n v="1891"/>
    <s v="Singapore"/>
    <d v="2023-02-25T00:50:00"/>
    <s v="Other"/>
    <s v="Eric Natividad"/>
    <n v="6245"/>
    <d v="2023-02-25T00:00:00"/>
    <d v="1899-12-30T00:50:00"/>
    <s v="February"/>
    <s v="Saturday"/>
    <s v="Outlier"/>
    <x v="26"/>
  </r>
  <r>
    <n v="832627"/>
    <n v="1634"/>
    <s v="Spain"/>
    <d v="2023-06-18T23:56:00"/>
    <s v="Other"/>
    <s v="Maurizio Moroni"/>
    <n v="1375"/>
    <d v="2023-06-18T00:00:00"/>
    <d v="1899-12-30T23:56:00"/>
    <s v="June"/>
    <s v="Sunday"/>
    <s v="Outlier"/>
    <x v="6"/>
  </r>
  <r>
    <n v="833286"/>
    <n v="1797"/>
    <s v="USA"/>
    <d v="2023-12-16T23:42:00"/>
    <s v="Whatsapp"/>
    <s v="Wing C Tam"/>
    <n v="1274"/>
    <d v="2023-12-16T00:00:00"/>
    <d v="1899-12-30T23:42:00"/>
    <s v="December"/>
    <s v="Saturday"/>
    <s v="Outlier"/>
    <x v="23"/>
  </r>
  <r>
    <n v="833957"/>
    <n v="1398"/>
    <s v="Denmark"/>
    <d v="2023-12-24T00:18:00"/>
    <s v="Website"/>
    <s v="Leslie Murphy"/>
    <n v="4953"/>
    <d v="2023-12-24T00:00:00"/>
    <d v="1899-12-30T00:18:00"/>
    <s v="December"/>
    <s v="Sunday"/>
    <s v="Outlier"/>
    <x v="60"/>
  </r>
  <r>
    <n v="834746"/>
    <n v="1204"/>
    <s v="USA"/>
    <d v="2023-03-14T00:51:00"/>
    <s v="Whatsapp"/>
    <s v="Valarie Franco"/>
    <n v="3237"/>
    <d v="2023-03-14T00:00:00"/>
    <d v="1899-12-30T00:51:00"/>
    <s v="March"/>
    <s v="Tuesday"/>
    <s v="Outlier"/>
    <x v="20"/>
  </r>
  <r>
    <n v="835376"/>
    <n v="1936"/>
    <s v="Australia"/>
    <d v="2023-03-23T00:22:00"/>
    <s v="App"/>
    <s v="Dean Cassidy"/>
    <n v="6418"/>
    <d v="2023-03-23T00:00:00"/>
    <d v="1899-12-30T00:22:00"/>
    <s v="March"/>
    <s v="Thursday"/>
    <s v="Outlier"/>
    <x v="61"/>
  </r>
  <r>
    <n v="837272"/>
    <n v="924"/>
    <s v="India"/>
    <d v="2023-04-07T00:55:00"/>
    <s v="App"/>
    <s v="Roland Keitel"/>
    <n v="3774"/>
    <d v="2023-04-07T00:00:00"/>
    <d v="1899-12-30T00:55:00"/>
    <s v="April"/>
    <s v="Friday"/>
    <s v="Outlier"/>
    <x v="71"/>
  </r>
  <r>
    <n v="837273"/>
    <n v="226"/>
    <s v="USA"/>
    <d v="2023-12-13T23:28:00"/>
    <s v="Other"/>
    <s v="Kalle Suominen"/>
    <n v="2647"/>
    <d v="2023-12-13T00:00:00"/>
    <d v="1899-12-30T23:28:00"/>
    <s v="December"/>
    <s v="Wednesday"/>
    <s v="Outlier"/>
    <x v="34"/>
  </r>
  <r>
    <n v="837435"/>
    <n v="670"/>
    <s v="Australia"/>
    <d v="2023-09-04T23:52:00"/>
    <s v="Whatsapp"/>
    <s v="Kyung Yu"/>
    <n v="4671"/>
    <d v="2023-09-04T00:00:00"/>
    <d v="1899-12-30T23:52:00"/>
    <s v="September"/>
    <s v="Monday"/>
    <s v="Outlier"/>
    <x v="56"/>
  </r>
  <r>
    <n v="837592"/>
    <n v="1839"/>
    <s v="Germany"/>
    <d v="2023-01-06T01:53:00"/>
    <s v="App"/>
    <s v="Valarie Nelson"/>
    <n v="4917"/>
    <d v="2023-01-06T00:00:00"/>
    <d v="1899-12-30T01:53:00"/>
    <s v="January"/>
    <s v="Friday"/>
    <s v="Outlier"/>
    <x v="19"/>
  </r>
  <r>
    <n v="837731"/>
    <n v="783"/>
    <s v="USA"/>
    <d v="2023-08-28T23:18:00"/>
    <s v="Other"/>
    <s v="Kwai Yu"/>
    <n v="3632"/>
    <d v="2023-08-28T00:00:00"/>
    <d v="1899-12-30T23:18:00"/>
    <s v="August"/>
    <s v="Monday"/>
    <s v="Outlier"/>
    <x v="53"/>
  </r>
  <r>
    <n v="839161"/>
    <n v="1055"/>
    <s v="India"/>
    <d v="2023-08-22T00:44:00"/>
    <s v="App"/>
    <s v="Victoria Ashworth"/>
    <n v="9736"/>
    <d v="2023-08-22T00:00:00"/>
    <d v="1899-12-30T00:44:00"/>
    <s v="August"/>
    <s v="Tuesday"/>
    <s v="Outlier"/>
    <x v="29"/>
  </r>
  <r>
    <n v="840518"/>
    <n v="1150"/>
    <s v="USA"/>
    <d v="2023-09-25T23:20:00"/>
    <s v="Other"/>
    <s v="Palle Ibsen"/>
    <n v="4427"/>
    <d v="2023-09-25T00:00:00"/>
    <d v="1899-12-30T23:20:00"/>
    <s v="September"/>
    <s v="Monday"/>
    <s v="Outlier"/>
    <x v="55"/>
  </r>
  <r>
    <n v="840743"/>
    <n v="736"/>
    <s v="USA"/>
    <d v="2023-11-01T23:25:00"/>
    <s v="Website"/>
    <s v="Michael Frick"/>
    <n v="3437"/>
    <d v="2023-11-01T00:00:00"/>
    <d v="1899-12-30T23:25:00"/>
    <s v="November"/>
    <s v="Wednesday"/>
    <s v="Outlier"/>
    <x v="63"/>
  </r>
  <r>
    <n v="841079"/>
    <n v="1350"/>
    <s v="Spain"/>
    <d v="2023-07-03T01:22:00"/>
    <s v="Other"/>
    <s v="Maria Hernandez"/>
    <n v="9133"/>
    <d v="2023-07-03T00:00:00"/>
    <d v="1899-12-30T01:22:00"/>
    <s v="July"/>
    <s v="Monday"/>
    <s v="Outlier"/>
    <x v="66"/>
  </r>
  <r>
    <n v="841572"/>
    <n v="622"/>
    <s v="India"/>
    <d v="2023-02-28T22:36:00"/>
    <s v="App"/>
    <s v="Jeff Young"/>
    <n v="7748"/>
    <d v="2023-02-28T00:00:00"/>
    <d v="1899-12-30T22:36:00"/>
    <s v="February"/>
    <s v="Tuesday"/>
    <s v="Outlier"/>
    <x v="37"/>
  </r>
  <r>
    <n v="844238"/>
    <n v="16"/>
    <s v="Norway"/>
    <d v="2023-07-24T00:40:00"/>
    <s v="App"/>
    <s v="Diego Freyre"/>
    <n v="4887"/>
    <d v="2023-07-24T00:00:00"/>
    <d v="1899-12-30T00:40:00"/>
    <s v="July"/>
    <s v="Monday"/>
    <s v="Outlier"/>
    <x v="49"/>
  </r>
  <r>
    <n v="844243"/>
    <n v="1897"/>
    <s v="USA"/>
    <d v="2023-08-18T22:35:00"/>
    <s v="Website"/>
    <s v="Akiko Shimamura"/>
    <n v="911"/>
    <d v="2023-08-18T00:00:00"/>
    <d v="1899-12-30T22:35:00"/>
    <s v="August"/>
    <s v="Friday"/>
    <s v="Outlier"/>
    <x v="9"/>
  </r>
  <r>
    <n v="844669"/>
    <n v="1599"/>
    <s v="USA"/>
    <d v="2023-10-03T00:05:00"/>
    <s v="Website"/>
    <s v="Diego Freyre"/>
    <n v="3252"/>
    <d v="2023-10-03T00:00:00"/>
    <d v="1899-12-30T00:05:00"/>
    <s v="October"/>
    <s v="Tuesday"/>
    <s v="Outlier"/>
    <x v="49"/>
  </r>
  <r>
    <n v="844797"/>
    <n v="1785"/>
    <s v="Singapore"/>
    <d v="2023-11-01T01:54:00"/>
    <s v="Whatsapp"/>
    <s v="Diego Freyre"/>
    <n v="4452"/>
    <d v="2023-11-01T00:00:00"/>
    <d v="1899-12-30T01:54:00"/>
    <s v="November"/>
    <s v="Wednesday"/>
    <s v="Outlier"/>
    <x v="53"/>
  </r>
  <r>
    <n v="844829"/>
    <n v="1597"/>
    <s v="Denmark"/>
    <d v="2023-02-06T00:33:00"/>
    <s v="Website"/>
    <s v="Julie King"/>
    <n v="6954"/>
    <d v="2023-02-06T00:00:00"/>
    <d v="1899-12-30T00:33:00"/>
    <s v="February"/>
    <s v="Monday"/>
    <s v="Outlier"/>
    <x v="60"/>
  </r>
  <r>
    <n v="845718"/>
    <n v="90"/>
    <s v="USA"/>
    <d v="2023-02-15T23:01:00"/>
    <s v="Other"/>
    <s v="Valarie Young"/>
    <n v="1208"/>
    <d v="2023-02-15T00:00:00"/>
    <d v="1899-12-30T23:01:00"/>
    <s v="February"/>
    <s v="Wednesday"/>
    <s v="Outlier"/>
    <x v="68"/>
  </r>
  <r>
    <n v="845773"/>
    <n v="509"/>
    <s v="France"/>
    <d v="2023-10-20T00:35:00"/>
    <s v="Other"/>
    <s v="Victoria Ashworth"/>
    <n v="1906"/>
    <d v="2023-10-20T00:00:00"/>
    <d v="1899-12-30T00:35:00"/>
    <s v="October"/>
    <s v="Friday"/>
    <s v="Outlier"/>
    <x v="32"/>
  </r>
  <r>
    <n v="846161"/>
    <n v="458"/>
    <s v="Finland"/>
    <d v="2023-07-17T00:03:00"/>
    <s v="Whatsapp"/>
    <s v="Sue King"/>
    <n v="2523"/>
    <d v="2023-07-17T00:00:00"/>
    <d v="1899-12-30T00:03:00"/>
    <s v="July"/>
    <s v="Monday"/>
    <s v="Outlier"/>
    <x v="52"/>
  </r>
  <r>
    <n v="846198"/>
    <n v="312"/>
    <s v="Italy"/>
    <d v="2023-11-05T23:02:00"/>
    <s v="Other"/>
    <s v="Anna O'Hara"/>
    <n v="9762"/>
    <d v="2023-11-05T00:00:00"/>
    <d v="1899-12-30T23:02:00"/>
    <s v="November"/>
    <s v="Sunday"/>
    <s v="Outlier"/>
    <x v="4"/>
  </r>
  <r>
    <n v="846209"/>
    <n v="1271"/>
    <s v="France"/>
    <d v="2023-02-20T00:58:00"/>
    <s v="Website"/>
    <s v="Julie Brown"/>
    <n v="9945"/>
    <d v="2023-02-20T00:00:00"/>
    <d v="1899-12-30T00:58:00"/>
    <s v="February"/>
    <s v="Monday"/>
    <s v="Outlier"/>
    <x v="64"/>
  </r>
  <r>
    <n v="846419"/>
    <n v="1731"/>
    <s v="Spain"/>
    <d v="2023-06-03T22:40:00"/>
    <s v="App"/>
    <s v="Giovanni Rovelli"/>
    <n v="3664"/>
    <d v="2023-06-03T00:00:00"/>
    <d v="1899-12-30T22:40:00"/>
    <s v="June"/>
    <s v="Saturday"/>
    <s v="Outlier"/>
    <x v="48"/>
  </r>
  <r>
    <n v="846919"/>
    <n v="338"/>
    <s v="India"/>
    <d v="2023-08-20T02:07:00"/>
    <s v="Website"/>
    <s v="Valarie Nelson"/>
    <n v="2100"/>
    <d v="2023-08-20T00:00:00"/>
    <d v="1899-12-30T02:07:00"/>
    <s v="August"/>
    <s v="Sunday"/>
    <s v="Outlier"/>
    <x v="66"/>
  </r>
  <r>
    <n v="847595"/>
    <n v="558"/>
    <s v="India"/>
    <d v="2023-07-08T01:22:00"/>
    <s v="Other"/>
    <s v="Sean Connery"/>
    <n v="7327"/>
    <d v="2023-07-08T00:00:00"/>
    <d v="1899-12-30T01:22:00"/>
    <s v="July"/>
    <s v="Saturday"/>
    <s v="Outlier"/>
    <x v="54"/>
  </r>
  <r>
    <n v="848551"/>
    <n v="330"/>
    <s v="India"/>
    <d v="2023-01-25T00:12:00"/>
    <s v="Whatsapp"/>
    <s v="Jeff Young"/>
    <n v="6624"/>
    <d v="2023-01-25T00:00:00"/>
    <d v="1899-12-30T00:12:00"/>
    <s v="January"/>
    <s v="Wednesday"/>
    <s v="Outlier"/>
    <x v="64"/>
  </r>
  <r>
    <n v="848868"/>
    <n v="1010"/>
    <s v="Spain"/>
    <d v="2023-07-25T23:44:00"/>
    <s v="App"/>
    <s v="Thomas Hardy"/>
    <n v="7710"/>
    <d v="2023-07-25T00:00:00"/>
    <d v="1899-12-30T23:44:00"/>
    <s v="July"/>
    <s v="Tuesday"/>
    <s v="Outlier"/>
    <x v="9"/>
  </r>
  <r>
    <n v="849992"/>
    <n v="445"/>
    <s v="USA"/>
    <d v="2023-01-14T23:01:00"/>
    <s v="Whatsapp"/>
    <s v="Mary Saveley"/>
    <n v="4522"/>
    <d v="2023-01-14T00:00:00"/>
    <d v="1899-12-30T23:01:00"/>
    <s v="January"/>
    <s v="Saturday"/>
    <s v="Outlier"/>
    <x v="59"/>
  </r>
  <r>
    <n v="850051"/>
    <n v="1914"/>
    <s v="Australia"/>
    <d v="2023-10-31T23:40:00"/>
    <s v="App"/>
    <s v="Frederique Citeaux"/>
    <n v="6638"/>
    <d v="2023-10-31T00:00:00"/>
    <d v="1899-12-30T23:40:00"/>
    <s v="October"/>
    <s v="Tuesday"/>
    <s v="Outlier"/>
    <x v="6"/>
  </r>
  <r>
    <n v="850122"/>
    <n v="1112"/>
    <s v="Spain"/>
    <d v="2023-06-19T01:43:00"/>
    <s v="Website"/>
    <s v="Paolo Accorti"/>
    <n v="8887"/>
    <d v="2023-06-19T00:00:00"/>
    <d v="1899-12-30T01:43:00"/>
    <s v="June"/>
    <s v="Monday"/>
    <s v="Outlier"/>
    <x v="35"/>
  </r>
  <r>
    <n v="850897"/>
    <n v="297"/>
    <s v="India"/>
    <d v="2023-05-10T00:40:00"/>
    <s v="Whatsapp"/>
    <s v="Wendy Victorino"/>
    <n v="975"/>
    <d v="2023-05-10T00:00:00"/>
    <d v="1899-12-30T00:40:00"/>
    <s v="May"/>
    <s v="Wednesday"/>
    <s v="Outlier"/>
    <x v="5"/>
  </r>
  <r>
    <n v="854481"/>
    <n v="712"/>
    <s v="USA"/>
    <d v="2023-12-18T22:44:00"/>
    <s v="Other"/>
    <s v="Elizabeth Devon"/>
    <n v="1745"/>
    <d v="2023-12-18T00:00:00"/>
    <d v="1899-12-30T22:44:00"/>
    <s v="December"/>
    <s v="Monday"/>
    <s v="Outlier"/>
    <x v="70"/>
  </r>
  <r>
    <n v="857496"/>
    <n v="597"/>
    <s v="France"/>
    <d v="2023-03-12T01:04:00"/>
    <s v="Website"/>
    <s v="Diego Freyre"/>
    <n v="4933"/>
    <d v="2023-03-12T00:00:00"/>
    <d v="1899-12-30T01:04:00"/>
    <s v="March"/>
    <s v="Sunday"/>
    <s v="Outlier"/>
    <x v="64"/>
  </r>
  <r>
    <n v="858083"/>
    <n v="569"/>
    <s v="USA"/>
    <d v="2023-03-19T00:25:00"/>
    <s v="Website"/>
    <s v="Victoria Ashworth"/>
    <n v="5575"/>
    <d v="2023-03-19T00:00:00"/>
    <d v="1899-12-30T00:25:00"/>
    <s v="March"/>
    <s v="Sunday"/>
    <s v="Outlier"/>
    <x v="14"/>
  </r>
  <r>
    <n v="858912"/>
    <n v="1105"/>
    <s v="France"/>
    <d v="2023-06-09T00:08:00"/>
    <s v="Other"/>
    <s v="Laurence Lebihan"/>
    <n v="4421"/>
    <d v="2023-06-09T00:00:00"/>
    <d v="1899-12-30T00:08:00"/>
    <s v="June"/>
    <s v="Friday"/>
    <s v="Outlier"/>
    <x v="33"/>
  </r>
  <r>
    <n v="859166"/>
    <n v="982"/>
    <s v="USA"/>
    <d v="2023-06-26T01:09:00"/>
    <s v="App"/>
    <s v="Julie Young"/>
    <n v="34"/>
    <d v="2023-06-26T00:00:00"/>
    <d v="1899-12-30T01:09:00"/>
    <s v="June"/>
    <s v="Monday"/>
    <s v="Outlier"/>
    <x v="31"/>
  </r>
  <r>
    <n v="860417"/>
    <n v="1546"/>
    <s v="Austria"/>
    <d v="2023-12-20T01:13:00"/>
    <s v="Website"/>
    <s v="Diego Freyre"/>
    <n v="2332"/>
    <d v="2023-12-20T00:00:00"/>
    <d v="1899-12-30T01:13:00"/>
    <s v="December"/>
    <s v="Wednesday"/>
    <s v="Outlier"/>
    <x v="19"/>
  </r>
  <r>
    <n v="860659"/>
    <n v="1635"/>
    <s v="USA"/>
    <d v="2023-11-17T00:56:00"/>
    <s v="App"/>
    <s v="Sue Frick"/>
    <n v="9192"/>
    <d v="2023-11-17T00:00:00"/>
    <d v="1899-12-30T00:56:00"/>
    <s v="November"/>
    <s v="Friday"/>
    <s v="Outlier"/>
    <x v="10"/>
  </r>
  <r>
    <n v="861120"/>
    <n v="1274"/>
    <s v="USA"/>
    <d v="2023-06-23T00:26:00"/>
    <s v="Whatsapp"/>
    <s v="Adrian Huxley"/>
    <n v="6826"/>
    <d v="2023-06-23T00:00:00"/>
    <d v="1899-12-30T00:26:00"/>
    <s v="June"/>
    <s v="Friday"/>
    <s v="Outlier"/>
    <x v="61"/>
  </r>
  <r>
    <n v="861875"/>
    <n v="1398"/>
    <s v="Denmark"/>
    <d v="2023-05-12T00:44:00"/>
    <s v="Whatsapp"/>
    <s v="Jytte Petersen"/>
    <n v="3774"/>
    <d v="2023-05-12T00:00:00"/>
    <d v="1899-12-30T00:44:00"/>
    <s v="May"/>
    <s v="Friday"/>
    <s v="Outlier"/>
    <x v="60"/>
  </r>
  <r>
    <n v="862127"/>
    <n v="1388"/>
    <s v="Singapore"/>
    <d v="2023-08-02T01:23:00"/>
    <s v="Whatsapp"/>
    <s v="Eric Natividad"/>
    <n v="891"/>
    <d v="2023-08-02T00:00:00"/>
    <d v="1899-12-30T01:23:00"/>
    <s v="August"/>
    <s v="Wednesday"/>
    <s v="Outlier"/>
    <x v="48"/>
  </r>
  <r>
    <n v="862595"/>
    <n v="1734"/>
    <s v="USA"/>
    <d v="2023-06-24T00:46:00"/>
    <s v="Other"/>
    <s v="Diego Freyre"/>
    <n v="2309"/>
    <d v="2023-06-24T00:00:00"/>
    <d v="1899-12-30T00:46:00"/>
    <s v="June"/>
    <s v="Saturday"/>
    <s v="Outlier"/>
    <x v="14"/>
  </r>
  <r>
    <n v="862868"/>
    <n v="872"/>
    <s v="France"/>
    <d v="2023-06-17T23:20:00"/>
    <s v="App"/>
    <s v="Valarie Nelson"/>
    <n v="735"/>
    <d v="2023-06-17T00:00:00"/>
    <d v="1899-12-30T23:20:00"/>
    <s v="June"/>
    <s v="Saturday"/>
    <s v="Outlier"/>
    <x v="1"/>
  </r>
  <r>
    <n v="863202"/>
    <n v="1103"/>
    <s v="India"/>
    <d v="2023-08-21T01:24:00"/>
    <s v="Whatsapp"/>
    <s v="Diego Freyre"/>
    <n v="5136"/>
    <d v="2023-08-21T00:00:00"/>
    <d v="1899-12-30T01:24:00"/>
    <s v="August"/>
    <s v="Monday"/>
    <s v="Outlier"/>
    <x v="24"/>
  </r>
  <r>
    <n v="863877"/>
    <n v="1217"/>
    <s v="USA"/>
    <d v="2023-12-15T00:55:00"/>
    <s v="Website"/>
    <s v="Violeta Benitez"/>
    <n v="509"/>
    <d v="2023-12-15T00:00:00"/>
    <d v="1899-12-30T00:55:00"/>
    <s v="December"/>
    <s v="Friday"/>
    <s v="Outlier"/>
    <x v="17"/>
  </r>
  <r>
    <n v="864174"/>
    <n v="1442"/>
    <s v="USA"/>
    <d v="2023-04-11T01:45:00"/>
    <s v="Website"/>
    <s v="Jesus Fernandez"/>
    <n v="1523"/>
    <d v="2023-04-11T00:00:00"/>
    <d v="1899-12-30T01:45:00"/>
    <s v="April"/>
    <s v="Tuesday"/>
    <s v="Outlier"/>
    <x v="43"/>
  </r>
  <r>
    <n v="864744"/>
    <n v="709"/>
    <s v="France"/>
    <d v="2023-01-29T23:39:00"/>
    <s v="Other"/>
    <s v="Wing C Tam"/>
    <n v="2914"/>
    <d v="2023-01-29T00:00:00"/>
    <d v="1899-12-30T23:39:00"/>
    <s v="January"/>
    <s v="Sunday"/>
    <s v="Outlier"/>
    <x v="30"/>
  </r>
  <r>
    <n v="864760"/>
    <n v="1777"/>
    <s v="USA"/>
    <d v="2023-09-26T01:13:00"/>
    <s v="App"/>
    <s v="Eduardo Saavedra"/>
    <n v="1621"/>
    <d v="2023-09-26T00:00:00"/>
    <d v="1899-12-30T01:13:00"/>
    <s v="September"/>
    <s v="Tuesday"/>
    <s v="Outlier"/>
    <x v="30"/>
  </r>
  <r>
    <n v="865712"/>
    <n v="599"/>
    <s v="Australia"/>
    <d v="2023-09-05T01:39:00"/>
    <s v="Website"/>
    <s v="Mary Saveley"/>
    <n v="8680"/>
    <d v="2023-09-05T00:00:00"/>
    <d v="1899-12-30T01:39:00"/>
    <s v="September"/>
    <s v="Tuesday"/>
    <s v="Outlier"/>
    <x v="24"/>
  </r>
  <r>
    <n v="866403"/>
    <n v="417"/>
    <s v="France"/>
    <d v="2023-07-02T23:48:00"/>
    <s v="Website"/>
    <s v="Catherine Dewey"/>
    <n v="122"/>
    <d v="2023-07-02T00:00:00"/>
    <d v="1899-12-30T23:48:00"/>
    <s v="July"/>
    <s v="Sunday"/>
    <s v="Outlier"/>
    <x v="62"/>
  </r>
  <r>
    <n v="867012"/>
    <n v="557"/>
    <s v="Germany"/>
    <d v="2023-02-26T00:16:00"/>
    <s v="App"/>
    <s v="Helen Bennett"/>
    <n v="7900"/>
    <d v="2023-02-26T00:00:00"/>
    <d v="1899-12-30T00:16:00"/>
    <s v="February"/>
    <s v="Sunday"/>
    <s v="Outlier"/>
    <x v="58"/>
  </r>
  <r>
    <n v="867108"/>
    <n v="1310"/>
    <s v="Spain"/>
    <d v="2023-08-09T01:16:00"/>
    <s v="Other"/>
    <s v="Kwai Yu"/>
    <n v="9531"/>
    <d v="2023-08-09T00:00:00"/>
    <d v="1899-12-30T01:16:00"/>
    <s v="August"/>
    <s v="Wednesday"/>
    <s v="Outlier"/>
    <x v="41"/>
  </r>
  <r>
    <n v="867276"/>
    <n v="360"/>
    <s v="India"/>
    <d v="2023-01-12T01:03:00"/>
    <s v="App"/>
    <s v="Jean Fresnisre"/>
    <n v="6820"/>
    <d v="2023-01-12T00:00:00"/>
    <d v="1899-12-30T01:03:00"/>
    <s v="January"/>
    <s v="Thursday"/>
    <s v="Outlier"/>
    <x v="24"/>
  </r>
  <r>
    <n v="867382"/>
    <n v="1007"/>
    <s v="USA"/>
    <d v="2023-01-28T00:35:00"/>
    <s v="Website"/>
    <s v="Catherine Dewey"/>
    <n v="2855"/>
    <d v="2023-01-28T00:00:00"/>
    <d v="1899-12-30T00:35:00"/>
    <s v="January"/>
    <s v="Saturday"/>
    <s v="Outlier"/>
    <x v="14"/>
  </r>
  <r>
    <n v="869884"/>
    <n v="1701"/>
    <s v="USA"/>
    <d v="2023-11-26T00:49:00"/>
    <s v="Whatsapp"/>
    <s v="Elizabeth Lincoln"/>
    <n v="4256"/>
    <d v="2023-11-26T00:00:00"/>
    <d v="1899-12-30T00:49:00"/>
    <s v="November"/>
    <s v="Sunday"/>
    <s v="Outlier"/>
    <x v="10"/>
  </r>
  <r>
    <n v="869899"/>
    <n v="623"/>
    <s v="India"/>
    <d v="2023-06-20T01:37:00"/>
    <s v="App"/>
    <s v="Paolo Accorti"/>
    <n v="7143"/>
    <d v="2023-06-20T00:00:00"/>
    <d v="1899-12-30T01:37:00"/>
    <s v="June"/>
    <s v="Tuesday"/>
    <s v="Outlier"/>
    <x v="16"/>
  </r>
  <r>
    <n v="870081"/>
    <n v="1667"/>
    <s v="France"/>
    <d v="2023-06-22T00:57:00"/>
    <s v="Website"/>
    <s v="Victoria Ashworth"/>
    <n v="1176"/>
    <d v="2023-06-22T00:00:00"/>
    <d v="1899-12-30T00:57:00"/>
    <s v="June"/>
    <s v="Thursday"/>
    <s v="Outlier"/>
    <x v="38"/>
  </r>
  <r>
    <n v="870973"/>
    <n v="429"/>
    <s v="Germany"/>
    <d v="2023-10-26T23:23:00"/>
    <s v="App"/>
    <s v="Janine Labrune"/>
    <n v="2728"/>
    <d v="2023-10-26T00:00:00"/>
    <d v="1899-12-30T23:23:00"/>
    <s v="October"/>
    <s v="Thursday"/>
    <s v="Outlier"/>
    <x v="30"/>
  </r>
  <r>
    <n v="871057"/>
    <n v="52"/>
    <s v="USA"/>
    <d v="2023-11-10T00:28:00"/>
    <s v="Website"/>
    <s v="Christina Berglund"/>
    <n v="6246"/>
    <d v="2023-11-10T00:00:00"/>
    <d v="1899-12-30T00:28:00"/>
    <s v="November"/>
    <s v="Friday"/>
    <s v="Outlier"/>
    <x v="21"/>
  </r>
  <r>
    <n v="871258"/>
    <n v="461"/>
    <s v="Australia"/>
    <d v="2023-05-26T00:34:00"/>
    <s v="App"/>
    <s v="Maria Hernandez"/>
    <n v="2564"/>
    <d v="2023-05-26T00:00:00"/>
    <d v="1899-12-30T00:34:00"/>
    <s v="May"/>
    <s v="Friday"/>
    <s v="Outlier"/>
    <x v="55"/>
  </r>
  <r>
    <n v="872066"/>
    <n v="510"/>
    <s v="USA"/>
    <d v="2023-10-04T23:49:00"/>
    <s v="App"/>
    <s v="Diego Freyre"/>
    <n v="7354"/>
    <d v="2023-10-04T00:00:00"/>
    <d v="1899-12-30T23:49:00"/>
    <s v="October"/>
    <s v="Wednesday"/>
    <s v="Outlier"/>
    <x v="36"/>
  </r>
  <r>
    <n v="874091"/>
    <n v="1236"/>
    <s v="USA"/>
    <d v="2023-07-14T23:18:00"/>
    <s v="Website"/>
    <s v="Akiko Shimamura"/>
    <n v="54"/>
    <d v="2023-07-14T00:00:00"/>
    <d v="1899-12-30T23:18:00"/>
    <s v="July"/>
    <s v="Friday"/>
    <s v="Outlier"/>
    <x v="59"/>
  </r>
  <r>
    <n v="875005"/>
    <n v="1859"/>
    <s v="Spain"/>
    <d v="2023-06-23T23:41:00"/>
    <s v="Website"/>
    <s v="Diego Freyre"/>
    <n v="538"/>
    <d v="2023-06-23T00:00:00"/>
    <d v="1899-12-30T23:41:00"/>
    <s v="June"/>
    <s v="Friday"/>
    <s v="Outlier"/>
    <x v="71"/>
  </r>
  <r>
    <n v="875015"/>
    <n v="849"/>
    <s v="France"/>
    <d v="2023-08-24T00:25:00"/>
    <s v="Whatsapp"/>
    <s v="Valarie Nelson"/>
    <n v="235"/>
    <d v="2023-08-24T00:00:00"/>
    <d v="1899-12-30T00:25:00"/>
    <s v="August"/>
    <s v="Thursday"/>
    <s v="Outlier"/>
    <x v="11"/>
  </r>
  <r>
    <n v="875813"/>
    <n v="1088"/>
    <s v="India"/>
    <d v="2023-04-30T00:11:00"/>
    <s v="Whatsapp"/>
    <s v="Juri Yoshido"/>
    <n v="1198"/>
    <d v="2023-04-30T00:00:00"/>
    <d v="1899-12-30T00:11:00"/>
    <s v="April"/>
    <s v="Sunday"/>
    <s v="Outlier"/>
    <x v="54"/>
  </r>
  <r>
    <n v="875981"/>
    <n v="991"/>
    <s v="USA"/>
    <d v="2023-09-05T01:14:00"/>
    <s v="Website"/>
    <s v="Jonas Bergulfsen"/>
    <n v="6567"/>
    <d v="2023-09-05T00:00:00"/>
    <d v="1899-12-30T01:14:00"/>
    <s v="September"/>
    <s v="Tuesday"/>
    <s v="Outlier"/>
    <x v="39"/>
  </r>
  <r>
    <n v="876685"/>
    <n v="1061"/>
    <s v="Finland"/>
    <d v="2023-01-24T23:39:00"/>
    <s v="Website"/>
    <s v="Marie Bertrand"/>
    <n v="3507"/>
    <d v="2023-01-24T00:00:00"/>
    <d v="1899-12-30T23:39:00"/>
    <s v="January"/>
    <s v="Tuesday"/>
    <s v="Outlier"/>
    <x v="57"/>
  </r>
  <r>
    <n v="877616"/>
    <n v="1685"/>
    <s v="USA"/>
    <d v="2023-12-19T00:00:00"/>
    <s v="App"/>
    <s v="Mart¡n Sommer"/>
    <n v="6662"/>
    <d v="2023-12-19T00:00:00"/>
    <d v="1899-12-30T00:00:00"/>
    <s v="December"/>
    <s v="Tuesday"/>
    <s v="Outlier"/>
    <x v="8"/>
  </r>
  <r>
    <n v="877681"/>
    <n v="166"/>
    <s v="France"/>
    <d v="2023-12-24T01:53:00"/>
    <s v="Other"/>
    <s v="Juri Hirano"/>
    <n v="2796"/>
    <d v="2023-12-24T00:00:00"/>
    <d v="1899-12-30T01:53:00"/>
    <s v="December"/>
    <s v="Sunday"/>
    <s v="Outlier"/>
    <x v="18"/>
  </r>
  <r>
    <n v="877784"/>
    <n v="422"/>
    <s v="India"/>
    <d v="2023-02-27T22:50:00"/>
    <s v="Other"/>
    <s v="Eric Natividad"/>
    <n v="9049"/>
    <d v="2023-02-27T00:00:00"/>
    <d v="1899-12-30T22:50:00"/>
    <s v="February"/>
    <s v="Monday"/>
    <s v="Outlier"/>
    <x v="71"/>
  </r>
  <r>
    <n v="878611"/>
    <n v="1668"/>
    <s v="USA"/>
    <d v="2023-11-24T00:53:00"/>
    <s v="Whatsapp"/>
    <s v="Roland Mendel"/>
    <n v="3591"/>
    <d v="2023-11-24T00:00:00"/>
    <d v="1899-12-30T00:53:00"/>
    <s v="November"/>
    <s v="Friday"/>
    <s v="Outlier"/>
    <x v="17"/>
  </r>
  <r>
    <n v="878658"/>
    <n v="780"/>
    <s v="India"/>
    <d v="2023-10-18T01:28:00"/>
    <s v="Other"/>
    <s v="Ann Brown"/>
    <n v="3114"/>
    <d v="2023-10-18T00:00:00"/>
    <d v="1899-12-30T01:28:00"/>
    <s v="October"/>
    <s v="Wednesday"/>
    <s v="Outlier"/>
    <x v="64"/>
  </r>
  <r>
    <n v="878771"/>
    <n v="194"/>
    <s v="India"/>
    <d v="2023-07-21T01:58:00"/>
    <s v="Whatsapp"/>
    <s v="Francisca Cervantes"/>
    <n v="7705"/>
    <d v="2023-07-21T00:00:00"/>
    <d v="1899-12-30T01:58:00"/>
    <s v="July"/>
    <s v="Friday"/>
    <s v="Outlier"/>
    <x v="71"/>
  </r>
  <r>
    <n v="879541"/>
    <n v="907"/>
    <s v="Denmark"/>
    <d v="2023-08-26T22:58:00"/>
    <s v="Whatsapp"/>
    <s v="Mary Saveley"/>
    <n v="1465"/>
    <d v="2023-08-26T00:00:00"/>
    <d v="1899-12-30T22:58:00"/>
    <s v="August"/>
    <s v="Saturday"/>
    <s v="Outlier"/>
    <x v="39"/>
  </r>
  <r>
    <n v="879819"/>
    <n v="286"/>
    <s v="USA"/>
    <d v="2023-06-08T00:51:00"/>
    <s v="Other"/>
    <s v="Valarie Franco"/>
    <n v="6894"/>
    <d v="2023-06-08T00:00:00"/>
    <d v="1899-12-30T00:51:00"/>
    <s v="June"/>
    <s v="Thursday"/>
    <s v="Outlier"/>
    <x v="33"/>
  </r>
  <r>
    <n v="881346"/>
    <n v="327"/>
    <s v="India"/>
    <d v="2023-12-19T23:40:00"/>
    <s v="Other"/>
    <s v="Wendy Victorino"/>
    <n v="8816"/>
    <d v="2023-12-19T00:00:00"/>
    <d v="1899-12-30T23:40:00"/>
    <s v="December"/>
    <s v="Tuesday"/>
    <s v="Outlier"/>
    <x v="24"/>
  </r>
  <r>
    <n v="882347"/>
    <n v="1938"/>
    <s v="USA"/>
    <d v="2023-09-18T22:35:00"/>
    <s v="App"/>
    <s v="Valarie Nelson"/>
    <n v="3811"/>
    <d v="2023-09-18T00:00:00"/>
    <d v="1899-12-30T22:35:00"/>
    <s v="September"/>
    <s v="Monday"/>
    <s v="Outlier"/>
    <x v="41"/>
  </r>
  <r>
    <n v="883228"/>
    <n v="1251"/>
    <s v="USA"/>
    <d v="2023-04-19T01:24:00"/>
    <s v="Other"/>
    <s v="Leslie Murphy"/>
    <n v="381"/>
    <d v="2023-04-19T00:00:00"/>
    <d v="1899-12-30T01:24:00"/>
    <s v="April"/>
    <s v="Wednesday"/>
    <s v="Outlier"/>
    <x v="34"/>
  </r>
  <r>
    <n v="883461"/>
    <n v="1023"/>
    <s v="Germany"/>
    <d v="2023-11-05T23:05:00"/>
    <s v="Whatsapp"/>
    <s v="Wendy Victorino"/>
    <n v="7192"/>
    <d v="2023-11-05T00:00:00"/>
    <d v="1899-12-30T23:05:00"/>
    <s v="November"/>
    <s v="Sunday"/>
    <s v="Outlier"/>
    <x v="44"/>
  </r>
  <r>
    <n v="883497"/>
    <n v="954"/>
    <s v="India"/>
    <d v="2023-08-03T00:58:00"/>
    <s v="Website"/>
    <s v="Adrian Huxley"/>
    <n v="1216"/>
    <d v="2023-08-03T00:00:00"/>
    <d v="1899-12-30T00:58:00"/>
    <s v="August"/>
    <s v="Thursday"/>
    <s v="Outlier"/>
    <x v="31"/>
  </r>
  <r>
    <n v="884628"/>
    <n v="464"/>
    <s v="Italy"/>
    <d v="2023-12-06T00:01:00"/>
    <s v="Website"/>
    <s v="Kyung Yu"/>
    <n v="7177"/>
    <d v="2023-12-06T00:00:00"/>
    <d v="1899-12-30T00:01:00"/>
    <s v="December"/>
    <s v="Wednesday"/>
    <s v="Outlier"/>
    <x v="47"/>
  </r>
  <r>
    <n v="885377"/>
    <n v="1622"/>
    <s v="France"/>
    <d v="2023-02-11T00:54:00"/>
    <s v="Other"/>
    <s v="Maria Larsson"/>
    <n v="7139"/>
    <d v="2023-02-11T00:00:00"/>
    <d v="1899-12-30T00:54:00"/>
    <s v="February"/>
    <s v="Saturday"/>
    <s v="Outlier"/>
    <x v="27"/>
  </r>
  <r>
    <n v="885750"/>
    <n v="1837"/>
    <s v="Switzerland"/>
    <d v="2023-12-07T00:57:00"/>
    <s v="App"/>
    <s v="Marta Hernandez"/>
    <n v="1520"/>
    <d v="2023-12-07T00:00:00"/>
    <d v="1899-12-30T00:57:00"/>
    <s v="December"/>
    <s v="Thursday"/>
    <s v="Outlier"/>
    <x v="27"/>
  </r>
  <r>
    <n v="885987"/>
    <n v="1601"/>
    <s v="France"/>
    <d v="2023-10-27T00:23:00"/>
    <s v="App"/>
    <s v="Yoshi Tannamuri"/>
    <n v="8973"/>
    <d v="2023-10-27T00:00:00"/>
    <d v="1899-12-30T00:23:00"/>
    <s v="October"/>
    <s v="Friday"/>
    <s v="Outlier"/>
    <x v="13"/>
  </r>
  <r>
    <n v="886188"/>
    <n v="581"/>
    <s v="USA"/>
    <d v="2023-10-03T01:12:00"/>
    <s v="Website"/>
    <s v="Roland Keitel"/>
    <n v="5000"/>
    <d v="2023-10-03T00:00:00"/>
    <d v="1899-12-30T01:12:00"/>
    <s v="October"/>
    <s v="Tuesday"/>
    <s v="Outlier"/>
    <x v="62"/>
  </r>
  <r>
    <n v="887239"/>
    <n v="1157"/>
    <s v="Singapore"/>
    <d v="2023-06-24T02:05:00"/>
    <s v="Website"/>
    <s v="Christina Berglund"/>
    <n v="9005"/>
    <d v="2023-06-24T00:00:00"/>
    <d v="1899-12-30T02:05:00"/>
    <s v="June"/>
    <s v="Saturday"/>
    <s v="Outlier"/>
    <x v="41"/>
  </r>
  <r>
    <n v="888702"/>
    <n v="746"/>
    <s v="USA"/>
    <d v="2023-09-19T00:52:00"/>
    <s v="App"/>
    <s v="Peter Ferguson"/>
    <n v="98"/>
    <d v="2023-09-19T00:00:00"/>
    <d v="1899-12-30T00:52:00"/>
    <s v="September"/>
    <s v="Tuesday"/>
    <s v="Outlier"/>
    <x v="21"/>
  </r>
  <r>
    <n v="888938"/>
    <n v="1606"/>
    <s v="France"/>
    <d v="2023-09-01T01:34:00"/>
    <s v="Other"/>
    <s v="Valarie Nelson"/>
    <n v="1061"/>
    <d v="2023-09-01T00:00:00"/>
    <d v="1899-12-30T01:34:00"/>
    <s v="September"/>
    <s v="Friday"/>
    <s v="Outlier"/>
    <x v="12"/>
  </r>
  <r>
    <n v="889356"/>
    <n v="1246"/>
    <s v="France"/>
    <d v="2023-03-17T00:39:00"/>
    <s v="Other"/>
    <s v="Anna O'Hara"/>
    <n v="2670"/>
    <d v="2023-03-17T00:00:00"/>
    <d v="1899-12-30T00:39:00"/>
    <s v="March"/>
    <s v="Friday"/>
    <s v="Outlier"/>
    <x v="67"/>
  </r>
  <r>
    <n v="890131"/>
    <n v="879"/>
    <s v="USA"/>
    <d v="2023-09-28T01:51:00"/>
    <s v="Website"/>
    <s v="Valarie Nelson"/>
    <n v="3832"/>
    <d v="2023-09-28T00:00:00"/>
    <d v="1899-12-30T01:51:00"/>
    <s v="September"/>
    <s v="Thursday"/>
    <s v="Outlier"/>
    <x v="41"/>
  </r>
  <r>
    <n v="890922"/>
    <n v="1077"/>
    <s v="India"/>
    <d v="2023-08-01T23:22:00"/>
    <s v="Whatsapp"/>
    <s v="Jean Fresnisre"/>
    <n v="2256"/>
    <d v="2023-08-01T00:00:00"/>
    <d v="1899-12-30T23:22:00"/>
    <s v="August"/>
    <s v="Tuesday"/>
    <s v="Outlier"/>
    <x v="32"/>
  </r>
  <r>
    <n v="892608"/>
    <n v="417"/>
    <s v="France"/>
    <d v="2023-12-10T00:16:00"/>
    <s v="Other"/>
    <s v="Janine Labrune"/>
    <n v="9919"/>
    <d v="2023-12-10T00:00:00"/>
    <d v="1899-12-30T00:16:00"/>
    <s v="December"/>
    <s v="Sunday"/>
    <s v="Outlier"/>
    <x v="62"/>
  </r>
  <r>
    <n v="892773"/>
    <n v="1804"/>
    <s v="Australia"/>
    <d v="2023-12-15T23:13:00"/>
    <s v="Other"/>
    <s v="Jonas Bergulfsen"/>
    <n v="999"/>
    <d v="2023-12-15T00:00:00"/>
    <d v="1899-12-30T23:13:00"/>
    <s v="December"/>
    <s v="Friday"/>
    <s v="Outlier"/>
    <x v="49"/>
  </r>
  <r>
    <n v="893103"/>
    <n v="1877"/>
    <s v="Spain"/>
    <d v="2023-02-08T23:33:00"/>
    <s v="Other"/>
    <s v="Valarie Nelson"/>
    <n v="1604"/>
    <d v="2023-02-08T00:00:00"/>
    <d v="1899-12-30T23:33:00"/>
    <s v="February"/>
    <s v="Wednesday"/>
    <s v="Outlier"/>
    <x v="13"/>
  </r>
  <r>
    <n v="893771"/>
    <n v="416"/>
    <s v="India"/>
    <d v="2023-09-01T00:34:00"/>
    <s v="Whatsapp"/>
    <s v="Mart¡n Sommer"/>
    <n v="1398"/>
    <d v="2023-09-01T00:00:00"/>
    <d v="1899-12-30T00:34:00"/>
    <s v="September"/>
    <s v="Friday"/>
    <s v="Outlier"/>
    <x v="71"/>
  </r>
  <r>
    <n v="894762"/>
    <n v="393"/>
    <s v="India"/>
    <d v="2023-08-03T00:40:00"/>
    <s v="App"/>
    <s v="Juri Hirano"/>
    <n v="4907"/>
    <d v="2023-08-03T00:00:00"/>
    <d v="1899-12-30T00:40:00"/>
    <s v="August"/>
    <s v="Thursday"/>
    <s v="Outlier"/>
    <x v="11"/>
  </r>
  <r>
    <n v="894938"/>
    <n v="1376"/>
    <s v="USA"/>
    <d v="2023-01-19T23:29:00"/>
    <s v="App"/>
    <s v="Eric Natividad"/>
    <n v="7358"/>
    <d v="2023-01-19T00:00:00"/>
    <d v="1899-12-30T23:29:00"/>
    <s v="January"/>
    <s v="Thursday"/>
    <s v="Outlier"/>
    <x v="8"/>
  </r>
  <r>
    <n v="895383"/>
    <n v="854"/>
    <s v="USA"/>
    <d v="2023-06-13T01:42:00"/>
    <s v="Other"/>
    <s v="Roland Mendel"/>
    <n v="7452"/>
    <d v="2023-06-13T00:00:00"/>
    <d v="1899-12-30T01:42:00"/>
    <s v="June"/>
    <s v="Tuesday"/>
    <s v="Outlier"/>
    <x v="57"/>
  </r>
  <r>
    <n v="895436"/>
    <n v="346"/>
    <s v="Spain"/>
    <d v="2023-09-08T00:38:00"/>
    <s v="Other"/>
    <s v="Tony Calaghan"/>
    <n v="6750"/>
    <d v="2023-09-08T00:00:00"/>
    <d v="1899-12-30T00:38:00"/>
    <s v="September"/>
    <s v="Friday"/>
    <s v="Outlier"/>
    <x v="18"/>
  </r>
  <r>
    <n v="896228"/>
    <n v="741"/>
    <s v="USA"/>
    <d v="2023-11-05T00:12:00"/>
    <s v="Whatsapp"/>
    <s v="Francisca Cervantes"/>
    <n v="3208"/>
    <d v="2023-11-05T00:00:00"/>
    <d v="1899-12-30T00:12:00"/>
    <s v="November"/>
    <s v="Sunday"/>
    <s v="Outlier"/>
    <x v="5"/>
  </r>
  <r>
    <n v="897460"/>
    <n v="711"/>
    <s v="USA"/>
    <d v="2023-09-24T23:05:00"/>
    <s v="App"/>
    <s v="Mary Saveley"/>
    <n v="3851"/>
    <d v="2023-09-24T00:00:00"/>
    <d v="1899-12-30T23:05:00"/>
    <s v="September"/>
    <s v="Sunday"/>
    <s v="Outlier"/>
    <x v="72"/>
  </r>
  <r>
    <n v="897997"/>
    <n v="1884"/>
    <s v="USA"/>
    <d v="2023-04-08T23:06:00"/>
    <s v="App"/>
    <s v="Yoshi Tannamuri"/>
    <n v="1149"/>
    <d v="2023-04-08T00:00:00"/>
    <d v="1899-12-30T23:06:00"/>
    <s v="April"/>
    <s v="Saturday"/>
    <s v="Outlier"/>
    <x v="34"/>
  </r>
  <r>
    <n v="899461"/>
    <n v="1382"/>
    <s v="Spain"/>
    <d v="2023-03-21T00:18:00"/>
    <s v="App"/>
    <s v="Steve Thompson"/>
    <n v="6071"/>
    <d v="2023-03-21T00:00:00"/>
    <d v="1899-12-30T00:18:00"/>
    <s v="March"/>
    <s v="Tuesday"/>
    <s v="Outlier"/>
    <x v="45"/>
  </r>
  <r>
    <n v="899739"/>
    <n v="842"/>
    <s v="France"/>
    <d v="2023-01-06T00:48:00"/>
    <s v="App"/>
    <s v="Valarie Nelson"/>
    <n v="3937"/>
    <d v="2023-01-06T00:00:00"/>
    <d v="1899-12-30T00:48:00"/>
    <s v="January"/>
    <s v="Friday"/>
    <s v="Outlier"/>
    <x v="10"/>
  </r>
  <r>
    <n v="899991"/>
    <n v="980"/>
    <s v="USA"/>
    <d v="2023-01-09T23:45:00"/>
    <s v="App"/>
    <s v="Leslie Murphy"/>
    <n v="4447"/>
    <d v="2023-01-09T00:00:00"/>
    <d v="1899-12-30T23:45:00"/>
    <s v="January"/>
    <s v="Monday"/>
    <s v="Outlier"/>
    <x v="34"/>
  </r>
  <r>
    <n v="901917"/>
    <n v="195"/>
    <s v="USA"/>
    <d v="2023-07-17T01:39:00"/>
    <s v="Other"/>
    <s v="Akiko Shimamura"/>
    <n v="1318"/>
    <d v="2023-07-17T00:00:00"/>
    <d v="1899-12-30T01:39:00"/>
    <s v="July"/>
    <s v="Monday"/>
    <s v="Outlier"/>
    <x v="66"/>
  </r>
  <r>
    <n v="903650"/>
    <n v="1971"/>
    <s v="Spain"/>
    <d v="2023-03-14T23:46:00"/>
    <s v="Whatsapp"/>
    <s v="Adrian Huxley"/>
    <n v="8993"/>
    <d v="2023-03-14T00:00:00"/>
    <d v="1899-12-30T23:46:00"/>
    <s v="March"/>
    <s v="Tuesday"/>
    <s v="Outlier"/>
    <x v="60"/>
  </r>
  <r>
    <n v="904533"/>
    <n v="223"/>
    <s v="India"/>
    <d v="2023-06-06T01:23:00"/>
    <s v="App"/>
    <s v="Kyung Yu"/>
    <n v="6781"/>
    <d v="2023-06-06T00:00:00"/>
    <d v="1899-12-30T01:23:00"/>
    <s v="June"/>
    <s v="Tuesday"/>
    <s v="Outlier"/>
    <x v="10"/>
  </r>
  <r>
    <n v="904997"/>
    <n v="909"/>
    <s v="India"/>
    <d v="2023-11-07T22:47:00"/>
    <s v="Website"/>
    <s v="Maria Larsson"/>
    <n v="9811"/>
    <d v="2023-11-07T00:00:00"/>
    <d v="1899-12-30T22:47:00"/>
    <s v="November"/>
    <s v="Tuesday"/>
    <s v="Outlier"/>
    <x v="37"/>
  </r>
  <r>
    <n v="906886"/>
    <n v="373"/>
    <s v="India"/>
    <d v="2023-03-09T00:47:00"/>
    <s v="Other"/>
    <s v="Daniel Tonini"/>
    <n v="7915"/>
    <d v="2023-03-09T00:00:00"/>
    <d v="1899-12-30T00:47:00"/>
    <s v="March"/>
    <s v="Thursday"/>
    <s v="Outlier"/>
    <x v="20"/>
  </r>
  <r>
    <n v="908364"/>
    <n v="617"/>
    <s v="USA"/>
    <d v="2023-06-01T23:55:00"/>
    <s v="Other"/>
    <s v="Valarie Nelson"/>
    <n v="5116"/>
    <d v="2023-06-01T00:00:00"/>
    <d v="1899-12-30T23:55:00"/>
    <s v="June"/>
    <s v="Thursday"/>
    <s v="Outlier"/>
    <x v="23"/>
  </r>
  <r>
    <n v="908702"/>
    <n v="1392"/>
    <s v="Ireland"/>
    <d v="2023-09-14T23:18:00"/>
    <s v="Website"/>
    <s v="Michael Frick"/>
    <n v="8379"/>
    <d v="2023-09-14T00:00:00"/>
    <d v="1899-12-30T23:18:00"/>
    <s v="September"/>
    <s v="Thursday"/>
    <s v="Outlier"/>
    <x v="49"/>
  </r>
  <r>
    <n v="909180"/>
    <n v="667"/>
    <s v="France"/>
    <d v="2023-06-01T00:48:00"/>
    <s v="Whatsapp"/>
    <s v="Julie Murphy"/>
    <n v="1650"/>
    <d v="2023-06-01T00:00:00"/>
    <d v="1899-12-30T00:48:00"/>
    <s v="June"/>
    <s v="Thursday"/>
    <s v="Outlier"/>
    <x v="71"/>
  </r>
  <r>
    <n v="910034"/>
    <n v="1798"/>
    <s v="USA"/>
    <d v="2023-09-08T23:31:00"/>
    <s v="Website"/>
    <s v="Mart¡n Sommer"/>
    <n v="3805"/>
    <d v="2023-09-08T00:00:00"/>
    <d v="1899-12-30T23:31:00"/>
    <s v="September"/>
    <s v="Friday"/>
    <s v="Outlier"/>
    <x v="34"/>
  </r>
  <r>
    <n v="910121"/>
    <n v="549"/>
    <s v="USA"/>
    <d v="2023-08-16T00:19:00"/>
    <s v="App"/>
    <s v="Diego Freyre"/>
    <n v="767"/>
    <d v="2023-08-16T00:00:00"/>
    <d v="1899-12-30T00:19:00"/>
    <s v="August"/>
    <s v="Wednesday"/>
    <s v="Outlier"/>
    <x v="41"/>
  </r>
  <r>
    <n v="911307"/>
    <n v="1606"/>
    <s v="France"/>
    <d v="2023-08-27T23:32:00"/>
    <s v="Whatsapp"/>
    <s v="Anna O'Hara"/>
    <n v="8205"/>
    <d v="2023-08-27T00:00:00"/>
    <d v="1899-12-30T23:32:00"/>
    <s v="August"/>
    <s v="Sunday"/>
    <s v="Outlier"/>
    <x v="12"/>
  </r>
  <r>
    <n v="911597"/>
    <n v="844"/>
    <s v="Italy"/>
    <d v="2023-01-15T22:54:00"/>
    <s v="Website"/>
    <s v="Valarie Nelson"/>
    <n v="5409"/>
    <d v="2023-01-15T00:00:00"/>
    <d v="1899-12-30T22:54:00"/>
    <s v="January"/>
    <s v="Sunday"/>
    <s v="Outlier"/>
    <x v="70"/>
  </r>
  <r>
    <n v="912904"/>
    <n v="349"/>
    <s v="Denmark"/>
    <d v="2023-12-06T23:51:00"/>
    <s v="Other"/>
    <s v="Jean Fresnisre"/>
    <n v="2520"/>
    <d v="2023-12-06T00:00:00"/>
    <d v="1899-12-30T23:51:00"/>
    <s v="December"/>
    <s v="Wednesday"/>
    <s v="Outlier"/>
    <x v="39"/>
  </r>
  <r>
    <n v="912973"/>
    <n v="646"/>
    <s v="Singapore"/>
    <d v="2023-12-20T23:25:00"/>
    <s v="Whatsapp"/>
    <s v="Diego Freyre"/>
    <n v="816"/>
    <d v="2023-12-20T00:00:00"/>
    <d v="1899-12-30T23:25:00"/>
    <s v="December"/>
    <s v="Wednesday"/>
    <s v="Outlier"/>
    <x v="45"/>
  </r>
  <r>
    <n v="914101"/>
    <n v="1839"/>
    <s v="Germany"/>
    <d v="2023-08-14T00:15:00"/>
    <s v="Website"/>
    <s v="Arnold Cruz"/>
    <n v="8372"/>
    <d v="2023-08-14T00:00:00"/>
    <d v="1899-12-30T00:15:00"/>
    <s v="August"/>
    <s v="Monday"/>
    <s v="Outlier"/>
    <x v="19"/>
  </r>
  <r>
    <n v="914288"/>
    <n v="1090"/>
    <s v="France"/>
    <d v="2023-05-29T00:52:00"/>
    <s v="App"/>
    <s v="Laurence Lebihan"/>
    <n v="1968"/>
    <d v="2023-05-29T00:00:00"/>
    <d v="1899-12-30T00:52:00"/>
    <s v="May"/>
    <s v="Monday"/>
    <s v="Outlier"/>
    <x v="11"/>
  </r>
  <r>
    <n v="914311"/>
    <n v="1127"/>
    <s v="Norway"/>
    <d v="2023-04-05T00:17:00"/>
    <s v="Whatsapp"/>
    <s v="Valarie Nelson"/>
    <n v="6090"/>
    <d v="2023-04-05T00:00:00"/>
    <d v="1899-12-30T00:17:00"/>
    <s v="April"/>
    <s v="Wednesday"/>
    <s v="Outlier"/>
    <x v="69"/>
  </r>
  <r>
    <n v="914647"/>
    <n v="1671"/>
    <s v="USA"/>
    <d v="2023-03-25T01:58:00"/>
    <s v="Website"/>
    <s v="Dan Lewis"/>
    <n v="7025"/>
    <d v="2023-03-25T00:00:00"/>
    <d v="1899-12-30T01:58:00"/>
    <s v="March"/>
    <s v="Saturday"/>
    <s v="Outlier"/>
    <x v="72"/>
  </r>
  <r>
    <n v="914814"/>
    <n v="1729"/>
    <s v="Australia"/>
    <d v="2023-11-05T23:32:00"/>
    <s v="Whatsapp"/>
    <s v="Julie Brown"/>
    <n v="6744"/>
    <d v="2023-11-05T00:00:00"/>
    <d v="1899-12-30T23:32:00"/>
    <s v="November"/>
    <s v="Sunday"/>
    <s v="Outlier"/>
    <x v="54"/>
  </r>
  <r>
    <n v="915353"/>
    <n v="48"/>
    <s v="USA"/>
    <d v="2023-07-24T01:33:00"/>
    <s v="Whatsapp"/>
    <s v="Anna O'Hara"/>
    <n v="2128"/>
    <d v="2023-07-24T00:00:00"/>
    <d v="1899-12-30T01:33:00"/>
    <s v="July"/>
    <s v="Monday"/>
    <s v="Outlier"/>
    <x v="50"/>
  </r>
  <r>
    <n v="916383"/>
    <n v="1746"/>
    <s v="Italy"/>
    <d v="2023-12-27T01:00:00"/>
    <s v="Whatsapp"/>
    <s v="Martine Rance"/>
    <n v="3491"/>
    <d v="2023-12-27T00:00:00"/>
    <d v="1899-12-30T01:00:00"/>
    <s v="December"/>
    <s v="Wednesday"/>
    <s v="Outlier"/>
    <x v="50"/>
  </r>
  <r>
    <n v="917785"/>
    <n v="789"/>
    <s v="France"/>
    <d v="2023-05-07T00:02:00"/>
    <s v="Whatsapp"/>
    <s v="Henriette Pfalzheim"/>
    <n v="9379"/>
    <d v="2023-05-07T00:00:00"/>
    <d v="1899-12-30T00:02:00"/>
    <s v="May"/>
    <s v="Sunday"/>
    <s v="Outlier"/>
    <x v="14"/>
  </r>
  <r>
    <n v="918151"/>
    <n v="981"/>
    <s v="USA"/>
    <d v="2023-04-27T01:16:00"/>
    <s v="App"/>
    <s v="Dominique Perrier"/>
    <n v="1322"/>
    <d v="2023-04-27T00:00:00"/>
    <d v="1899-12-30T01:16:00"/>
    <s v="April"/>
    <s v="Thursday"/>
    <s v="Outlier"/>
    <x v="61"/>
  </r>
  <r>
    <n v="918183"/>
    <n v="1795"/>
    <s v="France"/>
    <d v="2023-09-27T01:08:00"/>
    <s v="Website"/>
    <s v="Michael Holz"/>
    <n v="4196"/>
    <d v="2023-09-27T00:00:00"/>
    <d v="1899-12-30T01:08:00"/>
    <s v="September"/>
    <s v="Wednesday"/>
    <s v="Outlier"/>
    <x v="62"/>
  </r>
  <r>
    <n v="918347"/>
    <n v="449"/>
    <s v="USA"/>
    <d v="2023-08-02T23:47:00"/>
    <s v="Website"/>
    <s v="Jytte Petersen"/>
    <n v="1241"/>
    <d v="2023-08-02T00:00:00"/>
    <d v="1899-12-30T23:47:00"/>
    <s v="August"/>
    <s v="Wednesday"/>
    <s v="Outlier"/>
    <x v="62"/>
  </r>
  <r>
    <n v="919424"/>
    <n v="1079"/>
    <s v="India"/>
    <d v="2023-06-12T23:43:00"/>
    <s v="App"/>
    <s v="Dominique Perrier"/>
    <n v="9932"/>
    <d v="2023-06-12T00:00:00"/>
    <d v="1899-12-30T23:43:00"/>
    <s v="June"/>
    <s v="Monday"/>
    <s v="Outlier"/>
    <x v="3"/>
  </r>
  <r>
    <n v="920294"/>
    <n v="474"/>
    <s v="Finland"/>
    <d v="2023-10-05T01:21:00"/>
    <s v="Whatsapp"/>
    <s v="Juri Yoshido"/>
    <n v="6177"/>
    <d v="2023-10-05T00:00:00"/>
    <d v="1899-12-30T01:21:00"/>
    <s v="October"/>
    <s v="Thursday"/>
    <s v="Outlier"/>
    <x v="8"/>
  </r>
  <r>
    <n v="920645"/>
    <n v="1851"/>
    <s v="Spain"/>
    <d v="2023-03-05T00:58:00"/>
    <s v="Website"/>
    <s v="Miguel Barajas"/>
    <n v="620"/>
    <d v="2023-03-05T00:00:00"/>
    <d v="1899-12-30T00:58:00"/>
    <s v="March"/>
    <s v="Sunday"/>
    <s v="Outlier"/>
    <x v="15"/>
  </r>
  <r>
    <n v="921540"/>
    <n v="499"/>
    <s v="Australia"/>
    <d v="2023-12-20T23:51:00"/>
    <s v="App"/>
    <s v="Michael Holz"/>
    <n v="2164"/>
    <d v="2023-12-20T00:00:00"/>
    <d v="1899-12-30T23:51:00"/>
    <s v="December"/>
    <s v="Wednesday"/>
    <s v="Outlier"/>
    <x v="20"/>
  </r>
  <r>
    <n v="921826"/>
    <n v="1677"/>
    <s v="Italy"/>
    <d v="2023-04-11T23:58:00"/>
    <s v="Other"/>
    <s v="Matti Karttunen"/>
    <n v="1726"/>
    <d v="2023-04-11T00:00:00"/>
    <d v="1899-12-30T23:58:00"/>
    <s v="April"/>
    <s v="Tuesday"/>
    <s v="Outlier"/>
    <x v="66"/>
  </r>
  <r>
    <n v="922883"/>
    <n v="243"/>
    <s v="USA"/>
    <d v="2023-12-18T01:29:00"/>
    <s v="Whatsapp"/>
    <s v="Henriette Pfalzheim"/>
    <n v="4141"/>
    <d v="2023-12-18T00:00:00"/>
    <d v="1899-12-30T01:29:00"/>
    <s v="December"/>
    <s v="Monday"/>
    <s v="Outlier"/>
    <x v="65"/>
  </r>
  <r>
    <n v="923178"/>
    <n v="1561"/>
    <s v="Switzerland"/>
    <d v="2023-10-26T23:58:00"/>
    <s v="Other"/>
    <s v="Kee Kuo"/>
    <n v="6590"/>
    <d v="2023-10-26T00:00:00"/>
    <d v="1899-12-30T23:58:00"/>
    <s v="October"/>
    <s v="Thursday"/>
    <s v="Outlier"/>
    <x v="9"/>
  </r>
  <r>
    <n v="924191"/>
    <n v="1970"/>
    <s v="France"/>
    <d v="2023-10-15T01:05:00"/>
    <s v="Other"/>
    <s v="Arnold Cruz"/>
    <n v="925"/>
    <d v="2023-10-15T00:00:00"/>
    <d v="1899-12-30T01:05:00"/>
    <s v="October"/>
    <s v="Sunday"/>
    <s v="Outlier"/>
    <x v="33"/>
  </r>
  <r>
    <n v="924407"/>
    <n v="1824"/>
    <s v="USA"/>
    <d v="2023-09-08T22:32:00"/>
    <s v="Website"/>
    <s v="Peter Ferguson"/>
    <n v="2760"/>
    <d v="2023-09-08T00:00:00"/>
    <d v="1899-12-30T22:32:00"/>
    <s v="September"/>
    <s v="Friday"/>
    <s v="Outlier"/>
    <x v="31"/>
  </r>
  <r>
    <n v="924612"/>
    <n v="549"/>
    <s v="USA"/>
    <d v="2023-03-16T00:54:00"/>
    <s v="App"/>
    <s v="Diego Freyre"/>
    <n v="7323"/>
    <d v="2023-03-16T00:00:00"/>
    <d v="1899-12-30T00:54:00"/>
    <s v="March"/>
    <s v="Thursday"/>
    <s v="Outlier"/>
    <x v="41"/>
  </r>
  <r>
    <n v="926206"/>
    <n v="41"/>
    <s v="Australia"/>
    <d v="2023-02-25T23:00:00"/>
    <s v="App"/>
    <s v="Kalle Suominen"/>
    <n v="3952"/>
    <d v="2023-02-25T00:00:00"/>
    <d v="1899-12-30T23:00:00"/>
    <s v="February"/>
    <s v="Saturday"/>
    <s v="Outlier"/>
    <x v="53"/>
  </r>
  <r>
    <n v="926690"/>
    <n v="1286"/>
    <s v="USA"/>
    <d v="2023-05-12T00:04:00"/>
    <s v="Website"/>
    <s v="Diego Freyre"/>
    <n v="197"/>
    <d v="2023-05-12T00:00:00"/>
    <d v="1899-12-30T00:04:00"/>
    <s v="May"/>
    <s v="Friday"/>
    <s v="Outlier"/>
    <x v="57"/>
  </r>
  <r>
    <n v="929955"/>
    <n v="349"/>
    <s v="Denmark"/>
    <d v="2023-01-21T23:42:00"/>
    <s v="Website"/>
    <s v="Valarie Nelson"/>
    <n v="3242"/>
    <d v="2023-01-21T00:00:00"/>
    <d v="1899-12-30T23:42:00"/>
    <s v="January"/>
    <s v="Saturday"/>
    <s v="Outlier"/>
    <x v="39"/>
  </r>
  <r>
    <n v="930116"/>
    <n v="918"/>
    <s v="Australia"/>
    <d v="2023-08-18T23:37:00"/>
    <s v="App"/>
    <s v="Victoria Ashworth"/>
    <n v="4873"/>
    <d v="2023-08-18T00:00:00"/>
    <d v="1899-12-30T23:37:00"/>
    <s v="August"/>
    <s v="Friday"/>
    <s v="Outlier"/>
    <x v="21"/>
  </r>
  <r>
    <n v="930552"/>
    <n v="1605"/>
    <s v="Spain"/>
    <d v="2023-04-05T00:14:00"/>
    <s v="Other"/>
    <s v="Sue King"/>
    <n v="6840"/>
    <d v="2023-04-05T00:00:00"/>
    <d v="1899-12-30T00:14:00"/>
    <s v="April"/>
    <s v="Wednesday"/>
    <s v="Outlier"/>
    <x v="23"/>
  </r>
  <r>
    <n v="930811"/>
    <n v="1778"/>
    <s v="USA"/>
    <d v="2023-01-09T23:51:00"/>
    <s v="Other"/>
    <s v="Anna O'Hara"/>
    <n v="3666"/>
    <d v="2023-01-09T00:00:00"/>
    <d v="1899-12-30T23:51:00"/>
    <s v="January"/>
    <s v="Monday"/>
    <s v="Outlier"/>
    <x v="1"/>
  </r>
  <r>
    <n v="930878"/>
    <n v="1606"/>
    <s v="France"/>
    <d v="2023-07-06T01:58:00"/>
    <s v="Website"/>
    <s v="Palle Ibsen"/>
    <n v="3069"/>
    <d v="2023-07-06T00:00:00"/>
    <d v="1899-12-30T01:58:00"/>
    <s v="July"/>
    <s v="Thursday"/>
    <s v="Outlier"/>
    <x v="12"/>
  </r>
  <r>
    <n v="931367"/>
    <n v="981"/>
    <s v="USA"/>
    <d v="2023-06-12T01:53:00"/>
    <s v="Website"/>
    <s v="Giovanni Rovelli"/>
    <n v="2393"/>
    <d v="2023-06-12T00:00:00"/>
    <d v="1899-12-30T01:53:00"/>
    <s v="June"/>
    <s v="Monday"/>
    <s v="Outlier"/>
    <x v="61"/>
  </r>
  <r>
    <n v="931763"/>
    <n v="1355"/>
    <s v="Spain"/>
    <d v="2023-05-26T00:12:00"/>
    <s v="Other"/>
    <s v="Valarie Nelson"/>
    <n v="2372"/>
    <d v="2023-05-26T00:00:00"/>
    <d v="1899-12-30T00:12:00"/>
    <s v="May"/>
    <s v="Friday"/>
    <s v="Outlier"/>
    <x v="69"/>
  </r>
  <r>
    <n v="933463"/>
    <n v="1401"/>
    <s v="Finland"/>
    <d v="2023-07-08T23:52:00"/>
    <s v="Website"/>
    <s v="Sean Connery"/>
    <n v="7754"/>
    <d v="2023-07-08T00:00:00"/>
    <d v="1899-12-30T23:52:00"/>
    <s v="July"/>
    <s v="Saturday"/>
    <s v="Outlier"/>
    <x v="62"/>
  </r>
  <r>
    <n v="935343"/>
    <n v="1143"/>
    <s v="Italy"/>
    <d v="2023-09-27T23:28:00"/>
    <s v="Website"/>
    <s v="Jeff Young"/>
    <n v="1325"/>
    <d v="2023-09-27T00:00:00"/>
    <d v="1899-12-30T23:28:00"/>
    <s v="September"/>
    <s v="Wednesday"/>
    <s v="Outlier"/>
    <x v="0"/>
  </r>
  <r>
    <n v="935551"/>
    <n v="712"/>
    <s v="USA"/>
    <d v="2023-12-14T01:36:00"/>
    <s v="Whatsapp"/>
    <s v="Thomas Hardy"/>
    <n v="6779"/>
    <d v="2023-12-14T00:00:00"/>
    <d v="1899-12-30T01:36:00"/>
    <s v="December"/>
    <s v="Thursday"/>
    <s v="Outlier"/>
    <x v="70"/>
  </r>
  <r>
    <n v="935674"/>
    <n v="442"/>
    <s v="USA"/>
    <d v="2023-08-04T00:54:00"/>
    <s v="Other"/>
    <s v="Mary Saveley"/>
    <n v="5395"/>
    <d v="2023-08-04T00:00:00"/>
    <d v="1899-12-30T00:54:00"/>
    <s v="August"/>
    <s v="Friday"/>
    <s v="Outlier"/>
    <x v="14"/>
  </r>
  <r>
    <n v="935947"/>
    <n v="1267"/>
    <s v="Italy"/>
    <d v="2023-07-09T01:19:00"/>
    <s v="App"/>
    <s v="Frederique Citeaux"/>
    <n v="5054"/>
    <d v="2023-07-09T00:00:00"/>
    <d v="1899-12-30T01:19:00"/>
    <s v="July"/>
    <s v="Sunday"/>
    <s v="Outlier"/>
    <x v="14"/>
  </r>
  <r>
    <n v="935965"/>
    <n v="1578"/>
    <s v="Italy"/>
    <d v="2023-07-30T23:57:00"/>
    <s v="App"/>
    <s v="Jeff Young"/>
    <n v="4078"/>
    <d v="2023-07-30T00:00:00"/>
    <d v="1899-12-30T23:57:00"/>
    <s v="July"/>
    <s v="Sunday"/>
    <s v="Outlier"/>
    <x v="32"/>
  </r>
  <r>
    <n v="936199"/>
    <n v="734"/>
    <s v="Italy"/>
    <d v="2023-06-07T00:23:00"/>
    <s v="Website"/>
    <s v="Diego Freyre"/>
    <n v="6734"/>
    <d v="2023-06-07T00:00:00"/>
    <d v="1899-12-30T00:23:00"/>
    <s v="June"/>
    <s v="Wednesday"/>
    <s v="Outlier"/>
    <x v="21"/>
  </r>
  <r>
    <n v="936455"/>
    <n v="452"/>
    <s v="Spain"/>
    <d v="2023-01-14T00:46:00"/>
    <s v="Whatsapp"/>
    <s v="Wendy Victorino"/>
    <n v="9527"/>
    <d v="2023-01-14T00:00:00"/>
    <d v="1899-12-30T00:46:00"/>
    <s v="January"/>
    <s v="Saturday"/>
    <s v="Outlier"/>
    <x v="21"/>
  </r>
  <r>
    <n v="937222"/>
    <n v="1095"/>
    <s v="India"/>
    <d v="2023-01-27T01:04:00"/>
    <s v="Other"/>
    <s v="Elizabeth Devon"/>
    <n v="2890"/>
    <d v="2023-01-27T00:00:00"/>
    <d v="1899-12-30T01:04:00"/>
    <s v="January"/>
    <s v="Friday"/>
    <s v="Outlier"/>
    <x v="30"/>
  </r>
  <r>
    <n v="937462"/>
    <n v="1858"/>
    <s v="USA"/>
    <d v="2023-10-20T23:54:00"/>
    <s v="App"/>
    <s v="Diego Freyre"/>
    <n v="2327"/>
    <d v="2023-10-20T00:00:00"/>
    <d v="1899-12-30T23:54:00"/>
    <s v="October"/>
    <s v="Friday"/>
    <s v="Outlier"/>
    <x v="0"/>
  </r>
  <r>
    <n v="938620"/>
    <n v="1556"/>
    <s v="Australia"/>
    <d v="2023-04-04T01:54:00"/>
    <s v="Website"/>
    <s v="Victoria Ashworth"/>
    <n v="1142"/>
    <d v="2023-04-04T00:00:00"/>
    <d v="1899-12-30T01:54:00"/>
    <s v="April"/>
    <s v="Tuesday"/>
    <s v="Outlier"/>
    <x v="15"/>
  </r>
  <r>
    <n v="940084"/>
    <n v="239"/>
    <s v="India"/>
    <d v="2023-09-19T00:05:00"/>
    <s v="Whatsapp"/>
    <s v="Laurence Lebihan"/>
    <n v="2257"/>
    <d v="2023-09-19T00:00:00"/>
    <d v="1899-12-30T00:05:00"/>
    <s v="September"/>
    <s v="Tuesday"/>
    <s v="Outlier"/>
    <x v="55"/>
  </r>
  <r>
    <n v="941028"/>
    <n v="1311"/>
    <s v="USA"/>
    <d v="2023-09-19T23:27:00"/>
    <s v="App"/>
    <s v="Julie Young"/>
    <n v="9422"/>
    <d v="2023-09-19T00:00:00"/>
    <d v="1899-12-30T23:27:00"/>
    <s v="September"/>
    <s v="Tuesday"/>
    <s v="Outlier"/>
    <x v="1"/>
  </r>
  <r>
    <n v="941315"/>
    <n v="1856"/>
    <s v="USA"/>
    <d v="2023-04-07T00:11:00"/>
    <s v="App"/>
    <s v="Diego Freyre"/>
    <n v="6848"/>
    <d v="2023-04-07T00:00:00"/>
    <d v="1899-12-30T00:11:00"/>
    <s v="April"/>
    <s v="Friday"/>
    <s v="Outlier"/>
    <x v="61"/>
  </r>
  <r>
    <n v="942316"/>
    <n v="608"/>
    <s v="Denmark"/>
    <d v="2023-01-04T00:48:00"/>
    <s v="Whatsapp"/>
    <s v="Sue Frick"/>
    <n v="455"/>
    <d v="2023-01-04T00:00:00"/>
    <d v="1899-12-30T00:48:00"/>
    <s v="January"/>
    <s v="Wednesday"/>
    <s v="Outlier"/>
    <x v="56"/>
  </r>
  <r>
    <n v="942544"/>
    <n v="233"/>
    <s v="Italy"/>
    <d v="2023-06-29T23:09:00"/>
    <s v="Other"/>
    <s v="Adrian Huxley"/>
    <n v="5264"/>
    <d v="2023-06-29T00:00:00"/>
    <d v="1899-12-30T23:09:00"/>
    <s v="June"/>
    <s v="Thursday"/>
    <s v="Outlier"/>
    <x v="35"/>
  </r>
  <r>
    <n v="942561"/>
    <n v="1263"/>
    <s v="USA"/>
    <d v="2023-10-13T23:52:00"/>
    <s v="Other"/>
    <s v="Victoria Ashworth"/>
    <n v="1046"/>
    <d v="2023-10-13T00:00:00"/>
    <d v="1899-12-30T23:52:00"/>
    <s v="October"/>
    <s v="Friday"/>
    <s v="Outlier"/>
    <x v="61"/>
  </r>
  <r>
    <n v="943149"/>
    <n v="640"/>
    <s v="France"/>
    <d v="2023-09-24T22:47:00"/>
    <s v="Whatsapp"/>
    <s v="Sue King"/>
    <n v="6730"/>
    <d v="2023-09-24T00:00:00"/>
    <d v="1899-12-30T22:47:00"/>
    <s v="September"/>
    <s v="Sunday"/>
    <s v="Outlier"/>
    <x v="66"/>
  </r>
  <r>
    <n v="943915"/>
    <n v="778"/>
    <s v="France"/>
    <d v="2023-03-04T01:32:00"/>
    <s v="Other"/>
    <s v="Anna O'Hara"/>
    <n v="8064"/>
    <d v="2023-03-04T00:00:00"/>
    <d v="1899-12-30T01:32:00"/>
    <s v="March"/>
    <s v="Saturday"/>
    <s v="Outlier"/>
    <x v="47"/>
  </r>
  <r>
    <n v="944561"/>
    <n v="1343"/>
    <s v="USA"/>
    <d v="2023-02-24T23:00:00"/>
    <s v="App"/>
    <s v="Palle Ibsen"/>
    <n v="439"/>
    <d v="2023-02-24T00:00:00"/>
    <d v="1899-12-30T23:00:00"/>
    <s v="February"/>
    <s v="Friday"/>
    <s v="Outlier"/>
    <x v="24"/>
  </r>
  <r>
    <n v="946141"/>
    <n v="1208"/>
    <s v="USA"/>
    <d v="2023-04-20T01:26:00"/>
    <s v="Other"/>
    <s v="Julie King"/>
    <n v="6931"/>
    <d v="2023-04-20T00:00:00"/>
    <d v="1899-12-30T01:26:00"/>
    <s v="April"/>
    <s v="Thursday"/>
    <s v="Outlier"/>
    <x v="38"/>
  </r>
  <r>
    <n v="946167"/>
    <n v="1512"/>
    <s v="Denmark"/>
    <d v="2023-12-04T23:54:00"/>
    <s v="Website"/>
    <s v="Valarie Nelson"/>
    <n v="236"/>
    <d v="2023-12-04T00:00:00"/>
    <d v="1899-12-30T23:54:00"/>
    <s v="December"/>
    <s v="Monday"/>
    <s v="Outlier"/>
    <x v="9"/>
  </r>
  <r>
    <n v="946580"/>
    <n v="91"/>
    <s v="Spain"/>
    <d v="2023-11-27T23:02:00"/>
    <s v="App"/>
    <s v="Valarie Young"/>
    <n v="8726"/>
    <d v="2023-11-27T00:00:00"/>
    <d v="1899-12-30T23:02:00"/>
    <s v="November"/>
    <s v="Monday"/>
    <s v="Outlier"/>
    <x v="57"/>
  </r>
  <r>
    <n v="946964"/>
    <n v="281"/>
    <s v="USA"/>
    <d v="2023-02-24T00:44:00"/>
    <s v="Website"/>
    <s v="Jeff Young"/>
    <n v="6535"/>
    <d v="2023-02-24T00:00:00"/>
    <d v="1899-12-30T00:44:00"/>
    <s v="February"/>
    <s v="Friday"/>
    <s v="Outlier"/>
    <x v="21"/>
  </r>
  <r>
    <n v="947335"/>
    <n v="1539"/>
    <s v="USA"/>
    <d v="2023-08-16T00:17:00"/>
    <s v="Website"/>
    <s v="Diego Freyre"/>
    <n v="4146"/>
    <d v="2023-08-16T00:00:00"/>
    <d v="1899-12-30T00:17:00"/>
    <s v="August"/>
    <s v="Wednesday"/>
    <s v="Outlier"/>
    <x v="38"/>
  </r>
  <r>
    <n v="947369"/>
    <n v="1510"/>
    <s v="Norway"/>
    <d v="2023-07-10T00:20:00"/>
    <s v="App"/>
    <s v="Valarie Thompson"/>
    <n v="5208"/>
    <d v="2023-07-10T00:00:00"/>
    <d v="1899-12-30T00:20:00"/>
    <s v="July"/>
    <s v="Monday"/>
    <s v="Outlier"/>
    <x v="12"/>
  </r>
  <r>
    <n v="950100"/>
    <n v="567"/>
    <s v="Australia"/>
    <d v="2023-12-07T23:10:00"/>
    <s v="Website"/>
    <s v="Frederique Citeaux"/>
    <n v="4903"/>
    <d v="2023-12-07T00:00:00"/>
    <d v="1899-12-30T23:10:00"/>
    <s v="December"/>
    <s v="Thursday"/>
    <s v="Outlier"/>
    <x v="2"/>
  </r>
  <r>
    <n v="950345"/>
    <n v="608"/>
    <s v="Denmark"/>
    <d v="2023-02-13T02:00:00"/>
    <s v="Other"/>
    <s v="Jeff Young"/>
    <n v="4841"/>
    <d v="2023-02-13T00:00:00"/>
    <d v="1899-12-30T02:00:00"/>
    <s v="February"/>
    <s v="Monday"/>
    <s v="Outlier"/>
    <x v="56"/>
  </r>
  <r>
    <n v="951047"/>
    <n v="753"/>
    <s v="USA"/>
    <d v="2023-01-12T23:45:00"/>
    <s v="Whatsapp"/>
    <s v="Diego Freyre"/>
    <n v="1714"/>
    <d v="2023-01-12T00:00:00"/>
    <d v="1899-12-30T23:45:00"/>
    <s v="January"/>
    <s v="Thursday"/>
    <s v="Outlier"/>
    <x v="65"/>
  </r>
  <r>
    <n v="951353"/>
    <n v="1243"/>
    <s v="Spain"/>
    <d v="2023-07-10T00:29:00"/>
    <s v="App"/>
    <s v="Wendy Victorino"/>
    <n v="9524"/>
    <d v="2023-07-10T00:00:00"/>
    <d v="1899-12-30T00:29:00"/>
    <s v="July"/>
    <s v="Monday"/>
    <s v="Outlier"/>
    <x v="32"/>
  </r>
  <r>
    <n v="951780"/>
    <n v="1945"/>
    <s v="USA"/>
    <d v="2023-07-24T00:35:00"/>
    <s v="Whatsapp"/>
    <s v="Jan Klaeboe"/>
    <n v="6963"/>
    <d v="2023-07-24T00:00:00"/>
    <d v="1899-12-30T00:35:00"/>
    <s v="July"/>
    <s v="Monday"/>
    <s v="Outlier"/>
    <x v="14"/>
  </r>
  <r>
    <n v="952497"/>
    <n v="1649"/>
    <s v="USA"/>
    <d v="2023-10-16T23:33:00"/>
    <s v="Other"/>
    <s v="Diego Freyre"/>
    <n v="1132"/>
    <d v="2023-10-16T00:00:00"/>
    <d v="1899-12-30T23:33:00"/>
    <s v="October"/>
    <s v="Monday"/>
    <s v="Outlier"/>
    <x v="18"/>
  </r>
  <r>
    <n v="952618"/>
    <n v="1539"/>
    <s v="USA"/>
    <d v="2023-04-07T01:09:00"/>
    <s v="Other"/>
    <s v="Violeta Benitez"/>
    <n v="1048"/>
    <d v="2023-04-07T00:00:00"/>
    <d v="1899-12-30T01:09:00"/>
    <s v="April"/>
    <s v="Friday"/>
    <s v="Outlier"/>
    <x v="38"/>
  </r>
  <r>
    <n v="953006"/>
    <n v="1500"/>
    <s v="USA"/>
    <d v="2023-11-16T00:34:00"/>
    <s v="Website"/>
    <s v="Victoria Ashworth"/>
    <n v="9376"/>
    <d v="2023-11-16T00:00:00"/>
    <d v="1899-12-30T00:34:00"/>
    <s v="November"/>
    <s v="Thursday"/>
    <s v="Outlier"/>
    <x v="11"/>
  </r>
  <r>
    <n v="953922"/>
    <n v="1112"/>
    <s v="Spain"/>
    <d v="2023-10-07T00:04:00"/>
    <s v="Website"/>
    <s v="Laurence Lebihan"/>
    <n v="4161"/>
    <d v="2023-10-07T00:00:00"/>
    <d v="1899-12-30T00:04:00"/>
    <s v="October"/>
    <s v="Saturday"/>
    <s v="Outlier"/>
    <x v="35"/>
  </r>
  <r>
    <n v="953981"/>
    <n v="1513"/>
    <s v="USA"/>
    <d v="2023-10-05T00:28:00"/>
    <s v="Other"/>
    <s v="Julie Young"/>
    <n v="9670"/>
    <d v="2023-10-05T00:00:00"/>
    <d v="1899-12-30T00:28:00"/>
    <s v="October"/>
    <s v="Thursday"/>
    <s v="Outlier"/>
    <x v="15"/>
  </r>
  <r>
    <n v="954429"/>
    <n v="1544"/>
    <s v="USA"/>
    <d v="2023-11-24T23:47:00"/>
    <s v="App"/>
    <s v="Diego Freyre"/>
    <n v="4753"/>
    <d v="2023-11-24T00:00:00"/>
    <d v="1899-12-30T23:47:00"/>
    <s v="November"/>
    <s v="Friday"/>
    <s v="Outlier"/>
    <x v="55"/>
  </r>
  <r>
    <n v="954631"/>
    <n v="1868"/>
    <s v="France"/>
    <d v="2023-03-03T00:28:00"/>
    <s v="Other"/>
    <s v="Sue Frick"/>
    <n v="8020"/>
    <d v="2023-03-03T00:00:00"/>
    <d v="1899-12-30T00:28:00"/>
    <s v="March"/>
    <s v="Friday"/>
    <s v="Outlier"/>
    <x v="22"/>
  </r>
  <r>
    <n v="957373"/>
    <n v="580"/>
    <s v="USA"/>
    <d v="2023-06-16T23:05:00"/>
    <s v="Other"/>
    <s v="Adrian Huxley"/>
    <n v="4659"/>
    <d v="2023-06-16T00:00:00"/>
    <d v="1899-12-30T23:05:00"/>
    <s v="June"/>
    <s v="Friday"/>
    <s v="Outlier"/>
    <x v="32"/>
  </r>
  <r>
    <n v="957446"/>
    <n v="49"/>
    <s v="France"/>
    <d v="2023-09-18T00:17:00"/>
    <s v="Other"/>
    <s v="Diego Freyre"/>
    <n v="5585"/>
    <d v="2023-09-18T00:00:00"/>
    <d v="1899-12-30T00:17:00"/>
    <s v="September"/>
    <s v="Monday"/>
    <s v="Outlier"/>
    <x v="35"/>
  </r>
  <r>
    <n v="958196"/>
    <n v="1922"/>
    <s v="Spain"/>
    <d v="2023-01-08T00:48:00"/>
    <s v="Other"/>
    <s v="Maria Hernandez"/>
    <n v="3813"/>
    <d v="2023-01-08T00:00:00"/>
    <d v="1899-12-30T00:48:00"/>
    <s v="January"/>
    <s v="Sunday"/>
    <s v="Outlier"/>
    <x v="0"/>
  </r>
  <r>
    <n v="959426"/>
    <n v="801"/>
    <s v="France"/>
    <d v="2023-11-06T00:09:00"/>
    <s v="App"/>
    <s v="Jeff Young"/>
    <n v="6481"/>
    <d v="2023-11-06T00:00:00"/>
    <d v="1899-12-30T00:09:00"/>
    <s v="November"/>
    <s v="Monday"/>
    <s v="Outlier"/>
    <x v="55"/>
  </r>
  <r>
    <n v="959447"/>
    <n v="336"/>
    <s v="Spain"/>
    <d v="2023-04-10T01:31:00"/>
    <s v="Whatsapp"/>
    <s v="Kalle Suominen"/>
    <n v="7839"/>
    <d v="2023-04-10T00:00:00"/>
    <d v="1899-12-30T01:31:00"/>
    <s v="April"/>
    <s v="Monday"/>
    <s v="Outlier"/>
    <x v="47"/>
  </r>
  <r>
    <n v="960053"/>
    <n v="651"/>
    <s v="USA"/>
    <d v="2023-08-01T00:20:00"/>
    <s v="Website"/>
    <s v="Tony Calaghan"/>
    <n v="3417"/>
    <d v="2023-08-01T00:00:00"/>
    <d v="1899-12-30T00:20:00"/>
    <s v="August"/>
    <s v="Tuesday"/>
    <s v="Outlier"/>
    <x v="57"/>
  </r>
  <r>
    <n v="960685"/>
    <n v="522"/>
    <s v="USA"/>
    <d v="2023-11-24T00:50:00"/>
    <s v="Whatsapp"/>
    <s v="Eric Natividad"/>
    <n v="9772"/>
    <d v="2023-11-24T00:00:00"/>
    <d v="1899-12-30T00:50:00"/>
    <s v="November"/>
    <s v="Friday"/>
    <s v="Outlier"/>
    <x v="55"/>
  </r>
  <r>
    <n v="961277"/>
    <n v="1721"/>
    <s v="Germany"/>
    <d v="2023-04-30T23:39:00"/>
    <s v="Website"/>
    <s v="Maurizio Moroni"/>
    <n v="8615"/>
    <d v="2023-04-30T00:00:00"/>
    <d v="1899-12-30T23:39:00"/>
    <s v="April"/>
    <s v="Sunday"/>
    <s v="Outlier"/>
    <x v="13"/>
  </r>
  <r>
    <n v="961533"/>
    <n v="424"/>
    <s v="Spain"/>
    <d v="2023-03-28T00:56:00"/>
    <s v="Website"/>
    <s v="Jose Pedro Roel"/>
    <n v="1084"/>
    <d v="2023-03-28T00:00:00"/>
    <d v="1899-12-30T00:56:00"/>
    <s v="March"/>
    <s v="Tuesday"/>
    <s v="Outlier"/>
    <x v="50"/>
  </r>
  <r>
    <n v="961949"/>
    <n v="1076"/>
    <s v="India"/>
    <d v="2023-10-05T00:01:00"/>
    <s v="Website"/>
    <s v="Steve Frick"/>
    <n v="2153"/>
    <d v="2023-10-05T00:00:00"/>
    <d v="1899-12-30T00:01:00"/>
    <s v="October"/>
    <s v="Thursday"/>
    <s v="Outlier"/>
    <x v="65"/>
  </r>
  <r>
    <n v="962603"/>
    <n v="1743"/>
    <s v="USA"/>
    <d v="2023-05-07T00:20:00"/>
    <s v="Website"/>
    <s v="Valarie Franco"/>
    <n v="6171"/>
    <d v="2023-05-07T00:00:00"/>
    <d v="1899-12-30T00:20:00"/>
    <s v="May"/>
    <s v="Sunday"/>
    <s v="Outlier"/>
    <x v="35"/>
  </r>
  <r>
    <n v="962712"/>
    <n v="340"/>
    <s v="France"/>
    <d v="2023-03-08T00:19:00"/>
    <s v="Website"/>
    <s v="Dean Cassidy"/>
    <n v="1633"/>
    <d v="2023-03-08T00:00:00"/>
    <d v="1899-12-30T00:19:00"/>
    <s v="March"/>
    <s v="Wednesday"/>
    <s v="Outlier"/>
    <x v="17"/>
  </r>
  <r>
    <n v="963906"/>
    <n v="1098"/>
    <s v="Singapore"/>
    <d v="2023-05-19T00:39:00"/>
    <s v="Website"/>
    <s v="Roland Keitel"/>
    <n v="3431"/>
    <d v="2023-05-19T00:00:00"/>
    <d v="1899-12-30T00:39:00"/>
    <s v="May"/>
    <s v="Friday"/>
    <s v="Outlier"/>
    <x v="34"/>
  </r>
  <r>
    <n v="964075"/>
    <n v="162"/>
    <s v="USA"/>
    <d v="2023-04-17T23:22:00"/>
    <s v="Other"/>
    <s v="Diego Freyre"/>
    <n v="1275"/>
    <d v="2023-04-17T00:00:00"/>
    <d v="1899-12-30T23:22:00"/>
    <s v="April"/>
    <s v="Monday"/>
    <s v="Outlier"/>
    <x v="42"/>
  </r>
  <r>
    <n v="964231"/>
    <n v="759"/>
    <s v="USA"/>
    <d v="2023-10-27T01:14:00"/>
    <s v="Website"/>
    <s v="Wendy Victorino"/>
    <n v="6583"/>
    <d v="2023-10-27T00:00:00"/>
    <d v="1899-12-30T01:14:00"/>
    <s v="October"/>
    <s v="Friday"/>
    <s v="Outlier"/>
    <x v="11"/>
  </r>
  <r>
    <n v="964791"/>
    <n v="1085"/>
    <s v="Spain"/>
    <d v="2023-10-27T00:04:00"/>
    <s v="Whatsapp"/>
    <s v="Valarie Nelson"/>
    <n v="4514"/>
    <d v="2023-10-27T00:00:00"/>
    <d v="1899-12-30T00:04:00"/>
    <s v="October"/>
    <s v="Friday"/>
    <s v="Outlier"/>
    <x v="61"/>
  </r>
  <r>
    <n v="965923"/>
    <n v="1883"/>
    <s v="USA"/>
    <d v="2023-03-27T01:40:00"/>
    <s v="Other"/>
    <s v="Valarie Nelson"/>
    <n v="1548"/>
    <d v="2023-03-27T00:00:00"/>
    <d v="1899-12-30T01:40:00"/>
    <s v="March"/>
    <s v="Monday"/>
    <s v="Outlier"/>
    <x v="1"/>
  </r>
  <r>
    <n v="966739"/>
    <n v="881"/>
    <s v="France"/>
    <d v="2023-08-20T00:41:00"/>
    <s v="Other"/>
    <s v="Kwai Yu"/>
    <n v="4693"/>
    <d v="2023-08-20T00:00:00"/>
    <d v="1899-12-30T00:41:00"/>
    <s v="August"/>
    <s v="Sunday"/>
    <s v="Outlier"/>
    <x v="25"/>
  </r>
  <r>
    <n v="967619"/>
    <n v="897"/>
    <s v="USA"/>
    <d v="2023-06-27T23:21:00"/>
    <s v="App"/>
    <s v="Marta Hernandez"/>
    <n v="3504"/>
    <d v="2023-06-27T00:00:00"/>
    <d v="1899-12-30T23:21:00"/>
    <s v="June"/>
    <s v="Tuesday"/>
    <s v="Outlier"/>
    <x v="7"/>
  </r>
  <r>
    <n v="968469"/>
    <n v="711"/>
    <s v="USA"/>
    <d v="2023-09-17T00:15:00"/>
    <s v="App"/>
    <s v="Palle Ibsen"/>
    <n v="187"/>
    <d v="2023-09-17T00:00:00"/>
    <d v="1899-12-30T00:15:00"/>
    <s v="September"/>
    <s v="Sunday"/>
    <s v="Outlier"/>
    <x v="72"/>
  </r>
  <r>
    <n v="968501"/>
    <n v="534"/>
    <s v="India"/>
    <d v="2023-09-26T00:47:00"/>
    <s v="Whatsapp"/>
    <s v="Michael Frick"/>
    <n v="98"/>
    <d v="2023-09-26T00:00:00"/>
    <d v="1899-12-30T00:47:00"/>
    <s v="September"/>
    <s v="Tuesday"/>
    <s v="Outlier"/>
    <x v="70"/>
  </r>
  <r>
    <n v="968680"/>
    <n v="362"/>
    <s v="India"/>
    <d v="2023-04-04T22:53:00"/>
    <s v="Other"/>
    <s v="Marie Bertrand"/>
    <n v="4761"/>
    <d v="2023-04-04T00:00:00"/>
    <d v="1899-12-30T22:53:00"/>
    <s v="April"/>
    <s v="Tuesday"/>
    <s v="Outlier"/>
    <x v="17"/>
  </r>
  <r>
    <n v="968730"/>
    <n v="407"/>
    <s v="France"/>
    <d v="2023-05-24T00:54:00"/>
    <s v="Whatsapp"/>
    <s v="Jeff Young"/>
    <n v="6326"/>
    <d v="2023-05-24T00:00:00"/>
    <d v="1899-12-30T00:54:00"/>
    <s v="May"/>
    <s v="Wednesday"/>
    <s v="Outlier"/>
    <x v="70"/>
  </r>
  <r>
    <n v="969517"/>
    <n v="1794"/>
    <s v="Australia"/>
    <d v="2023-12-28T01:14:00"/>
    <s v="Website"/>
    <s v="Diego Freyre"/>
    <n v="7435"/>
    <d v="2023-12-28T00:00:00"/>
    <d v="1899-12-30T01:14:00"/>
    <s v="December"/>
    <s v="Thursday"/>
    <s v="Outlier"/>
    <x v="10"/>
  </r>
  <r>
    <n v="969765"/>
    <n v="850"/>
    <s v="USA"/>
    <d v="2023-02-16T01:46:00"/>
    <s v="App"/>
    <s v="Valarie Nelson"/>
    <n v="3206"/>
    <d v="2023-02-16T00:00:00"/>
    <d v="1899-12-30T01:46:00"/>
    <s v="February"/>
    <s v="Thursday"/>
    <s v="Outlier"/>
    <x v="44"/>
  </r>
  <r>
    <n v="971123"/>
    <n v="197"/>
    <s v="USA"/>
    <d v="2023-02-02T00:32:00"/>
    <s v="Whatsapp"/>
    <s v="Diego Freyre"/>
    <n v="4194"/>
    <d v="2023-02-02T00:00:00"/>
    <d v="1899-12-30T00:32:00"/>
    <s v="February"/>
    <s v="Thursday"/>
    <s v="Outlier"/>
    <x v="4"/>
  </r>
  <r>
    <n v="971900"/>
    <n v="1424"/>
    <s v="Spain"/>
    <d v="2023-03-19T00:16:00"/>
    <s v="Whatsapp"/>
    <s v="Diego Freyre"/>
    <n v="4454"/>
    <d v="2023-03-19T00:00:00"/>
    <d v="1899-12-30T00:16:00"/>
    <s v="March"/>
    <s v="Sunday"/>
    <s v="Outlier"/>
    <x v="36"/>
  </r>
  <r>
    <n v="972030"/>
    <n v="854"/>
    <s v="USA"/>
    <d v="2023-03-31T01:46:00"/>
    <s v="Whatsapp"/>
    <s v="Diego Freyre"/>
    <n v="6426"/>
    <d v="2023-03-31T00:00:00"/>
    <d v="1899-12-30T01:46:00"/>
    <s v="March"/>
    <s v="Friday"/>
    <s v="Outlier"/>
    <x v="57"/>
  </r>
  <r>
    <n v="973367"/>
    <n v="1170"/>
    <s v="Germany"/>
    <d v="2023-09-01T01:16:00"/>
    <s v="App"/>
    <s v="Janine Labrune"/>
    <n v="8512"/>
    <d v="2023-09-01T00:00:00"/>
    <d v="1899-12-30T01:16:00"/>
    <s v="September"/>
    <s v="Friday"/>
    <s v="Outlier"/>
    <x v="48"/>
  </r>
  <r>
    <n v="974557"/>
    <n v="1874"/>
    <s v="USA"/>
    <d v="2023-01-15T01:08:00"/>
    <s v="Whatsapp"/>
    <s v="Kwai Yu"/>
    <n v="2721"/>
    <d v="2023-01-15T00:00:00"/>
    <d v="1899-12-30T01:08:00"/>
    <s v="January"/>
    <s v="Sunday"/>
    <s v="Outlier"/>
    <x v="66"/>
  </r>
  <r>
    <n v="975249"/>
    <n v="1044"/>
    <s v="India"/>
    <d v="2023-12-22T01:21:00"/>
    <s v="Other"/>
    <s v="Peter Ferguson"/>
    <n v="3988"/>
    <d v="2023-12-22T00:00:00"/>
    <d v="1899-12-30T01:21:00"/>
    <s v="December"/>
    <s v="Friday"/>
    <s v="Outlier"/>
    <x v="47"/>
  </r>
  <r>
    <n v="976000"/>
    <n v="484"/>
    <s v="USA"/>
    <d v="2023-06-12T23:43:00"/>
    <s v="App"/>
    <s v="Daniel Da Cunha"/>
    <n v="6536"/>
    <d v="2023-06-12T00:00:00"/>
    <d v="1899-12-30T23:43:00"/>
    <s v="June"/>
    <s v="Monday"/>
    <s v="Outlier"/>
    <x v="41"/>
  </r>
  <r>
    <n v="976435"/>
    <n v="704"/>
    <s v="USA"/>
    <d v="2023-09-26T01:20:00"/>
    <s v="Website"/>
    <s v="Julie Young"/>
    <n v="5887"/>
    <d v="2023-09-26T00:00:00"/>
    <d v="1899-12-30T01:20:00"/>
    <s v="September"/>
    <s v="Tuesday"/>
    <s v="Outlier"/>
    <x v="15"/>
  </r>
  <r>
    <n v="976870"/>
    <n v="357"/>
    <s v="Norway"/>
    <d v="2023-06-28T00:11:00"/>
    <s v="App"/>
    <s v="Julie Brown"/>
    <n v="1226"/>
    <d v="2023-06-28T00:00:00"/>
    <d v="1899-12-30T00:11:00"/>
    <s v="June"/>
    <s v="Wednesday"/>
    <s v="Outlier"/>
    <x v="41"/>
  </r>
  <r>
    <n v="978487"/>
    <n v="767"/>
    <s v="USA"/>
    <d v="2023-06-20T23:31:00"/>
    <s v="Other"/>
    <s v="Juri Hirano"/>
    <n v="8162"/>
    <d v="2023-06-20T00:00:00"/>
    <d v="1899-12-30T23:31:00"/>
    <s v="June"/>
    <s v="Tuesday"/>
    <s v="Outlier"/>
    <x v="35"/>
  </r>
  <r>
    <n v="978518"/>
    <n v="1078"/>
    <s v="Australia"/>
    <d v="2023-01-01T01:04:00"/>
    <s v="Website"/>
    <s v="Martine Rance"/>
    <n v="448"/>
    <d v="2023-01-01T00:00:00"/>
    <d v="1899-12-30T01:04:00"/>
    <s v="January"/>
    <s v="Sunday"/>
    <s v="Outlier"/>
    <x v="39"/>
  </r>
  <r>
    <n v="978704"/>
    <n v="307"/>
    <s v="France"/>
    <d v="2023-08-18T00:49:00"/>
    <s v="Other"/>
    <s v="Veysel Oeztan"/>
    <n v="5631"/>
    <d v="2023-08-18T00:00:00"/>
    <d v="1899-12-30T00:49:00"/>
    <s v="August"/>
    <s v="Friday"/>
    <s v="Outlier"/>
    <x v="48"/>
  </r>
  <r>
    <n v="979166"/>
    <n v="995"/>
    <s v="France"/>
    <d v="2023-03-12T23:36:00"/>
    <s v="App"/>
    <s v="Julie Murphy"/>
    <n v="6809"/>
    <d v="2023-03-12T00:00:00"/>
    <d v="1899-12-30T23:36:00"/>
    <s v="March"/>
    <s v="Sunday"/>
    <s v="Outlier"/>
    <x v="43"/>
  </r>
  <r>
    <n v="982672"/>
    <n v="1590"/>
    <s v="Singapore"/>
    <d v="2023-12-21T01:52:00"/>
    <s v="Whatsapp"/>
    <s v="Dominique Perrier"/>
    <n v="7371"/>
    <d v="2023-12-21T00:00:00"/>
    <d v="1899-12-30T01:52:00"/>
    <s v="December"/>
    <s v="Thursday"/>
    <s v="Outlier"/>
    <x v="45"/>
  </r>
  <r>
    <n v="982983"/>
    <n v="1842"/>
    <s v="Singapore"/>
    <d v="2023-01-12T00:34:00"/>
    <s v="App"/>
    <s v="Peter Ferguson"/>
    <n v="6411"/>
    <d v="2023-01-12T00:00:00"/>
    <d v="1899-12-30T00:34:00"/>
    <s v="January"/>
    <s v="Thursday"/>
    <s v="Outlier"/>
    <x v="57"/>
  </r>
  <r>
    <n v="983456"/>
    <n v="177"/>
    <s v="India"/>
    <d v="2023-04-25T01:37:00"/>
    <s v="Other"/>
    <s v="Michael Frick"/>
    <n v="2938"/>
    <d v="2023-04-25T00:00:00"/>
    <d v="1899-12-30T01:37:00"/>
    <s v="April"/>
    <s v="Tuesday"/>
    <s v="Outlier"/>
    <x v="21"/>
  </r>
  <r>
    <n v="984155"/>
    <n v="1399"/>
    <s v="Australia"/>
    <d v="2023-10-25T00:08:00"/>
    <s v="Whatsapp"/>
    <s v="William Brown"/>
    <n v="5521"/>
    <d v="2023-10-25T00:00:00"/>
    <d v="1899-12-30T00:08:00"/>
    <s v="October"/>
    <s v="Wednesday"/>
    <s v="Outlier"/>
    <x v="32"/>
  </r>
  <r>
    <n v="985800"/>
    <n v="1225"/>
    <s v="Spain"/>
    <d v="2023-12-16T00:53:00"/>
    <s v="Website"/>
    <s v="Julie King"/>
    <n v="3508"/>
    <d v="2023-12-16T00:00:00"/>
    <d v="1899-12-30T00:53:00"/>
    <s v="December"/>
    <s v="Saturday"/>
    <s v="Outlier"/>
    <x v="58"/>
  </r>
  <r>
    <n v="986036"/>
    <n v="1064"/>
    <s v="Austria"/>
    <d v="2023-10-30T22:33:00"/>
    <s v="App"/>
    <s v="Janine Labrune"/>
    <n v="855"/>
    <d v="2023-10-30T00:00:00"/>
    <d v="1899-12-30T22:33:00"/>
    <s v="October"/>
    <s v="Monday"/>
    <s v="Outlier"/>
    <x v="21"/>
  </r>
  <r>
    <n v="988105"/>
    <n v="1877"/>
    <s v="Spain"/>
    <d v="2023-06-25T01:16:00"/>
    <s v="App"/>
    <s v="Marta Hernandez"/>
    <n v="9254"/>
    <d v="2023-06-25T00:00:00"/>
    <d v="1899-12-30T01:16:00"/>
    <s v="June"/>
    <s v="Sunday"/>
    <s v="Outlier"/>
    <x v="13"/>
  </r>
  <r>
    <n v="988444"/>
    <n v="430"/>
    <s v="India"/>
    <d v="2023-08-04T01:09:00"/>
    <s v="Other"/>
    <s v="Matti Karttunen"/>
    <n v="9958"/>
    <d v="2023-08-04T00:00:00"/>
    <d v="1899-12-30T01:09:00"/>
    <s v="August"/>
    <s v="Friday"/>
    <s v="Outlier"/>
    <x v="43"/>
  </r>
  <r>
    <n v="990534"/>
    <n v="249"/>
    <s v="USA"/>
    <d v="2023-07-15T22:47:00"/>
    <s v="Whatsapp"/>
    <s v="Jonas Bergulfsen"/>
    <n v="3459"/>
    <d v="2023-07-15T00:00:00"/>
    <d v="1899-12-30T22:47:00"/>
    <s v="July"/>
    <s v="Saturday"/>
    <s v="Outlier"/>
    <x v="30"/>
  </r>
  <r>
    <n v="990780"/>
    <n v="1068"/>
    <s v="Spain"/>
    <d v="2023-11-06T23:47:00"/>
    <s v="Other"/>
    <s v="Kyung Yu"/>
    <n v="6407"/>
    <d v="2023-11-06T00:00:00"/>
    <d v="1899-12-30T23:47:00"/>
    <s v="November"/>
    <s v="Monday"/>
    <s v="Outlier"/>
    <x v="72"/>
  </r>
  <r>
    <n v="990832"/>
    <n v="9"/>
    <s v="France"/>
    <d v="2023-07-30T00:18:00"/>
    <s v="Other"/>
    <s v="Kwai Yu"/>
    <n v="8202"/>
    <d v="2023-07-30T00:00:00"/>
    <d v="1899-12-30T00:18:00"/>
    <s v="July"/>
    <s v="Sunday"/>
    <s v="Outlier"/>
    <x v="21"/>
  </r>
  <r>
    <n v="990950"/>
    <n v="1948"/>
    <s v="USA"/>
    <d v="2023-06-24T00:12:00"/>
    <s v="Whatsapp"/>
    <s v="Akiko Shimamura"/>
    <n v="2414"/>
    <d v="2023-06-24T00:00:00"/>
    <d v="1899-12-30T00:12:00"/>
    <s v="June"/>
    <s v="Saturday"/>
    <s v="Outlier"/>
    <x v="33"/>
  </r>
  <r>
    <n v="991491"/>
    <n v="1789"/>
    <s v="Germany"/>
    <d v="2023-11-09T23:41:00"/>
    <s v="Website"/>
    <s v="Juri Hirano"/>
    <n v="5990"/>
    <d v="2023-11-09T00:00:00"/>
    <d v="1899-12-30T23:41:00"/>
    <s v="November"/>
    <s v="Thursday"/>
    <s v="Outlier"/>
    <x v="31"/>
  </r>
  <r>
    <n v="991744"/>
    <n v="303"/>
    <s v="India"/>
    <d v="2023-10-17T02:29:00"/>
    <s v="Other"/>
    <s v="Tony Calaghan"/>
    <n v="6212"/>
    <d v="2023-10-17T00:00:00"/>
    <d v="1899-12-30T02:29:00"/>
    <s v="October"/>
    <s v="Tuesday"/>
    <s v="Outlier"/>
    <x v="38"/>
  </r>
  <r>
    <n v="992007"/>
    <n v="576"/>
    <s v="USA"/>
    <d v="2023-08-02T23:57:00"/>
    <s v="App"/>
    <s v="Maria Larsson"/>
    <n v="839"/>
    <d v="2023-08-02T00:00:00"/>
    <d v="1899-12-30T23:57:00"/>
    <s v="August"/>
    <s v="Wednesday"/>
    <s v="Outlier"/>
    <x v="59"/>
  </r>
  <r>
    <n v="992535"/>
    <n v="1239"/>
    <s v="Spain"/>
    <d v="2023-01-12T22:55:00"/>
    <s v="Other"/>
    <s v="Elizabeth Devon"/>
    <n v="2549"/>
    <d v="2023-01-12T00:00:00"/>
    <d v="1899-12-30T22:55:00"/>
    <s v="January"/>
    <s v="Thursday"/>
    <s v="Outlier"/>
    <x v="46"/>
  </r>
  <r>
    <n v="993121"/>
    <n v="864"/>
    <s v="USA"/>
    <d v="2023-05-08T23:56:00"/>
    <s v="Other"/>
    <s v="Diego Freyre"/>
    <n v="4384"/>
    <d v="2023-05-08T00:00:00"/>
    <d v="1899-12-30T23:56:00"/>
    <s v="May"/>
    <s v="Monday"/>
    <s v="Outlier"/>
    <x v="61"/>
  </r>
  <r>
    <n v="993369"/>
    <n v="1454"/>
    <s v="Spain"/>
    <d v="2023-08-12T00:46:00"/>
    <s v="Other"/>
    <s v="Victoria Ashworth"/>
    <n v="8577"/>
    <d v="2023-08-12T00:00:00"/>
    <d v="1899-12-30T00:46:00"/>
    <s v="August"/>
    <s v="Saturday"/>
    <s v="Outlier"/>
    <x v="37"/>
  </r>
  <r>
    <n v="993889"/>
    <n v="562"/>
    <s v="Singapore"/>
    <d v="2023-03-21T23:36:00"/>
    <s v="Other"/>
    <s v="Carine Schmitt"/>
    <n v="2862"/>
    <d v="2023-03-21T00:00:00"/>
    <d v="1899-12-30T23:36:00"/>
    <s v="March"/>
    <s v="Tuesday"/>
    <s v="Outlier"/>
    <x v="21"/>
  </r>
  <r>
    <n v="993964"/>
    <n v="1143"/>
    <s v="Italy"/>
    <d v="2023-12-28T23:59:00"/>
    <s v="Whatsapp"/>
    <s v="Paul Henriot"/>
    <n v="8644"/>
    <d v="2023-12-28T00:00:00"/>
    <d v="1899-12-30T23:59:00"/>
    <s v="December"/>
    <s v="Thursday"/>
    <s v="Outlier"/>
    <x v="0"/>
  </r>
  <r>
    <n v="995268"/>
    <n v="1434"/>
    <s v="USA"/>
    <d v="2023-06-03T00:29:00"/>
    <s v="Website"/>
    <s v="Anna O'Hara"/>
    <n v="3688"/>
    <d v="2023-06-03T00:00:00"/>
    <d v="1899-12-30T00:29:00"/>
    <s v="June"/>
    <s v="Saturday"/>
    <s v="Outlier"/>
    <x v="48"/>
  </r>
  <r>
    <n v="995410"/>
    <n v="1355"/>
    <s v="Spain"/>
    <d v="2023-04-29T01:00:00"/>
    <s v="Website"/>
    <s v="Palle Ibsen"/>
    <n v="114"/>
    <d v="2023-04-29T00:00:00"/>
    <d v="1899-12-30T01:00:00"/>
    <s v="April"/>
    <s v="Saturday"/>
    <s v="Outlier"/>
    <x v="69"/>
  </r>
  <r>
    <n v="996729"/>
    <n v="1416"/>
    <s v="USA"/>
    <d v="2023-03-30T00:24:00"/>
    <s v="Website"/>
    <s v="Julie King"/>
    <n v="3726"/>
    <d v="2023-03-30T00:00:00"/>
    <d v="1899-12-30T00:24:00"/>
    <s v="March"/>
    <s v="Thursday"/>
    <s v="Outlier"/>
    <x v="58"/>
  </r>
  <r>
    <n v="996929"/>
    <n v="1209"/>
    <s v="Finland"/>
    <d v="2023-05-27T00:50:00"/>
    <s v="Whatsapp"/>
    <s v="Veysel Oeztan"/>
    <n v="3144"/>
    <d v="2023-05-27T00:00:00"/>
    <d v="1899-12-30T00:50:00"/>
    <s v="May"/>
    <s v="Saturday"/>
    <s v="Outlier"/>
    <x v="4"/>
  </r>
  <r>
    <n v="997669"/>
    <n v="475"/>
    <s v="USA"/>
    <d v="2023-01-22T23:19:00"/>
    <s v="App"/>
    <s v="Valarie Young"/>
    <n v="4684"/>
    <d v="2023-01-22T00:00:00"/>
    <d v="1899-12-30T23:19:00"/>
    <s v="January"/>
    <s v="Sunday"/>
    <s v="Outlier"/>
    <x v="66"/>
  </r>
  <r>
    <n v="998784"/>
    <n v="30"/>
    <s v="France"/>
    <d v="2023-05-08T00:36:00"/>
    <s v="Other"/>
    <s v="Jeff Young"/>
    <n v="3801"/>
    <d v="2023-05-08T00:00:00"/>
    <d v="1899-12-30T00:36:00"/>
    <s v="May"/>
    <s v="Monday"/>
    <s v="Outlier"/>
    <x v="54"/>
  </r>
  <r>
    <n v="998926"/>
    <n v="1677"/>
    <s v="Italy"/>
    <d v="2023-08-05T01:29:00"/>
    <s v="App"/>
    <s v="Diego Freyre"/>
    <n v="9356"/>
    <d v="2023-08-05T00:00:00"/>
    <d v="1899-12-30T01:29:00"/>
    <s v="August"/>
    <s v="Saturday"/>
    <s v="Outlier"/>
    <x v="66"/>
  </r>
  <r>
    <n v="999060"/>
    <n v="773"/>
    <s v="USA"/>
    <d v="2023-05-17T00:56:00"/>
    <s v="Whatsapp"/>
    <s v="Valarie Thompson"/>
    <n v="2259"/>
    <d v="2023-05-17T00:00:00"/>
    <d v="1899-12-30T00:56:00"/>
    <s v="May"/>
    <s v="Wednesday"/>
    <s v="Outlier"/>
    <x v="55"/>
  </r>
  <r>
    <n v="999352"/>
    <n v="214"/>
    <s v="USA"/>
    <d v="2023-12-07T23:48:00"/>
    <s v="Website"/>
    <s v="Frederique Citeaux"/>
    <n v="8616"/>
    <d v="2023-12-07T00:00:00"/>
    <d v="1899-12-30T23:48:00"/>
    <s v="December"/>
    <s v="Thursday"/>
    <s v="Outlier"/>
    <x v="65"/>
  </r>
  <r>
    <n v="999621"/>
    <n v="1643"/>
    <s v="Australia"/>
    <d v="2023-07-31T00:23:00"/>
    <s v="Website"/>
    <s v="Maurizio Moroni"/>
    <n v="4264"/>
    <d v="2023-07-31T00:00:00"/>
    <d v="1899-12-30T00:23:00"/>
    <s v="July"/>
    <s v="Monday"/>
    <s v="Outlier"/>
    <x v="3"/>
  </r>
  <r>
    <n v="1000209"/>
    <n v="240"/>
    <s v="USA"/>
    <d v="2023-08-22T01:00:00"/>
    <s v="App"/>
    <s v="Sue King"/>
    <n v="3641"/>
    <d v="2023-08-22T00:00:00"/>
    <d v="1899-12-30T01:00:00"/>
    <s v="August"/>
    <s v="Tuesday"/>
    <s v="Outlier"/>
    <x v="42"/>
  </r>
  <r>
    <n v="1000225"/>
    <n v="1329"/>
    <s v="USA"/>
    <d v="2023-08-25T23:04:00"/>
    <s v="Website"/>
    <s v="Wendy Victorino"/>
    <n v="3066"/>
    <d v="2023-08-25T00:00:00"/>
    <d v="1899-12-30T23:04:00"/>
    <s v="August"/>
    <s v="Friday"/>
    <s v="Outlier"/>
    <x v="14"/>
  </r>
  <r>
    <n v="1000578"/>
    <n v="1344"/>
    <s v="Spain"/>
    <d v="2023-05-24T23:32:00"/>
    <s v="App"/>
    <s v="Jan Klaeboe"/>
    <n v="2515"/>
    <d v="2023-05-24T00:00:00"/>
    <d v="1899-12-30T23:32:00"/>
    <s v="May"/>
    <s v="Wednesday"/>
    <s v="Outlier"/>
    <x v="28"/>
  </r>
  <r>
    <n v="1000651"/>
    <n v="1883"/>
    <s v="USA"/>
    <d v="2023-03-25T22:47:00"/>
    <s v="Whatsapp"/>
    <s v="Diego Freyre"/>
    <n v="1594"/>
    <d v="2023-03-25T00:00:00"/>
    <d v="1899-12-30T22:47:00"/>
    <s v="March"/>
    <s v="Saturday"/>
    <s v="Outlier"/>
    <x v="1"/>
  </r>
  <r>
    <n v="1001243"/>
    <n v="318"/>
    <s v="India"/>
    <d v="2023-05-16T01:12:00"/>
    <s v="Whatsapp"/>
    <s v="Violeta Benitez"/>
    <n v="3114"/>
    <d v="2023-05-16T00:00:00"/>
    <d v="1899-12-30T01:12:00"/>
    <s v="May"/>
    <s v="Tuesday"/>
    <s v="Outlier"/>
    <x v="31"/>
  </r>
  <r>
    <n v="1001621"/>
    <n v="1506"/>
    <s v="USA"/>
    <d v="2023-12-08T00:45:00"/>
    <s v="App"/>
    <s v="Victoria Ashworth"/>
    <n v="9768"/>
    <d v="2023-12-08T00:00:00"/>
    <d v="1899-12-30T00:45:00"/>
    <s v="December"/>
    <s v="Friday"/>
    <s v="Outlier"/>
    <x v="65"/>
  </r>
  <r>
    <n v="1001825"/>
    <n v="1304"/>
    <s v="Italy"/>
    <d v="2023-06-01T23:03:00"/>
    <s v="Website"/>
    <s v="Paul Henriot"/>
    <n v="7174"/>
    <d v="2023-06-01T00:00:00"/>
    <d v="1899-12-30T23:03:00"/>
    <s v="June"/>
    <s v="Thursday"/>
    <s v="Outlier"/>
    <x v="65"/>
  </r>
  <r>
    <n v="1003235"/>
    <n v="1435"/>
    <s v="France"/>
    <d v="2023-04-05T02:22:00"/>
    <s v="Whatsapp"/>
    <s v="Julie Young"/>
    <n v="9029"/>
    <d v="2023-04-05T00:00:00"/>
    <d v="1899-12-30T02:22:00"/>
    <s v="April"/>
    <s v="Wednesday"/>
    <s v="Outlier"/>
    <x v="23"/>
  </r>
  <r>
    <n v="1003833"/>
    <n v="1270"/>
    <s v="USA"/>
    <d v="2023-03-14T23:37:00"/>
    <s v="App"/>
    <s v="Diego Freyre"/>
    <n v="5170"/>
    <d v="2023-03-14T00:00:00"/>
    <d v="1899-12-30T23:37:00"/>
    <s v="March"/>
    <s v="Tuesday"/>
    <s v="Outlier"/>
    <x v="68"/>
  </r>
  <r>
    <n v="1004136"/>
    <n v="305"/>
    <s v="Australia"/>
    <d v="2023-04-25T23:44:00"/>
    <s v="Whatsapp"/>
    <s v="Sue Frick"/>
    <n v="4465"/>
    <d v="2023-04-25T00:00:00"/>
    <d v="1899-12-30T23:44:00"/>
    <s v="April"/>
    <s v="Tuesday"/>
    <s v="Outlier"/>
    <x v="30"/>
  </r>
  <r>
    <n v="1004148"/>
    <n v="9"/>
    <s v="France"/>
    <d v="2023-10-01T01:03:00"/>
    <s v="Whatsapp"/>
    <s v="Adrian Huxley"/>
    <n v="9670"/>
    <d v="2023-10-01T00:00:00"/>
    <d v="1899-12-30T01:03:00"/>
    <s v="October"/>
    <s v="Sunday"/>
    <s v="Outlier"/>
    <x v="21"/>
  </r>
  <r>
    <n v="1004722"/>
    <n v="1176"/>
    <s v="USA"/>
    <d v="2023-06-04T01:21:00"/>
    <s v="Whatsapp"/>
    <s v="Giovanni Rovelli"/>
    <n v="315"/>
    <d v="2023-06-04T00:00:00"/>
    <d v="1899-12-30T01:21:00"/>
    <s v="June"/>
    <s v="Sunday"/>
    <s v="Outlier"/>
    <x v="20"/>
  </r>
  <r>
    <n v="1004737"/>
    <n v="324"/>
    <s v="Australia"/>
    <d v="2023-08-06T02:00:00"/>
    <s v="Other"/>
    <s v="Peter Ferguson"/>
    <n v="9848"/>
    <d v="2023-08-06T00:00:00"/>
    <d v="1899-12-30T02:00:00"/>
    <s v="August"/>
    <s v="Sunday"/>
    <s v="Outlier"/>
    <x v="9"/>
  </r>
  <r>
    <n v="1005091"/>
    <n v="750"/>
    <s v="Finland"/>
    <d v="2023-03-29T23:19:00"/>
    <s v="App"/>
    <s v="Diego Freyre"/>
    <n v="6680"/>
    <d v="2023-03-29T00:00:00"/>
    <d v="1899-12-30T23:19:00"/>
    <s v="March"/>
    <s v="Wednesday"/>
    <s v="Outlier"/>
    <x v="28"/>
  </r>
  <r>
    <n v="1006791"/>
    <n v="425"/>
    <s v="India"/>
    <d v="2023-07-18T22:51:00"/>
    <s v="Website"/>
    <s v="Julie Young"/>
    <n v="8280"/>
    <d v="2023-07-18T00:00:00"/>
    <d v="1899-12-30T22:51:00"/>
    <s v="July"/>
    <s v="Tuesday"/>
    <s v="Outlier"/>
    <x v="66"/>
  </r>
  <r>
    <n v="1007141"/>
    <n v="50"/>
    <s v="Norway"/>
    <d v="2023-12-12T22:12:00"/>
    <s v="App"/>
    <s v="Juri Hirano"/>
    <n v="2689"/>
    <d v="2023-12-12T00:00:00"/>
    <d v="1899-12-30T22:12:00"/>
    <s v="December"/>
    <s v="Tuesday"/>
    <s v="Outlier"/>
    <x v="69"/>
  </r>
  <r>
    <n v="1007700"/>
    <n v="841"/>
    <s v="USA"/>
    <d v="2023-09-10T23:34:00"/>
    <s v="Website"/>
    <s v="Mory Kentary"/>
    <n v="7646"/>
    <d v="2023-09-10T00:00:00"/>
    <d v="1899-12-30T23:34:00"/>
    <s v="September"/>
    <s v="Sunday"/>
    <s v="Outlier"/>
    <x v="53"/>
  </r>
  <r>
    <n v="1008914"/>
    <n v="247"/>
    <s v="France"/>
    <d v="2023-03-14T00:38:00"/>
    <s v="Website"/>
    <s v="Peter Ferguson"/>
    <n v="1718"/>
    <d v="2023-03-14T00:00:00"/>
    <d v="1899-12-30T00:38:00"/>
    <s v="March"/>
    <s v="Tuesday"/>
    <s v="Outlier"/>
    <x v="23"/>
  </r>
  <r>
    <n v="1011917"/>
    <n v="1586"/>
    <s v="France"/>
    <d v="2023-06-21T01:16:00"/>
    <s v="App"/>
    <s v="Elizabeth Lincoln"/>
    <n v="498"/>
    <d v="2023-06-21T00:00:00"/>
    <d v="1899-12-30T01:16:00"/>
    <s v="June"/>
    <s v="Wednesday"/>
    <s v="Outlier"/>
    <x v="53"/>
  </r>
  <r>
    <n v="1012304"/>
    <n v="1253"/>
    <s v="USA"/>
    <d v="2023-01-22T00:24:00"/>
    <s v="Website"/>
    <s v="Sue Frick"/>
    <n v="6132"/>
    <d v="2023-01-22T00:00:00"/>
    <d v="1899-12-30T00:24:00"/>
    <s v="January"/>
    <s v="Sunday"/>
    <s v="Outlier"/>
    <x v="33"/>
  </r>
  <r>
    <n v="1013457"/>
    <n v="313"/>
    <s v="India"/>
    <d v="2023-07-17T00:44:00"/>
    <s v="Website"/>
    <s v="Diego Freyre"/>
    <n v="3289"/>
    <d v="2023-07-17T00:00:00"/>
    <d v="1899-12-30T00:44:00"/>
    <s v="July"/>
    <s v="Monday"/>
    <s v="Outlier"/>
    <x v="57"/>
  </r>
  <r>
    <n v="1013492"/>
    <n v="1294"/>
    <s v="France"/>
    <d v="2023-11-23T23:39:00"/>
    <s v="App"/>
    <s v="Janine Labrune"/>
    <n v="4442"/>
    <d v="2023-11-23T00:00:00"/>
    <d v="1899-12-30T23:39:00"/>
    <s v="November"/>
    <s v="Thursday"/>
    <s v="Outlier"/>
    <x v="26"/>
  </r>
  <r>
    <n v="1014185"/>
    <n v="1359"/>
    <s v="USA"/>
    <d v="2023-11-15T00:25:00"/>
    <s v="App"/>
    <s v="Jan Klaeboe"/>
    <n v="2585"/>
    <d v="2023-11-15T00:00:00"/>
    <d v="1899-12-30T00:25:00"/>
    <s v="November"/>
    <s v="Wednesday"/>
    <s v="Outlier"/>
    <x v="61"/>
  </r>
  <r>
    <n v="1014215"/>
    <n v="1558"/>
    <s v="Finland"/>
    <d v="2023-06-10T01:02:00"/>
    <s v="App"/>
    <s v="Dean Cassidy"/>
    <n v="858"/>
    <d v="2023-06-10T00:00:00"/>
    <d v="1899-12-30T01:02:00"/>
    <s v="June"/>
    <s v="Saturday"/>
    <s v="Outlier"/>
    <x v="69"/>
  </r>
  <r>
    <n v="1014724"/>
    <n v="744"/>
    <s v="Finland"/>
    <d v="2023-12-17T23:53:00"/>
    <s v="Other"/>
    <s v="Steve Frick"/>
    <n v="231"/>
    <d v="2023-12-17T00:00:00"/>
    <d v="1899-12-30T23:53:00"/>
    <s v="December"/>
    <s v="Sunday"/>
    <s v="Outlier"/>
    <x v="19"/>
  </r>
  <r>
    <n v="1015146"/>
    <n v="1469"/>
    <s v="Italy"/>
    <d v="2023-04-11T01:22:00"/>
    <s v="Website"/>
    <s v="Helen Bennett"/>
    <n v="9395"/>
    <d v="2023-04-11T00:00:00"/>
    <d v="1899-12-30T01:22:00"/>
    <s v="April"/>
    <s v="Tuesday"/>
    <s v="Outlier"/>
    <x v="4"/>
  </r>
  <r>
    <n v="1016109"/>
    <n v="1256"/>
    <s v="Spain"/>
    <d v="2023-12-30T23:14:00"/>
    <s v="Other"/>
    <s v="Giovanni Rovelli"/>
    <n v="8981"/>
    <d v="2023-12-30T00:00:00"/>
    <d v="1899-12-30T23:14:00"/>
    <s v="December"/>
    <s v="Saturday"/>
    <s v="Outlier"/>
    <x v="3"/>
  </r>
  <r>
    <n v="1016456"/>
    <n v="69"/>
    <s v="USA"/>
    <d v="2023-09-25T22:43:00"/>
    <s v="Whatsapp"/>
    <s v="Akiko Shimamura"/>
    <n v="1984"/>
    <d v="2023-09-25T00:00:00"/>
    <d v="1899-12-30T22:43:00"/>
    <s v="September"/>
    <s v="Monday"/>
    <s v="Outlier"/>
    <x v="36"/>
  </r>
  <r>
    <n v="1016563"/>
    <n v="216"/>
    <s v="India"/>
    <d v="2023-11-08T23:53:00"/>
    <s v="App"/>
    <s v="Dan Lewis"/>
    <n v="8735"/>
    <d v="2023-11-08T00:00:00"/>
    <d v="1899-12-30T23:53:00"/>
    <s v="November"/>
    <s v="Wednesday"/>
    <s v="Outlier"/>
    <x v="23"/>
  </r>
  <r>
    <n v="1017548"/>
    <n v="187"/>
    <s v="France"/>
    <d v="2023-02-13T01:23:00"/>
    <s v="Website"/>
    <s v="Tony Calaghan"/>
    <n v="7555"/>
    <d v="2023-02-13T00:00:00"/>
    <d v="1899-12-30T01:23:00"/>
    <s v="February"/>
    <s v="Monday"/>
    <s v="Outlier"/>
    <x v="17"/>
  </r>
  <r>
    <n v="1018145"/>
    <n v="523"/>
    <s v="USA"/>
    <d v="2023-11-09T23:20:00"/>
    <s v="Other"/>
    <s v="Diego Freyre"/>
    <n v="9449"/>
    <d v="2023-11-09T00:00:00"/>
    <d v="1899-12-30T23:20:00"/>
    <s v="November"/>
    <s v="Thursday"/>
    <s v="Outlier"/>
    <x v="47"/>
  </r>
  <r>
    <n v="1018282"/>
    <n v="814"/>
    <s v="USA"/>
    <d v="2023-12-07T00:33:00"/>
    <s v="App"/>
    <s v="Paul Henriot"/>
    <n v="6590"/>
    <d v="2023-12-07T00:00:00"/>
    <d v="1899-12-30T00:33:00"/>
    <s v="December"/>
    <s v="Thursday"/>
    <s v="Outlier"/>
    <x v="52"/>
  </r>
  <r>
    <n v="1018548"/>
    <n v="442"/>
    <s v="USA"/>
    <d v="2023-03-07T23:24:00"/>
    <s v="App"/>
    <s v="William Brown"/>
    <n v="8622"/>
    <d v="2023-03-07T00:00:00"/>
    <d v="1899-12-30T23:24:00"/>
    <s v="March"/>
    <s v="Tuesday"/>
    <s v="Outlier"/>
    <x v="14"/>
  </r>
  <r>
    <n v="1019737"/>
    <n v="1970"/>
    <s v="France"/>
    <d v="2023-06-04T23:45:00"/>
    <s v="Whatsapp"/>
    <s v="Maurizio Moroni"/>
    <n v="5789"/>
    <d v="2023-06-04T00:00:00"/>
    <d v="1899-12-30T23:45:00"/>
    <s v="June"/>
    <s v="Sunday"/>
    <s v="Outlier"/>
    <x v="33"/>
  </r>
  <r>
    <n v="1020737"/>
    <n v="575"/>
    <s v="India"/>
    <d v="2023-12-07T01:58:00"/>
    <s v="App"/>
    <s v="Roland Keitel"/>
    <n v="7392"/>
    <d v="2023-12-07T00:00:00"/>
    <d v="1899-12-30T01:58:00"/>
    <s v="December"/>
    <s v="Thursday"/>
    <s v="Outlier"/>
    <x v="67"/>
  </r>
  <r>
    <n v="1021024"/>
    <n v="283"/>
    <s v="USA"/>
    <d v="2023-07-05T00:29:00"/>
    <s v="Whatsapp"/>
    <s v="Victoria Ashworth"/>
    <n v="2928"/>
    <d v="2023-07-05T00:00:00"/>
    <d v="1899-12-30T00:29:00"/>
    <s v="July"/>
    <s v="Wednesday"/>
    <s v="Outlier"/>
    <x v="65"/>
  </r>
  <r>
    <n v="1023043"/>
    <n v="1237"/>
    <s v="USA"/>
    <d v="2023-08-28T00:25:00"/>
    <s v="App"/>
    <s v="Sue King"/>
    <n v="534"/>
    <d v="2023-08-28T00:00:00"/>
    <d v="1899-12-30T00:25:00"/>
    <s v="August"/>
    <s v="Monday"/>
    <s v="Outlier"/>
    <x v="27"/>
  </r>
  <r>
    <n v="1024120"/>
    <n v="1323"/>
    <s v="Switzerland"/>
    <d v="2023-02-07T00:48:00"/>
    <s v="Website"/>
    <s v="Sue Taylor"/>
    <n v="2228"/>
    <d v="2023-02-07T00:00:00"/>
    <d v="1899-12-30T00:48:00"/>
    <s v="February"/>
    <s v="Tuesday"/>
    <s v="Outlier"/>
    <x v="49"/>
  </r>
  <r>
    <n v="1024270"/>
    <n v="1292"/>
    <s v="USA"/>
    <d v="2023-05-04T01:52:00"/>
    <s v="Whatsapp"/>
    <s v="Julie Brown"/>
    <n v="114"/>
    <d v="2023-05-04T00:00:00"/>
    <d v="1899-12-30T01:52:00"/>
    <s v="May"/>
    <s v="Thursday"/>
    <s v="Outlier"/>
    <x v="4"/>
  </r>
  <r>
    <n v="1025204"/>
    <n v="1504"/>
    <s v="France"/>
    <d v="2023-07-15T00:17:00"/>
    <s v="Website"/>
    <s v="Giovanni Rovelli"/>
    <n v="1043"/>
    <d v="2023-07-15T00:00:00"/>
    <d v="1899-12-30T00:17:00"/>
    <s v="July"/>
    <s v="Saturday"/>
    <s v="Outlier"/>
    <x v="19"/>
  </r>
  <r>
    <n v="1025560"/>
    <n v="1534"/>
    <s v="USA"/>
    <d v="2023-04-13T01:47:00"/>
    <s v="Other"/>
    <s v="Valarie Nelson"/>
    <n v="3748"/>
    <d v="2023-04-13T00:00:00"/>
    <d v="1899-12-30T01:47:00"/>
    <s v="April"/>
    <s v="Thursday"/>
    <s v="Outlier"/>
    <x v="65"/>
  </r>
  <r>
    <n v="1026131"/>
    <n v="1642"/>
    <s v="Italy"/>
    <d v="2023-01-19T00:26:00"/>
    <s v="Website"/>
    <s v="Sean Connery"/>
    <n v="2027"/>
    <d v="2023-01-19T00:00:00"/>
    <d v="1899-12-30T00:26:00"/>
    <s v="January"/>
    <s v="Thursday"/>
    <s v="Outlier"/>
    <x v="9"/>
  </r>
  <r>
    <n v="1026611"/>
    <n v="899"/>
    <s v="USA"/>
    <d v="2023-01-31T00:58:00"/>
    <s v="Website"/>
    <s v="Diego Freyre"/>
    <n v="2950"/>
    <d v="2023-01-31T00:00:00"/>
    <d v="1899-12-30T00:58:00"/>
    <s v="January"/>
    <s v="Tuesday"/>
    <s v="Outlier"/>
    <x v="21"/>
  </r>
  <r>
    <n v="1028549"/>
    <n v="950"/>
    <s v="France"/>
    <d v="2023-06-05T01:04:00"/>
    <s v="Website"/>
    <s v="Mart¡n Sommer"/>
    <n v="6236"/>
    <d v="2023-06-05T00:00:00"/>
    <d v="1899-12-30T01:04:00"/>
    <s v="June"/>
    <s v="Monday"/>
    <s v="Outlier"/>
    <x v="54"/>
  </r>
  <r>
    <n v="1028877"/>
    <n v="1695"/>
    <s v="Spain"/>
    <d v="2023-07-31T23:32:00"/>
    <s v="Website"/>
    <s v="Mary Saveley"/>
    <n v="8062"/>
    <d v="2023-07-31T00:00:00"/>
    <d v="1899-12-30T23:32:00"/>
    <s v="July"/>
    <s v="Monday"/>
    <s v="Outlier"/>
    <x v="2"/>
  </r>
  <r>
    <n v="1029432"/>
    <n v="169"/>
    <s v="France"/>
    <d v="2023-08-10T23:03:00"/>
    <s v="App"/>
    <s v="Valarie Franco"/>
    <n v="9527"/>
    <d v="2023-08-10T00:00:00"/>
    <d v="1899-12-30T23:03:00"/>
    <s v="August"/>
    <s v="Thursday"/>
    <s v="Outlier"/>
    <x v="53"/>
  </r>
  <r>
    <n v="1031465"/>
    <n v="808"/>
    <s v="USA"/>
    <d v="2023-11-22T23:17:00"/>
    <s v="Website"/>
    <s v="Paolo Accorti"/>
    <n v="7817"/>
    <d v="2023-11-22T00:00:00"/>
    <d v="1899-12-30T23:17:00"/>
    <s v="November"/>
    <s v="Wednesday"/>
    <s v="Outlier"/>
    <x v="10"/>
  </r>
  <r>
    <n v="1031756"/>
    <n v="1053"/>
    <s v="India"/>
    <d v="2023-04-08T23:56:00"/>
    <s v="Website"/>
    <s v="Wendy Victorino"/>
    <n v="8172"/>
    <d v="2023-04-08T00:00:00"/>
    <d v="1899-12-30T23:56:00"/>
    <s v="April"/>
    <s v="Saturday"/>
    <s v="Outlier"/>
    <x v="25"/>
  </r>
  <r>
    <n v="1032588"/>
    <n v="588"/>
    <s v="Italy"/>
    <d v="2023-11-11T00:50:00"/>
    <s v="Other"/>
    <s v="Daniel Tonini"/>
    <n v="6085"/>
    <d v="2023-11-11T00:00:00"/>
    <d v="1899-12-30T00:50:00"/>
    <s v="November"/>
    <s v="Saturday"/>
    <s v="Outlier"/>
    <x v="53"/>
  </r>
  <r>
    <n v="1033000"/>
    <n v="327"/>
    <s v="India"/>
    <d v="2023-03-10T23:26:00"/>
    <s v="Whatsapp"/>
    <s v="Valarie Nelson"/>
    <n v="3478"/>
    <d v="2023-03-10T00:00:00"/>
    <d v="1899-12-30T23:26:00"/>
    <s v="March"/>
    <s v="Friday"/>
    <s v="Outlier"/>
    <x v="24"/>
  </r>
  <r>
    <n v="1033341"/>
    <n v="537"/>
    <s v="Australia"/>
    <d v="2023-12-06T00:44:00"/>
    <s v="Other"/>
    <s v="Valarie Young"/>
    <n v="1935"/>
    <d v="2023-12-06T00:00:00"/>
    <d v="1899-12-30T00:44:00"/>
    <s v="December"/>
    <s v="Wednesday"/>
    <s v="Outlier"/>
    <x v="30"/>
  </r>
  <r>
    <n v="1033877"/>
    <n v="13"/>
    <s v="Spain"/>
    <d v="2023-02-26T01:42:00"/>
    <s v="Whatsapp"/>
    <s v="Victoria Ashworth"/>
    <n v="4612"/>
    <d v="2023-02-26T00:00:00"/>
    <d v="1899-12-30T01:42:00"/>
    <s v="February"/>
    <s v="Sunday"/>
    <s v="Outlier"/>
    <x v="58"/>
  </r>
  <r>
    <n v="1034415"/>
    <n v="427"/>
    <s v="India"/>
    <d v="2023-04-03T00:59:00"/>
    <s v="Website"/>
    <s v="Laurence Lebihan"/>
    <n v="3464"/>
    <d v="2023-04-03T00:00:00"/>
    <d v="1899-12-30T00:59:00"/>
    <s v="April"/>
    <s v="Monday"/>
    <s v="Outlier"/>
    <x v="0"/>
  </r>
  <r>
    <n v="1036614"/>
    <n v="898"/>
    <s v="USA"/>
    <d v="2023-01-20T00:00:00"/>
    <s v="Whatsapp"/>
    <s v="Daniel Da Cunha"/>
    <n v="4272"/>
    <d v="2023-01-20T00:00:00"/>
    <d v="1899-12-30T00:00:00"/>
    <s v="January"/>
    <s v="Friday"/>
    <s v="Outlier"/>
    <x v="71"/>
  </r>
  <r>
    <n v="1036624"/>
    <n v="1607"/>
    <s v="Australia"/>
    <d v="2023-07-22T00:44:00"/>
    <s v="App"/>
    <s v="Julie Young"/>
    <n v="667"/>
    <d v="2023-07-22T00:00:00"/>
    <d v="1899-12-30T00:44:00"/>
    <s v="July"/>
    <s v="Saturday"/>
    <s v="Outlier"/>
    <x v="48"/>
  </r>
  <r>
    <n v="1036642"/>
    <n v="24"/>
    <s v="Spain"/>
    <d v="2023-05-03T01:23:00"/>
    <s v="Other"/>
    <s v="Diego Freyre"/>
    <n v="9159"/>
    <d v="2023-05-03T00:00:00"/>
    <d v="1899-12-30T01:23:00"/>
    <s v="May"/>
    <s v="Wednesday"/>
    <s v="Outlier"/>
    <x v="59"/>
  </r>
  <r>
    <n v="1038558"/>
    <n v="840"/>
    <s v="Finland"/>
    <d v="2023-07-03T01:46:00"/>
    <s v="App"/>
    <s v="Anna O'Hara"/>
    <n v="5596"/>
    <d v="2023-07-03T00:00:00"/>
    <d v="1899-12-30T01:46:00"/>
    <s v="July"/>
    <s v="Monday"/>
    <s v="Outlier"/>
    <x v="59"/>
  </r>
  <r>
    <n v="1038672"/>
    <n v="1878"/>
    <s v="Spain"/>
    <d v="2023-11-03T22:45:00"/>
    <s v="Other"/>
    <s v="Wendy Victorino"/>
    <n v="5918"/>
    <d v="2023-11-03T00:00:00"/>
    <d v="1899-12-30T22:45:00"/>
    <s v="November"/>
    <s v="Friday"/>
    <s v="Outlier"/>
    <x v="32"/>
  </r>
  <r>
    <n v="1039481"/>
    <n v="194"/>
    <s v="India"/>
    <d v="2023-05-14T23:04:00"/>
    <s v="Whatsapp"/>
    <s v="Adrian Huxley"/>
    <n v="8428"/>
    <d v="2023-05-14T00:00:00"/>
    <d v="1899-12-30T23:04:00"/>
    <s v="May"/>
    <s v="Sunday"/>
    <s v="Outlier"/>
    <x v="71"/>
  </r>
  <r>
    <n v="1039541"/>
    <n v="694"/>
    <s v="Finland"/>
    <d v="2023-01-23T00:23:00"/>
    <s v="Other"/>
    <s v="Kwai Yu"/>
    <n v="8648"/>
    <d v="2023-01-23T00:00:00"/>
    <d v="1899-12-30T00:23:00"/>
    <s v="January"/>
    <s v="Monday"/>
    <s v="Outlier"/>
    <x v="40"/>
  </r>
  <r>
    <n v="1041039"/>
    <n v="1826"/>
    <s v="Italy"/>
    <d v="2023-01-04T23:17:00"/>
    <s v="Whatsapp"/>
    <s v="Peter Ferguson"/>
    <n v="7801"/>
    <d v="2023-01-04T00:00:00"/>
    <d v="1899-12-30T23:17:00"/>
    <s v="January"/>
    <s v="Wednesday"/>
    <s v="Outlier"/>
    <x v="29"/>
  </r>
  <r>
    <n v="1041266"/>
    <n v="1598"/>
    <s v="Switzerland"/>
    <d v="2023-05-23T00:43:00"/>
    <s v="Other"/>
    <s v="Daniel Da Cunha"/>
    <n v="1369"/>
    <d v="2023-05-23T00:00:00"/>
    <d v="1899-12-30T00:43:00"/>
    <s v="May"/>
    <s v="Tuesday"/>
    <s v="Outlier"/>
    <x v="3"/>
  </r>
  <r>
    <n v="1042847"/>
    <n v="1524"/>
    <s v="France"/>
    <d v="2023-02-04T23:32:00"/>
    <s v="Website"/>
    <s v="Julie Young"/>
    <n v="2979"/>
    <d v="2023-02-04T00:00:00"/>
    <d v="1899-12-30T23:32:00"/>
    <s v="February"/>
    <s v="Saturday"/>
    <s v="Outlier"/>
    <x v="21"/>
  </r>
  <r>
    <n v="1043105"/>
    <n v="288"/>
    <s v="USA"/>
    <d v="2023-08-08T22:55:00"/>
    <s v="Other"/>
    <s v="Jonas Bergulfsen"/>
    <n v="9185"/>
    <d v="2023-08-08T00:00:00"/>
    <d v="1899-12-30T22:55:00"/>
    <s v="August"/>
    <s v="Tuesday"/>
    <s v="Outlier"/>
    <x v="4"/>
  </r>
  <r>
    <n v="1043175"/>
    <n v="644"/>
    <s v="Singapore"/>
    <d v="2023-06-29T23:34:00"/>
    <s v="Website"/>
    <s v="Juri Hirano"/>
    <n v="3317"/>
    <d v="2023-06-29T00:00:00"/>
    <d v="1899-12-30T23:34:00"/>
    <s v="June"/>
    <s v="Thursday"/>
    <s v="Outlier"/>
    <x v="57"/>
  </r>
  <r>
    <n v="1044084"/>
    <n v="1073"/>
    <s v="Spain"/>
    <d v="2023-04-24T01:12:00"/>
    <s v="Whatsapp"/>
    <s v="Martine Rance"/>
    <n v="1891"/>
    <d v="2023-04-24T00:00:00"/>
    <d v="1899-12-30T01:12:00"/>
    <s v="April"/>
    <s v="Monday"/>
    <s v="Outlier"/>
    <x v="52"/>
  </r>
  <r>
    <n v="1044744"/>
    <n v="1780"/>
    <s v="Singapore"/>
    <d v="2023-02-11T00:03:00"/>
    <s v="Website"/>
    <s v="Veysel Oeztan"/>
    <n v="5782"/>
    <d v="2023-02-11T00:00:00"/>
    <d v="1899-12-30T00:03:00"/>
    <s v="February"/>
    <s v="Saturday"/>
    <s v="Outlier"/>
    <x v="22"/>
  </r>
  <r>
    <n v="1045182"/>
    <n v="862"/>
    <s v="USA"/>
    <d v="2023-02-26T01:40:00"/>
    <s v="Whatsapp"/>
    <s v="Julie Murphy"/>
    <n v="8821"/>
    <d v="2023-02-26T00:00:00"/>
    <d v="1899-12-30T01:40:00"/>
    <s v="February"/>
    <s v="Sunday"/>
    <s v="Outlier"/>
    <x v="17"/>
  </r>
  <r>
    <n v="1045700"/>
    <n v="539"/>
    <s v="India"/>
    <d v="2023-12-02T00:38:00"/>
    <s v="Whatsapp"/>
    <s v="Mory Kentary"/>
    <n v="5012"/>
    <d v="2023-12-02T00:00:00"/>
    <d v="1899-12-30T00:38:00"/>
    <s v="December"/>
    <s v="Saturday"/>
    <s v="Outlier"/>
    <x v="32"/>
  </r>
  <r>
    <n v="1046125"/>
    <n v="1258"/>
    <s v="USA"/>
    <d v="2023-04-08T00:29:00"/>
    <s v="Other"/>
    <s v="Peter Ferguson"/>
    <n v="9104"/>
    <d v="2023-04-08T00:00:00"/>
    <d v="1899-12-30T00:29:00"/>
    <s v="April"/>
    <s v="Saturday"/>
    <s v="Outlier"/>
    <x v="27"/>
  </r>
  <r>
    <n v="1046974"/>
    <n v="1060"/>
    <s v="India"/>
    <d v="2023-12-20T22:59:00"/>
    <s v="App"/>
    <s v="Rosa Hernandez"/>
    <n v="2067"/>
    <d v="2023-12-20T00:00:00"/>
    <d v="1899-12-30T22:59:00"/>
    <s v="December"/>
    <s v="Wednesday"/>
    <s v="Outlier"/>
    <x v="14"/>
  </r>
  <r>
    <n v="1047821"/>
    <n v="1259"/>
    <s v="USA"/>
    <d v="2023-06-27T23:05:00"/>
    <s v="Whatsapp"/>
    <s v="Sue Frick"/>
    <n v="4812"/>
    <d v="2023-06-27T00:00:00"/>
    <d v="1899-12-30T23:05:00"/>
    <s v="June"/>
    <s v="Tuesday"/>
    <s v="Outlier"/>
    <x v="23"/>
  </r>
  <r>
    <n v="1047874"/>
    <n v="420"/>
    <s v="Spain"/>
    <d v="2023-09-12T23:00:00"/>
    <s v="App"/>
    <s v="Julie King"/>
    <n v="4920"/>
    <d v="2023-09-12T00:00:00"/>
    <d v="1899-12-30T23:00:00"/>
    <s v="September"/>
    <s v="Tuesday"/>
    <s v="Outlier"/>
    <x v="54"/>
  </r>
  <r>
    <n v="1050256"/>
    <n v="1770"/>
    <s v="Austria"/>
    <d v="2023-04-25T01:32:00"/>
    <s v="Other"/>
    <s v="Janine Labrune"/>
    <n v="9723"/>
    <d v="2023-04-25T00:00:00"/>
    <d v="1899-12-30T01:32:00"/>
    <s v="April"/>
    <s v="Tuesday"/>
    <s v="Outlier"/>
    <x v="51"/>
  </r>
  <r>
    <n v="1050351"/>
    <n v="497"/>
    <s v="USA"/>
    <d v="2023-07-14T00:01:00"/>
    <s v="App"/>
    <s v="Marta Hernandez"/>
    <n v="9863"/>
    <d v="2023-07-14T00:00:00"/>
    <d v="1899-12-30T00:01:00"/>
    <s v="July"/>
    <s v="Friday"/>
    <s v="Outlier"/>
    <x v="51"/>
  </r>
  <r>
    <n v="1050970"/>
    <n v="47"/>
    <s v="Spain"/>
    <d v="2023-05-09T01:13:00"/>
    <s v="Website"/>
    <s v="Dean Cassidy"/>
    <n v="2859"/>
    <d v="2023-05-09T00:00:00"/>
    <d v="1899-12-30T01:13:00"/>
    <s v="May"/>
    <s v="Tuesday"/>
    <s v="Outlier"/>
    <x v="5"/>
  </r>
  <r>
    <n v="1051057"/>
    <n v="482"/>
    <s v="France"/>
    <d v="2023-05-02T23:57:00"/>
    <s v="Other"/>
    <s v="Steve Frick"/>
    <n v="4768"/>
    <d v="2023-05-02T00:00:00"/>
    <d v="1899-12-30T23:57:00"/>
    <s v="May"/>
    <s v="Tuesday"/>
    <s v="Outlier"/>
    <x v="43"/>
  </r>
  <r>
    <n v="1051553"/>
    <n v="231"/>
    <s v="USA"/>
    <d v="2023-09-29T00:26:00"/>
    <s v="Whatsapp"/>
    <s v="Kyung Yu"/>
    <n v="8153"/>
    <d v="2023-09-29T00:00:00"/>
    <d v="1899-12-30T00:26:00"/>
    <s v="September"/>
    <s v="Friday"/>
    <s v="Outlier"/>
    <x v="10"/>
  </r>
  <r>
    <n v="1052119"/>
    <n v="634"/>
    <s v="USA"/>
    <d v="2023-08-15T00:10:00"/>
    <s v="Whatsapp"/>
    <s v="Kwai Yu"/>
    <n v="4462"/>
    <d v="2023-08-15T00:00:00"/>
    <d v="1899-12-30T00:10:00"/>
    <s v="August"/>
    <s v="Tuesday"/>
    <s v="Outlier"/>
    <x v="14"/>
  </r>
  <r>
    <n v="1052606"/>
    <n v="577"/>
    <s v="France"/>
    <d v="2023-11-03T00:10:00"/>
    <s v="App"/>
    <s v="Eduardo Saavedra"/>
    <n v="701"/>
    <d v="2023-11-03T00:00:00"/>
    <d v="1899-12-30T00:10:00"/>
    <s v="November"/>
    <s v="Friday"/>
    <s v="Outlier"/>
    <x v="8"/>
  </r>
  <r>
    <n v="1053680"/>
    <n v="1618"/>
    <s v="USA"/>
    <d v="2023-11-03T01:59:00"/>
    <s v="Other"/>
    <s v="Kalle Suominen"/>
    <n v="6474"/>
    <d v="2023-11-03T00:00:00"/>
    <d v="1899-12-30T01:59:00"/>
    <s v="November"/>
    <s v="Friday"/>
    <s v="Outlier"/>
    <x v="63"/>
  </r>
  <r>
    <n v="1054349"/>
    <n v="1473"/>
    <s v="USA"/>
    <d v="2023-04-10T23:29:00"/>
    <s v="Other"/>
    <s v="Janine Labrune"/>
    <n v="4060"/>
    <d v="2023-04-10T00:00:00"/>
    <d v="1899-12-30T23:29:00"/>
    <s v="April"/>
    <s v="Monday"/>
    <s v="Outlier"/>
    <x v="28"/>
  </r>
  <r>
    <n v="1054639"/>
    <n v="1865"/>
    <s v="France"/>
    <d v="2023-02-26T00:00:00"/>
    <s v="Whatsapp"/>
    <s v="Maria Larsson"/>
    <n v="4421"/>
    <d v="2023-02-26T00:00:00"/>
    <d v="1899-12-30T00:00:00"/>
    <s v="February"/>
    <s v="Sunday"/>
    <s v="Outlier"/>
    <x v="70"/>
  </r>
  <r>
    <n v="1055786"/>
    <n v="1205"/>
    <s v="Spain"/>
    <d v="2023-08-05T01:16:00"/>
    <s v="App"/>
    <s v="Dominique Perrier"/>
    <n v="7809"/>
    <d v="2023-08-05T00:00:00"/>
    <d v="1899-12-30T01:16:00"/>
    <s v="August"/>
    <s v="Saturday"/>
    <s v="Outlier"/>
    <x v="20"/>
  </r>
  <r>
    <n v="1055810"/>
    <n v="1362"/>
    <s v="Finland"/>
    <d v="2023-01-09T23:49:00"/>
    <s v="App"/>
    <s v="Maurizio Moroni"/>
    <n v="563"/>
    <d v="2023-01-09T00:00:00"/>
    <d v="1899-12-30T23:49:00"/>
    <s v="January"/>
    <s v="Monday"/>
    <s v="Outlier"/>
    <x v="28"/>
  </r>
  <r>
    <n v="1055817"/>
    <n v="1697"/>
    <s v="France"/>
    <d v="2023-06-02T23:00:00"/>
    <s v="Website"/>
    <s v="Jytte Petersen"/>
    <n v="8477"/>
    <d v="2023-06-02T00:00:00"/>
    <d v="1899-12-30T23:00:00"/>
    <s v="June"/>
    <s v="Friday"/>
    <s v="Outlier"/>
    <x v="48"/>
  </r>
  <r>
    <n v="1056320"/>
    <n v="856"/>
    <s v="USA"/>
    <d v="2023-04-08T01:13:00"/>
    <s v="Whatsapp"/>
    <s v="Eric Natividad"/>
    <n v="6535"/>
    <d v="2023-04-08T00:00:00"/>
    <d v="1899-12-30T01:13:00"/>
    <s v="April"/>
    <s v="Saturday"/>
    <s v="Outlier"/>
    <x v="0"/>
  </r>
  <r>
    <n v="1056575"/>
    <n v="1149"/>
    <s v="USA"/>
    <d v="2023-04-01T01:23:00"/>
    <s v="Website"/>
    <s v="Ann Brown"/>
    <n v="1439"/>
    <d v="2023-04-01T00:00:00"/>
    <d v="1899-12-30T01:23:00"/>
    <s v="April"/>
    <s v="Saturday"/>
    <s v="Outlier"/>
    <x v="34"/>
  </r>
  <r>
    <n v="1056710"/>
    <n v="1243"/>
    <s v="Spain"/>
    <d v="2023-07-31T00:40:00"/>
    <s v="Whatsapp"/>
    <s v="Valarie Nelson"/>
    <n v="1855"/>
    <d v="2023-07-31T00:00:00"/>
    <d v="1899-12-30T00:40:00"/>
    <s v="July"/>
    <s v="Monday"/>
    <s v="Outlier"/>
    <x v="32"/>
  </r>
  <r>
    <n v="1057228"/>
    <n v="1029"/>
    <s v="Spain"/>
    <d v="2023-09-30T23:50:00"/>
    <s v="Website"/>
    <s v="Diego Freyre"/>
    <n v="9442"/>
    <d v="2023-09-30T00:00:00"/>
    <d v="1899-12-30T23:50:00"/>
    <s v="September"/>
    <s v="Saturday"/>
    <s v="Outlier"/>
    <x v="23"/>
  </r>
  <r>
    <n v="1058164"/>
    <n v="1215"/>
    <s v="USA"/>
    <d v="2023-07-22T01:40:00"/>
    <s v="App"/>
    <s v="Maria Larsson"/>
    <n v="4073"/>
    <d v="2023-07-22T00:00:00"/>
    <d v="1899-12-30T01:40:00"/>
    <s v="July"/>
    <s v="Saturday"/>
    <s v="Outlier"/>
    <x v="19"/>
  </r>
  <r>
    <n v="1058847"/>
    <n v="977"/>
    <s v="India"/>
    <d v="2023-09-09T23:10:00"/>
    <s v="Website"/>
    <s v="Jesus Fernandez"/>
    <n v="2786"/>
    <d v="2023-09-09T00:00:00"/>
    <d v="1899-12-30T23:10:00"/>
    <s v="September"/>
    <s v="Saturday"/>
    <s v="Outlier"/>
    <x v="34"/>
  </r>
  <r>
    <n v="1059637"/>
    <n v="463"/>
    <s v="Germany"/>
    <d v="2023-08-09T01:26:00"/>
    <s v="App"/>
    <s v="Wing C Tam"/>
    <n v="3285"/>
    <d v="2023-08-09T00:00:00"/>
    <d v="1899-12-30T01:26:00"/>
    <s v="August"/>
    <s v="Wednesday"/>
    <s v="Outlier"/>
    <x v="39"/>
  </r>
  <r>
    <n v="1059711"/>
    <n v="1479"/>
    <s v="USA"/>
    <d v="2023-03-15T01:01:00"/>
    <s v="Other"/>
    <s v="Eduardo Saavedra"/>
    <n v="5593"/>
    <d v="2023-03-15T00:00:00"/>
    <d v="1899-12-30T01:01:00"/>
    <s v="March"/>
    <s v="Wednesday"/>
    <s v="Outlier"/>
    <x v="27"/>
  </r>
  <r>
    <n v="1060684"/>
    <n v="1252"/>
    <s v="USA"/>
    <d v="2023-04-07T23:50:00"/>
    <s v="Other"/>
    <s v="Mary Saveley"/>
    <n v="4684"/>
    <d v="2023-04-07T00:00:00"/>
    <d v="1899-12-30T23:50:00"/>
    <s v="April"/>
    <s v="Friday"/>
    <s v="Outlier"/>
    <x v="50"/>
  </r>
  <r>
    <n v="1061016"/>
    <n v="1561"/>
    <s v="Switzerland"/>
    <d v="2023-09-10T01:31:00"/>
    <s v="App"/>
    <s v="Catherine Dewey"/>
    <n v="7486"/>
    <d v="2023-09-10T00:00:00"/>
    <d v="1899-12-30T01:31:00"/>
    <s v="September"/>
    <s v="Sunday"/>
    <s v="Outlier"/>
    <x v="9"/>
  </r>
  <r>
    <n v="1061210"/>
    <n v="721"/>
    <s v="India"/>
    <d v="2023-12-07T00:09:00"/>
    <s v="Whatsapp"/>
    <s v="Helen Bennett"/>
    <n v="1496"/>
    <d v="2023-12-07T00:00:00"/>
    <d v="1899-12-30T00:09:00"/>
    <s v="December"/>
    <s v="Thursday"/>
    <s v="Outlier"/>
    <x v="7"/>
  </r>
  <r>
    <n v="1061320"/>
    <n v="1874"/>
    <s v="USA"/>
    <d v="2023-06-25T00:38:00"/>
    <s v="Whatsapp"/>
    <s v="Kwai Yu"/>
    <n v="2899"/>
    <d v="2023-06-25T00:00:00"/>
    <d v="1899-12-30T00:38:00"/>
    <s v="June"/>
    <s v="Sunday"/>
    <s v="Outlier"/>
    <x v="66"/>
  </r>
  <r>
    <n v="1061512"/>
    <n v="666"/>
    <s v="France"/>
    <d v="2023-03-02T01:24:00"/>
    <s v="Whatsapp"/>
    <s v="Jean Fresnisre"/>
    <n v="1743"/>
    <d v="2023-03-02T00:00:00"/>
    <d v="1899-12-30T01:24:00"/>
    <s v="March"/>
    <s v="Thursday"/>
    <s v="Outlier"/>
    <x v="32"/>
  </r>
  <r>
    <n v="1062871"/>
    <n v="1248"/>
    <s v="USA"/>
    <d v="2023-02-06T01:25:00"/>
    <s v="Website"/>
    <s v="Catherine Dewey"/>
    <n v="6459"/>
    <d v="2023-02-06T00:00:00"/>
    <d v="1899-12-30T01:25:00"/>
    <s v="February"/>
    <s v="Monday"/>
    <s v="Outlier"/>
    <x v="27"/>
  </r>
  <r>
    <n v="1063239"/>
    <n v="1639"/>
    <s v="Australia"/>
    <d v="2023-09-25T23:27:00"/>
    <s v="Other"/>
    <s v="Elizabeth Lincoln"/>
    <n v="3101"/>
    <d v="2023-09-25T00:00:00"/>
    <d v="1899-12-30T23:27:00"/>
    <s v="September"/>
    <s v="Monday"/>
    <s v="Outlier"/>
    <x v="56"/>
  </r>
  <r>
    <n v="1063742"/>
    <n v="212"/>
    <s v="Germany"/>
    <d v="2023-10-17T00:44:00"/>
    <s v="Whatsapp"/>
    <s v="Paolo Accorti"/>
    <n v="359"/>
    <d v="2023-10-17T00:00:00"/>
    <d v="1899-12-30T00:44:00"/>
    <s v="October"/>
    <s v="Tuesday"/>
    <s v="Outlier"/>
    <x v="11"/>
  </r>
  <r>
    <n v="1063767"/>
    <n v="1616"/>
    <s v="USA"/>
    <d v="2023-07-26T23:44:00"/>
    <s v="App"/>
    <s v="Victoria Ashworth"/>
    <n v="1893"/>
    <d v="2023-07-26T00:00:00"/>
    <d v="1899-12-30T23:44:00"/>
    <s v="July"/>
    <s v="Wednesday"/>
    <s v="Outlier"/>
    <x v="4"/>
  </r>
  <r>
    <n v="1064483"/>
    <n v="1571"/>
    <s v="USA"/>
    <d v="2023-06-20T01:50:00"/>
    <s v="Other"/>
    <s v="Janine Labrune"/>
    <n v="6345"/>
    <d v="2023-06-20T00:00:00"/>
    <d v="1899-12-30T01:50:00"/>
    <s v="June"/>
    <s v="Tuesday"/>
    <s v="Outlier"/>
    <x v="37"/>
  </r>
  <r>
    <n v="1064762"/>
    <n v="1018"/>
    <s v="France"/>
    <d v="2023-10-25T00:53:00"/>
    <s v="Whatsapp"/>
    <s v="Christina Berglund"/>
    <n v="1726"/>
    <d v="2023-10-25T00:00:00"/>
    <d v="1899-12-30T00:53:00"/>
    <s v="October"/>
    <s v="Wednesday"/>
    <s v="Outlier"/>
    <x v="44"/>
  </r>
  <r>
    <n v="1064785"/>
    <n v="1063"/>
    <s v="India"/>
    <d v="2023-03-25T00:58:00"/>
    <s v="Whatsapp"/>
    <s v="Maria Hernandez"/>
    <n v="9830"/>
    <d v="2023-03-25T00:00:00"/>
    <d v="1899-12-30T00:58:00"/>
    <s v="March"/>
    <s v="Saturday"/>
    <s v="Outlier"/>
    <x v="43"/>
  </r>
  <r>
    <n v="1064900"/>
    <n v="1928"/>
    <s v="Australia"/>
    <d v="2023-10-12T00:44:00"/>
    <s v="Website"/>
    <s v="Diego Freyre"/>
    <n v="7612"/>
    <d v="2023-10-12T00:00:00"/>
    <d v="1899-12-30T00:44:00"/>
    <s v="October"/>
    <s v="Thursday"/>
    <s v="Outlier"/>
    <x v="14"/>
  </r>
  <r>
    <n v="1068168"/>
    <n v="1101"/>
    <s v="India"/>
    <d v="2023-03-08T01:22:00"/>
    <s v="App"/>
    <s v="Akiko Shimamura"/>
    <n v="5967"/>
    <d v="2023-03-08T00:00:00"/>
    <d v="1899-12-30T01:22:00"/>
    <s v="March"/>
    <s v="Wednesday"/>
    <s v="Outlier"/>
    <x v="18"/>
  </r>
  <r>
    <n v="1068397"/>
    <n v="3"/>
    <s v="USA"/>
    <d v="2023-04-12T01:01:00"/>
    <s v="Other"/>
    <s v="Julie Brown"/>
    <n v="9183"/>
    <d v="2023-04-12T00:00:00"/>
    <d v="1899-12-30T01:01:00"/>
    <s v="April"/>
    <s v="Wednesday"/>
    <s v="Outlier"/>
    <x v="36"/>
  </r>
  <r>
    <n v="1069023"/>
    <n v="739"/>
    <s v="India"/>
    <d v="2023-02-14T00:41:00"/>
    <s v="App"/>
    <s v="Valarie Nelson"/>
    <n v="4804"/>
    <d v="2023-02-14T00:00:00"/>
    <d v="1899-12-30T00:41:00"/>
    <s v="February"/>
    <s v="Tuesday"/>
    <s v="Outlier"/>
    <x v="66"/>
  </r>
  <r>
    <n v="1069094"/>
    <n v="1854"/>
    <s v="USA"/>
    <d v="2023-08-27T01:11:00"/>
    <s v="Other"/>
    <s v="Juri Yoshido"/>
    <n v="8536"/>
    <d v="2023-08-27T00:00:00"/>
    <d v="1899-12-30T01:11:00"/>
    <s v="August"/>
    <s v="Sunday"/>
    <s v="Outlier"/>
    <x v="27"/>
  </r>
  <r>
    <n v="1069668"/>
    <n v="517"/>
    <s v="Australia"/>
    <d v="2023-04-07T01:00:00"/>
    <s v="Website"/>
    <s v="Roland Keitel"/>
    <n v="8146"/>
    <d v="2023-04-07T00:00:00"/>
    <d v="1899-12-30T01:00:00"/>
    <s v="April"/>
    <s v="Friday"/>
    <s v="Outlier"/>
    <x v="55"/>
  </r>
  <r>
    <n v="1070209"/>
    <n v="973"/>
    <s v="USA"/>
    <d v="2023-08-10T00:32:00"/>
    <s v="Other"/>
    <s v="Victoria Ashworth"/>
    <n v="7741"/>
    <d v="2023-08-10T00:00:00"/>
    <d v="1899-12-30T00:32:00"/>
    <s v="August"/>
    <s v="Thursday"/>
    <s v="Outlier"/>
    <x v="63"/>
  </r>
  <r>
    <n v="1070297"/>
    <n v="1978"/>
    <s v="Spain"/>
    <d v="2023-03-08T22:34:00"/>
    <s v="Whatsapp"/>
    <s v="Sue King"/>
    <n v="904"/>
    <d v="2023-03-08T00:00:00"/>
    <d v="1899-12-30T22:34:00"/>
    <s v="March"/>
    <s v="Wednesday"/>
    <s v="Outlier"/>
    <x v="12"/>
  </r>
  <r>
    <n v="1070438"/>
    <n v="1420"/>
    <s v="USA"/>
    <d v="2023-09-27T02:23:00"/>
    <s v="Website"/>
    <s v="Sue Taylor"/>
    <n v="9991"/>
    <d v="2023-09-27T00:00:00"/>
    <d v="1899-12-30T02:23:00"/>
    <s v="September"/>
    <s v="Wednesday"/>
    <s v="Outlier"/>
    <x v="9"/>
  </r>
  <r>
    <n v="1071701"/>
    <n v="1367"/>
    <s v="Italy"/>
    <d v="2023-01-16T00:53:00"/>
    <s v="Website"/>
    <s v="Julie Brown"/>
    <n v="1445"/>
    <d v="2023-01-16T00:00:00"/>
    <d v="1899-12-30T00:53:00"/>
    <s v="January"/>
    <s v="Monday"/>
    <s v="Outlier"/>
    <x v="5"/>
  </r>
  <r>
    <n v="1074617"/>
    <n v="158"/>
    <s v="USA"/>
    <d v="2023-05-04T00:19:00"/>
    <s v="Whatsapp"/>
    <s v="Giovanni Rovelli"/>
    <n v="4729"/>
    <d v="2023-05-04T00:00:00"/>
    <d v="1899-12-30T00:19:00"/>
    <s v="May"/>
    <s v="Thursday"/>
    <s v="Outlier"/>
    <x v="10"/>
  </r>
  <r>
    <n v="1074708"/>
    <n v="647"/>
    <s v="Australia"/>
    <d v="2023-03-12T23:36:00"/>
    <s v="App"/>
    <s v="Valarie Nelson"/>
    <n v="7648"/>
    <d v="2023-03-12T00:00:00"/>
    <d v="1899-12-30T23:36:00"/>
    <s v="March"/>
    <s v="Sunday"/>
    <s v="Outlier"/>
    <x v="15"/>
  </r>
  <r>
    <n v="1075036"/>
    <n v="587"/>
    <s v="USA"/>
    <d v="2023-05-16T23:29:00"/>
    <s v="Whatsapp"/>
    <s v="Sean Connery"/>
    <n v="5378"/>
    <d v="2023-05-16T00:00:00"/>
    <d v="1899-12-30T23:29:00"/>
    <s v="May"/>
    <s v="Tuesday"/>
    <s v="Outlier"/>
    <x v="66"/>
  </r>
  <r>
    <n v="1075177"/>
    <n v="161"/>
    <s v="France"/>
    <d v="2023-03-07T22:36:00"/>
    <s v="App"/>
    <s v="Diego Freyre"/>
    <n v="1124"/>
    <d v="2023-03-07T00:00:00"/>
    <d v="1899-12-30T22:36:00"/>
    <s v="March"/>
    <s v="Tuesday"/>
    <s v="Outlier"/>
    <x v="17"/>
  </r>
  <r>
    <n v="1075183"/>
    <n v="1971"/>
    <s v="Spain"/>
    <d v="2023-04-24T22:50:00"/>
    <s v="Whatsapp"/>
    <s v="Mart¡n Sommer"/>
    <n v="3747"/>
    <d v="2023-04-24T00:00:00"/>
    <d v="1899-12-30T22:50:00"/>
    <s v="April"/>
    <s v="Monday"/>
    <s v="Outlier"/>
    <x v="60"/>
  </r>
  <r>
    <n v="1075762"/>
    <n v="1612"/>
    <s v="Spain"/>
    <d v="2023-10-02T02:14:00"/>
    <s v="App"/>
    <s v="Mary Saveley"/>
    <n v="3402"/>
    <d v="2023-10-02T00:00:00"/>
    <d v="1899-12-30T02:14:00"/>
    <s v="October"/>
    <s v="Monday"/>
    <s v="Outlier"/>
    <x v="21"/>
  </r>
  <r>
    <n v="1076092"/>
    <n v="1938"/>
    <s v="USA"/>
    <d v="2023-03-01T01:34:00"/>
    <s v="Other"/>
    <s v="Diego Freyre"/>
    <n v="698"/>
    <d v="2023-03-01T00:00:00"/>
    <d v="1899-12-30T01:34:00"/>
    <s v="March"/>
    <s v="Wednesday"/>
    <s v="Outlier"/>
    <x v="41"/>
  </r>
  <r>
    <n v="1076764"/>
    <n v="1162"/>
    <s v="USA"/>
    <d v="2023-12-04T00:39:00"/>
    <s v="Website"/>
    <s v="Frederique Citeaux"/>
    <n v="1938"/>
    <d v="2023-12-04T00:00:00"/>
    <d v="1899-12-30T00:39:00"/>
    <s v="December"/>
    <s v="Monday"/>
    <s v="Outlier"/>
    <x v="27"/>
  </r>
  <r>
    <n v="1077723"/>
    <n v="868"/>
    <s v="Switzerland"/>
    <d v="2023-01-02T00:24:00"/>
    <s v="Whatsapp"/>
    <s v="Paolo Accorti"/>
    <n v="3711"/>
    <d v="2023-01-02T00:00:00"/>
    <d v="1899-12-30T00:24:00"/>
    <s v="January"/>
    <s v="Monday"/>
    <s v="Outlier"/>
    <x v="34"/>
  </r>
  <r>
    <n v="1078422"/>
    <n v="1917"/>
    <s v="USA"/>
    <d v="2023-12-06T02:10:00"/>
    <s v="Whatsapp"/>
    <s v="Veysel Oeztan"/>
    <n v="3916"/>
    <d v="2023-12-06T00:00:00"/>
    <d v="1899-12-30T02:10:00"/>
    <s v="December"/>
    <s v="Wednesday"/>
    <s v="Outlier"/>
    <x v="42"/>
  </r>
  <r>
    <n v="1078820"/>
    <n v="1431"/>
    <s v="USA"/>
    <d v="2023-08-09T01:02:00"/>
    <s v="App"/>
    <s v="Daniel Tonini"/>
    <n v="5495"/>
    <d v="2023-08-09T00:00:00"/>
    <d v="1899-12-30T01:02:00"/>
    <s v="August"/>
    <s v="Wednesday"/>
    <s v="Outlier"/>
    <x v="42"/>
  </r>
  <r>
    <n v="1079090"/>
    <n v="1368"/>
    <s v="USA"/>
    <d v="2023-04-02T00:15:00"/>
    <s v="Website"/>
    <s v="Valarie Nelson"/>
    <n v="6597"/>
    <d v="2023-04-02T00:00:00"/>
    <d v="1899-12-30T00:15:00"/>
    <s v="April"/>
    <s v="Sunday"/>
    <s v="Outlier"/>
    <x v="26"/>
  </r>
  <r>
    <n v="1079225"/>
    <n v="1393"/>
    <s v="Italy"/>
    <d v="2023-02-24T23:08:00"/>
    <s v="Other"/>
    <s v="Valarie Young"/>
    <n v="3345"/>
    <d v="2023-02-24T00:00:00"/>
    <d v="1899-12-30T23:08:00"/>
    <s v="February"/>
    <s v="Friday"/>
    <s v="Outlier"/>
    <x v="15"/>
  </r>
  <r>
    <n v="1079355"/>
    <n v="1469"/>
    <s v="Italy"/>
    <d v="2023-03-19T23:46:00"/>
    <s v="Website"/>
    <s v="Victoria Ashworth"/>
    <n v="3196"/>
    <d v="2023-03-19T00:00:00"/>
    <d v="1899-12-30T23:46:00"/>
    <s v="March"/>
    <s v="Sunday"/>
    <s v="Outlier"/>
    <x v="4"/>
  </r>
  <r>
    <n v="1079761"/>
    <n v="1873"/>
    <s v="Australia"/>
    <d v="2023-09-18T01:12:00"/>
    <s v="Whatsapp"/>
    <s v="Carine Schmitt"/>
    <n v="9752"/>
    <d v="2023-09-18T00:00:00"/>
    <d v="1899-12-30T01:12:00"/>
    <s v="September"/>
    <s v="Monday"/>
    <s v="Outlier"/>
    <x v="1"/>
  </r>
  <r>
    <n v="1081409"/>
    <n v="1084"/>
    <s v="India"/>
    <d v="2023-10-01T00:58:00"/>
    <s v="Whatsapp"/>
    <s v="Daniel Da Cunha"/>
    <n v="7433"/>
    <d v="2023-10-01T00:00:00"/>
    <d v="1899-12-30T00:58:00"/>
    <s v="October"/>
    <s v="Sunday"/>
    <s v="Outlier"/>
    <x v="21"/>
  </r>
  <r>
    <n v="1081894"/>
    <n v="787"/>
    <s v="Austria"/>
    <d v="2023-02-08T01:35:00"/>
    <s v="Other"/>
    <s v="Julie Young"/>
    <n v="5113"/>
    <d v="2023-02-08T00:00:00"/>
    <d v="1899-12-30T01:35:00"/>
    <s v="February"/>
    <s v="Wednesday"/>
    <s v="Outlier"/>
    <x v="28"/>
  </r>
  <r>
    <n v="1083336"/>
    <n v="441"/>
    <s v="USA"/>
    <d v="2023-02-19T00:07:00"/>
    <s v="Website"/>
    <s v="Diego Freyre"/>
    <n v="5859"/>
    <d v="2023-02-19T00:00:00"/>
    <d v="1899-12-30T00:07:00"/>
    <s v="February"/>
    <s v="Sunday"/>
    <s v="Outlier"/>
    <x v="55"/>
  </r>
  <r>
    <n v="1085382"/>
    <n v="969"/>
    <s v="USA"/>
    <d v="2023-03-10T01:10:00"/>
    <s v="Other"/>
    <s v="Anna O'Hara"/>
    <n v="5959"/>
    <d v="2023-03-10T00:00:00"/>
    <d v="1899-12-30T01:10:00"/>
    <s v="March"/>
    <s v="Friday"/>
    <s v="Outlier"/>
    <x v="18"/>
  </r>
  <r>
    <n v="1085556"/>
    <n v="217"/>
    <s v="USA"/>
    <d v="2023-12-29T01:31:00"/>
    <s v="App"/>
    <s v="Valarie Nelson"/>
    <n v="6006"/>
    <d v="2023-12-29T00:00:00"/>
    <d v="1899-12-30T01:31:00"/>
    <s v="December"/>
    <s v="Friday"/>
    <s v="Outlier"/>
    <x v="52"/>
  </r>
  <r>
    <n v="1086091"/>
    <n v="863"/>
    <s v="Ireland"/>
    <d v="2023-09-10T23:34:00"/>
    <s v="App"/>
    <s v="Jonas Bergulfsen"/>
    <n v="6063"/>
    <d v="2023-09-10T00:00:00"/>
    <d v="1899-12-30T23:34:00"/>
    <s v="September"/>
    <s v="Sunday"/>
    <s v="Outlier"/>
    <x v="42"/>
  </r>
  <r>
    <n v="1086104"/>
    <n v="654"/>
    <s v="France"/>
    <d v="2023-09-22T00:22:00"/>
    <s v="Website"/>
    <s v="Marie Bertrand"/>
    <n v="1737"/>
    <d v="2023-09-22T00:00:00"/>
    <d v="1899-12-30T00:22:00"/>
    <s v="September"/>
    <s v="Friday"/>
    <s v="Outlier"/>
    <x v="66"/>
  </r>
  <r>
    <n v="1086327"/>
    <n v="62"/>
    <s v="USA"/>
    <d v="2023-01-13T01:58:00"/>
    <s v="App"/>
    <s v="Mart¡n Sommer"/>
    <n v="4910"/>
    <d v="2023-01-13T00:00:00"/>
    <d v="1899-12-30T01:58:00"/>
    <s v="January"/>
    <s v="Friday"/>
    <s v="Outlier"/>
    <x v="53"/>
  </r>
  <r>
    <n v="1086644"/>
    <n v="940"/>
    <s v="USA"/>
    <d v="2023-08-21T01:23:00"/>
    <s v="Website"/>
    <s v="Juri Hirano"/>
    <n v="9735"/>
    <d v="2023-08-21T00:00:00"/>
    <d v="1899-12-30T01:23:00"/>
    <s v="August"/>
    <s v="Monday"/>
    <s v="Outlier"/>
    <x v="33"/>
  </r>
  <r>
    <n v="1087661"/>
    <n v="1776"/>
    <s v="USA"/>
    <d v="2023-12-23T23:09:00"/>
    <s v="Whatsapp"/>
    <s v="Pirkko Koskitalo"/>
    <n v="10"/>
    <d v="2023-12-23T00:00:00"/>
    <d v="1899-12-30T23:09:00"/>
    <s v="December"/>
    <s v="Saturday"/>
    <s v="Outlier"/>
    <x v="55"/>
  </r>
  <r>
    <n v="1088292"/>
    <n v="337"/>
    <s v="Singapore"/>
    <d v="2023-01-18T00:20:00"/>
    <s v="Whatsapp"/>
    <s v="Eric Natividad"/>
    <n v="3551"/>
    <d v="2023-01-18T00:00:00"/>
    <d v="1899-12-30T00:20:00"/>
    <s v="January"/>
    <s v="Wednesday"/>
    <s v="Outlier"/>
    <x v="30"/>
  </r>
  <r>
    <n v="1088350"/>
    <n v="606"/>
    <s v="USA"/>
    <d v="2023-11-26T00:37:00"/>
    <s v="Website"/>
    <s v="Ann Brown"/>
    <n v="3144"/>
    <d v="2023-11-26T00:00:00"/>
    <d v="1899-12-30T00:37:00"/>
    <s v="November"/>
    <s v="Sunday"/>
    <s v="Outlier"/>
    <x v="65"/>
  </r>
  <r>
    <n v="1089032"/>
    <n v="144"/>
    <s v="Denmark"/>
    <d v="2023-06-08T00:33:00"/>
    <s v="Other"/>
    <s v="Jose Pedro Roel"/>
    <n v="9067"/>
    <d v="2023-06-08T00:00:00"/>
    <d v="1899-12-30T00:33:00"/>
    <s v="June"/>
    <s v="Thursday"/>
    <s v="Outlier"/>
    <x v="18"/>
  </r>
  <r>
    <n v="1091560"/>
    <n v="1294"/>
    <s v="France"/>
    <d v="2023-05-24T23:18:00"/>
    <s v="App"/>
    <s v="Mary Saveley"/>
    <n v="8903"/>
    <d v="2023-05-24T00:00:00"/>
    <d v="1899-12-30T23:18:00"/>
    <s v="May"/>
    <s v="Wednesday"/>
    <s v="Outlier"/>
    <x v="26"/>
  </r>
  <r>
    <n v="1093212"/>
    <n v="60"/>
    <s v="USA"/>
    <d v="2023-07-22T01:04:00"/>
    <s v="Website"/>
    <s v="Valarie Franco"/>
    <n v="799"/>
    <d v="2023-07-22T00:00:00"/>
    <d v="1899-12-30T01:04:00"/>
    <s v="July"/>
    <s v="Saturday"/>
    <s v="Outlier"/>
    <x v="52"/>
  </r>
  <r>
    <n v="1093314"/>
    <n v="1576"/>
    <s v="USA"/>
    <d v="2023-04-19T00:44:00"/>
    <s v="Website"/>
    <s v="Wendy Victorino"/>
    <n v="1562"/>
    <d v="2023-04-19T00:00:00"/>
    <d v="1899-12-30T00:44:00"/>
    <s v="April"/>
    <s v="Wednesday"/>
    <s v="Outlier"/>
    <x v="41"/>
  </r>
  <r>
    <n v="1093757"/>
    <n v="127"/>
    <s v="Denmark"/>
    <d v="2023-12-04T00:00:00"/>
    <s v="Website"/>
    <s v="Valarie Nelson"/>
    <n v="5671"/>
    <d v="2023-12-04T00:00:00"/>
    <d v="1899-12-30T00:00:00"/>
    <s v="December"/>
    <s v="Monday"/>
    <s v="Outlier"/>
    <x v="56"/>
  </r>
  <r>
    <n v="1094900"/>
    <n v="1616"/>
    <s v="USA"/>
    <d v="2023-04-30T00:58:00"/>
    <s v="Other"/>
    <s v="Diego Freyre"/>
    <n v="2968"/>
    <d v="2023-04-30T00:00:00"/>
    <d v="1899-12-30T00:58:00"/>
    <s v="April"/>
    <s v="Sunday"/>
    <s v="Outlier"/>
    <x v="4"/>
  </r>
  <r>
    <n v="1095387"/>
    <n v="1251"/>
    <s v="USA"/>
    <d v="2023-11-16T02:09:00"/>
    <s v="Whatsapp"/>
    <s v="Wendy Victorino"/>
    <n v="2942"/>
    <d v="2023-11-16T00:00:00"/>
    <d v="1899-12-30T02:09:00"/>
    <s v="November"/>
    <s v="Thursday"/>
    <s v="Outlier"/>
    <x v="34"/>
  </r>
  <r>
    <n v="1097967"/>
    <n v="1097"/>
    <s v="India"/>
    <d v="2023-03-11T01:44:00"/>
    <s v="Other"/>
    <s v="Valarie Nelson"/>
    <n v="9517"/>
    <d v="2023-03-11T00:00:00"/>
    <d v="1899-12-30T01:44:00"/>
    <s v="March"/>
    <s v="Saturday"/>
    <s v="Outlier"/>
    <x v="49"/>
  </r>
  <r>
    <n v="1098350"/>
    <n v="1983"/>
    <s v="Spain"/>
    <d v="2023-02-09T01:39:00"/>
    <s v="Website"/>
    <s v="Kyung Yu"/>
    <n v="7342"/>
    <d v="2023-02-09T00:00:00"/>
    <d v="1899-12-30T01:39:00"/>
    <s v="February"/>
    <s v="Thursday"/>
    <s v="Outlier"/>
    <x v="31"/>
  </r>
  <r>
    <n v="1099712"/>
    <n v="772"/>
    <s v="France"/>
    <d v="2023-09-06T01:29:00"/>
    <s v="App"/>
    <s v="Maria Larsson"/>
    <n v="9284"/>
    <d v="2023-09-06T00:00:00"/>
    <d v="1899-12-30T01:29:00"/>
    <s v="September"/>
    <s v="Wednesday"/>
    <s v="Outlier"/>
    <x v="2"/>
  </r>
  <r>
    <n v="1100277"/>
    <n v="1886"/>
    <s v="Australia"/>
    <d v="2023-09-27T01:05:00"/>
    <s v="Other"/>
    <s v="Marta Hernandez"/>
    <n v="1924"/>
    <d v="2023-09-27T00:00:00"/>
    <d v="1899-12-30T01:05:00"/>
    <s v="September"/>
    <s v="Wednesday"/>
    <s v="Outlier"/>
    <x v="9"/>
  </r>
  <r>
    <n v="1101025"/>
    <n v="289"/>
    <s v="France"/>
    <d v="2023-05-02T00:30:00"/>
    <s v="App"/>
    <s v="Yoshi Tannamuri"/>
    <n v="5344"/>
    <d v="2023-05-02T00:00:00"/>
    <d v="1899-12-30T00:30:00"/>
    <s v="May"/>
    <s v="Tuesday"/>
    <s v="Outlier"/>
    <x v="43"/>
  </r>
  <r>
    <n v="1101866"/>
    <n v="986"/>
    <s v="Australia"/>
    <d v="2023-06-17T01:01:00"/>
    <s v="Website"/>
    <s v="Michael Frick"/>
    <n v="9741"/>
    <d v="2023-06-17T00:00:00"/>
    <d v="1899-12-30T01:01:00"/>
    <s v="June"/>
    <s v="Saturday"/>
    <s v="Outlier"/>
    <x v="60"/>
  </r>
  <r>
    <n v="1102470"/>
    <n v="1686"/>
    <s v="France"/>
    <d v="2023-02-16T23:38:00"/>
    <s v="Whatsapp"/>
    <s v="Christina Berglund"/>
    <n v="7654"/>
    <d v="2023-02-16T00:00:00"/>
    <d v="1899-12-30T23:38:00"/>
    <s v="February"/>
    <s v="Thursday"/>
    <s v="Outlier"/>
    <x v="62"/>
  </r>
  <r>
    <n v="1102591"/>
    <n v="874"/>
    <s v="USA"/>
    <d v="2023-09-01T14:20:00"/>
    <s v="App"/>
    <s v="Mart¡n Sommer"/>
    <n v="8227"/>
    <d v="2023-09-01T00:00:00"/>
    <d v="1899-12-30T14:20:00"/>
    <s v="September"/>
    <s v="Friday"/>
    <s v="Outlier"/>
    <x v="28"/>
  </r>
  <r>
    <n v="1102910"/>
    <n v="347"/>
    <s v="Denmark"/>
    <d v="2023-11-02T23:43:00"/>
    <s v="Other"/>
    <s v="Diego Freyre"/>
    <n v="5043"/>
    <d v="2023-11-02T00:00:00"/>
    <d v="1899-12-30T23:43:00"/>
    <s v="November"/>
    <s v="Thursday"/>
    <s v="Outlier"/>
    <x v="0"/>
  </r>
  <r>
    <n v="1103132"/>
    <n v="213"/>
    <s v="USA"/>
    <d v="2023-10-28T00:27:00"/>
    <s v="Whatsapp"/>
    <s v="Valarie Nelson"/>
    <n v="2021"/>
    <d v="2023-10-28T00:00:00"/>
    <d v="1899-12-30T00:27:00"/>
    <s v="October"/>
    <s v="Saturday"/>
    <s v="Outlier"/>
    <x v="44"/>
  </r>
  <r>
    <n v="1103298"/>
    <n v="1505"/>
    <s v="USA"/>
    <d v="2023-12-31T00:39:00"/>
    <s v="Website"/>
    <s v="Valarie Nelson"/>
    <n v="1147"/>
    <d v="2023-12-31T00:00:00"/>
    <d v="1899-12-30T00:39:00"/>
    <s v="December"/>
    <s v="Sunday"/>
    <s v="Outlier"/>
    <x v="68"/>
  </r>
  <r>
    <n v="1104089"/>
    <n v="1775"/>
    <s v="USA"/>
    <d v="2023-07-01T01:45:00"/>
    <s v="Whatsapp"/>
    <s v="Diego Freyre"/>
    <n v="6964"/>
    <d v="2023-07-01T00:00:00"/>
    <d v="1899-12-30T01:45:00"/>
    <s v="July"/>
    <s v="Saturday"/>
    <s v="Outlier"/>
    <x v="53"/>
  </r>
  <r>
    <n v="1104509"/>
    <n v="20"/>
    <s v="USA"/>
    <d v="2023-05-27T01:26:00"/>
    <s v="Other"/>
    <s v="Janine Labrune"/>
    <n v="5599"/>
    <d v="2023-05-27T00:00:00"/>
    <d v="1899-12-30T01:26:00"/>
    <s v="May"/>
    <s v="Saturday"/>
    <s v="Outlier"/>
    <x v="4"/>
  </r>
  <r>
    <n v="1104723"/>
    <n v="584"/>
    <s v="USA"/>
    <d v="2023-01-26T23:40:00"/>
    <s v="Website"/>
    <s v="Arnold Cruz"/>
    <n v="1066"/>
    <d v="2023-01-26T00:00:00"/>
    <d v="1899-12-30T23:40:00"/>
    <s v="January"/>
    <s v="Thursday"/>
    <s v="Outlier"/>
    <x v="41"/>
  </r>
  <r>
    <n v="1105163"/>
    <n v="1591"/>
    <s v="USA"/>
    <d v="2023-04-26T01:24:00"/>
    <s v="Other"/>
    <s v="Paul Henriot"/>
    <n v="9903"/>
    <d v="2023-04-26T00:00:00"/>
    <d v="1899-12-30T01:24:00"/>
    <s v="April"/>
    <s v="Wednesday"/>
    <s v="Outlier"/>
    <x v="57"/>
  </r>
  <r>
    <n v="1105875"/>
    <n v="1722"/>
    <s v="USA"/>
    <d v="2023-12-15T23:26:00"/>
    <s v="Whatsapp"/>
    <s v="Valarie Nelson"/>
    <n v="4863"/>
    <d v="2023-12-15T00:00:00"/>
    <d v="1899-12-30T23:26:00"/>
    <s v="December"/>
    <s v="Friday"/>
    <s v="Outlier"/>
    <x v="7"/>
  </r>
  <r>
    <n v="1106456"/>
    <n v="378"/>
    <s v="Switzerland"/>
    <d v="2023-08-03T22:52:00"/>
    <s v="Other"/>
    <s v="Julie Young"/>
    <n v="9636"/>
    <d v="2023-08-03T00:00:00"/>
    <d v="1899-12-30T22:52:00"/>
    <s v="August"/>
    <s v="Thursday"/>
    <s v="Outlier"/>
    <x v="45"/>
  </r>
  <r>
    <n v="1107821"/>
    <n v="581"/>
    <s v="USA"/>
    <d v="2023-10-18T00:25:00"/>
    <s v="Website"/>
    <s v="Julie Brown"/>
    <n v="3452"/>
    <d v="2023-10-18T00:00:00"/>
    <d v="1899-12-30T00:25:00"/>
    <s v="October"/>
    <s v="Wednesday"/>
    <s v="Outlier"/>
    <x v="62"/>
  </r>
  <r>
    <n v="1107986"/>
    <n v="632"/>
    <s v="USA"/>
    <d v="2023-09-18T00:30:00"/>
    <s v="Other"/>
    <s v="Anna O'Hara"/>
    <n v="384"/>
    <d v="2023-09-18T00:00:00"/>
    <d v="1899-12-30T00:30:00"/>
    <s v="September"/>
    <s v="Monday"/>
    <s v="Outlier"/>
    <x v="25"/>
  </r>
  <r>
    <n v="1108968"/>
    <n v="255"/>
    <s v="Italy"/>
    <d v="2023-11-14T01:12:00"/>
    <s v="App"/>
    <s v="Martine Rance"/>
    <n v="2300"/>
    <d v="2023-11-14T00:00:00"/>
    <d v="1899-12-30T01:12:00"/>
    <s v="November"/>
    <s v="Tuesday"/>
    <s v="Outlier"/>
    <x v="14"/>
  </r>
  <r>
    <n v="1110547"/>
    <n v="1438"/>
    <s v="Singapore"/>
    <d v="2023-02-14T22:55:00"/>
    <s v="Whatsapp"/>
    <s v="Diego Freyre"/>
    <n v="8840"/>
    <d v="2023-02-14T00:00:00"/>
    <d v="1899-12-30T22:55:00"/>
    <s v="February"/>
    <s v="Tuesday"/>
    <s v="Outlier"/>
    <x v="31"/>
  </r>
  <r>
    <n v="1111675"/>
    <n v="665"/>
    <s v="France"/>
    <d v="2023-02-26T23:36:00"/>
    <s v="Other"/>
    <s v="Dominique Perrier"/>
    <n v="5031"/>
    <d v="2023-02-26T00:00:00"/>
    <d v="1899-12-30T23:36:00"/>
    <s v="February"/>
    <s v="Sunday"/>
    <s v="Outlier"/>
    <x v="53"/>
  </r>
  <r>
    <n v="1112646"/>
    <n v="1355"/>
    <s v="Spain"/>
    <d v="2023-09-27T00:27:00"/>
    <s v="Whatsapp"/>
    <s v="Martine Rance"/>
    <n v="8949"/>
    <d v="2023-09-27T00:00:00"/>
    <d v="1899-12-30T00:27:00"/>
    <s v="September"/>
    <s v="Wednesday"/>
    <s v="Outlier"/>
    <x v="69"/>
  </r>
  <r>
    <n v="1114314"/>
    <n v="1192"/>
    <s v="USA"/>
    <d v="2023-04-01T00:56:00"/>
    <s v="Website"/>
    <s v="Michael Frick"/>
    <n v="3962"/>
    <d v="2023-04-01T00:00:00"/>
    <d v="1899-12-30T00:56:00"/>
    <s v="April"/>
    <s v="Saturday"/>
    <s v="Outlier"/>
    <x v="27"/>
  </r>
  <r>
    <n v="1115197"/>
    <n v="1108"/>
    <s v="India"/>
    <d v="2023-07-29T00:02:00"/>
    <s v="Website"/>
    <s v="Dominique Perrier"/>
    <n v="1278"/>
    <d v="2023-07-29T00:00:00"/>
    <d v="1899-12-30T00:02:00"/>
    <s v="July"/>
    <s v="Saturday"/>
    <s v="Outlier"/>
    <x v="59"/>
  </r>
  <r>
    <n v="1115208"/>
    <n v="1777"/>
    <s v="USA"/>
    <d v="2023-03-15T22:39:00"/>
    <s v="Whatsapp"/>
    <s v="Juri Yoshido"/>
    <n v="1807"/>
    <d v="2023-03-15T00:00:00"/>
    <d v="1899-12-30T22:39:00"/>
    <s v="March"/>
    <s v="Wednesday"/>
    <s v="Outlier"/>
    <x v="30"/>
  </r>
  <r>
    <n v="1115751"/>
    <n v="587"/>
    <s v="USA"/>
    <d v="2023-06-06T23:48:00"/>
    <s v="Whatsapp"/>
    <s v="Miguel Barajas"/>
    <n v="3833"/>
    <d v="2023-06-06T00:00:00"/>
    <d v="1899-12-30T23:48:00"/>
    <s v="June"/>
    <s v="Tuesday"/>
    <s v="Outlier"/>
    <x v="66"/>
  </r>
  <r>
    <n v="1115759"/>
    <n v="378"/>
    <s v="Switzerland"/>
    <d v="2023-02-10T00:06:00"/>
    <s v="Website"/>
    <s v="Marta Hernandez"/>
    <n v="6504"/>
    <d v="2023-02-10T00:00:00"/>
    <d v="1899-12-30T00:06:00"/>
    <s v="February"/>
    <s v="Friday"/>
    <s v="Outlier"/>
    <x v="45"/>
  </r>
  <r>
    <n v="1118626"/>
    <n v="1552"/>
    <s v="Italy"/>
    <d v="2023-12-12T01:37:00"/>
    <s v="Website"/>
    <s v="Matti Karttunen"/>
    <n v="1623"/>
    <d v="2023-12-12T00:00:00"/>
    <d v="1899-12-30T01:37:00"/>
    <s v="December"/>
    <s v="Tuesday"/>
    <s v="Outlier"/>
    <x v="2"/>
  </r>
  <r>
    <n v="1119156"/>
    <n v="837"/>
    <s v="Australia"/>
    <d v="2023-12-25T01:25:00"/>
    <s v="App"/>
    <s v="Jonas Bergulfsen"/>
    <n v="2932"/>
    <d v="2023-12-25T00:00:00"/>
    <d v="1899-12-30T01:25:00"/>
    <s v="December"/>
    <s v="Monday"/>
    <s v="Outlier"/>
    <x v="39"/>
  </r>
  <r>
    <n v="1119400"/>
    <n v="1428"/>
    <s v="France"/>
    <d v="2023-06-07T23:08:00"/>
    <s v="Whatsapp"/>
    <s v="Kee Kuo"/>
    <n v="1558"/>
    <d v="2023-06-07T00:00:00"/>
    <d v="1899-12-30T23:08:00"/>
    <s v="June"/>
    <s v="Wednesday"/>
    <s v="Outlier"/>
    <x v="56"/>
  </r>
  <r>
    <n v="1121011"/>
    <n v="1757"/>
    <s v="Spain"/>
    <d v="2023-10-03T01:02:00"/>
    <s v="Other"/>
    <s v="Arnold Cruz"/>
    <n v="1675"/>
    <d v="2023-10-03T00:00:00"/>
    <d v="1899-12-30T01:02:00"/>
    <s v="October"/>
    <s v="Tuesday"/>
    <s v="Outlier"/>
    <x v="1"/>
  </r>
  <r>
    <n v="1122327"/>
    <n v="1295"/>
    <s v="Finland"/>
    <d v="2023-08-02T16:44:00"/>
    <s v="App"/>
    <s v="Georg Pipps"/>
    <n v="6240"/>
    <d v="2023-08-02T00:00:00"/>
    <d v="1899-12-30T16:44:00"/>
    <s v="August"/>
    <s v="Wednesday"/>
    <s v="Outlier"/>
    <x v="46"/>
  </r>
  <r>
    <n v="1123688"/>
    <n v="66"/>
    <s v="Australia"/>
    <d v="2023-04-25T01:07:00"/>
    <s v="Website"/>
    <s v="Diego Freyre"/>
    <n v="1398"/>
    <d v="2023-04-25T00:00:00"/>
    <d v="1899-12-30T01:07:00"/>
    <s v="April"/>
    <s v="Tuesday"/>
    <s v="Outlier"/>
    <x v="35"/>
  </r>
  <r>
    <n v="1124146"/>
    <n v="1501"/>
    <s v="USA"/>
    <d v="2023-04-21T00:24:00"/>
    <s v="Website"/>
    <s v="Kalle Suominen"/>
    <n v="3329"/>
    <d v="2023-04-21T00:00:00"/>
    <d v="1899-12-30T00:24:00"/>
    <s v="April"/>
    <s v="Friday"/>
    <s v="Outlier"/>
    <x v="66"/>
  </r>
  <r>
    <n v="1125245"/>
    <n v="1611"/>
    <s v="France"/>
    <d v="2023-05-28T23:55:00"/>
    <s v="App"/>
    <s v="Janine Labrune"/>
    <n v="4618"/>
    <d v="2023-05-28T00:00:00"/>
    <d v="1899-12-30T23:55:00"/>
    <s v="May"/>
    <s v="Sunday"/>
    <s v="Outlier"/>
    <x v="2"/>
  </r>
  <r>
    <n v="1125247"/>
    <n v="1574"/>
    <s v="Austria"/>
    <d v="2023-07-21T00:08:00"/>
    <s v="Other"/>
    <s v="Valarie Nelson"/>
    <n v="905"/>
    <d v="2023-07-21T00:00:00"/>
    <d v="1899-12-30T00:08:00"/>
    <s v="July"/>
    <s v="Friday"/>
    <s v="Outlier"/>
    <x v="40"/>
  </r>
  <r>
    <n v="1125352"/>
    <n v="1633"/>
    <s v="Australia"/>
    <d v="2023-04-27T01:33:00"/>
    <s v="App"/>
    <s v="Elizabeth Devon"/>
    <n v="4193"/>
    <d v="2023-04-27T00:00:00"/>
    <d v="1899-12-30T01:33:00"/>
    <s v="April"/>
    <s v="Thursday"/>
    <s v="Outlier"/>
    <x v="71"/>
  </r>
  <r>
    <n v="1127154"/>
    <n v="87"/>
    <s v="India"/>
    <d v="2023-06-09T00:04:00"/>
    <s v="Other"/>
    <s v="Victoria Ashworth"/>
    <n v="9219"/>
    <d v="2023-06-09T00:00:00"/>
    <d v="1899-12-30T00:04:00"/>
    <s v="June"/>
    <s v="Friday"/>
    <s v="Outlier"/>
    <x v="14"/>
  </r>
  <r>
    <n v="1127303"/>
    <n v="1778"/>
    <s v="USA"/>
    <d v="2023-02-14T00:58:00"/>
    <s v="Other"/>
    <s v="Sue King"/>
    <n v="866"/>
    <d v="2023-02-14T00:00:00"/>
    <d v="1899-12-30T00:58:00"/>
    <s v="February"/>
    <s v="Tuesday"/>
    <s v="Outlier"/>
    <x v="1"/>
  </r>
  <r>
    <n v="1127861"/>
    <n v="1385"/>
    <s v="USA"/>
    <d v="2023-07-20T01:15:00"/>
    <s v="App"/>
    <s v="Anna O'Hara"/>
    <n v="8302"/>
    <d v="2023-07-20T00:00:00"/>
    <d v="1899-12-30T01:15:00"/>
    <s v="July"/>
    <s v="Thursday"/>
    <s v="Outlier"/>
    <x v="24"/>
  </r>
  <r>
    <n v="1127964"/>
    <n v="934"/>
    <s v="USA"/>
    <d v="2023-11-05T00:23:00"/>
    <s v="App"/>
    <s v="Palle Ibsen"/>
    <n v="927"/>
    <d v="2023-11-05T00:00:00"/>
    <d v="1899-12-30T00:23:00"/>
    <s v="November"/>
    <s v="Sunday"/>
    <s v="Outlier"/>
    <x v="41"/>
  </r>
  <r>
    <n v="1129422"/>
    <n v="327"/>
    <s v="India"/>
    <d v="2023-10-21T01:26:00"/>
    <s v="Website"/>
    <s v="Julie King"/>
    <n v="1595"/>
    <d v="2023-10-21T00:00:00"/>
    <d v="1899-12-30T01:26:00"/>
    <s v="October"/>
    <s v="Saturday"/>
    <s v="Outlier"/>
    <x v="24"/>
  </r>
  <r>
    <n v="1129509"/>
    <n v="1097"/>
    <s v="India"/>
    <d v="2023-06-04T01:16:00"/>
    <s v="Website"/>
    <s v="Valarie Nelson"/>
    <n v="7051"/>
    <d v="2023-06-04T00:00:00"/>
    <d v="1899-12-30T01:16:00"/>
    <s v="June"/>
    <s v="Sunday"/>
    <s v="Outlier"/>
    <x v="49"/>
  </r>
  <r>
    <n v="1129725"/>
    <n v="1250"/>
    <s v="USA"/>
    <d v="2023-11-09T00:08:00"/>
    <s v="Whatsapp"/>
    <s v="Valarie Young"/>
    <n v="9660"/>
    <d v="2023-11-09T00:00:00"/>
    <d v="1899-12-30T00:08:00"/>
    <s v="November"/>
    <s v="Thursday"/>
    <s v="Outlier"/>
    <x v="56"/>
  </r>
  <r>
    <n v="1130025"/>
    <n v="5"/>
    <s v="Denmark"/>
    <d v="2023-06-09T23:02:00"/>
    <s v="Other"/>
    <s v="Jeff Young"/>
    <n v="5739"/>
    <d v="2023-06-09T00:00:00"/>
    <d v="1899-12-30T23:02:00"/>
    <s v="June"/>
    <s v="Friday"/>
    <s v="Outlier"/>
    <x v="49"/>
  </r>
  <r>
    <n v="1130287"/>
    <n v="362"/>
    <s v="India"/>
    <d v="2023-08-30T00:53:00"/>
    <s v="Website"/>
    <s v="Diego Freyre"/>
    <n v="7662"/>
    <d v="2023-08-30T00:00:00"/>
    <d v="1899-12-30T00:53:00"/>
    <s v="August"/>
    <s v="Wednesday"/>
    <s v="Outlier"/>
    <x v="17"/>
  </r>
  <r>
    <n v="1130380"/>
    <n v="745"/>
    <s v="Australia"/>
    <d v="2023-11-20T22:55:00"/>
    <s v="Website"/>
    <s v="Mary Saveley"/>
    <n v="7425"/>
    <d v="2023-11-20T00:00:00"/>
    <d v="1899-12-30T22:55:00"/>
    <s v="November"/>
    <s v="Monday"/>
    <s v="Outlier"/>
    <x v="18"/>
  </r>
  <r>
    <n v="1131650"/>
    <n v="1676"/>
    <s v="Austria"/>
    <d v="2023-01-18T23:08:00"/>
    <s v="Whatsapp"/>
    <s v="Frederique Citeaux"/>
    <n v="3121"/>
    <d v="2023-01-18T00:00:00"/>
    <d v="1899-12-30T23:08:00"/>
    <s v="January"/>
    <s v="Wednesday"/>
    <s v="Outlier"/>
    <x v="5"/>
  </r>
  <r>
    <n v="1132855"/>
    <n v="16"/>
    <s v="Norway"/>
    <d v="2023-06-20T02:00:00"/>
    <s v="App"/>
    <s v="Jeff Young"/>
    <n v="4518"/>
    <d v="2023-06-20T00:00:00"/>
    <d v="1899-12-30T02:00:00"/>
    <s v="June"/>
    <s v="Tuesday"/>
    <s v="Outlier"/>
    <x v="49"/>
  </r>
  <r>
    <n v="1133062"/>
    <n v="226"/>
    <s v="USA"/>
    <d v="2023-10-01T23:00:00"/>
    <s v="Website"/>
    <s v="Diego Freyre"/>
    <n v="3501"/>
    <d v="2023-10-01T00:00:00"/>
    <d v="1899-12-30T23:00:00"/>
    <s v="October"/>
    <s v="Sunday"/>
    <s v="Outlier"/>
    <x v="34"/>
  </r>
  <r>
    <n v="1133882"/>
    <n v="291"/>
    <s v="India"/>
    <d v="2023-08-07T23:55:00"/>
    <s v="Website"/>
    <s v="Wendy Victorino"/>
    <n v="3789"/>
    <d v="2023-08-07T00:00:00"/>
    <d v="1899-12-30T23:55:00"/>
    <s v="August"/>
    <s v="Monday"/>
    <s v="Outlier"/>
    <x v="60"/>
  </r>
  <r>
    <n v="1134072"/>
    <n v="662"/>
    <s v="USA"/>
    <d v="2023-12-06T00:49:00"/>
    <s v="App"/>
    <s v="Elizabeth Devon"/>
    <n v="3885"/>
    <d v="2023-12-06T00:00:00"/>
    <d v="1899-12-30T00:49:00"/>
    <s v="December"/>
    <s v="Wednesday"/>
    <s v="Outlier"/>
    <x v="12"/>
  </r>
  <r>
    <n v="1134801"/>
    <n v="430"/>
    <s v="India"/>
    <d v="2023-03-12T23:29:00"/>
    <s v="Website"/>
    <s v="Diego Freyre"/>
    <n v="3505"/>
    <d v="2023-03-12T00:00:00"/>
    <d v="1899-12-30T23:29:00"/>
    <s v="March"/>
    <s v="Sunday"/>
    <s v="Outlier"/>
    <x v="43"/>
  </r>
  <r>
    <n v="1135081"/>
    <n v="48"/>
    <s v="USA"/>
    <d v="2023-01-11T00:03:00"/>
    <s v="Whatsapp"/>
    <s v="Violeta Benitez"/>
    <n v="7107"/>
    <d v="2023-01-11T00:00:00"/>
    <d v="1899-12-30T00:03:00"/>
    <s v="January"/>
    <s v="Wednesday"/>
    <s v="Outlier"/>
    <x v="50"/>
  </r>
  <r>
    <n v="1136468"/>
    <n v="1179"/>
    <s v="Spain"/>
    <d v="2023-11-06T01:07:00"/>
    <s v="Other"/>
    <s v="Victoria Ashworth"/>
    <n v="8751"/>
    <d v="2023-11-06T00:00:00"/>
    <d v="1899-12-30T01:07:00"/>
    <s v="November"/>
    <s v="Monday"/>
    <s v="Outlier"/>
    <x v="22"/>
  </r>
  <r>
    <n v="1137562"/>
    <n v="1456"/>
    <s v="Spain"/>
    <d v="2023-10-28T00:09:00"/>
    <s v="App"/>
    <s v="Sue King"/>
    <n v="9253"/>
    <d v="2023-10-28T00:00:00"/>
    <d v="1899-12-30T00:09:00"/>
    <s v="October"/>
    <s v="Saturday"/>
    <s v="Outlier"/>
    <x v="31"/>
  </r>
  <r>
    <n v="1137891"/>
    <n v="1447"/>
    <s v="Singapore"/>
    <d v="2023-12-19T22:54:00"/>
    <s v="Whatsapp"/>
    <s v="Valarie Nelson"/>
    <n v="1289"/>
    <d v="2023-12-19T00:00:00"/>
    <d v="1899-12-30T22:54:00"/>
    <s v="December"/>
    <s v="Tuesday"/>
    <s v="Outlier"/>
    <x v="1"/>
  </r>
  <r>
    <n v="1138694"/>
    <n v="1525"/>
    <s v="Italy"/>
    <d v="2023-03-01T01:28:00"/>
    <s v="Website"/>
    <s v="Diego Freyre"/>
    <n v="1217"/>
    <d v="2023-03-01T00:00:00"/>
    <d v="1899-12-30T01:28:00"/>
    <s v="March"/>
    <s v="Wednesday"/>
    <s v="Outlier"/>
    <x v="27"/>
  </r>
  <r>
    <n v="1139025"/>
    <n v="1855"/>
    <s v="Denmark"/>
    <d v="2023-08-10T00:03:00"/>
    <s v="Other"/>
    <s v="Sue Frick"/>
    <n v="8569"/>
    <d v="2023-08-10T00:00:00"/>
    <d v="1899-12-30T00:03:00"/>
    <s v="August"/>
    <s v="Thursday"/>
    <s v="Outlier"/>
    <x v="60"/>
  </r>
  <r>
    <n v="1140100"/>
    <n v="759"/>
    <s v="USA"/>
    <d v="2023-06-07T01:04:00"/>
    <s v="Website"/>
    <s v="Adrian Huxley"/>
    <n v="6772"/>
    <d v="2023-06-07T00:00:00"/>
    <d v="1899-12-30T01:04:00"/>
    <s v="June"/>
    <s v="Wednesday"/>
    <s v="Outlier"/>
    <x v="11"/>
  </r>
  <r>
    <n v="1140822"/>
    <n v="741"/>
    <s v="USA"/>
    <d v="2023-11-11T00:29:00"/>
    <s v="App"/>
    <s v="Diego Freyre"/>
    <n v="2833"/>
    <d v="2023-11-11T00:00:00"/>
    <d v="1899-12-30T00:29:00"/>
    <s v="November"/>
    <s v="Saturday"/>
    <s v="Outlier"/>
    <x v="5"/>
  </r>
  <r>
    <n v="1141931"/>
    <n v="1018"/>
    <s v="France"/>
    <d v="2023-07-02T22:49:00"/>
    <s v="Website"/>
    <s v="Marie Bertrand"/>
    <n v="9219"/>
    <d v="2023-07-02T00:00:00"/>
    <d v="1899-12-30T22:49:00"/>
    <s v="July"/>
    <s v="Sunday"/>
    <s v="Outlier"/>
    <x v="44"/>
  </r>
  <r>
    <n v="1143333"/>
    <n v="1998"/>
    <s v="Australia"/>
    <d v="2023-06-04T23:51:00"/>
    <s v="App"/>
    <s v="Jeff Young"/>
    <n v="9565"/>
    <d v="2023-06-04T00:00:00"/>
    <d v="1899-12-30T23:51:00"/>
    <s v="June"/>
    <s v="Sunday"/>
    <s v="Outlier"/>
    <x v="43"/>
  </r>
  <r>
    <n v="1144813"/>
    <n v="1176"/>
    <s v="USA"/>
    <d v="2023-11-09T01:06:00"/>
    <s v="Other"/>
    <s v="Kalle Suominen"/>
    <n v="1665"/>
    <d v="2023-11-09T00:00:00"/>
    <d v="1899-12-30T01:06:00"/>
    <s v="November"/>
    <s v="Thursday"/>
    <s v="Outlier"/>
    <x v="20"/>
  </r>
  <r>
    <n v="1145871"/>
    <n v="1893"/>
    <s v="Australia"/>
    <d v="2023-10-05T00:32:00"/>
    <s v="Whatsapp"/>
    <s v="Pirkko Koskitalo"/>
    <n v="2301"/>
    <d v="2023-10-05T00:00:00"/>
    <d v="1899-12-30T00:32:00"/>
    <s v="October"/>
    <s v="Thursday"/>
    <s v="Outlier"/>
    <x v="59"/>
  </r>
  <r>
    <n v="1146705"/>
    <n v="1840"/>
    <s v="USA"/>
    <d v="2023-07-23T23:36:00"/>
    <s v="Other"/>
    <s v="Eric Natividad"/>
    <n v="6434"/>
    <d v="2023-07-23T00:00:00"/>
    <d v="1899-12-30T23:36:00"/>
    <s v="July"/>
    <s v="Sunday"/>
    <s v="Outlier"/>
    <x v="69"/>
  </r>
  <r>
    <n v="1147846"/>
    <n v="137"/>
    <s v="India"/>
    <d v="2023-10-25T00:34:00"/>
    <s v="Other"/>
    <s v="Ann Brown"/>
    <n v="792"/>
    <d v="2023-10-25T00:00:00"/>
    <d v="1899-12-30T00:34:00"/>
    <s v="October"/>
    <s v="Wednesday"/>
    <s v="Outlier"/>
    <x v="5"/>
  </r>
  <r>
    <n v="1149488"/>
    <n v="1235"/>
    <s v="Singapore"/>
    <d v="2023-04-17T00:36:00"/>
    <s v="Website"/>
    <s v="Jose Pedro Roel"/>
    <n v="2062"/>
    <d v="2023-04-17T00:00:00"/>
    <d v="1899-12-30T00:36:00"/>
    <s v="April"/>
    <s v="Monday"/>
    <s v="Outlier"/>
    <x v="45"/>
  </r>
  <r>
    <n v="1149537"/>
    <n v="158"/>
    <s v="USA"/>
    <d v="2023-02-01T00:20:00"/>
    <s v="Website"/>
    <s v="Steve Frick"/>
    <n v="2663"/>
    <d v="2023-02-01T00:00:00"/>
    <d v="1899-12-30T00:20:00"/>
    <s v="February"/>
    <s v="Wednesday"/>
    <s v="Outlier"/>
    <x v="10"/>
  </r>
  <r>
    <n v="1150741"/>
    <n v="304"/>
    <s v="India"/>
    <d v="2023-03-09T01:26:00"/>
    <s v="Other"/>
    <s v="Valarie Franco"/>
    <n v="9404"/>
    <d v="2023-03-09T00:00:00"/>
    <d v="1899-12-30T01:26:00"/>
    <s v="March"/>
    <s v="Thursday"/>
    <s v="Outlier"/>
    <x v="37"/>
  </r>
  <r>
    <n v="1151977"/>
    <n v="1190"/>
    <s v="Norway"/>
    <d v="2023-12-31T01:46:00"/>
    <s v="App"/>
    <s v="Sue Taylor"/>
    <n v="4385"/>
    <d v="2023-12-31T00:00:00"/>
    <d v="1899-12-30T01:46:00"/>
    <s v="December"/>
    <s v="Sunday"/>
    <s v="Outlier"/>
    <x v="63"/>
  </r>
  <r>
    <n v="1152358"/>
    <n v="1098"/>
    <s v="Singapore"/>
    <d v="2023-08-04T01:23:00"/>
    <s v="Other"/>
    <s v="Valarie Nelson"/>
    <n v="596"/>
    <d v="2023-08-04T00:00:00"/>
    <d v="1899-12-30T01:23:00"/>
    <s v="August"/>
    <s v="Friday"/>
    <s v="Outlier"/>
    <x v="34"/>
  </r>
  <r>
    <n v="1153425"/>
    <n v="1349"/>
    <s v="Australia"/>
    <d v="2023-07-05T01:06:00"/>
    <s v="Other"/>
    <s v="Diego Freyre"/>
    <n v="4412"/>
    <d v="2023-07-05T00:00:00"/>
    <d v="1899-12-30T01:06:00"/>
    <s v="July"/>
    <s v="Wednesday"/>
    <s v="Outlier"/>
    <x v="50"/>
  </r>
  <r>
    <n v="1154586"/>
    <n v="1031"/>
    <s v="Australia"/>
    <d v="2023-10-08T00:03:00"/>
    <s v="Whatsapp"/>
    <s v="Wendy Victorino"/>
    <n v="5173"/>
    <d v="2023-10-08T00:00:00"/>
    <d v="1899-12-30T00:03:00"/>
    <s v="October"/>
    <s v="Sunday"/>
    <s v="Outlier"/>
    <x v="28"/>
  </r>
  <r>
    <n v="1155724"/>
    <n v="174"/>
    <s v="Italy"/>
    <d v="2023-06-14T23:14:00"/>
    <s v="Other"/>
    <s v="Valarie Nelson"/>
    <n v="2828"/>
    <d v="2023-06-14T00:00:00"/>
    <d v="1899-12-30T23:14:00"/>
    <s v="June"/>
    <s v="Wednesday"/>
    <s v="Outlier"/>
    <x v="17"/>
  </r>
  <r>
    <n v="1156199"/>
    <n v="179"/>
    <s v="France"/>
    <d v="2023-08-09T00:11:00"/>
    <s v="Website"/>
    <s v="Kyung Yu"/>
    <n v="893"/>
    <d v="2023-08-09T00:00:00"/>
    <d v="1899-12-30T00:11:00"/>
    <s v="August"/>
    <s v="Wednesday"/>
    <s v="Outlier"/>
    <x v="18"/>
  </r>
  <r>
    <n v="1156227"/>
    <n v="1154"/>
    <s v="Spain"/>
    <d v="2023-07-21T23:34:00"/>
    <s v="Whatsapp"/>
    <s v="Kwai Yu"/>
    <n v="2490"/>
    <d v="2023-07-21T00:00:00"/>
    <d v="1899-12-30T23:34:00"/>
    <s v="July"/>
    <s v="Friday"/>
    <s v="Outlier"/>
    <x v="51"/>
  </r>
  <r>
    <n v="1156649"/>
    <n v="1950"/>
    <s v="Singapore"/>
    <d v="2023-08-03T01:04:00"/>
    <s v="Website"/>
    <s v="Marta Hernandez"/>
    <n v="2647"/>
    <d v="2023-08-03T00:00:00"/>
    <d v="1899-12-30T01:04:00"/>
    <s v="August"/>
    <s v="Thursday"/>
    <s v="Outlier"/>
    <x v="27"/>
  </r>
  <r>
    <n v="1157103"/>
    <n v="868"/>
    <s v="Switzerland"/>
    <d v="2023-09-27T01:35:00"/>
    <s v="Whatsapp"/>
    <s v="Palle Ibsen"/>
    <n v="6840"/>
    <d v="2023-09-27T00:00:00"/>
    <d v="1899-12-30T01:35:00"/>
    <s v="September"/>
    <s v="Wednesday"/>
    <s v="Outlier"/>
    <x v="34"/>
  </r>
  <r>
    <n v="1158886"/>
    <n v="1479"/>
    <s v="USA"/>
    <d v="2023-09-02T00:45:00"/>
    <s v="Website"/>
    <s v="Michael Frick"/>
    <n v="3135"/>
    <d v="2023-09-02T00:00:00"/>
    <d v="1899-12-30T00:45:00"/>
    <s v="September"/>
    <s v="Saturday"/>
    <s v="Outlier"/>
    <x v="27"/>
  </r>
  <r>
    <n v="1159317"/>
    <n v="997"/>
    <s v="India"/>
    <d v="2023-12-06T00:48:00"/>
    <s v="Other"/>
    <s v="Valarie Nelson"/>
    <n v="9148"/>
    <d v="2023-12-06T00:00:00"/>
    <d v="1899-12-30T00:48:00"/>
    <s v="December"/>
    <s v="Wednesday"/>
    <s v="Outlier"/>
    <x v="30"/>
  </r>
  <r>
    <n v="1160516"/>
    <n v="1958"/>
    <s v="Ireland"/>
    <d v="2023-08-01T00:06:00"/>
    <s v="App"/>
    <s v="Jeff Young"/>
    <n v="3233"/>
    <d v="2023-08-01T00:00:00"/>
    <d v="1899-12-30T00:06:00"/>
    <s v="August"/>
    <s v="Tuesday"/>
    <s v="Outlier"/>
    <x v="12"/>
  </r>
  <r>
    <n v="1160613"/>
    <n v="1990"/>
    <s v="USA"/>
    <d v="2023-12-22T01:14:00"/>
    <s v="Other"/>
    <s v="Diego Freyre"/>
    <n v="8077"/>
    <d v="2023-12-22T00:00:00"/>
    <d v="1899-12-30T01:14:00"/>
    <s v="December"/>
    <s v="Friday"/>
    <s v="Outlier"/>
    <x v="20"/>
  </r>
  <r>
    <n v="1162071"/>
    <n v="1920"/>
    <s v="USA"/>
    <d v="2023-06-26T01:37:00"/>
    <s v="Whatsapp"/>
    <s v="Valarie Nelson"/>
    <n v="2237"/>
    <d v="2023-06-26T00:00:00"/>
    <d v="1899-12-30T01:37:00"/>
    <s v="June"/>
    <s v="Monday"/>
    <s v="Outlier"/>
    <x v="64"/>
  </r>
  <r>
    <n v="1162786"/>
    <n v="1923"/>
    <s v="Italy"/>
    <d v="2023-04-16T22:31:00"/>
    <s v="Website"/>
    <s v="Diego Freyre"/>
    <n v="3405"/>
    <d v="2023-04-16T00:00:00"/>
    <d v="1899-12-30T22:31:00"/>
    <s v="April"/>
    <s v="Sunday"/>
    <s v="Outlier"/>
    <x v="3"/>
  </r>
  <r>
    <n v="1162801"/>
    <n v="1177"/>
    <s v="Denmark"/>
    <d v="2023-05-02T01:30:00"/>
    <s v="Other"/>
    <s v="Diego Freyre"/>
    <n v="8149"/>
    <d v="2023-05-02T00:00:00"/>
    <d v="1899-12-30T01:30:00"/>
    <s v="May"/>
    <s v="Tuesday"/>
    <s v="Outlier"/>
    <x v="70"/>
  </r>
  <r>
    <n v="1162874"/>
    <n v="1403"/>
    <s v="USA"/>
    <d v="2023-06-08T22:55:00"/>
    <s v="Whatsapp"/>
    <s v="Diego Freyre"/>
    <n v="2610"/>
    <d v="2023-06-08T00:00:00"/>
    <d v="1899-12-30T22:55:00"/>
    <s v="June"/>
    <s v="Thursday"/>
    <s v="Outlier"/>
    <x v="49"/>
  </r>
  <r>
    <n v="1163316"/>
    <n v="863"/>
    <s v="Ireland"/>
    <d v="2023-02-02T00:30:00"/>
    <s v="Website"/>
    <s v="Janine Labrune"/>
    <n v="5671"/>
    <d v="2023-02-02T00:00:00"/>
    <d v="1899-12-30T00:30:00"/>
    <s v="February"/>
    <s v="Thursday"/>
    <s v="Outlier"/>
    <x v="42"/>
  </r>
  <r>
    <n v="1163648"/>
    <n v="958"/>
    <s v="USA"/>
    <d v="2023-03-02T00:57:00"/>
    <s v="App"/>
    <s v="Giovanni Rovelli"/>
    <n v="9428"/>
    <d v="2023-03-02T00:00:00"/>
    <d v="1899-12-30T00:57:00"/>
    <s v="March"/>
    <s v="Thursday"/>
    <s v="Outlier"/>
    <x v="20"/>
  </r>
  <r>
    <n v="1163680"/>
    <n v="485"/>
    <s v="France"/>
    <d v="2023-03-26T00:35:00"/>
    <s v="App"/>
    <s v="Georg Pipps"/>
    <n v="890"/>
    <d v="2023-03-26T00:00:00"/>
    <d v="1899-12-30T00:35:00"/>
    <s v="March"/>
    <s v="Sunday"/>
    <s v="Outlier"/>
    <x v="11"/>
  </r>
  <r>
    <n v="1164686"/>
    <n v="393"/>
    <s v="India"/>
    <d v="2023-12-29T01:34:00"/>
    <s v="Other"/>
    <s v="Dan Lewis"/>
    <n v="1148"/>
    <d v="2023-12-29T00:00:00"/>
    <d v="1899-12-30T01:34:00"/>
    <s v="December"/>
    <s v="Friday"/>
    <s v="Outlier"/>
    <x v="11"/>
  </r>
  <r>
    <n v="1164859"/>
    <n v="1620"/>
    <s v="USA"/>
    <d v="2023-04-06T22:39:00"/>
    <s v="Whatsapp"/>
    <s v="Wing C Tam"/>
    <n v="7286"/>
    <d v="2023-04-06T00:00:00"/>
    <d v="1899-12-30T22:39:00"/>
    <s v="April"/>
    <s v="Thursday"/>
    <s v="Outlier"/>
    <x v="57"/>
  </r>
  <r>
    <n v="1165044"/>
    <n v="1562"/>
    <s v="Spain"/>
    <d v="2023-03-23T00:43:00"/>
    <s v="Whatsapp"/>
    <s v="Matti Karttunen"/>
    <n v="8271"/>
    <d v="2023-03-23T00:00:00"/>
    <d v="1899-12-30T00:43:00"/>
    <s v="March"/>
    <s v="Thursday"/>
    <s v="Outlier"/>
    <x v="1"/>
  </r>
  <r>
    <n v="1165350"/>
    <n v="1526"/>
    <s v="USA"/>
    <d v="2023-09-07T01:09:00"/>
    <s v="Website"/>
    <s v="Maria Larsson"/>
    <n v="4870"/>
    <d v="2023-09-07T00:00:00"/>
    <d v="1899-12-30T01:09:00"/>
    <s v="September"/>
    <s v="Thursday"/>
    <s v="Outlier"/>
    <x v="63"/>
  </r>
  <r>
    <n v="1165475"/>
    <n v="713"/>
    <s v="Finland"/>
    <d v="2023-11-01T23:19:00"/>
    <s v="Website"/>
    <s v="Annette Roulet"/>
    <n v="4856"/>
    <d v="2023-11-01T00:00:00"/>
    <d v="1899-12-30T23:19:00"/>
    <s v="November"/>
    <s v="Wednesday"/>
    <s v="Outlier"/>
    <x v="20"/>
  </r>
  <r>
    <n v="1165654"/>
    <n v="454"/>
    <s v="USA"/>
    <d v="2023-10-27T23:25:00"/>
    <s v="Website"/>
    <s v="Thomas Hardy"/>
    <n v="7755"/>
    <d v="2023-10-27T00:00:00"/>
    <d v="1899-12-30T23:25:00"/>
    <s v="October"/>
    <s v="Friday"/>
    <s v="Outlier"/>
    <x v="2"/>
  </r>
  <r>
    <n v="1165962"/>
    <n v="53"/>
    <s v="Italy"/>
    <d v="2023-12-30T23:46:00"/>
    <s v="Website"/>
    <s v="Arnold Cruz"/>
    <n v="9977"/>
    <d v="2023-12-30T00:00:00"/>
    <d v="1899-12-30T23:46:00"/>
    <s v="December"/>
    <s v="Saturday"/>
    <s v="Outlier"/>
    <x v="14"/>
  </r>
  <r>
    <n v="1166621"/>
    <n v="1789"/>
    <s v="Germany"/>
    <d v="2023-07-11T00:09:00"/>
    <s v="Other"/>
    <s v="Michael Chandler"/>
    <n v="2664"/>
    <d v="2023-07-11T00:00:00"/>
    <d v="1899-12-30T00:09:00"/>
    <s v="July"/>
    <s v="Tuesday"/>
    <s v="Outlier"/>
    <x v="31"/>
  </r>
  <r>
    <n v="1166715"/>
    <n v="337"/>
    <s v="Singapore"/>
    <d v="2023-05-10T00:15:00"/>
    <s v="Website"/>
    <s v="Valarie Thompson"/>
    <n v="8874"/>
    <d v="2023-05-10T00:00:00"/>
    <d v="1899-12-30T00:15:00"/>
    <s v="May"/>
    <s v="Wednesday"/>
    <s v="Outlier"/>
    <x v="30"/>
  </r>
  <r>
    <n v="1168908"/>
    <n v="982"/>
    <s v="USA"/>
    <d v="2023-10-16T01:12:00"/>
    <s v="Whatsapp"/>
    <s v="Kyung Tseng"/>
    <n v="6598"/>
    <d v="2023-10-16T00:00:00"/>
    <d v="1899-12-30T01:12:00"/>
    <s v="October"/>
    <s v="Monday"/>
    <s v="Outlier"/>
    <x v="31"/>
  </r>
  <r>
    <n v="1169043"/>
    <n v="189"/>
    <s v="USA"/>
    <d v="2023-06-25T00:24:00"/>
    <s v="Whatsapp"/>
    <s v="Diego Freyre"/>
    <n v="6955"/>
    <d v="2023-06-25T00:00:00"/>
    <d v="1899-12-30T00:24:00"/>
    <s v="June"/>
    <s v="Sunday"/>
    <s v="Outlier"/>
    <x v="0"/>
  </r>
  <r>
    <n v="1170043"/>
    <n v="950"/>
    <s v="France"/>
    <d v="2023-11-20T01:42:00"/>
    <s v="Other"/>
    <s v="Allen Nelson"/>
    <n v="6767"/>
    <d v="2023-11-20T00:00:00"/>
    <d v="1899-12-30T01:42:00"/>
    <s v="November"/>
    <s v="Monday"/>
    <s v="Outlier"/>
    <x v="54"/>
  </r>
  <r>
    <n v="1171504"/>
    <n v="853"/>
    <s v="USA"/>
    <d v="2023-05-07T00:23:00"/>
    <s v="Website"/>
    <s v="Jan Klaeboe"/>
    <n v="4396"/>
    <d v="2023-05-07T00:00:00"/>
    <d v="1899-12-30T00:23:00"/>
    <s v="May"/>
    <s v="Sunday"/>
    <s v="Outlier"/>
    <x v="56"/>
  </r>
  <r>
    <n v="1171525"/>
    <n v="602"/>
    <s v="Austria"/>
    <d v="2023-03-03T23:49:00"/>
    <s v="Other"/>
    <s v="Michael Donnermeyer"/>
    <n v="849"/>
    <d v="2023-03-03T00:00:00"/>
    <d v="1899-12-30T23:49:00"/>
    <s v="March"/>
    <s v="Friday"/>
    <s v="Outlier"/>
    <x v="32"/>
  </r>
  <r>
    <n v="1173348"/>
    <n v="1068"/>
    <s v="Spain"/>
    <d v="2023-12-17T01:17:00"/>
    <s v="App"/>
    <s v="Francisca Cervantes"/>
    <n v="8654"/>
    <d v="2023-12-17T00:00:00"/>
    <d v="1899-12-30T01:17:00"/>
    <s v="December"/>
    <s v="Sunday"/>
    <s v="Outlier"/>
    <x v="72"/>
  </r>
  <r>
    <n v="1173471"/>
    <n v="1979"/>
    <s v="Finland"/>
    <d v="2023-08-20T02:00:00"/>
    <s v="Other"/>
    <s v="Helen Bennett"/>
    <n v="7703"/>
    <d v="2023-08-20T00:00:00"/>
    <d v="1899-12-30T02:00:00"/>
    <s v="August"/>
    <s v="Sunday"/>
    <s v="Outlier"/>
    <x v="29"/>
  </r>
  <r>
    <n v="1175258"/>
    <n v="1643"/>
    <s v="Australia"/>
    <d v="2023-07-30T00:51:00"/>
    <s v="App"/>
    <s v="Giovanni Rovelli"/>
    <n v="6538"/>
    <d v="2023-07-30T00:00:00"/>
    <d v="1899-12-30T00:51:00"/>
    <s v="July"/>
    <s v="Sunday"/>
    <s v="Outlier"/>
    <x v="3"/>
  </r>
  <r>
    <n v="1175716"/>
    <n v="1442"/>
    <s v="USA"/>
    <d v="2023-04-19T00:48:00"/>
    <s v="Website"/>
    <s v="Akiko Shimamura"/>
    <n v="9617"/>
    <d v="2023-04-19T00:00:00"/>
    <d v="1899-12-30T00:48:00"/>
    <s v="April"/>
    <s v="Wednesday"/>
    <s v="Outlier"/>
    <x v="43"/>
  </r>
  <r>
    <n v="1177486"/>
    <n v="642"/>
    <s v="France"/>
    <d v="2023-12-18T01:38:00"/>
    <s v="App"/>
    <s v="Ann Brown"/>
    <n v="2740"/>
    <d v="2023-12-18T00:00:00"/>
    <d v="1899-12-30T01:38:00"/>
    <s v="December"/>
    <s v="Monday"/>
    <s v="Outlier"/>
    <x v="24"/>
  </r>
  <r>
    <n v="1178982"/>
    <n v="687"/>
    <s v="France"/>
    <d v="2023-04-28T01:04:00"/>
    <s v="Whatsapp"/>
    <s v="Pirkko Koskitalo"/>
    <n v="52"/>
    <d v="2023-04-28T00:00:00"/>
    <d v="1899-12-30T01:04:00"/>
    <s v="April"/>
    <s v="Friday"/>
    <s v="Outlier"/>
    <x v="63"/>
  </r>
  <r>
    <n v="1179872"/>
    <n v="323"/>
    <s v="France"/>
    <d v="2023-07-27T00:04:00"/>
    <s v="App"/>
    <s v="Diego Freyre"/>
    <n v="6228"/>
    <d v="2023-07-27T00:00:00"/>
    <d v="1899-12-30T00:04:00"/>
    <s v="July"/>
    <s v="Thursday"/>
    <s v="Outlier"/>
    <x v="22"/>
  </r>
  <r>
    <n v="1180153"/>
    <n v="873"/>
    <s v="Finland"/>
    <d v="2023-10-22T00:29:00"/>
    <s v="Other"/>
    <s v="Paul Henriot"/>
    <n v="3374"/>
    <d v="2023-10-22T00:00:00"/>
    <d v="1899-12-30T00:29:00"/>
    <s v="October"/>
    <s v="Sunday"/>
    <s v="Outlier"/>
    <x v="21"/>
  </r>
  <r>
    <n v="1180567"/>
    <n v="898"/>
    <s v="USA"/>
    <d v="2023-09-09T22:56:00"/>
    <s v="Other"/>
    <s v="Sue Frick"/>
    <n v="7717"/>
    <d v="2023-09-09T00:00:00"/>
    <d v="1899-12-30T22:56:00"/>
    <s v="September"/>
    <s v="Saturday"/>
    <s v="Outlier"/>
    <x v="71"/>
  </r>
  <r>
    <n v="1180828"/>
    <n v="1063"/>
    <s v="India"/>
    <d v="2023-07-07T23:15:00"/>
    <s v="Whatsapp"/>
    <s v="Sean Connery"/>
    <n v="7190"/>
    <d v="2023-07-07T00:00:00"/>
    <d v="1899-12-30T23:15:00"/>
    <s v="July"/>
    <s v="Friday"/>
    <s v="Outlier"/>
    <x v="43"/>
  </r>
  <r>
    <n v="1181602"/>
    <n v="683"/>
    <s v="Australia"/>
    <d v="2023-07-27T00:34:00"/>
    <s v="Website"/>
    <s v="Victoria Ashworth"/>
    <n v="8578"/>
    <d v="2023-07-27T00:00:00"/>
    <d v="1899-12-30T00:34:00"/>
    <s v="July"/>
    <s v="Thursday"/>
    <s v="Outlier"/>
    <x v="59"/>
  </r>
  <r>
    <n v="1182031"/>
    <n v="1569"/>
    <s v="Spain"/>
    <d v="2023-11-08T00:52:00"/>
    <s v="Whatsapp"/>
    <s v="Sue King"/>
    <n v="3428"/>
    <d v="2023-11-08T00:00:00"/>
    <d v="1899-12-30T00:52:00"/>
    <s v="November"/>
    <s v="Wednesday"/>
    <s v="Outlier"/>
    <x v="1"/>
  </r>
  <r>
    <n v="1182341"/>
    <n v="225"/>
    <s v="Singapore"/>
    <d v="2023-12-02T23:13:00"/>
    <s v="Website"/>
    <s v="Anna O'Hara"/>
    <n v="567"/>
    <d v="2023-12-02T00:00:00"/>
    <d v="1899-12-30T23:13:00"/>
    <s v="December"/>
    <s v="Saturday"/>
    <s v="Outlier"/>
    <x v="69"/>
  </r>
  <r>
    <n v="1182759"/>
    <n v="722"/>
    <s v="USA"/>
    <d v="2023-01-07T01:06:00"/>
    <s v="Website"/>
    <s v="Palle Ibsen"/>
    <n v="2645"/>
    <d v="2023-01-07T00:00:00"/>
    <d v="1899-12-30T01:06:00"/>
    <s v="January"/>
    <s v="Saturday"/>
    <s v="Outlier"/>
    <x v="18"/>
  </r>
  <r>
    <n v="1182819"/>
    <n v="562"/>
    <s v="Singapore"/>
    <d v="2023-08-23T23:26:00"/>
    <s v="Whatsapp"/>
    <s v="Giovanni Rovelli"/>
    <n v="7031"/>
    <d v="2023-08-23T00:00:00"/>
    <d v="1899-12-30T23:26:00"/>
    <s v="August"/>
    <s v="Wednesday"/>
    <s v="Outlier"/>
    <x v="21"/>
  </r>
  <r>
    <n v="1182826"/>
    <n v="1439"/>
    <s v="Spain"/>
    <d v="2023-11-09T23:58:00"/>
    <s v="Website"/>
    <s v="Valarie Nelson"/>
    <n v="3629"/>
    <d v="2023-11-09T00:00:00"/>
    <d v="1899-12-30T23:58:00"/>
    <s v="November"/>
    <s v="Thursday"/>
    <s v="Outlier"/>
    <x v="28"/>
  </r>
  <r>
    <n v="1183427"/>
    <n v="857"/>
    <s v="USA"/>
    <d v="2023-02-05T22:35:00"/>
    <s v="Website"/>
    <s v="Valarie Young"/>
    <n v="3095"/>
    <d v="2023-02-05T00:00:00"/>
    <d v="1899-12-30T22:35:00"/>
    <s v="February"/>
    <s v="Sunday"/>
    <s v="Outlier"/>
    <x v="6"/>
  </r>
  <r>
    <n v="1184082"/>
    <n v="312"/>
    <s v="Italy"/>
    <d v="2023-02-14T00:57:00"/>
    <s v="Other"/>
    <s v="Jeff Young"/>
    <n v="734"/>
    <d v="2023-02-14T00:00:00"/>
    <d v="1899-12-30T00:57:00"/>
    <s v="February"/>
    <s v="Tuesday"/>
    <s v="Outlier"/>
    <x v="4"/>
  </r>
  <r>
    <n v="1185440"/>
    <n v="1509"/>
    <s v="USA"/>
    <d v="2023-02-01T00:17:00"/>
    <s v="App"/>
    <s v="Thomas Hardy"/>
    <n v="2567"/>
    <d v="2023-02-01T00:00:00"/>
    <d v="1899-12-30T00:17:00"/>
    <s v="February"/>
    <s v="Wednesday"/>
    <s v="Outlier"/>
    <x v="34"/>
  </r>
  <r>
    <n v="1186707"/>
    <n v="1512"/>
    <s v="Denmark"/>
    <d v="2023-02-11T00:21:00"/>
    <s v="Website"/>
    <s v="Mary Saveley"/>
    <n v="2061"/>
    <d v="2023-02-11T00:00:00"/>
    <d v="1899-12-30T00:21:00"/>
    <s v="February"/>
    <s v="Saturday"/>
    <s v="Outlier"/>
    <x v="9"/>
  </r>
  <r>
    <n v="1188487"/>
    <n v="526"/>
    <s v="USA"/>
    <d v="2023-12-16T01:52:00"/>
    <s v="Website"/>
    <s v="Frederique Citeaux"/>
    <n v="2527"/>
    <d v="2023-12-16T00:00:00"/>
    <d v="1899-12-30T01:52:00"/>
    <s v="December"/>
    <s v="Saturday"/>
    <s v="Outlier"/>
    <x v="22"/>
  </r>
  <r>
    <n v="1189460"/>
    <n v="1181"/>
    <s v="Singapore"/>
    <d v="2023-07-03T00:28:00"/>
    <s v="App"/>
    <s v="Jeff Young"/>
    <n v="4527"/>
    <d v="2023-07-03T00:00:00"/>
    <d v="1899-12-30T00:28:00"/>
    <s v="July"/>
    <s v="Monday"/>
    <s v="Outlier"/>
    <x v="17"/>
  </r>
  <r>
    <n v="1189996"/>
    <n v="522"/>
    <s v="USA"/>
    <d v="2023-12-04T00:22:00"/>
    <s v="App"/>
    <s v="Diego Freyre"/>
    <n v="4719"/>
    <d v="2023-12-04T00:00:00"/>
    <d v="1899-12-30T00:22:00"/>
    <s v="December"/>
    <s v="Monday"/>
    <s v="Outlier"/>
    <x v="55"/>
  </r>
  <r>
    <n v="1190330"/>
    <n v="1176"/>
    <s v="USA"/>
    <d v="2023-04-17T00:26:00"/>
    <s v="Whatsapp"/>
    <s v="Wendy Victorino"/>
    <n v="5495"/>
    <d v="2023-04-17T00:00:00"/>
    <d v="1899-12-30T00:26:00"/>
    <s v="April"/>
    <s v="Monday"/>
    <s v="Outlier"/>
    <x v="20"/>
  </r>
  <r>
    <n v="1190887"/>
    <n v="942"/>
    <s v="USA"/>
    <d v="2023-02-08T00:23:00"/>
    <s v="Website"/>
    <s v="Elizabeth Devon"/>
    <n v="2060"/>
    <d v="2023-02-08T00:00:00"/>
    <d v="1899-12-30T00:23:00"/>
    <s v="February"/>
    <s v="Wednesday"/>
    <s v="Outlier"/>
    <x v="54"/>
  </r>
  <r>
    <n v="1191785"/>
    <n v="1364"/>
    <s v="France"/>
    <d v="2023-11-17T23:58:00"/>
    <s v="Whatsapp"/>
    <s v="Diego Freyre"/>
    <n v="8977"/>
    <d v="2023-11-17T00:00:00"/>
    <d v="1899-12-30T23:58:00"/>
    <s v="November"/>
    <s v="Friday"/>
    <s v="Outlier"/>
    <x v="43"/>
  </r>
  <r>
    <n v="1192105"/>
    <n v="1143"/>
    <s v="Italy"/>
    <d v="2023-01-31T23:56:00"/>
    <s v="Whatsapp"/>
    <s v="Victoria Ashworth"/>
    <n v="2021"/>
    <d v="2023-01-31T00:00:00"/>
    <d v="1899-12-30T23:56:00"/>
    <s v="January"/>
    <s v="Tuesday"/>
    <s v="Outlier"/>
    <x v="0"/>
  </r>
  <r>
    <n v="1194493"/>
    <n v="600"/>
    <s v="USA"/>
    <d v="2023-07-03T00:13:00"/>
    <s v="Other"/>
    <s v="Sue King"/>
    <n v="3567"/>
    <d v="2023-07-03T00:00:00"/>
    <d v="1899-12-30T00:13:00"/>
    <s v="July"/>
    <s v="Monday"/>
    <s v="Outlier"/>
    <x v="55"/>
  </r>
  <r>
    <n v="1196110"/>
    <n v="1746"/>
    <s v="Italy"/>
    <d v="2023-03-27T00:27:00"/>
    <s v="Other"/>
    <s v="Valarie Nelson"/>
    <n v="4222"/>
    <d v="2023-03-27T00:00:00"/>
    <d v="1899-12-30T00:27:00"/>
    <s v="March"/>
    <s v="Monday"/>
    <s v="Outlier"/>
    <x v="50"/>
  </r>
  <r>
    <n v="1197422"/>
    <n v="960"/>
    <s v="USA"/>
    <d v="2023-12-24T23:45:00"/>
    <s v="App"/>
    <s v="Diego Freyre"/>
    <n v="6726"/>
    <d v="2023-12-24T00:00:00"/>
    <d v="1899-12-30T23:45:00"/>
    <s v="December"/>
    <s v="Sunday"/>
    <s v="Outlier"/>
    <x v="45"/>
  </r>
  <r>
    <n v="1197876"/>
    <n v="1148"/>
    <s v="Finland"/>
    <d v="2023-12-03T00:34:00"/>
    <s v="Other"/>
    <s v="Sue Frick"/>
    <n v="6055"/>
    <d v="2023-12-03T00:00:00"/>
    <d v="1899-12-30T00:34:00"/>
    <s v="December"/>
    <s v="Sunday"/>
    <s v="Outlier"/>
    <x v="62"/>
  </r>
  <r>
    <n v="1198103"/>
    <n v="485"/>
    <s v="France"/>
    <d v="2023-03-24T01:56:00"/>
    <s v="App"/>
    <s v="Adrian Huxley"/>
    <n v="1994"/>
    <d v="2023-03-24T00:00:00"/>
    <d v="1899-12-30T01:56:00"/>
    <s v="March"/>
    <s v="Friday"/>
    <s v="Outlier"/>
    <x v="11"/>
  </r>
  <r>
    <n v="1198240"/>
    <n v="1548"/>
    <s v="France"/>
    <d v="2023-08-23T01:53:00"/>
    <s v="Whatsapp"/>
    <s v="Rosa Hernandez"/>
    <n v="1736"/>
    <d v="2023-08-23T00:00:00"/>
    <d v="1899-12-30T01:53:00"/>
    <s v="August"/>
    <s v="Wednesday"/>
    <s v="Outlier"/>
    <x v="7"/>
  </r>
  <r>
    <n v="1198743"/>
    <n v="782"/>
    <s v="USA"/>
    <d v="2023-07-01T01:05:00"/>
    <s v="App"/>
    <s v="Laurence Lebihan"/>
    <n v="2152"/>
    <d v="2023-07-01T00:00:00"/>
    <d v="1899-12-30T01:05:00"/>
    <s v="July"/>
    <s v="Saturday"/>
    <s v="Outlier"/>
    <x v="8"/>
  </r>
  <r>
    <n v="1199289"/>
    <n v="228"/>
    <s v="France"/>
    <d v="2023-06-16T01:08:00"/>
    <s v="Website"/>
    <s v="Valarie Nelson"/>
    <n v="1078"/>
    <d v="2023-06-16T00:00:00"/>
    <d v="1899-12-30T01:08:00"/>
    <s v="June"/>
    <s v="Friday"/>
    <s v="Outlier"/>
    <x v="6"/>
  </r>
  <r>
    <n v="1200718"/>
    <n v="1963"/>
    <s v="Australia"/>
    <d v="2023-09-26T00:45:00"/>
    <s v="App"/>
    <s v="Allen Nelson"/>
    <n v="8488"/>
    <d v="2023-09-26T00:00:00"/>
    <d v="1899-12-30T00:45:00"/>
    <s v="September"/>
    <s v="Tuesday"/>
    <s v="Outlier"/>
    <x v="5"/>
  </r>
  <r>
    <n v="1201138"/>
    <n v="1342"/>
    <s v="USA"/>
    <d v="2023-03-14T00:57:00"/>
    <s v="Website"/>
    <s v="Michael Chandler"/>
    <n v="6081"/>
    <d v="2023-03-14T00:00:00"/>
    <d v="1899-12-30T00:57:00"/>
    <s v="March"/>
    <s v="Tuesday"/>
    <s v="Outlier"/>
    <x v="32"/>
  </r>
  <r>
    <n v="1201156"/>
    <n v="1931"/>
    <s v="USA"/>
    <d v="2023-05-01T01:02:00"/>
    <s v="Website"/>
    <s v="Jean Fresnisre"/>
    <n v="2329"/>
    <d v="2023-05-01T00:00:00"/>
    <d v="1899-12-30T01:02:00"/>
    <s v="May"/>
    <s v="Monday"/>
    <s v="Outlier"/>
    <x v="15"/>
  </r>
  <r>
    <n v="1202375"/>
    <n v="1662"/>
    <s v="Australia"/>
    <d v="2023-02-13T01:16:00"/>
    <s v="Whatsapp"/>
    <s v="Valarie Young"/>
    <n v="2832"/>
    <d v="2023-02-13T00:00:00"/>
    <d v="1899-12-30T01:16:00"/>
    <s v="February"/>
    <s v="Monday"/>
    <s v="Outlier"/>
    <x v="5"/>
  </r>
  <r>
    <n v="1202392"/>
    <n v="344"/>
    <s v="Finland"/>
    <d v="2023-10-31T00:04:00"/>
    <s v="Website"/>
    <s v="Veysel Oeztan"/>
    <n v="8051"/>
    <d v="2023-10-31T00:00:00"/>
    <d v="1899-12-30T00:04:00"/>
    <s v="October"/>
    <s v="Tuesday"/>
    <s v="Outlier"/>
    <x v="58"/>
  </r>
  <r>
    <n v="1203146"/>
    <n v="1172"/>
    <s v="Australia"/>
    <d v="2023-11-09T00:31:00"/>
    <s v="App"/>
    <s v="Diego Freyre"/>
    <n v="6152"/>
    <d v="2023-11-09T00:00:00"/>
    <d v="1899-12-30T00:31:00"/>
    <s v="November"/>
    <s v="Thursday"/>
    <s v="Outlier"/>
    <x v="12"/>
  </r>
  <r>
    <n v="1203312"/>
    <n v="1047"/>
    <s v="Italy"/>
    <d v="2023-01-12T23:54:00"/>
    <s v="Website"/>
    <s v="Diego Freyre"/>
    <n v="5488"/>
    <d v="2023-01-12T00:00:00"/>
    <d v="1899-12-30T23:54:00"/>
    <s v="January"/>
    <s v="Thursday"/>
    <s v="Outlier"/>
    <x v="1"/>
  </r>
  <r>
    <n v="1204548"/>
    <n v="1467"/>
    <s v="USA"/>
    <d v="2023-07-11T23:35:00"/>
    <s v="Whatsapp"/>
    <s v="Michael Holz"/>
    <n v="5832"/>
    <d v="2023-07-11T00:00:00"/>
    <d v="1899-12-30T23:35:00"/>
    <s v="July"/>
    <s v="Tuesday"/>
    <s v="Outlier"/>
    <x v="65"/>
  </r>
  <r>
    <n v="1205050"/>
    <n v="1695"/>
    <s v="Spain"/>
    <d v="2023-07-12T00:35:00"/>
    <s v="Other"/>
    <s v="Pirkko Koskitalo"/>
    <n v="9562"/>
    <d v="2023-07-12T00:00:00"/>
    <d v="1899-12-30T00:35:00"/>
    <s v="July"/>
    <s v="Wednesday"/>
    <s v="Outlier"/>
    <x v="2"/>
  </r>
  <r>
    <n v="1206775"/>
    <n v="728"/>
    <s v="India"/>
    <d v="2023-10-03T23:22:00"/>
    <s v="App"/>
    <s v="Elizabeth Devon"/>
    <n v="967"/>
    <d v="2023-10-03T00:00:00"/>
    <d v="1899-12-30T23:22:00"/>
    <s v="October"/>
    <s v="Tuesday"/>
    <s v="Outlier"/>
    <x v="71"/>
  </r>
  <r>
    <n v="1211500"/>
    <n v="1120"/>
    <s v="Denmark"/>
    <d v="2023-10-07T00:29:00"/>
    <s v="Other"/>
    <s v="Maurizio Moroni"/>
    <n v="845"/>
    <d v="2023-10-07T00:00:00"/>
    <d v="1899-12-30T00:29:00"/>
    <s v="October"/>
    <s v="Saturday"/>
    <s v="Outlier"/>
    <x v="62"/>
  </r>
  <r>
    <n v="1212151"/>
    <n v="1139"/>
    <s v="USA"/>
    <d v="2023-01-09T23:33:00"/>
    <s v="Whatsapp"/>
    <s v="Sue King"/>
    <n v="374"/>
    <d v="2023-01-09T00:00:00"/>
    <d v="1899-12-30T23:33:00"/>
    <s v="January"/>
    <s v="Monday"/>
    <s v="Outlier"/>
    <x v="58"/>
  </r>
  <r>
    <n v="1212775"/>
    <n v="1685"/>
    <s v="USA"/>
    <d v="2023-08-25T01:26:00"/>
    <s v="App"/>
    <s v="Michael Holz"/>
    <n v="9604"/>
    <d v="2023-08-25T00:00:00"/>
    <d v="1899-12-30T01:26:00"/>
    <s v="August"/>
    <s v="Friday"/>
    <s v="Outlier"/>
    <x v="8"/>
  </r>
  <r>
    <n v="1213103"/>
    <n v="1429"/>
    <s v="Austria"/>
    <d v="2023-07-06T00:03:00"/>
    <s v="Whatsapp"/>
    <s v="Jan Klaeboe"/>
    <n v="9678"/>
    <d v="2023-07-06T00:00:00"/>
    <d v="1899-12-30T00:03:00"/>
    <s v="July"/>
    <s v="Thursday"/>
    <s v="Outlier"/>
    <x v="59"/>
  </r>
  <r>
    <n v="1213344"/>
    <n v="504"/>
    <s v="Finland"/>
    <d v="2023-06-04T00:18:00"/>
    <s v="Other"/>
    <s v="Henriette Pfalzheim"/>
    <n v="4603"/>
    <d v="2023-06-04T00:00:00"/>
    <d v="1899-12-30T00:18:00"/>
    <s v="June"/>
    <s v="Sunday"/>
    <s v="Outlier"/>
    <x v="68"/>
  </r>
  <r>
    <n v="1213449"/>
    <n v="729"/>
    <s v="Italy"/>
    <d v="2023-03-07T00:23:00"/>
    <s v="Other"/>
    <s v="Violeta Benitez"/>
    <n v="3344"/>
    <d v="2023-03-07T00:00:00"/>
    <d v="1899-12-30T00:23:00"/>
    <s v="March"/>
    <s v="Tuesday"/>
    <s v="Outlier"/>
    <x v="50"/>
  </r>
  <r>
    <n v="1214613"/>
    <n v="1563"/>
    <s v="Norway"/>
    <d v="2023-01-20T01:51:00"/>
    <s v="Website"/>
    <s v="Rosa Hernandez"/>
    <n v="2322"/>
    <d v="2023-01-20T00:00:00"/>
    <d v="1899-12-30T01:51:00"/>
    <s v="January"/>
    <s v="Friday"/>
    <s v="Outlier"/>
    <x v="48"/>
  </r>
  <r>
    <n v="1214829"/>
    <n v="859"/>
    <s v="USA"/>
    <d v="2023-10-20T00:35:00"/>
    <s v="Whatsapp"/>
    <s v="Peter Ferguson"/>
    <n v="7575"/>
    <d v="2023-10-20T00:00:00"/>
    <d v="1899-12-30T00:35:00"/>
    <s v="October"/>
    <s v="Friday"/>
    <s v="Outlier"/>
    <x v="6"/>
  </r>
  <r>
    <n v="1215680"/>
    <n v="1927"/>
    <s v="Spain"/>
    <d v="2023-08-26T00:46:00"/>
    <s v="Website"/>
    <s v="Diego Freyre"/>
    <n v="1775"/>
    <d v="2023-08-26T00:00:00"/>
    <d v="1899-12-30T00:46:00"/>
    <s v="August"/>
    <s v="Saturday"/>
    <s v="Outlier"/>
    <x v="44"/>
  </r>
  <r>
    <n v="1217144"/>
    <n v="1762"/>
    <s v="USA"/>
    <d v="2023-12-28T23:30:00"/>
    <s v="Whatsapp"/>
    <s v="Julie Young"/>
    <n v="3046"/>
    <d v="2023-12-28T00:00:00"/>
    <d v="1899-12-30T23:30:00"/>
    <s v="December"/>
    <s v="Thursday"/>
    <s v="Outlier"/>
    <x v="3"/>
  </r>
  <r>
    <n v="1218028"/>
    <n v="1649"/>
    <s v="USA"/>
    <d v="2023-01-01T01:04:00"/>
    <s v="Website"/>
    <s v="Diego Freyre"/>
    <n v="3119"/>
    <d v="2023-01-01T00:00:00"/>
    <d v="1899-12-30T01:04:00"/>
    <s v="January"/>
    <s v="Sunday"/>
    <s v="Outlier"/>
    <x v="18"/>
  </r>
  <r>
    <n v="1218374"/>
    <n v="1511"/>
    <s v="USA"/>
    <d v="2023-01-26T00:03:00"/>
    <s v="App"/>
    <s v="Valarie Nelson"/>
    <n v="44"/>
    <d v="2023-01-26T00:00:00"/>
    <d v="1899-12-30T00:03:00"/>
    <s v="January"/>
    <s v="Thursday"/>
    <s v="Outlier"/>
    <x v="11"/>
  </r>
  <r>
    <n v="1218403"/>
    <n v="1583"/>
    <s v="Singapore"/>
    <d v="2023-03-10T01:20:00"/>
    <s v="Website"/>
    <s v="Frederique Citeaux"/>
    <n v="8012"/>
    <d v="2023-03-10T00:00:00"/>
    <d v="1899-12-30T01:20:00"/>
    <s v="March"/>
    <s v="Friday"/>
    <s v="Outlier"/>
    <x v="38"/>
  </r>
  <r>
    <n v="1218457"/>
    <n v="870"/>
    <s v="India"/>
    <d v="2023-01-31T00:48:00"/>
    <s v="App"/>
    <s v="Georg Pipps"/>
    <n v="7602"/>
    <d v="2023-01-31T00:00:00"/>
    <d v="1899-12-30T00:48:00"/>
    <s v="January"/>
    <s v="Tuesday"/>
    <s v="Outlier"/>
    <x v="48"/>
  </r>
  <r>
    <n v="1219438"/>
    <n v="1051"/>
    <s v="Spain"/>
    <d v="2023-01-10T01:15:00"/>
    <s v="Website"/>
    <s v="Jytte Petersen"/>
    <n v="3777"/>
    <d v="2023-01-10T00:00:00"/>
    <d v="1899-12-30T01:15:00"/>
    <s v="January"/>
    <s v="Tuesday"/>
    <s v="Outlier"/>
    <x v="40"/>
  </r>
  <r>
    <n v="1219662"/>
    <n v="45"/>
    <s v="USA"/>
    <d v="2023-05-10T23:02:00"/>
    <s v="Whatsapp"/>
    <s v="Georg Pipps"/>
    <n v="8683"/>
    <d v="2023-05-10T00:00:00"/>
    <d v="1899-12-30T23:02:00"/>
    <s v="May"/>
    <s v="Wednesday"/>
    <s v="Outlier"/>
    <x v="20"/>
  </r>
  <r>
    <n v="1219899"/>
    <n v="469"/>
    <s v="France"/>
    <d v="2023-07-07T00:15:00"/>
    <s v="Other"/>
    <s v="Ann Brown"/>
    <n v="2819"/>
    <d v="2023-07-07T00:00:00"/>
    <d v="1899-12-30T00:15:00"/>
    <s v="July"/>
    <s v="Friday"/>
    <s v="Outlier"/>
    <x v="70"/>
  </r>
  <r>
    <n v="1221201"/>
    <n v="1523"/>
    <s v="Spain"/>
    <d v="2023-08-21T00:02:00"/>
    <s v="Website"/>
    <s v="Valarie Nelson"/>
    <n v="9665"/>
    <d v="2023-08-21T00:00:00"/>
    <d v="1899-12-30T00:02:00"/>
    <s v="August"/>
    <s v="Monday"/>
    <s v="Outlier"/>
    <x v="63"/>
  </r>
  <r>
    <n v="1221647"/>
    <n v="113"/>
    <s v="USA"/>
    <d v="2023-03-26T00:36:00"/>
    <s v="Website"/>
    <s v="Leslie Young"/>
    <n v="6210"/>
    <d v="2023-03-26T00:00:00"/>
    <d v="1899-12-30T00:36:00"/>
    <s v="March"/>
    <s v="Sunday"/>
    <s v="Outlier"/>
    <x v="54"/>
  </r>
  <r>
    <n v="1223016"/>
    <n v="1161"/>
    <s v="Spain"/>
    <d v="2023-09-11T23:41:00"/>
    <s v="Whatsapp"/>
    <s v="Maria Larsson"/>
    <n v="4739"/>
    <d v="2023-09-11T00:00:00"/>
    <d v="1899-12-30T23:41:00"/>
    <s v="September"/>
    <s v="Monday"/>
    <s v="Outlier"/>
    <x v="40"/>
  </r>
  <r>
    <n v="1223038"/>
    <n v="1723"/>
    <s v="Spain"/>
    <d v="2023-10-13T23:51:00"/>
    <s v="App"/>
    <s v="Jesus Fernandez"/>
    <n v="8273"/>
    <d v="2023-10-13T00:00:00"/>
    <d v="1899-12-30T23:51:00"/>
    <s v="October"/>
    <s v="Friday"/>
    <s v="Outlier"/>
    <x v="43"/>
  </r>
  <r>
    <n v="1224367"/>
    <n v="1608"/>
    <s v="USA"/>
    <d v="2023-02-22T00:29:00"/>
    <s v="App"/>
    <s v="Wing C Tam"/>
    <n v="3078"/>
    <d v="2023-02-22T00:00:00"/>
    <d v="1899-12-30T00:29:00"/>
    <s v="February"/>
    <s v="Wednesday"/>
    <s v="Outlier"/>
    <x v="64"/>
  </r>
  <r>
    <n v="1225156"/>
    <n v="1447"/>
    <s v="Singapore"/>
    <d v="2023-10-07T23:21:00"/>
    <s v="Whatsapp"/>
    <s v="Eduardo Saavedra"/>
    <n v="520"/>
    <d v="2023-10-07T00:00:00"/>
    <d v="1899-12-30T23:21:00"/>
    <s v="October"/>
    <s v="Saturday"/>
    <s v="Outlier"/>
    <x v="1"/>
  </r>
  <r>
    <n v="1226095"/>
    <n v="1257"/>
    <s v="USA"/>
    <d v="2023-10-31T00:20:00"/>
    <s v="Whatsapp"/>
    <s v="Mary Saveley"/>
    <n v="782"/>
    <d v="2023-10-31T00:00:00"/>
    <d v="1899-12-30T00:20:00"/>
    <s v="October"/>
    <s v="Tuesday"/>
    <s v="Outlier"/>
    <x v="45"/>
  </r>
  <r>
    <n v="1228500"/>
    <n v="355"/>
    <s v="France"/>
    <d v="2023-03-18T22:32:00"/>
    <s v="Whatsapp"/>
    <s v="Valarie Thompson"/>
    <n v="8156"/>
    <d v="2023-03-18T00:00:00"/>
    <d v="1899-12-30T22:32:00"/>
    <s v="March"/>
    <s v="Saturday"/>
    <s v="Outlier"/>
    <x v="22"/>
  </r>
  <r>
    <n v="1228563"/>
    <n v="255"/>
    <s v="Italy"/>
    <d v="2023-10-14T00:48:00"/>
    <s v="Website"/>
    <s v="William Brown"/>
    <n v="531"/>
    <d v="2023-10-14T00:00:00"/>
    <d v="1899-12-30T00:48:00"/>
    <s v="October"/>
    <s v="Saturday"/>
    <s v="Outlier"/>
    <x v="14"/>
  </r>
  <r>
    <n v="1229877"/>
    <n v="1342"/>
    <s v="USA"/>
    <d v="2023-08-06T23:01:00"/>
    <s v="Other"/>
    <s v="Kwai Yu"/>
    <n v="3454"/>
    <d v="2023-08-06T00:00:00"/>
    <d v="1899-12-30T23:01:00"/>
    <s v="August"/>
    <s v="Sunday"/>
    <s v="Outlier"/>
    <x v="32"/>
  </r>
  <r>
    <n v="1229912"/>
    <n v="1193"/>
    <s v="Italy"/>
    <d v="2023-12-08T23:51:00"/>
    <s v="Other"/>
    <s v="Jean Fresnisre"/>
    <n v="3977"/>
    <d v="2023-12-08T00:00:00"/>
    <d v="1899-12-30T23:51:00"/>
    <s v="December"/>
    <s v="Friday"/>
    <s v="Outlier"/>
    <x v="45"/>
  </r>
  <r>
    <n v="1230163"/>
    <n v="793"/>
    <s v="USA"/>
    <d v="2023-06-05T22:41:00"/>
    <s v="Whatsapp"/>
    <s v="Catherine Dewey"/>
    <n v="7586"/>
    <d v="2023-06-05T00:00:00"/>
    <d v="1899-12-30T22:41:00"/>
    <s v="June"/>
    <s v="Monday"/>
    <s v="Outlier"/>
    <x v="27"/>
  </r>
  <r>
    <n v="1230246"/>
    <n v="190"/>
    <s v="France"/>
    <d v="2023-11-23T22:52:00"/>
    <s v="Website"/>
    <s v="Elizabeth Lincoln"/>
    <n v="7244"/>
    <d v="2023-11-23T00:00:00"/>
    <d v="1899-12-30T22:52:00"/>
    <s v="November"/>
    <s v="Thursday"/>
    <s v="Outlier"/>
    <x v="37"/>
  </r>
  <r>
    <n v="1230334"/>
    <n v="1502"/>
    <s v="Spain"/>
    <d v="2023-04-25T23:56:00"/>
    <s v="Other"/>
    <s v="Juri Yoshido"/>
    <n v="2395"/>
    <d v="2023-04-25T00:00:00"/>
    <d v="1899-12-30T23:56:00"/>
    <s v="April"/>
    <s v="Tuesday"/>
    <s v="Outlier"/>
    <x v="19"/>
  </r>
  <r>
    <n v="1231036"/>
    <n v="53"/>
    <s v="Italy"/>
    <d v="2023-08-20T01:30:00"/>
    <s v="Website"/>
    <s v="Victoria Ashworth"/>
    <n v="312"/>
    <d v="2023-08-20T00:00:00"/>
    <d v="1899-12-30T01:30:00"/>
    <s v="August"/>
    <s v="Sunday"/>
    <s v="Outlier"/>
    <x v="14"/>
  </r>
  <r>
    <n v="1232244"/>
    <n v="1686"/>
    <s v="France"/>
    <d v="2023-04-18T01:45:00"/>
    <s v="Whatsapp"/>
    <s v="Janine Labrune"/>
    <n v="7689"/>
    <d v="2023-04-18T00:00:00"/>
    <d v="1899-12-30T01:45:00"/>
    <s v="April"/>
    <s v="Tuesday"/>
    <s v="Outlier"/>
    <x v="62"/>
  </r>
  <r>
    <n v="1232656"/>
    <n v="888"/>
    <s v="Denmark"/>
    <d v="2023-04-04T02:58:00"/>
    <s v="Other"/>
    <s v="Christina Berglund"/>
    <n v="1139"/>
    <d v="2023-04-04T00:00:00"/>
    <d v="1899-12-30T02:58:00"/>
    <s v="April"/>
    <s v="Tuesday"/>
    <s v="Outlier"/>
    <x v="37"/>
  </r>
  <r>
    <n v="1234361"/>
    <n v="1857"/>
    <s v="France"/>
    <d v="2023-09-29T01:59:00"/>
    <s v="Website"/>
    <s v="Akiko Shimamura"/>
    <n v="760"/>
    <d v="2023-09-29T00:00:00"/>
    <d v="1899-12-30T01:59:00"/>
    <s v="September"/>
    <s v="Friday"/>
    <s v="Outlier"/>
    <x v="21"/>
  </r>
  <r>
    <n v="1234676"/>
    <n v="972"/>
    <s v="France"/>
    <d v="2023-01-03T00:39:00"/>
    <s v="App"/>
    <s v="Diego Freyre"/>
    <n v="9851"/>
    <d v="2023-01-03T00:00:00"/>
    <d v="1899-12-30T00:39:00"/>
    <s v="January"/>
    <s v="Tuesday"/>
    <s v="Outlier"/>
    <x v="31"/>
  </r>
  <r>
    <n v="1234702"/>
    <n v="747"/>
    <s v="Italy"/>
    <d v="2023-10-03T00:12:00"/>
    <s v="Other"/>
    <s v="Pirkko Koskitalo"/>
    <n v="8157"/>
    <d v="2023-10-03T00:00:00"/>
    <d v="1899-12-30T00:12:00"/>
    <s v="October"/>
    <s v="Tuesday"/>
    <s v="Outlier"/>
    <x v="71"/>
  </r>
  <r>
    <n v="1234926"/>
    <n v="1983"/>
    <s v="Spain"/>
    <d v="2023-10-09T23:27:00"/>
    <s v="Whatsapp"/>
    <s v="Julie Brown"/>
    <n v="2280"/>
    <d v="2023-10-09T00:00:00"/>
    <d v="1899-12-30T23:27:00"/>
    <s v="October"/>
    <s v="Monday"/>
    <s v="Outlier"/>
    <x v="31"/>
  </r>
  <r>
    <n v="1236573"/>
    <n v="1036"/>
    <s v="India"/>
    <d v="2023-08-28T23:54:00"/>
    <s v="Website"/>
    <s v="Valarie Nelson"/>
    <n v="1114"/>
    <d v="2023-08-28T00:00:00"/>
    <d v="1899-12-30T23:54:00"/>
    <s v="August"/>
    <s v="Monday"/>
    <s v="Outlier"/>
    <x v="3"/>
  </r>
  <r>
    <n v="1236880"/>
    <n v="1511"/>
    <s v="USA"/>
    <d v="2023-05-18T22:31:00"/>
    <s v="Other"/>
    <s v="Juri Yoshido"/>
    <n v="1203"/>
    <d v="2023-05-18T00:00:00"/>
    <d v="1899-12-30T22:31:00"/>
    <s v="May"/>
    <s v="Thursday"/>
    <s v="Outlier"/>
    <x v="11"/>
  </r>
  <r>
    <n v="1237283"/>
    <n v="1263"/>
    <s v="USA"/>
    <d v="2023-02-21T01:19:00"/>
    <s v="Other"/>
    <s v="Victoria Ashworth"/>
    <n v="3809"/>
    <d v="2023-02-21T00:00:00"/>
    <d v="1899-12-30T01:19:00"/>
    <s v="February"/>
    <s v="Tuesday"/>
    <s v="Outlier"/>
    <x v="61"/>
  </r>
  <r>
    <n v="1237541"/>
    <n v="354"/>
    <s v="India"/>
    <d v="2023-10-03T23:58:00"/>
    <s v="Website"/>
    <s v="Sue King"/>
    <n v="301"/>
    <d v="2023-10-03T00:00:00"/>
    <d v="1899-12-30T23:58:00"/>
    <s v="October"/>
    <s v="Tuesday"/>
    <s v="Outlier"/>
    <x v="3"/>
  </r>
  <r>
    <n v="1238511"/>
    <n v="433"/>
    <s v="India"/>
    <d v="2023-01-09T00:24:00"/>
    <s v="Whatsapp"/>
    <s v="Anna O'Hara"/>
    <n v="7820"/>
    <d v="2023-01-09T00:00:00"/>
    <d v="1899-12-30T00:24:00"/>
    <s v="January"/>
    <s v="Monday"/>
    <s v="Outlier"/>
    <x v="39"/>
  </r>
  <r>
    <n v="1239298"/>
    <n v="270"/>
    <s v="Australia"/>
    <d v="2023-09-24T23:41:00"/>
    <s v="App"/>
    <s v="Palle Ibsen"/>
    <n v="1355"/>
    <d v="2023-09-24T00:00:00"/>
    <d v="1899-12-30T23:41:00"/>
    <s v="September"/>
    <s v="Sunday"/>
    <s v="Outlier"/>
    <x v="8"/>
  </r>
  <r>
    <n v="1239461"/>
    <n v="245"/>
    <s v="India"/>
    <d v="2023-09-14T01:17:00"/>
    <s v="Website"/>
    <s v="Julie King"/>
    <n v="653"/>
    <d v="2023-09-14T00:00:00"/>
    <d v="1899-12-30T01:17:00"/>
    <s v="September"/>
    <s v="Thursday"/>
    <s v="Outlier"/>
    <x v="42"/>
  </r>
  <r>
    <n v="1240058"/>
    <n v="1665"/>
    <s v="Switzerland"/>
    <d v="2023-01-03T01:15:00"/>
    <s v="App"/>
    <s v="Valarie Nelson"/>
    <n v="1633"/>
    <d v="2023-01-03T00:00:00"/>
    <d v="1899-12-30T01:15:00"/>
    <s v="January"/>
    <s v="Tuesday"/>
    <s v="Outlier"/>
    <x v="11"/>
  </r>
  <r>
    <n v="1240090"/>
    <n v="319"/>
    <s v="India"/>
    <d v="2023-02-11T00:23:00"/>
    <s v="App"/>
    <s v="Valarie Young"/>
    <n v="286"/>
    <d v="2023-02-11T00:00:00"/>
    <d v="1899-12-30T00:23:00"/>
    <s v="February"/>
    <s v="Saturday"/>
    <s v="Outlier"/>
    <x v="36"/>
  </r>
  <r>
    <n v="1241751"/>
    <n v="1252"/>
    <s v="USA"/>
    <d v="2023-05-04T23:40:00"/>
    <s v="Whatsapp"/>
    <s v="Jeff Young"/>
    <n v="6106"/>
    <d v="2023-05-04T00:00:00"/>
    <d v="1899-12-30T23:40:00"/>
    <s v="May"/>
    <s v="Thursday"/>
    <s v="Outlier"/>
    <x v="50"/>
  </r>
  <r>
    <n v="1242334"/>
    <n v="701"/>
    <s v="India"/>
    <d v="2023-02-08T23:15:00"/>
    <s v="Website"/>
    <s v="Diego Freyre"/>
    <n v="4664"/>
    <d v="2023-02-08T00:00:00"/>
    <d v="1899-12-30T23:15:00"/>
    <s v="February"/>
    <s v="Wednesday"/>
    <s v="Outlier"/>
    <x v="54"/>
  </r>
  <r>
    <n v="1242726"/>
    <n v="724"/>
    <s v="USA"/>
    <d v="2023-01-26T23:36:00"/>
    <s v="Website"/>
    <s v="Mary Saveley"/>
    <n v="3036"/>
    <d v="2023-01-26T00:00:00"/>
    <d v="1899-12-30T23:36:00"/>
    <s v="January"/>
    <s v="Thursday"/>
    <s v="Outlier"/>
    <x v="35"/>
  </r>
  <r>
    <n v="1243085"/>
    <n v="39"/>
    <s v="USA"/>
    <d v="2023-11-11T01:39:00"/>
    <s v="Whatsapp"/>
    <s v="Frederique Citeaux"/>
    <n v="6819"/>
    <d v="2023-11-11T00:00:00"/>
    <d v="1899-12-30T01:39:00"/>
    <s v="November"/>
    <s v="Saturday"/>
    <s v="Outlier"/>
    <x v="7"/>
  </r>
  <r>
    <n v="1243807"/>
    <n v="869"/>
    <s v="Austria"/>
    <d v="2023-06-22T01:24:00"/>
    <s v="Website"/>
    <s v="Jeff Young"/>
    <n v="5634"/>
    <d v="2023-06-22T00:00:00"/>
    <d v="1899-12-30T01:24:00"/>
    <s v="June"/>
    <s v="Thursday"/>
    <s v="Outlier"/>
    <x v="72"/>
  </r>
  <r>
    <n v="1244097"/>
    <n v="380"/>
    <s v="France"/>
    <d v="2023-04-19T00:22:00"/>
    <s v="Whatsapp"/>
    <s v="Diego Freyre"/>
    <n v="1026"/>
    <d v="2023-04-19T00:00:00"/>
    <d v="1899-12-30T00:22:00"/>
    <s v="April"/>
    <s v="Wednesday"/>
    <s v="Outlier"/>
    <x v="3"/>
  </r>
  <r>
    <n v="1244668"/>
    <n v="1872"/>
    <s v="France"/>
    <d v="2023-08-21T01:06:00"/>
    <s v="Website"/>
    <s v="Wendy Victorino"/>
    <n v="9021"/>
    <d v="2023-08-21T00:00:00"/>
    <d v="1899-12-30T01:06:00"/>
    <s v="August"/>
    <s v="Monday"/>
    <s v="Outlier"/>
    <x v="6"/>
  </r>
  <r>
    <n v="1244841"/>
    <n v="402"/>
    <s v="India"/>
    <d v="2023-11-08T00:48:00"/>
    <s v="Website"/>
    <s v="Elizabeth Devon"/>
    <n v="3692"/>
    <d v="2023-11-08T00:00:00"/>
    <d v="1899-12-30T00:48:00"/>
    <s v="November"/>
    <s v="Wednesday"/>
    <s v="Outlier"/>
    <x v="18"/>
  </r>
  <r>
    <n v="1244975"/>
    <n v="413"/>
    <s v="Spain"/>
    <d v="2023-10-19T02:09:00"/>
    <s v="Whatsapp"/>
    <s v="Diego Freyre"/>
    <n v="9062"/>
    <d v="2023-10-19T00:00:00"/>
    <d v="1899-12-30T02:09:00"/>
    <s v="October"/>
    <s v="Thursday"/>
    <s v="Outlier"/>
    <x v="59"/>
  </r>
  <r>
    <n v="1245959"/>
    <n v="1983"/>
    <s v="Spain"/>
    <d v="2023-02-24T22:52:00"/>
    <s v="Other"/>
    <s v="Violeta Benitez"/>
    <n v="774"/>
    <d v="2023-02-24T00:00:00"/>
    <d v="1899-12-30T22:52:00"/>
    <s v="February"/>
    <s v="Friday"/>
    <s v="Outlier"/>
    <x v="31"/>
  </r>
  <r>
    <n v="1246551"/>
    <n v="1907"/>
    <s v="Australia"/>
    <d v="2023-05-26T22:53:00"/>
    <s v="Whatsapp"/>
    <s v="Victoria Ashworth"/>
    <n v="5938"/>
    <d v="2023-05-26T00:00:00"/>
    <d v="1899-12-30T22:53:00"/>
    <s v="May"/>
    <s v="Friday"/>
    <s v="Outlier"/>
    <x v="69"/>
  </r>
  <r>
    <n v="1246866"/>
    <n v="1884"/>
    <s v="USA"/>
    <d v="2023-06-27T23:28:00"/>
    <s v="Website"/>
    <s v="Sue King"/>
    <n v="849"/>
    <d v="2023-06-27T00:00:00"/>
    <d v="1899-12-30T23:28:00"/>
    <s v="June"/>
    <s v="Tuesday"/>
    <s v="Outlier"/>
    <x v="34"/>
  </r>
  <r>
    <n v="1247542"/>
    <n v="1956"/>
    <s v="Austria"/>
    <d v="2023-08-13T23:49:00"/>
    <s v="App"/>
    <s v="Valarie Nelson"/>
    <n v="632"/>
    <d v="2023-08-13T00:00:00"/>
    <d v="1899-12-30T23:49:00"/>
    <s v="August"/>
    <s v="Sunday"/>
    <s v="Outlier"/>
    <x v="10"/>
  </r>
  <r>
    <n v="1249517"/>
    <n v="1371"/>
    <s v="USA"/>
    <d v="2023-02-06T00:36:00"/>
    <s v="Whatsapp"/>
    <s v="Diego Freyre"/>
    <n v="985"/>
    <d v="2023-02-06T00:00:00"/>
    <d v="1899-12-30T00:36:00"/>
    <s v="February"/>
    <s v="Monday"/>
    <s v="Outlier"/>
    <x v="3"/>
  </r>
  <r>
    <n v="1250394"/>
    <n v="1969"/>
    <s v="Spain"/>
    <d v="2023-02-13T00:24:00"/>
    <s v="App"/>
    <s v="Sue Frick"/>
    <n v="9703"/>
    <d v="2023-02-13T00:00:00"/>
    <d v="1899-12-30T00:24:00"/>
    <s v="February"/>
    <s v="Monday"/>
    <s v="Outlier"/>
    <x v="10"/>
  </r>
  <r>
    <n v="1250419"/>
    <n v="1802"/>
    <s v="France"/>
    <d v="2023-05-24T01:35:00"/>
    <s v="App"/>
    <s v="Adrian Huxley"/>
    <n v="3390"/>
    <d v="2023-05-24T00:00:00"/>
    <d v="1899-12-30T01:35:00"/>
    <s v="May"/>
    <s v="Wednesday"/>
    <s v="Outlier"/>
    <x v="57"/>
  </r>
  <r>
    <n v="1252385"/>
    <n v="958"/>
    <s v="USA"/>
    <d v="2023-02-26T23:38:00"/>
    <s v="App"/>
    <s v="Arnold Cruz"/>
    <n v="9723"/>
    <d v="2023-02-26T00:00:00"/>
    <d v="1899-12-30T23:38:00"/>
    <s v="February"/>
    <s v="Sunday"/>
    <s v="Outlier"/>
    <x v="20"/>
  </r>
  <r>
    <n v="1252899"/>
    <n v="749"/>
    <s v="Singapore"/>
    <d v="2023-12-01T01:41:00"/>
    <s v="App"/>
    <s v="Laurence Lebihan"/>
    <n v="3812"/>
    <d v="2023-12-01T00:00:00"/>
    <d v="1899-12-30T01:41:00"/>
    <s v="December"/>
    <s v="Friday"/>
    <s v="Outlier"/>
    <x v="43"/>
  </r>
  <r>
    <n v="1253263"/>
    <n v="61"/>
    <s v="Spain"/>
    <d v="2023-05-26T01:38:00"/>
    <s v="Whatsapp"/>
    <s v="Valarie Nelson"/>
    <n v="2843"/>
    <d v="2023-05-26T00:00:00"/>
    <d v="1899-12-30T01:38:00"/>
    <s v="May"/>
    <s v="Friday"/>
    <s v="Outlier"/>
    <x v="59"/>
  </r>
  <r>
    <n v="1253641"/>
    <n v="786"/>
    <s v="Denmark"/>
    <d v="2023-01-30T01:50:00"/>
    <s v="Website"/>
    <s v="Allen Nelson"/>
    <n v="2881"/>
    <d v="2023-01-30T00:00:00"/>
    <d v="1899-12-30T01:50:00"/>
    <s v="January"/>
    <s v="Monday"/>
    <s v="Outlier"/>
    <x v="57"/>
  </r>
  <r>
    <n v="1254071"/>
    <n v="1367"/>
    <s v="Italy"/>
    <d v="2023-02-26T00:26:00"/>
    <s v="Whatsapp"/>
    <s v="Julie Brown"/>
    <n v="3090"/>
    <d v="2023-02-26T00:00:00"/>
    <d v="1899-12-30T00:26:00"/>
    <s v="February"/>
    <s v="Sunday"/>
    <s v="Outlier"/>
    <x v="5"/>
  </r>
  <r>
    <n v="1254601"/>
    <n v="1734"/>
    <s v="USA"/>
    <d v="2023-05-03T00:42:00"/>
    <s v="Website"/>
    <s v="Anna O'Hara"/>
    <n v="4180"/>
    <d v="2023-05-03T00:00:00"/>
    <d v="1899-12-30T00:42:00"/>
    <s v="May"/>
    <s v="Wednesday"/>
    <s v="Outlier"/>
    <x v="14"/>
  </r>
  <r>
    <n v="1254623"/>
    <n v="1234"/>
    <s v="USA"/>
    <d v="2023-02-01T00:27:00"/>
    <s v="Whatsapp"/>
    <s v="Veysel Oeztan"/>
    <n v="3138"/>
    <d v="2023-02-01T00:00:00"/>
    <d v="1899-12-30T00:27:00"/>
    <s v="February"/>
    <s v="Wednesday"/>
    <s v="Outlier"/>
    <x v="20"/>
  </r>
  <r>
    <n v="1255175"/>
    <n v="458"/>
    <s v="Finland"/>
    <d v="2023-11-24T23:17:00"/>
    <s v="App"/>
    <s v="Henriette Pfalzheim"/>
    <n v="505"/>
    <d v="2023-11-24T00:00:00"/>
    <d v="1899-12-30T23:17:00"/>
    <s v="November"/>
    <s v="Friday"/>
    <s v="Outlier"/>
    <x v="52"/>
  </r>
  <r>
    <n v="1255720"/>
    <n v="1690"/>
    <s v="Australia"/>
    <d v="2023-09-09T00:20:00"/>
    <s v="App"/>
    <s v="Diego Freyre"/>
    <n v="6466"/>
    <d v="2023-09-09T00:00:00"/>
    <d v="1899-12-30T00:20:00"/>
    <s v="September"/>
    <s v="Saturday"/>
    <s v="Outlier"/>
    <x v="56"/>
  </r>
  <r>
    <n v="1255723"/>
    <n v="57"/>
    <s v="India"/>
    <d v="2023-06-10T23:54:00"/>
    <s v="Other"/>
    <s v="Dominique Perrier"/>
    <n v="9161"/>
    <d v="2023-06-10T00:00:00"/>
    <d v="1899-12-30T23:54:00"/>
    <s v="June"/>
    <s v="Saturday"/>
    <s v="Outlier"/>
    <x v="33"/>
  </r>
  <r>
    <n v="1256035"/>
    <n v="105"/>
    <s v="USA"/>
    <d v="2023-01-15T23:10:00"/>
    <s v="Whatsapp"/>
    <s v="Michael Holz"/>
    <n v="2774"/>
    <d v="2023-01-15T00:00:00"/>
    <d v="1899-12-30T23:10:00"/>
    <s v="January"/>
    <s v="Sunday"/>
    <s v="Outlier"/>
    <x v="16"/>
  </r>
  <r>
    <n v="1256522"/>
    <n v="816"/>
    <s v="India"/>
    <d v="2023-05-25T22:40:00"/>
    <s v="Other"/>
    <s v="Jytte Petersen"/>
    <n v="7805"/>
    <d v="2023-05-25T00:00:00"/>
    <d v="1899-12-30T22:40:00"/>
    <s v="May"/>
    <s v="Thursday"/>
    <s v="Outlier"/>
    <x v="7"/>
  </r>
  <r>
    <n v="1256855"/>
    <n v="243"/>
    <s v="USA"/>
    <d v="2023-09-16T00:56:00"/>
    <s v="Website"/>
    <s v="Elizabeth Devon"/>
    <n v="2567"/>
    <d v="2023-09-16T00:00:00"/>
    <d v="1899-12-30T00:56:00"/>
    <s v="September"/>
    <s v="Saturday"/>
    <s v="Outlier"/>
    <x v="65"/>
  </r>
  <r>
    <n v="1257018"/>
    <n v="87"/>
    <s v="India"/>
    <d v="2023-02-04T01:30:00"/>
    <s v="App"/>
    <s v="Maurizio Moroni"/>
    <n v="8149"/>
    <d v="2023-02-04T00:00:00"/>
    <d v="1899-12-30T01:30:00"/>
    <s v="February"/>
    <s v="Saturday"/>
    <s v="Outlier"/>
    <x v="14"/>
  </r>
  <r>
    <n v="1258064"/>
    <n v="1478"/>
    <s v="Austria"/>
    <d v="2023-04-26T00:28:00"/>
    <s v="Whatsapp"/>
    <s v="Miguel Barajas"/>
    <n v="6527"/>
    <d v="2023-04-26T00:00:00"/>
    <d v="1899-12-30T00:28:00"/>
    <s v="April"/>
    <s v="Wednesday"/>
    <s v="Outlier"/>
    <x v="64"/>
  </r>
  <r>
    <n v="1258245"/>
    <n v="1654"/>
    <s v="USA"/>
    <d v="2023-04-04T23:52:00"/>
    <s v="App"/>
    <s v="Michael Holz"/>
    <n v="3634"/>
    <d v="2023-04-04T00:00:00"/>
    <d v="1899-12-30T23:52:00"/>
    <s v="April"/>
    <s v="Tuesday"/>
    <s v="Outlier"/>
    <x v="72"/>
  </r>
  <r>
    <n v="1259011"/>
    <n v="1198"/>
    <s v="USA"/>
    <d v="2023-06-10T01:43:00"/>
    <s v="Website"/>
    <s v="Roland Keitel"/>
    <n v="247"/>
    <d v="2023-06-10T00:00:00"/>
    <d v="1899-12-30T01:43:00"/>
    <s v="June"/>
    <s v="Saturday"/>
    <s v="Outlier"/>
    <x v="42"/>
  </r>
  <r>
    <n v="1259418"/>
    <n v="1199"/>
    <s v="Italy"/>
    <d v="2023-01-27T00:21:00"/>
    <s v="App"/>
    <s v="Henriette Pfalzheim"/>
    <n v="7775"/>
    <d v="2023-01-27T00:00:00"/>
    <d v="1899-12-30T00:21:00"/>
    <s v="January"/>
    <s v="Friday"/>
    <s v="Outlier"/>
    <x v="4"/>
  </r>
  <r>
    <n v="1259696"/>
    <n v="1798"/>
    <s v="USA"/>
    <d v="2023-04-14T00:38:00"/>
    <s v="Website"/>
    <s v="Christina Berglund"/>
    <n v="4028"/>
    <d v="2023-04-14T00:00:00"/>
    <d v="1899-12-30T00:38:00"/>
    <s v="April"/>
    <s v="Friday"/>
    <s v="Outlier"/>
    <x v="34"/>
  </r>
  <r>
    <n v="1260670"/>
    <n v="1301"/>
    <s v="Spain"/>
    <d v="2023-01-08T01:08:00"/>
    <s v="Whatsapp"/>
    <s v="Rosa Hernandez"/>
    <n v="1655"/>
    <d v="2023-01-08T00:00:00"/>
    <d v="1899-12-30T01:08:00"/>
    <s v="January"/>
    <s v="Sunday"/>
    <s v="Outlier"/>
    <x v="58"/>
  </r>
  <r>
    <n v="1262059"/>
    <n v="1719"/>
    <s v="Italy"/>
    <d v="2023-07-27T01:36:00"/>
    <s v="Other"/>
    <s v="Peter Ferguson"/>
    <n v="1114"/>
    <d v="2023-07-27T00:00:00"/>
    <d v="1899-12-30T01:36:00"/>
    <s v="July"/>
    <s v="Thursday"/>
    <s v="Outlier"/>
    <x v="12"/>
  </r>
  <r>
    <n v="1265339"/>
    <n v="1916"/>
    <s v="Switzerland"/>
    <d v="2023-01-02T01:49:00"/>
    <s v="Website"/>
    <s v="Diego Freyre"/>
    <n v="5272"/>
    <d v="2023-01-02T00:00:00"/>
    <d v="1899-12-30T01:49:00"/>
    <s v="January"/>
    <s v="Monday"/>
    <s v="Outlier"/>
    <x v="6"/>
  </r>
  <r>
    <n v="1265561"/>
    <n v="1"/>
    <s v="France"/>
    <d v="2023-02-28T00:34:00"/>
    <s v="Website"/>
    <s v="Kalle Suominen"/>
    <n v="3338"/>
    <d v="2023-02-28T00:00:00"/>
    <d v="1899-12-30T00:34:00"/>
    <s v="February"/>
    <s v="Tuesday"/>
    <s v="Outlier"/>
    <x v="34"/>
  </r>
  <r>
    <n v="1267084"/>
    <n v="312"/>
    <s v="Italy"/>
    <d v="2023-12-11T23:14:00"/>
    <s v="Other"/>
    <s v="Diego Freyre"/>
    <n v="3305"/>
    <d v="2023-12-11T00:00:00"/>
    <d v="1899-12-30T23:14:00"/>
    <s v="December"/>
    <s v="Monday"/>
    <s v="Outlier"/>
    <x v="4"/>
  </r>
  <r>
    <n v="1267886"/>
    <n v="1900"/>
    <s v="Singapore"/>
    <d v="2023-06-09T01:40:00"/>
    <s v="App"/>
    <s v="Valarie Nelson"/>
    <n v="5588"/>
    <d v="2023-06-09T00:00:00"/>
    <d v="1899-12-30T01:40:00"/>
    <s v="June"/>
    <s v="Friday"/>
    <s v="Outlier"/>
    <x v="9"/>
  </r>
  <r>
    <n v="1268060"/>
    <n v="1316"/>
    <s v="Australia"/>
    <d v="2023-01-04T01:50:00"/>
    <s v="Whatsapp"/>
    <s v="Georg Pipps"/>
    <n v="3876"/>
    <d v="2023-01-04T00:00:00"/>
    <d v="1899-12-30T01:50:00"/>
    <s v="January"/>
    <s v="Wednesday"/>
    <s v="Outlier"/>
    <x v="41"/>
  </r>
  <r>
    <n v="1269964"/>
    <n v="1035"/>
    <s v="India"/>
    <d v="2023-02-12T00:40:00"/>
    <s v="Whatsapp"/>
    <s v="Giovanni Rovelli"/>
    <n v="9940"/>
    <d v="2023-02-12T00:00:00"/>
    <d v="1899-12-30T00:40:00"/>
    <s v="February"/>
    <s v="Sunday"/>
    <s v="Outlier"/>
    <x v="72"/>
  </r>
  <r>
    <n v="1271055"/>
    <n v="1509"/>
    <s v="USA"/>
    <d v="2023-01-09T00:51:00"/>
    <s v="App"/>
    <s v="Georg Pipps"/>
    <n v="9159"/>
    <d v="2023-01-09T00:00:00"/>
    <d v="1899-12-30T00:51:00"/>
    <s v="January"/>
    <s v="Monday"/>
    <s v="Outlier"/>
    <x v="34"/>
  </r>
  <r>
    <n v="1271264"/>
    <n v="450"/>
    <s v="Italy"/>
    <d v="2023-09-29T01:13:00"/>
    <s v="Website"/>
    <s v="Dan Lewis"/>
    <n v="2686"/>
    <d v="2023-09-29T00:00:00"/>
    <d v="1899-12-30T01:13:00"/>
    <s v="September"/>
    <s v="Friday"/>
    <s v="Outlier"/>
    <x v="62"/>
  </r>
  <r>
    <n v="1271599"/>
    <n v="987"/>
    <s v="USA"/>
    <d v="2023-07-18T23:25:00"/>
    <s v="App"/>
    <s v="Wing C Tam"/>
    <n v="2478"/>
    <d v="2023-07-18T00:00:00"/>
    <d v="1899-12-30T23:25:00"/>
    <s v="July"/>
    <s v="Tuesday"/>
    <s v="Outlier"/>
    <x v="12"/>
  </r>
  <r>
    <n v="1272310"/>
    <n v="1183"/>
    <s v="France"/>
    <d v="2023-08-01T00:07:00"/>
    <s v="Other"/>
    <s v="Matti Karttunen"/>
    <n v="7092"/>
    <d v="2023-08-01T00:00:00"/>
    <d v="1899-12-30T00:07:00"/>
    <s v="August"/>
    <s v="Tuesday"/>
    <s v="Outlier"/>
    <x v="50"/>
  </r>
  <r>
    <n v="1272986"/>
    <n v="1475"/>
    <s v="Spain"/>
    <d v="2023-02-08T01:38:00"/>
    <s v="App"/>
    <s v="Maria Larsson"/>
    <n v="4629"/>
    <d v="2023-02-08T00:00:00"/>
    <d v="1899-12-30T01:38:00"/>
    <s v="February"/>
    <s v="Wednesday"/>
    <s v="Outlier"/>
    <x v="5"/>
  </r>
  <r>
    <n v="1273418"/>
    <n v="581"/>
    <s v="USA"/>
    <d v="2023-11-23T23:16:00"/>
    <s v="Whatsapp"/>
    <s v="Annette Roulet"/>
    <n v="5316"/>
    <d v="2023-11-23T00:00:00"/>
    <d v="1899-12-30T23:16:00"/>
    <s v="November"/>
    <s v="Thursday"/>
    <s v="Outlier"/>
    <x v="62"/>
  </r>
  <r>
    <n v="1273432"/>
    <n v="1216"/>
    <s v="Australia"/>
    <d v="2023-02-06T23:47:00"/>
    <s v="Other"/>
    <s v="Thomas Hardy"/>
    <n v="3235"/>
    <d v="2023-02-06T00:00:00"/>
    <d v="1899-12-30T23:47:00"/>
    <s v="February"/>
    <s v="Monday"/>
    <s v="Outlier"/>
    <x v="42"/>
  </r>
  <r>
    <n v="1273811"/>
    <n v="1905"/>
    <s v="Spain"/>
    <d v="2023-12-17T23:57:00"/>
    <s v="Website"/>
    <s v="Arnold Cruz"/>
    <n v="5538"/>
    <d v="2023-12-17T00:00:00"/>
    <d v="1899-12-30T23:57:00"/>
    <s v="December"/>
    <s v="Sunday"/>
    <s v="Outlier"/>
    <x v="68"/>
  </r>
  <r>
    <n v="1274337"/>
    <n v="974"/>
    <s v="France"/>
    <d v="2023-11-01T02:06:00"/>
    <s v="Whatsapp"/>
    <s v="Michael Chandler"/>
    <n v="856"/>
    <d v="2023-11-01T00:00:00"/>
    <d v="1899-12-30T02:06:00"/>
    <s v="November"/>
    <s v="Wednesday"/>
    <s v="Outlier"/>
    <x v="52"/>
  </r>
  <r>
    <n v="1274561"/>
    <n v="640"/>
    <s v="France"/>
    <d v="2023-09-19T01:57:00"/>
    <s v="App"/>
    <s v="Valarie Thompson"/>
    <n v="3448"/>
    <d v="2023-09-19T00:00:00"/>
    <d v="1899-12-30T01:57:00"/>
    <s v="September"/>
    <s v="Tuesday"/>
    <s v="Outlier"/>
    <x v="66"/>
  </r>
  <r>
    <n v="1275891"/>
    <n v="248"/>
    <s v="USA"/>
    <d v="2023-11-18T22:39:00"/>
    <s v="Other"/>
    <s v="Kyung Tseng"/>
    <n v="1143"/>
    <d v="2023-11-18T00:00:00"/>
    <d v="1899-12-30T22:39:00"/>
    <s v="November"/>
    <s v="Saturday"/>
    <s v="Outlier"/>
    <x v="59"/>
  </r>
  <r>
    <n v="1275955"/>
    <n v="1506"/>
    <s v="USA"/>
    <d v="2023-08-06T01:37:00"/>
    <s v="Whatsapp"/>
    <s v="Diego Freyre"/>
    <n v="8000"/>
    <d v="2023-08-06T00:00:00"/>
    <d v="1899-12-30T01:37:00"/>
    <s v="August"/>
    <s v="Sunday"/>
    <s v="Outlier"/>
    <x v="65"/>
  </r>
  <r>
    <n v="1276372"/>
    <n v="414"/>
    <s v="India"/>
    <d v="2023-03-03T00:53:00"/>
    <s v="Other"/>
    <s v="Allen Nelson"/>
    <n v="1465"/>
    <d v="2023-03-03T00:00:00"/>
    <d v="1899-12-30T00:53:00"/>
    <s v="March"/>
    <s v="Friday"/>
    <s v="Outlier"/>
    <x v="46"/>
  </r>
  <r>
    <n v="1277957"/>
    <n v="1687"/>
    <s v="Australia"/>
    <d v="2023-01-26T01:43:00"/>
    <s v="Website"/>
    <s v="Jan Klaeboe"/>
    <n v="2062"/>
    <d v="2023-01-26T00:00:00"/>
    <d v="1899-12-30T01:43:00"/>
    <s v="January"/>
    <s v="Thursday"/>
    <s v="Outlier"/>
    <x v="4"/>
  </r>
  <r>
    <n v="1278430"/>
    <n v="1947"/>
    <s v="Spain"/>
    <d v="2023-08-03T23:52:00"/>
    <s v="Website"/>
    <s v="Michael Donnermeyer"/>
    <n v="2876"/>
    <d v="2023-08-03T00:00:00"/>
    <d v="1899-12-30T23:52:00"/>
    <s v="August"/>
    <s v="Thursday"/>
    <s v="Outlier"/>
    <x v="19"/>
  </r>
  <r>
    <n v="1278929"/>
    <n v="413"/>
    <s v="Spain"/>
    <d v="2023-04-16T23:26:00"/>
    <s v="Website"/>
    <s v="Francisca Cervantes"/>
    <n v="6020"/>
    <d v="2023-04-16T00:00:00"/>
    <d v="1899-12-30T23:26:00"/>
    <s v="April"/>
    <s v="Sunday"/>
    <s v="Outlier"/>
    <x v="59"/>
  </r>
  <r>
    <n v="1279393"/>
    <n v="1340"/>
    <s v="Italy"/>
    <d v="2023-09-08T01:01:00"/>
    <s v="Other"/>
    <s v="Helen Bennett"/>
    <n v="9753"/>
    <d v="2023-09-08T00:00:00"/>
    <d v="1899-12-30T01:01:00"/>
    <s v="September"/>
    <s v="Friday"/>
    <s v="Outlier"/>
    <x v="28"/>
  </r>
  <r>
    <n v="1280103"/>
    <n v="909"/>
    <s v="India"/>
    <d v="2023-10-06T01:10:00"/>
    <s v="Other"/>
    <s v="Giovanni Rovelli"/>
    <n v="2054"/>
    <d v="2023-10-06T00:00:00"/>
    <d v="1899-12-30T01:10:00"/>
    <s v="October"/>
    <s v="Friday"/>
    <s v="Outlier"/>
    <x v="37"/>
  </r>
  <r>
    <n v="1280199"/>
    <n v="337"/>
    <s v="Singapore"/>
    <d v="2023-10-24T00:37:00"/>
    <s v="Other"/>
    <s v="Akiko Shimamura"/>
    <n v="622"/>
    <d v="2023-10-24T00:00:00"/>
    <d v="1899-12-30T00:37:00"/>
    <s v="October"/>
    <s v="Tuesday"/>
    <s v="Outlier"/>
    <x v="30"/>
  </r>
  <r>
    <n v="1282426"/>
    <n v="1866"/>
    <s v="Spain"/>
    <d v="2023-07-05T00:11:00"/>
    <s v="Whatsapp"/>
    <s v="Ann Brown"/>
    <n v="9455"/>
    <d v="2023-07-05T00:00:00"/>
    <d v="1899-12-30T00:11:00"/>
    <s v="July"/>
    <s v="Wednesday"/>
    <s v="Outlier"/>
    <x v="62"/>
  </r>
  <r>
    <n v="1283493"/>
    <n v="1075"/>
    <s v="Denmark"/>
    <d v="2023-10-27T01:09:00"/>
    <s v="Website"/>
    <s v="Adrian Huxley"/>
    <n v="4773"/>
    <d v="2023-10-27T00:00:00"/>
    <d v="1899-12-30T01:09:00"/>
    <s v="October"/>
    <s v="Friday"/>
    <s v="Outlier"/>
    <x v="39"/>
  </r>
  <r>
    <n v="1284119"/>
    <n v="1980"/>
    <s v="Switzerland"/>
    <d v="2023-10-07T01:14:00"/>
    <s v="App"/>
    <s v="Pirkko Koskitalo"/>
    <n v="6976"/>
    <d v="2023-10-07T00:00:00"/>
    <d v="1899-12-30T01:14:00"/>
    <s v="October"/>
    <s v="Saturday"/>
    <s v="Outlier"/>
    <x v="56"/>
  </r>
  <r>
    <n v="1284352"/>
    <n v="1957"/>
    <s v="USA"/>
    <d v="2023-06-05T00:01:00"/>
    <s v="Whatsapp"/>
    <s v="Diego Freyre"/>
    <n v="2512"/>
    <d v="2023-06-05T00:00:00"/>
    <d v="1899-12-30T00:01:00"/>
    <s v="June"/>
    <s v="Monday"/>
    <s v="Outlier"/>
    <x v="53"/>
  </r>
  <r>
    <n v="1284756"/>
    <n v="1015"/>
    <s v="Italy"/>
    <d v="2023-11-07T00:06:00"/>
    <s v="App"/>
    <s v="Paul Henriot"/>
    <n v="8923"/>
    <d v="2023-11-07T00:00:00"/>
    <d v="1899-12-30T00:06:00"/>
    <s v="November"/>
    <s v="Tuesday"/>
    <s v="Outlier"/>
    <x v="63"/>
  </r>
  <r>
    <n v="1287324"/>
    <n v="819"/>
    <s v="Ireland"/>
    <d v="2023-03-03T00:06:00"/>
    <s v="Whatsapp"/>
    <s v="Sue Frick"/>
    <n v="930"/>
    <d v="2023-03-03T00:00:00"/>
    <d v="1899-12-30T00:06:00"/>
    <s v="March"/>
    <s v="Friday"/>
    <s v="Outlier"/>
    <x v="21"/>
  </r>
  <r>
    <n v="1288242"/>
    <n v="1879"/>
    <s v="USA"/>
    <d v="2023-08-23T00:05:00"/>
    <s v="Whatsapp"/>
    <s v="Sean Connery"/>
    <n v="5169"/>
    <d v="2023-08-23T00:00:00"/>
    <d v="1899-12-30T00:05:00"/>
    <s v="August"/>
    <s v="Wednesday"/>
    <s v="Outlier"/>
    <x v="15"/>
  </r>
  <r>
    <n v="1288279"/>
    <n v="420"/>
    <s v="Spain"/>
    <d v="2023-05-27T23:59:00"/>
    <s v="App"/>
    <s v="Victoria Ashworth"/>
    <n v="5628"/>
    <d v="2023-05-27T00:00:00"/>
    <d v="1899-12-30T23:59:00"/>
    <s v="May"/>
    <s v="Saturday"/>
    <s v="Outlier"/>
    <x v="54"/>
  </r>
  <r>
    <n v="1288732"/>
    <n v="354"/>
    <s v="India"/>
    <d v="2023-02-08T23:14:00"/>
    <s v="Whatsapp"/>
    <s v="Sue King"/>
    <n v="1265"/>
    <d v="2023-02-08T00:00:00"/>
    <d v="1899-12-30T23:14:00"/>
    <s v="February"/>
    <s v="Wednesday"/>
    <s v="Outlier"/>
    <x v="3"/>
  </r>
  <r>
    <n v="1288792"/>
    <n v="25"/>
    <s v="USA"/>
    <d v="2023-12-05T01:41:00"/>
    <s v="Whatsapp"/>
    <s v="Anna O'Hara"/>
    <n v="3516"/>
    <d v="2023-12-05T00:00:00"/>
    <d v="1899-12-30T01:41:00"/>
    <s v="December"/>
    <s v="Tuesday"/>
    <s v="Outlier"/>
    <x v="0"/>
  </r>
  <r>
    <n v="1288824"/>
    <n v="912"/>
    <s v="USA"/>
    <d v="2023-01-04T00:03:00"/>
    <s v="App"/>
    <s v="Palle Ibsen"/>
    <n v="8079"/>
    <d v="2023-01-04T00:00:00"/>
    <d v="1899-12-30T00:03:00"/>
    <s v="January"/>
    <s v="Wednesday"/>
    <s v="Outlier"/>
    <x v="19"/>
  </r>
  <r>
    <n v="1289179"/>
    <n v="65"/>
    <s v="Spain"/>
    <d v="2023-02-04T01:04:00"/>
    <s v="Website"/>
    <s v="Julie King"/>
    <n v="2409"/>
    <d v="2023-02-04T00:00:00"/>
    <d v="1899-12-30T01:04:00"/>
    <s v="February"/>
    <s v="Saturday"/>
    <s v="Outlier"/>
    <x v="2"/>
  </r>
  <r>
    <n v="1289588"/>
    <n v="336"/>
    <s v="Spain"/>
    <d v="2023-09-05T23:54:00"/>
    <s v="Whatsapp"/>
    <s v="Valarie Nelson"/>
    <n v="4944"/>
    <d v="2023-09-05T00:00:00"/>
    <d v="1899-12-30T23:54:00"/>
    <s v="September"/>
    <s v="Tuesday"/>
    <s v="Outlier"/>
    <x v="47"/>
  </r>
  <r>
    <n v="1289856"/>
    <n v="1174"/>
    <s v="USA"/>
    <d v="2023-07-08T00:26:00"/>
    <s v="Whatsapp"/>
    <s v="Valarie Young"/>
    <n v="5660"/>
    <d v="2023-07-08T00:00:00"/>
    <d v="1899-12-30T00:26:00"/>
    <s v="July"/>
    <s v="Saturday"/>
    <s v="Outlier"/>
    <x v="52"/>
  </r>
  <r>
    <n v="1289947"/>
    <n v="164"/>
    <s v="USA"/>
    <d v="2023-11-21T23:25:00"/>
    <s v="Website"/>
    <s v="Jeff Young"/>
    <n v="1867"/>
    <d v="2023-11-21T00:00:00"/>
    <d v="1899-12-30T23:25:00"/>
    <s v="November"/>
    <s v="Tuesday"/>
    <s v="Outlier"/>
    <x v="40"/>
  </r>
  <r>
    <n v="1290448"/>
    <n v="1083"/>
    <s v="Spain"/>
    <d v="2023-02-14T01:35:00"/>
    <s v="Whatsapp"/>
    <s v="Diego Freyre"/>
    <n v="9507"/>
    <d v="2023-02-14T00:00:00"/>
    <d v="1899-12-30T01:35:00"/>
    <s v="February"/>
    <s v="Tuesday"/>
    <s v="Outlier"/>
    <x v="5"/>
  </r>
  <r>
    <n v="1290759"/>
    <n v="497"/>
    <s v="USA"/>
    <d v="2023-02-19T00:53:00"/>
    <s v="Website"/>
    <s v="Valarie Thompson"/>
    <n v="6538"/>
    <d v="2023-02-19T00:00:00"/>
    <d v="1899-12-30T00:53:00"/>
    <s v="February"/>
    <s v="Sunday"/>
    <s v="Outlier"/>
    <x v="51"/>
  </r>
  <r>
    <n v="1290822"/>
    <n v="430"/>
    <s v="India"/>
    <d v="2023-04-18T01:22:00"/>
    <s v="App"/>
    <s v="Frederique Citeaux"/>
    <n v="3136"/>
    <d v="2023-04-18T00:00:00"/>
    <d v="1899-12-30T01:22:00"/>
    <s v="April"/>
    <s v="Tuesday"/>
    <s v="Outlier"/>
    <x v="43"/>
  </r>
  <r>
    <n v="1291386"/>
    <n v="1855"/>
    <s v="Denmark"/>
    <d v="2023-06-21T01:14:00"/>
    <s v="Website"/>
    <s v="Jeff Young"/>
    <n v="6840"/>
    <d v="2023-06-21T00:00:00"/>
    <d v="1899-12-30T01:14:00"/>
    <s v="June"/>
    <s v="Wednesday"/>
    <s v="Outlier"/>
    <x v="60"/>
  </r>
  <r>
    <n v="1291392"/>
    <n v="1083"/>
    <s v="Spain"/>
    <d v="2023-07-12T00:36:00"/>
    <s v="App"/>
    <s v="Diego Freyre"/>
    <n v="7984"/>
    <d v="2023-07-12T00:00:00"/>
    <d v="1899-12-30T00:36:00"/>
    <s v="July"/>
    <s v="Wednesday"/>
    <s v="Outlier"/>
    <x v="5"/>
  </r>
  <r>
    <n v="1291584"/>
    <n v="1215"/>
    <s v="USA"/>
    <d v="2023-05-28T00:41:00"/>
    <s v="App"/>
    <s v="Wendy Victorino"/>
    <n v="813"/>
    <d v="2023-05-28T00:00:00"/>
    <d v="1899-12-30T00:41:00"/>
    <s v="May"/>
    <s v="Sunday"/>
    <s v="Outlier"/>
    <x v="19"/>
  </r>
  <r>
    <n v="1291650"/>
    <n v="1982"/>
    <s v="Italy"/>
    <d v="2023-06-03T01:35:00"/>
    <s v="Website"/>
    <s v="Jan Klaeboe"/>
    <n v="5585"/>
    <d v="2023-06-03T00:00:00"/>
    <d v="1899-12-30T01:35:00"/>
    <s v="June"/>
    <s v="Saturday"/>
    <s v="Outlier"/>
    <x v="8"/>
  </r>
  <r>
    <n v="1291973"/>
    <n v="461"/>
    <s v="Australia"/>
    <d v="2023-01-07T01:23:00"/>
    <s v="Other"/>
    <s v="Diego Freyre"/>
    <n v="5976"/>
    <d v="2023-01-07T00:00:00"/>
    <d v="1899-12-30T01:23:00"/>
    <s v="January"/>
    <s v="Saturday"/>
    <s v="Outlier"/>
    <x v="55"/>
  </r>
  <r>
    <n v="1292166"/>
    <n v="758"/>
    <s v="USA"/>
    <d v="2023-02-17T00:03:00"/>
    <s v="Other"/>
    <s v="Violeta Benitez"/>
    <n v="7030"/>
    <d v="2023-02-17T00:00:00"/>
    <d v="1899-12-30T00:03:00"/>
    <s v="February"/>
    <s v="Friday"/>
    <s v="Outlier"/>
    <x v="13"/>
  </r>
  <r>
    <n v="1292922"/>
    <n v="27"/>
    <s v="USA"/>
    <d v="2023-02-09T01:47:00"/>
    <s v="App"/>
    <s v="Victoria Ashworth"/>
    <n v="1646"/>
    <d v="2023-02-09T00:00:00"/>
    <d v="1899-12-30T01:47:00"/>
    <s v="February"/>
    <s v="Thursday"/>
    <s v="Outlier"/>
    <x v="50"/>
  </r>
  <r>
    <n v="1294009"/>
    <n v="538"/>
    <s v="India"/>
    <d v="2023-01-06T01:46:00"/>
    <s v="Other"/>
    <s v="Sue King"/>
    <n v="4279"/>
    <d v="2023-01-06T00:00:00"/>
    <d v="1899-12-30T01:46:00"/>
    <s v="January"/>
    <s v="Friday"/>
    <s v="Outlier"/>
    <x v="24"/>
  </r>
  <r>
    <n v="1297610"/>
    <n v="1732"/>
    <s v="USA"/>
    <d v="2023-10-10T01:24:00"/>
    <s v="Website"/>
    <s v="Valarie Nelson"/>
    <n v="2563"/>
    <d v="2023-10-10T00:00:00"/>
    <d v="1899-12-30T01:24:00"/>
    <s v="October"/>
    <s v="Tuesday"/>
    <s v="Outlier"/>
    <x v="70"/>
  </r>
  <r>
    <n v="1297796"/>
    <n v="640"/>
    <s v="France"/>
    <d v="2023-02-26T00:40:00"/>
    <s v="App"/>
    <s v="Diego Freyre"/>
    <n v="9438"/>
    <d v="2023-02-26T00:00:00"/>
    <d v="1899-12-30T00:40:00"/>
    <s v="February"/>
    <s v="Sunday"/>
    <s v="Outlier"/>
    <x v="66"/>
  </r>
  <r>
    <n v="1299122"/>
    <n v="220"/>
    <s v="Australia"/>
    <d v="2023-01-07T23:19:00"/>
    <s v="Website"/>
    <s v="Sue Frick"/>
    <n v="9458"/>
    <d v="2023-01-07T00:00:00"/>
    <d v="1899-12-30T23:19:00"/>
    <s v="January"/>
    <s v="Saturday"/>
    <s v="Outlier"/>
    <x v="37"/>
  </r>
  <r>
    <n v="1303658"/>
    <n v="67"/>
    <s v="Italy"/>
    <d v="2023-06-10T01:42:00"/>
    <s v="App"/>
    <s v="Adrian Huxley"/>
    <n v="897"/>
    <d v="2023-06-10T00:00:00"/>
    <d v="1899-12-30T01:42:00"/>
    <s v="June"/>
    <s v="Saturday"/>
    <s v="Outlier"/>
    <x v="66"/>
  </r>
  <r>
    <n v="1305831"/>
    <n v="1531"/>
    <s v="Singapore"/>
    <d v="2023-09-26T23:11:00"/>
    <s v="Whatsapp"/>
    <s v="Jytte Petersen"/>
    <n v="695"/>
    <d v="2023-09-26T00:00:00"/>
    <d v="1899-12-30T23:11:00"/>
    <s v="September"/>
    <s v="Tuesday"/>
    <s v="Outlier"/>
    <x v="10"/>
  </r>
  <r>
    <n v="1307458"/>
    <n v="122"/>
    <s v="Spain"/>
    <d v="2023-01-01T01:31:00"/>
    <s v="Whatsapp"/>
    <s v="Georg Pipps"/>
    <n v="943"/>
    <d v="2023-01-01T00:00:00"/>
    <d v="1899-12-30T01:31:00"/>
    <s v="January"/>
    <s v="Sunday"/>
    <s v="Outlier"/>
    <x v="10"/>
  </r>
  <r>
    <n v="1308621"/>
    <n v="1948"/>
    <s v="USA"/>
    <d v="2023-10-28T00:16:00"/>
    <s v="Website"/>
    <s v="Ann Brown"/>
    <n v="1684"/>
    <d v="2023-10-28T00:00:00"/>
    <d v="1899-12-30T00:16:00"/>
    <s v="October"/>
    <s v="Saturday"/>
    <s v="Outlier"/>
    <x v="33"/>
  </r>
  <r>
    <n v="1308737"/>
    <n v="344"/>
    <s v="Finland"/>
    <d v="2023-08-01T00:56:00"/>
    <s v="Whatsapp"/>
    <s v="Wing C Tam"/>
    <n v="144"/>
    <d v="2023-08-01T00:00:00"/>
    <d v="1899-12-30T00:56:00"/>
    <s v="August"/>
    <s v="Tuesday"/>
    <s v="Outlier"/>
    <x v="58"/>
  </r>
  <r>
    <n v="1309217"/>
    <n v="1458"/>
    <s v="France"/>
    <d v="2023-06-26T00:42:00"/>
    <s v="App"/>
    <s v="Matti Karttunen"/>
    <n v="5635"/>
    <d v="2023-06-26T00:00:00"/>
    <d v="1899-12-30T00:42:00"/>
    <s v="June"/>
    <s v="Monday"/>
    <s v="Outlier"/>
    <x v="25"/>
  </r>
  <r>
    <n v="1309990"/>
    <n v="221"/>
    <s v="Australia"/>
    <d v="2023-06-24T23:59:00"/>
    <s v="Whatsapp"/>
    <s v="Maria Larsson"/>
    <n v="667"/>
    <d v="2023-06-24T00:00:00"/>
    <d v="1899-12-30T23:59:00"/>
    <s v="June"/>
    <s v="Saturday"/>
    <s v="Outlier"/>
    <x v="71"/>
  </r>
  <r>
    <n v="1310379"/>
    <n v="390"/>
    <s v="India"/>
    <d v="2023-02-23T00:44:00"/>
    <s v="Website"/>
    <s v="Annette Roulet"/>
    <n v="9158"/>
    <d v="2023-02-23T00:00:00"/>
    <d v="1899-12-30T00:44:00"/>
    <s v="February"/>
    <s v="Thursday"/>
    <s v="Outlier"/>
    <x v="20"/>
  </r>
  <r>
    <n v="1311114"/>
    <n v="130"/>
    <s v="USA"/>
    <d v="2023-06-23T01:20:00"/>
    <s v="App"/>
    <s v="Thomas Hardy"/>
    <n v="1596"/>
    <d v="2023-06-23T00:00:00"/>
    <d v="1899-12-30T01:20:00"/>
    <s v="June"/>
    <s v="Friday"/>
    <s v="Outlier"/>
    <x v="63"/>
  </r>
  <r>
    <n v="1311384"/>
    <n v="1796"/>
    <s v="Denmark"/>
    <d v="2023-02-17T23:34:00"/>
    <s v="Website"/>
    <s v="Eduardo Saavedra"/>
    <n v="5286"/>
    <d v="2023-02-17T00:00:00"/>
    <d v="1899-12-30T23:34:00"/>
    <s v="February"/>
    <s v="Friday"/>
    <s v="Outlier"/>
    <x v="46"/>
  </r>
  <r>
    <n v="1311758"/>
    <n v="446"/>
    <s v="USA"/>
    <d v="2023-10-30T00:45:00"/>
    <s v="Whatsapp"/>
    <s v="Michael Chandler"/>
    <n v="7083"/>
    <d v="2023-10-30T00:00:00"/>
    <d v="1899-12-30T00:45:00"/>
    <s v="October"/>
    <s v="Monday"/>
    <s v="Outlier"/>
    <x v="25"/>
  </r>
  <r>
    <n v="1311873"/>
    <n v="990"/>
    <s v="Germany"/>
    <d v="2023-03-10T01:11:00"/>
    <s v="Website"/>
    <s v="Valarie Thompson"/>
    <n v="2981"/>
    <d v="2023-03-10T00:00:00"/>
    <d v="1899-12-30T01:11:00"/>
    <s v="March"/>
    <s v="Friday"/>
    <s v="Outlier"/>
    <x v="2"/>
  </r>
  <r>
    <n v="1311950"/>
    <n v="1770"/>
    <s v="Austria"/>
    <d v="2023-12-30T23:47:00"/>
    <s v="Website"/>
    <s v="Kwai Yu"/>
    <n v="4041"/>
    <d v="2023-12-30T00:00:00"/>
    <d v="1899-12-30T23:47:00"/>
    <s v="December"/>
    <s v="Saturday"/>
    <s v="Outlier"/>
    <x v="51"/>
  </r>
  <r>
    <n v="1312340"/>
    <n v="721"/>
    <s v="India"/>
    <d v="2023-09-28T00:20:00"/>
    <s v="App"/>
    <s v="Diego Freyre"/>
    <n v="9364"/>
    <d v="2023-09-28T00:00:00"/>
    <d v="1899-12-30T00:20:00"/>
    <s v="September"/>
    <s v="Thursday"/>
    <s v="Outlier"/>
    <x v="7"/>
  </r>
  <r>
    <n v="1312407"/>
    <n v="183"/>
    <s v="India"/>
    <d v="2023-04-04T01:19:00"/>
    <s v="App"/>
    <s v="Catherine Dewey"/>
    <n v="9002"/>
    <d v="2023-04-04T00:00:00"/>
    <d v="1899-12-30T01:19:00"/>
    <s v="April"/>
    <s v="Tuesday"/>
    <s v="Outlier"/>
    <x v="50"/>
  </r>
  <r>
    <n v="1312635"/>
    <n v="55"/>
    <s v="Denmark"/>
    <d v="2023-02-13T23:45:00"/>
    <s v="Website"/>
    <s v="Elizabeth Lincoln"/>
    <n v="2981"/>
    <d v="2023-02-13T00:00:00"/>
    <d v="1899-12-30T23:45:00"/>
    <s v="February"/>
    <s v="Monday"/>
    <s v="Outlier"/>
    <x v="24"/>
  </r>
  <r>
    <n v="1313934"/>
    <n v="1710"/>
    <s v="Spain"/>
    <d v="2023-11-12T01:06:00"/>
    <s v="Other"/>
    <s v="Michael Donnermeyer"/>
    <n v="2981"/>
    <d v="2023-11-12T00:00:00"/>
    <d v="1899-12-30T01:06:00"/>
    <s v="November"/>
    <s v="Sunday"/>
    <s v="Outlier"/>
    <x v="58"/>
  </r>
  <r>
    <n v="1313997"/>
    <n v="1327"/>
    <s v="France"/>
    <d v="2023-02-27T00:04:00"/>
    <s v="Website"/>
    <s v="Francisca Cervantes"/>
    <n v="8609"/>
    <d v="2023-02-27T00:00:00"/>
    <d v="1899-12-30T00:04:00"/>
    <s v="February"/>
    <s v="Monday"/>
    <s v="Outlier"/>
    <x v="6"/>
  </r>
  <r>
    <n v="1314159"/>
    <n v="1357"/>
    <s v="Ireland"/>
    <d v="2023-07-23T00:26:00"/>
    <s v="App"/>
    <s v="Helen Bennett"/>
    <n v="3684"/>
    <d v="2023-07-23T00:00:00"/>
    <d v="1899-12-30T00:26:00"/>
    <s v="July"/>
    <s v="Sunday"/>
    <s v="Outlier"/>
    <x v="64"/>
  </r>
  <r>
    <n v="1314166"/>
    <n v="1145"/>
    <s v="USA"/>
    <d v="2023-03-30T01:28:00"/>
    <s v="Other"/>
    <s v="Christina Berglund"/>
    <n v="9152"/>
    <d v="2023-03-30T00:00:00"/>
    <d v="1899-12-30T01:28:00"/>
    <s v="March"/>
    <s v="Thursday"/>
    <s v="Outlier"/>
    <x v="63"/>
  </r>
  <r>
    <n v="1314895"/>
    <n v="1512"/>
    <s v="Denmark"/>
    <d v="2023-12-18T22:37:00"/>
    <s v="Whatsapp"/>
    <s v="Akiko Shimamura"/>
    <n v="1560"/>
    <d v="2023-12-18T00:00:00"/>
    <d v="1899-12-30T22:37:00"/>
    <s v="December"/>
    <s v="Monday"/>
    <s v="Outlier"/>
    <x v="9"/>
  </r>
  <r>
    <n v="1316887"/>
    <n v="1739"/>
    <s v="Spain"/>
    <d v="2023-04-07T23:33:00"/>
    <s v="Website"/>
    <s v="Diego Freyre"/>
    <n v="951"/>
    <d v="2023-04-07T00:00:00"/>
    <d v="1899-12-30T23:33:00"/>
    <s v="April"/>
    <s v="Friday"/>
    <s v="Outlier"/>
    <x v="60"/>
  </r>
  <r>
    <n v="1317983"/>
    <n v="997"/>
    <s v="India"/>
    <d v="2023-12-12T01:27:00"/>
    <s v="Website"/>
    <s v="Pirkko Koskitalo"/>
    <n v="7185"/>
    <d v="2023-12-12T00:00:00"/>
    <d v="1899-12-30T01:27:00"/>
    <s v="December"/>
    <s v="Tuesday"/>
    <s v="Outlier"/>
    <x v="30"/>
  </r>
  <r>
    <n v="1318200"/>
    <n v="1657"/>
    <s v="Germany"/>
    <d v="2023-12-09T00:24:00"/>
    <s v="Website"/>
    <s v="Valarie Nelson"/>
    <n v="7368"/>
    <d v="2023-12-09T00:00:00"/>
    <d v="1899-12-30T00:24:00"/>
    <s v="December"/>
    <s v="Saturday"/>
    <s v="Outlier"/>
    <x v="29"/>
  </r>
  <r>
    <n v="1318274"/>
    <n v="304"/>
    <s v="India"/>
    <d v="2023-03-05T23:33:00"/>
    <s v="Website"/>
    <s v="Valarie Nelson"/>
    <n v="2657"/>
    <d v="2023-03-05T00:00:00"/>
    <d v="1899-12-30T23:33:00"/>
    <s v="March"/>
    <s v="Sunday"/>
    <s v="Outlier"/>
    <x v="37"/>
  </r>
  <r>
    <n v="1318579"/>
    <n v="1120"/>
    <s v="Denmark"/>
    <d v="2023-11-02T01:55:00"/>
    <s v="App"/>
    <s v="Sue Frick"/>
    <n v="8857"/>
    <d v="2023-11-02T00:00:00"/>
    <d v="1899-12-30T01:55:00"/>
    <s v="November"/>
    <s v="Thursday"/>
    <s v="Outlier"/>
    <x v="62"/>
  </r>
  <r>
    <n v="1319964"/>
    <n v="281"/>
    <s v="USA"/>
    <d v="2023-02-02T23:45:00"/>
    <s v="Website"/>
    <s v="Juri Yoshido"/>
    <n v="2954"/>
    <d v="2023-02-02T00:00:00"/>
    <d v="1899-12-30T23:45:00"/>
    <s v="February"/>
    <s v="Thursday"/>
    <s v="Outlier"/>
    <x v="21"/>
  </r>
  <r>
    <n v="1320558"/>
    <n v="1243"/>
    <s v="Spain"/>
    <d v="2023-07-12T23:36:00"/>
    <s v="Website"/>
    <s v="Arnold Cruz"/>
    <n v="6197"/>
    <d v="2023-07-12T00:00:00"/>
    <d v="1899-12-30T23:36:00"/>
    <s v="July"/>
    <s v="Wednesday"/>
    <s v="Outlier"/>
    <x v="32"/>
  </r>
  <r>
    <n v="1321272"/>
    <n v="1045"/>
    <s v="Spain"/>
    <d v="2023-07-27T00:09:00"/>
    <s v="App"/>
    <s v="Laurence Lebihan"/>
    <n v="4967"/>
    <d v="2023-07-27T00:00:00"/>
    <d v="1899-12-30T00:09:00"/>
    <s v="July"/>
    <s v="Thursday"/>
    <s v="Outlier"/>
    <x v="11"/>
  </r>
  <r>
    <n v="1322635"/>
    <n v="481"/>
    <s v="Australia"/>
    <d v="2023-02-25T23:46:00"/>
    <s v="Whatsapp"/>
    <s v="Valarie Nelson"/>
    <n v="1854"/>
    <d v="2023-02-25T00:00:00"/>
    <d v="1899-12-30T23:46:00"/>
    <s v="February"/>
    <s v="Saturday"/>
    <s v="Outlier"/>
    <x v="22"/>
  </r>
  <r>
    <n v="1323847"/>
    <n v="1742"/>
    <s v="USA"/>
    <d v="2023-04-21T01:37:00"/>
    <s v="Whatsapp"/>
    <s v="Allen Nelson"/>
    <n v="4644"/>
    <d v="2023-04-21T00:00:00"/>
    <d v="1899-12-30T01:37:00"/>
    <s v="April"/>
    <s v="Friday"/>
    <s v="Outlier"/>
    <x v="22"/>
  </r>
  <r>
    <n v="1325889"/>
    <n v="399"/>
    <s v="India"/>
    <d v="2023-07-03T00:40:00"/>
    <s v="Whatsapp"/>
    <s v="Michael Chandler"/>
    <n v="4141"/>
    <d v="2023-07-03T00:00:00"/>
    <d v="1899-12-30T00:40:00"/>
    <s v="July"/>
    <s v="Monday"/>
    <s v="Outlier"/>
    <x v="69"/>
  </r>
  <r>
    <n v="1326076"/>
    <n v="1939"/>
    <s v="USA"/>
    <d v="2023-03-23T00:54:00"/>
    <s v="App"/>
    <s v="Roland Mendel"/>
    <n v="9937"/>
    <d v="2023-03-23T00:00:00"/>
    <d v="1899-12-30T00:54:00"/>
    <s v="March"/>
    <s v="Thursday"/>
    <s v="Outlier"/>
    <x v="60"/>
  </r>
  <r>
    <n v="1329378"/>
    <n v="985"/>
    <s v="USA"/>
    <d v="2023-02-10T23:33:00"/>
    <s v="Website"/>
    <s v="Veysel Oeztan"/>
    <n v="5704"/>
    <d v="2023-02-10T00:00:00"/>
    <d v="1899-12-30T23:33:00"/>
    <s v="February"/>
    <s v="Friday"/>
    <s v="Outlier"/>
    <x v="45"/>
  </r>
  <r>
    <n v="1330979"/>
    <n v="546"/>
    <s v="USA"/>
    <d v="2023-01-03T23:33:00"/>
    <s v="App"/>
    <s v="Valarie Young"/>
    <n v="4461"/>
    <d v="2023-01-03T00:00:00"/>
    <d v="1899-12-30T23:33:00"/>
    <s v="January"/>
    <s v="Tuesday"/>
    <s v="Outlier"/>
    <x v="56"/>
  </r>
  <r>
    <n v="1331311"/>
    <n v="106"/>
    <s v="Australia"/>
    <d v="2023-01-07T00:48:00"/>
    <s v="Whatsapp"/>
    <s v="Diego Freyre"/>
    <n v="1909"/>
    <d v="2023-01-07T00:00:00"/>
    <d v="1899-12-30T00:48:00"/>
    <s v="January"/>
    <s v="Saturday"/>
    <s v="Outlier"/>
    <x v="28"/>
  </r>
  <r>
    <n v="1332449"/>
    <n v="1433"/>
    <s v="Australia"/>
    <d v="2023-12-09T00:38:00"/>
    <s v="App"/>
    <s v="Diego Freyre"/>
    <n v="4463"/>
    <d v="2023-12-09T00:00:00"/>
    <d v="1899-12-30T00:38:00"/>
    <s v="December"/>
    <s v="Saturday"/>
    <s v="Outlier"/>
    <x v="9"/>
  </r>
  <r>
    <n v="1334431"/>
    <n v="522"/>
    <s v="USA"/>
    <d v="2023-09-26T00:42:00"/>
    <s v="Whatsapp"/>
    <s v="Michael Holz"/>
    <n v="6918"/>
    <d v="2023-09-26T00:00:00"/>
    <d v="1899-12-30T00:42:00"/>
    <s v="September"/>
    <s v="Tuesday"/>
    <s v="Outlier"/>
    <x v="55"/>
  </r>
  <r>
    <n v="1335084"/>
    <n v="1170"/>
    <s v="Germany"/>
    <d v="2023-07-21T00:37:00"/>
    <s v="Whatsapp"/>
    <s v="Pirkko Koskitalo"/>
    <n v="5783"/>
    <d v="2023-07-21T00:00:00"/>
    <d v="1899-12-30T00:37:00"/>
    <s v="July"/>
    <s v="Friday"/>
    <s v="Outlier"/>
    <x v="48"/>
  </r>
  <r>
    <n v="1335543"/>
    <n v="1191"/>
    <s v="Australia"/>
    <d v="2023-02-02T00:54:00"/>
    <s v="Website"/>
    <s v="Elizabeth Devon"/>
    <n v="2295"/>
    <d v="2023-02-02T00:00:00"/>
    <d v="1899-12-30T00:54:00"/>
    <s v="February"/>
    <s v="Thursday"/>
    <s v="Outlier"/>
    <x v="68"/>
  </r>
  <r>
    <n v="1335910"/>
    <n v="902"/>
    <s v="USA"/>
    <d v="2023-12-18T23:26:00"/>
    <s v="Other"/>
    <s v="Maurizio Moroni"/>
    <n v="355"/>
    <d v="2023-12-18T00:00:00"/>
    <d v="1899-12-30T23:26:00"/>
    <s v="December"/>
    <s v="Monday"/>
    <s v="Outlier"/>
    <x v="43"/>
  </r>
  <r>
    <n v="1335994"/>
    <n v="1510"/>
    <s v="Norway"/>
    <d v="2023-12-16T00:26:00"/>
    <s v="Whatsapp"/>
    <s v="Sue King"/>
    <n v="7950"/>
    <d v="2023-12-16T00:00:00"/>
    <d v="1899-12-30T00:26:00"/>
    <s v="December"/>
    <s v="Saturday"/>
    <s v="Outlier"/>
    <x v="12"/>
  </r>
  <r>
    <n v="1336012"/>
    <n v="856"/>
    <s v="USA"/>
    <d v="2023-04-12T23:39:00"/>
    <s v="Whatsapp"/>
    <s v="Michael Holz"/>
    <n v="7915"/>
    <d v="2023-04-12T00:00:00"/>
    <d v="1899-12-30T23:39:00"/>
    <s v="April"/>
    <s v="Wednesday"/>
    <s v="Outlier"/>
    <x v="0"/>
  </r>
  <r>
    <n v="1336024"/>
    <n v="1011"/>
    <s v="France"/>
    <d v="2023-08-24T00:18:00"/>
    <s v="Other"/>
    <s v="Jan Klaeboe"/>
    <n v="8888"/>
    <d v="2023-08-24T00:00:00"/>
    <d v="1899-12-30T00:18:00"/>
    <s v="August"/>
    <s v="Thursday"/>
    <s v="Outlier"/>
    <x v="1"/>
  </r>
  <r>
    <n v="1336827"/>
    <n v="1247"/>
    <s v="USA"/>
    <d v="2023-04-17T23:41:00"/>
    <s v="App"/>
    <s v="Henriette Pfalzheim"/>
    <n v="8526"/>
    <d v="2023-04-17T00:00:00"/>
    <d v="1899-12-30T23:41:00"/>
    <s v="April"/>
    <s v="Monday"/>
    <s v="Outlier"/>
    <x v="32"/>
  </r>
  <r>
    <n v="1337570"/>
    <n v="143"/>
    <s v="USA"/>
    <d v="2023-02-06T23:10:00"/>
    <s v="Whatsapp"/>
    <s v="Violeta Benitez"/>
    <n v="518"/>
    <d v="2023-02-06T00:00:00"/>
    <d v="1899-12-30T23:10:00"/>
    <s v="February"/>
    <s v="Monday"/>
    <s v="Outlier"/>
    <x v="7"/>
  </r>
  <r>
    <n v="1337603"/>
    <n v="1915"/>
    <s v="USA"/>
    <d v="2023-02-11T00:15:00"/>
    <s v="App"/>
    <s v="Rosa Hernandez"/>
    <n v="5719"/>
    <d v="2023-02-11T00:00:00"/>
    <d v="1899-12-30T00:15:00"/>
    <s v="February"/>
    <s v="Saturday"/>
    <s v="Outlier"/>
    <x v="8"/>
  </r>
  <r>
    <n v="1338945"/>
    <n v="627"/>
    <s v="Finland"/>
    <d v="2023-02-24T00:15:00"/>
    <s v="Whatsapp"/>
    <s v="Peter Ferguson"/>
    <n v="4854"/>
    <d v="2023-02-24T00:00:00"/>
    <d v="1899-12-30T00:15:00"/>
    <s v="February"/>
    <s v="Friday"/>
    <s v="Outlier"/>
    <x v="14"/>
  </r>
  <r>
    <n v="1339556"/>
    <n v="1216"/>
    <s v="Australia"/>
    <d v="2023-09-23T01:20:00"/>
    <s v="Website"/>
    <s v="Diego Freyre"/>
    <n v="1757"/>
    <d v="2023-09-23T00:00:00"/>
    <d v="1899-12-30T01:20:00"/>
    <s v="September"/>
    <s v="Saturday"/>
    <s v="Outlier"/>
    <x v="42"/>
  </r>
  <r>
    <n v="1340302"/>
    <n v="1142"/>
    <s v="USA"/>
    <d v="2023-12-03T01:17:00"/>
    <s v="Whatsapp"/>
    <s v="Kalle Suominen"/>
    <n v="9786"/>
    <d v="2023-12-03T00:00:00"/>
    <d v="1899-12-30T01:17:00"/>
    <s v="December"/>
    <s v="Sunday"/>
    <s v="Outlier"/>
    <x v="0"/>
  </r>
  <r>
    <n v="1343250"/>
    <n v="681"/>
    <s v="USA"/>
    <d v="2023-11-04T23:02:00"/>
    <s v="App"/>
    <s v="Diego Freyre"/>
    <n v="6365"/>
    <d v="2023-11-04T00:00:00"/>
    <d v="1899-12-30T23:02:00"/>
    <s v="November"/>
    <s v="Saturday"/>
    <s v="Outlier"/>
    <x v="14"/>
  </r>
  <r>
    <n v="1343766"/>
    <n v="1191"/>
    <s v="Australia"/>
    <d v="2023-04-21T00:01:00"/>
    <s v="App"/>
    <s v="Valarie Nelson"/>
    <n v="7282"/>
    <d v="2023-04-21T00:00:00"/>
    <d v="1899-12-30T00:01:00"/>
    <s v="April"/>
    <s v="Friday"/>
    <s v="Outlier"/>
    <x v="68"/>
  </r>
  <r>
    <n v="1343925"/>
    <n v="1400"/>
    <s v="USA"/>
    <d v="2023-03-31T00:50:00"/>
    <s v="Website"/>
    <s v="Frederique Citeaux"/>
    <n v="9178"/>
    <d v="2023-03-31T00:00:00"/>
    <d v="1899-12-30T00:50:00"/>
    <s v="March"/>
    <s v="Friday"/>
    <s v="Outlier"/>
    <x v="6"/>
  </r>
  <r>
    <n v="1343941"/>
    <n v="135"/>
    <s v="Spain"/>
    <d v="2023-08-09T23:14:00"/>
    <s v="Website"/>
    <s v="Georg Pipps"/>
    <n v="6934"/>
    <d v="2023-08-09T00:00:00"/>
    <d v="1899-12-30T23:14:00"/>
    <s v="August"/>
    <s v="Wednesday"/>
    <s v="Outlier"/>
    <x v="18"/>
  </r>
  <r>
    <n v="1345016"/>
    <n v="1994"/>
    <s v="Singapore"/>
    <d v="2023-02-15T23:37:00"/>
    <s v="Website"/>
    <s v="Giovanni Rovelli"/>
    <n v="9058"/>
    <d v="2023-02-15T00:00:00"/>
    <d v="1899-12-30T23:37:00"/>
    <s v="February"/>
    <s v="Wednesday"/>
    <s v="Outlier"/>
    <x v="64"/>
  </r>
  <r>
    <n v="1346080"/>
    <n v="254"/>
    <s v="France"/>
    <d v="2023-09-24T23:34:00"/>
    <s v="Other"/>
    <s v="Georg Pipps"/>
    <n v="9148"/>
    <d v="2023-09-24T00:00:00"/>
    <d v="1899-12-30T23:34:00"/>
    <s v="September"/>
    <s v="Sunday"/>
    <s v="Outlier"/>
    <x v="51"/>
  </r>
  <r>
    <n v="1347158"/>
    <n v="621"/>
    <s v="USA"/>
    <d v="2023-08-23T23:25:00"/>
    <s v="Website"/>
    <s v="Dan Lewis"/>
    <n v="468"/>
    <d v="2023-08-23T00:00:00"/>
    <d v="1899-12-30T23:25:00"/>
    <s v="August"/>
    <s v="Wednesday"/>
    <s v="Outlier"/>
    <x v="63"/>
  </r>
  <r>
    <n v="1347250"/>
    <n v="1624"/>
    <s v="USA"/>
    <d v="2023-06-12T00:50:00"/>
    <s v="App"/>
    <s v="Wing C Tam"/>
    <n v="3030"/>
    <d v="2023-06-12T00:00:00"/>
    <d v="1899-12-30T00:50:00"/>
    <s v="June"/>
    <s v="Monday"/>
    <s v="Outlier"/>
    <x v="24"/>
  </r>
  <r>
    <n v="1347720"/>
    <n v="82"/>
    <s v="Spain"/>
    <d v="2023-12-14T23:40:00"/>
    <s v="Other"/>
    <s v="Matti Karttunen"/>
    <n v="6776"/>
    <d v="2023-12-14T00:00:00"/>
    <d v="1899-12-30T23:40:00"/>
    <s v="December"/>
    <s v="Thursday"/>
    <s v="Outlier"/>
    <x v="9"/>
  </r>
  <r>
    <n v="1347929"/>
    <n v="105"/>
    <s v="USA"/>
    <d v="2023-02-16T00:21:00"/>
    <s v="Website"/>
    <s v="Juri Hirano"/>
    <n v="5624"/>
    <d v="2023-02-16T00:00:00"/>
    <d v="1899-12-30T00:21:00"/>
    <s v="February"/>
    <s v="Thursday"/>
    <s v="Outlier"/>
    <x v="16"/>
  </r>
  <r>
    <n v="1348880"/>
    <n v="735"/>
    <s v="India"/>
    <d v="2023-01-25T00:31:00"/>
    <s v="Whatsapp"/>
    <s v="Annette Roulet"/>
    <n v="9491"/>
    <d v="2023-01-25T00:00:00"/>
    <d v="1899-12-30T00:31:00"/>
    <s v="January"/>
    <s v="Wednesday"/>
    <s v="Outlier"/>
    <x v="53"/>
  </r>
  <r>
    <n v="1350108"/>
    <n v="453"/>
    <s v="France"/>
    <d v="2023-04-11T23:11:00"/>
    <s v="Website"/>
    <s v="Arnold Cruz"/>
    <n v="4256"/>
    <d v="2023-04-11T00:00:00"/>
    <d v="1899-12-30T23:11:00"/>
    <s v="April"/>
    <s v="Tuesday"/>
    <s v="Outlier"/>
    <x v="44"/>
  </r>
  <r>
    <n v="1350840"/>
    <n v="1282"/>
    <s v="France"/>
    <d v="2023-07-01T22:52:00"/>
    <s v="Website"/>
    <s v="Mory Kentary"/>
    <n v="6519"/>
    <d v="2023-07-01T00:00:00"/>
    <d v="1899-12-30T22:52:00"/>
    <s v="July"/>
    <s v="Saturday"/>
    <s v="Outlier"/>
    <x v="31"/>
  </r>
  <r>
    <n v="1352087"/>
    <n v="1051"/>
    <s v="Spain"/>
    <d v="2023-06-18T00:23:00"/>
    <s v="App"/>
    <s v="Valarie Thompson"/>
    <n v="4016"/>
    <d v="2023-06-18T00:00:00"/>
    <d v="1899-12-30T00:23:00"/>
    <s v="June"/>
    <s v="Sunday"/>
    <s v="Outlier"/>
    <x v="40"/>
  </r>
  <r>
    <n v="1352182"/>
    <n v="1238"/>
    <s v="USA"/>
    <d v="2023-05-08T01:10:00"/>
    <s v="Website"/>
    <s v="Elizabeth Lincoln"/>
    <n v="2508"/>
    <d v="2023-05-08T00:00:00"/>
    <d v="1899-12-30T01:10:00"/>
    <s v="May"/>
    <s v="Monday"/>
    <s v="Outlier"/>
    <x v="48"/>
  </r>
  <r>
    <n v="1353569"/>
    <n v="276"/>
    <s v="India"/>
    <d v="2023-07-28T01:20:00"/>
    <s v="Whatsapp"/>
    <s v="Sue Frick"/>
    <n v="7760"/>
    <d v="2023-07-28T00:00:00"/>
    <d v="1899-12-30T01:20:00"/>
    <s v="July"/>
    <s v="Friday"/>
    <s v="Outlier"/>
    <x v="0"/>
  </r>
  <r>
    <n v="1354438"/>
    <n v="1076"/>
    <s v="India"/>
    <d v="2023-02-03T23:46:00"/>
    <s v="App"/>
    <s v="Diego Freyre"/>
    <n v="4766"/>
    <d v="2023-02-03T00:00:00"/>
    <d v="1899-12-30T23:46:00"/>
    <s v="February"/>
    <s v="Friday"/>
    <s v="Outlier"/>
    <x v="65"/>
  </r>
  <r>
    <n v="1354758"/>
    <n v="892"/>
    <s v="USA"/>
    <d v="2023-11-08T00:11:00"/>
    <s v="Website"/>
    <s v="Janine Labrune"/>
    <n v="4217"/>
    <d v="2023-11-08T00:00:00"/>
    <d v="1899-12-30T00:11:00"/>
    <s v="November"/>
    <s v="Wednesday"/>
    <s v="Outlier"/>
    <x v="6"/>
  </r>
  <r>
    <n v="1355256"/>
    <n v="332"/>
    <s v="India"/>
    <d v="2023-02-20T00:39:00"/>
    <s v="Whatsapp"/>
    <s v="Jan Klaeboe"/>
    <n v="2173"/>
    <d v="2023-02-20T00:00:00"/>
    <d v="1899-12-30T00:39:00"/>
    <s v="February"/>
    <s v="Monday"/>
    <s v="Outlier"/>
    <x v="61"/>
  </r>
  <r>
    <n v="1355679"/>
    <n v="1315"/>
    <s v="USA"/>
    <d v="2023-10-03T01:05:00"/>
    <s v="Whatsapp"/>
    <s v="Michael Donnermeyer"/>
    <n v="8855"/>
    <d v="2023-10-03T00:00:00"/>
    <d v="1899-12-30T01:05:00"/>
    <s v="October"/>
    <s v="Tuesday"/>
    <s v="Outlier"/>
    <x v="15"/>
  </r>
  <r>
    <n v="1356717"/>
    <n v="59"/>
    <s v="Australia"/>
    <d v="2023-03-11T22:29:00"/>
    <s v="App"/>
    <s v="Steve Frick"/>
    <n v="4472"/>
    <d v="2023-03-11T00:00:00"/>
    <d v="1899-12-30T22:29:00"/>
    <s v="March"/>
    <s v="Saturday"/>
    <s v="Outlier"/>
    <x v="41"/>
  </r>
  <r>
    <n v="1357382"/>
    <n v="463"/>
    <s v="Germany"/>
    <d v="2023-12-14T01:42:00"/>
    <s v="Website"/>
    <s v="Helen Bennett"/>
    <n v="2708"/>
    <d v="2023-12-14T00:00:00"/>
    <d v="1899-12-30T01:42:00"/>
    <s v="December"/>
    <s v="Thursday"/>
    <s v="Outlier"/>
    <x v="39"/>
  </r>
  <r>
    <n v="1358333"/>
    <n v="1755"/>
    <s v="Spain"/>
    <d v="2023-03-16T23:13:00"/>
    <s v="App"/>
    <s v="Giovanni Rovelli"/>
    <n v="1585"/>
    <d v="2023-03-16T00:00:00"/>
    <d v="1899-12-30T23:13:00"/>
    <s v="March"/>
    <s v="Thursday"/>
    <s v="Outlier"/>
    <x v="50"/>
  </r>
  <r>
    <n v="1358621"/>
    <n v="909"/>
    <s v="India"/>
    <d v="2023-11-23T22:52:00"/>
    <s v="App"/>
    <s v="Akiko Shimamura"/>
    <n v="7200"/>
    <d v="2023-11-23T00:00:00"/>
    <d v="1899-12-30T22:52:00"/>
    <s v="November"/>
    <s v="Thursday"/>
    <s v="Outlier"/>
    <x v="37"/>
  </r>
  <r>
    <n v="1358679"/>
    <n v="144"/>
    <s v="Denmark"/>
    <d v="2023-03-26T01:01:00"/>
    <s v="Website"/>
    <s v="Ann Brown"/>
    <n v="3276"/>
    <d v="2023-03-26T00:00:00"/>
    <d v="1899-12-30T01:01:00"/>
    <s v="March"/>
    <s v="Sunday"/>
    <s v="Outlier"/>
    <x v="18"/>
  </r>
  <r>
    <n v="1359265"/>
    <n v="1458"/>
    <s v="France"/>
    <d v="2023-08-02T22:33:00"/>
    <s v="App"/>
    <s v="Adrian Huxley"/>
    <n v="7400"/>
    <d v="2023-08-02T00:00:00"/>
    <d v="1899-12-30T22:33:00"/>
    <s v="August"/>
    <s v="Wednesday"/>
    <s v="Outlier"/>
    <x v="25"/>
  </r>
  <r>
    <n v="1359304"/>
    <n v="1033"/>
    <s v="India"/>
    <d v="2023-07-16T23:16:00"/>
    <s v="App"/>
    <s v="Pirkko Koskitalo"/>
    <n v="941"/>
    <d v="2023-07-16T00:00:00"/>
    <d v="1899-12-30T23:16:00"/>
    <s v="July"/>
    <s v="Sunday"/>
    <s v="Outlier"/>
    <x v="72"/>
  </r>
  <r>
    <n v="1359599"/>
    <n v="883"/>
    <s v="USA"/>
    <d v="2023-09-19T00:12:00"/>
    <s v="Other"/>
    <s v="Diego Freyre"/>
    <n v="2508"/>
    <d v="2023-09-19T00:00:00"/>
    <d v="1899-12-30T00:12:00"/>
    <s v="September"/>
    <s v="Tuesday"/>
    <s v="Outlier"/>
    <x v="49"/>
  </r>
  <r>
    <n v="1360263"/>
    <n v="1782"/>
    <s v="Spain"/>
    <d v="2023-07-24T00:17:00"/>
    <s v="Whatsapp"/>
    <s v="Paul Henriot"/>
    <n v="7986"/>
    <d v="2023-07-24T00:00:00"/>
    <d v="1899-12-30T00:17:00"/>
    <s v="July"/>
    <s v="Monday"/>
    <s v="Outlier"/>
    <x v="63"/>
  </r>
  <r>
    <n v="1360843"/>
    <n v="760"/>
    <s v="India"/>
    <d v="2023-06-02T00:34:00"/>
    <s v="Website"/>
    <s v="William Brown"/>
    <n v="2752"/>
    <d v="2023-06-02T00:00:00"/>
    <d v="1899-12-30T00:34:00"/>
    <s v="June"/>
    <s v="Friday"/>
    <s v="Outlier"/>
    <x v="13"/>
  </r>
  <r>
    <n v="1361770"/>
    <n v="1061"/>
    <s v="Finland"/>
    <d v="2023-04-26T00:06:00"/>
    <s v="App"/>
    <s v="Maurizio Moroni"/>
    <n v="8962"/>
    <d v="2023-04-26T00:00:00"/>
    <d v="1899-12-30T00:06:00"/>
    <s v="April"/>
    <s v="Wednesday"/>
    <s v="Outlier"/>
    <x v="57"/>
  </r>
  <r>
    <n v="1361969"/>
    <n v="1350"/>
    <s v="Spain"/>
    <d v="2023-05-05T02:00:00"/>
    <s v="Whatsapp"/>
    <s v="Valarie Young"/>
    <n v="3695"/>
    <d v="2023-05-05T00:00:00"/>
    <d v="1899-12-30T02:00:00"/>
    <s v="May"/>
    <s v="Friday"/>
    <s v="Outlier"/>
    <x v="66"/>
  </r>
  <r>
    <n v="1362369"/>
    <n v="230"/>
    <s v="USA"/>
    <d v="2023-01-05T01:01:00"/>
    <s v="Other"/>
    <s v="Victoria Ashworth"/>
    <n v="9795"/>
    <d v="2023-01-05T00:00:00"/>
    <d v="1899-12-30T01:01:00"/>
    <s v="January"/>
    <s v="Thursday"/>
    <s v="Outlier"/>
    <x v="33"/>
  </r>
  <r>
    <n v="1362785"/>
    <n v="61"/>
    <s v="Spain"/>
    <d v="2023-12-24T23:19:00"/>
    <s v="Other"/>
    <s v="Sue King"/>
    <n v="3114"/>
    <d v="2023-12-24T00:00:00"/>
    <d v="1899-12-30T23:19:00"/>
    <s v="December"/>
    <s v="Sunday"/>
    <s v="Outlier"/>
    <x v="59"/>
  </r>
  <r>
    <n v="1365205"/>
    <n v="298"/>
    <s v="Spain"/>
    <d v="2023-01-23T22:59:00"/>
    <s v="Website"/>
    <s v="Sue Taylor"/>
    <n v="7140"/>
    <d v="2023-01-23T00:00:00"/>
    <d v="1899-12-30T22:59:00"/>
    <s v="January"/>
    <s v="Monday"/>
    <s v="Outlier"/>
    <x v="6"/>
  </r>
  <r>
    <n v="1365442"/>
    <n v="1707"/>
    <s v="France"/>
    <d v="2023-03-14T00:17:00"/>
    <s v="Other"/>
    <s v="Julie Brown"/>
    <n v="8105"/>
    <d v="2023-03-14T00:00:00"/>
    <d v="1899-12-30T00:17:00"/>
    <s v="March"/>
    <s v="Tuesday"/>
    <s v="Outlier"/>
    <x v="67"/>
  </r>
  <r>
    <n v="1365869"/>
    <n v="1763"/>
    <s v="USA"/>
    <d v="2023-10-18T22:56:00"/>
    <s v="App"/>
    <s v="Giovanni Rovelli"/>
    <n v="8523"/>
    <d v="2023-10-18T00:00:00"/>
    <d v="1899-12-30T22:56:00"/>
    <s v="October"/>
    <s v="Wednesday"/>
    <s v="Outlier"/>
    <x v="58"/>
  </r>
  <r>
    <n v="1366020"/>
    <n v="659"/>
    <s v="Australia"/>
    <d v="2023-08-10T23:20:00"/>
    <s v="App"/>
    <s v="Valarie Nelson"/>
    <n v="9989"/>
    <d v="2023-08-10T00:00:00"/>
    <d v="1899-12-30T23:20:00"/>
    <s v="August"/>
    <s v="Thursday"/>
    <s v="Outlier"/>
    <x v="57"/>
  </r>
  <r>
    <n v="1366848"/>
    <n v="1433"/>
    <s v="Australia"/>
    <d v="2023-06-13T00:58:00"/>
    <s v="Whatsapp"/>
    <s v="Sean Connery"/>
    <n v="2562"/>
    <d v="2023-06-13T00:00:00"/>
    <d v="1899-12-30T00:58:00"/>
    <s v="June"/>
    <s v="Tuesday"/>
    <s v="Outlier"/>
    <x v="9"/>
  </r>
  <r>
    <n v="1366911"/>
    <n v="1017"/>
    <s v="India"/>
    <d v="2023-08-30T23:40:00"/>
    <s v="Other"/>
    <s v="Jeff Young"/>
    <n v="1302"/>
    <d v="2023-08-30T00:00:00"/>
    <d v="1899-12-30T23:40:00"/>
    <s v="August"/>
    <s v="Wednesday"/>
    <s v="Outlier"/>
    <x v="4"/>
  </r>
  <r>
    <n v="1366955"/>
    <n v="1529"/>
    <s v="Finland"/>
    <d v="2023-03-20T00:45:00"/>
    <s v="Website"/>
    <s v="Mart¡n Sommer"/>
    <n v="5336"/>
    <d v="2023-03-20T00:00:00"/>
    <d v="1899-12-30T00:45:00"/>
    <s v="March"/>
    <s v="Monday"/>
    <s v="Outlier"/>
    <x v="18"/>
  </r>
  <r>
    <n v="1368464"/>
    <n v="414"/>
    <s v="India"/>
    <d v="2023-11-22T00:52:00"/>
    <s v="Other"/>
    <s v="Mary Saveley"/>
    <n v="7424"/>
    <d v="2023-11-22T00:00:00"/>
    <d v="1899-12-30T00:52:00"/>
    <s v="November"/>
    <s v="Wednesday"/>
    <s v="Outlier"/>
    <x v="46"/>
  </r>
  <r>
    <n v="1369791"/>
    <n v="588"/>
    <s v="Italy"/>
    <d v="2023-02-07T01:07:00"/>
    <s v="App"/>
    <s v="Kee Kuo"/>
    <n v="6758"/>
    <d v="2023-02-07T00:00:00"/>
    <d v="1899-12-30T01:07:00"/>
    <s v="February"/>
    <s v="Tuesday"/>
    <s v="Outlier"/>
    <x v="53"/>
  </r>
  <r>
    <n v="1370327"/>
    <n v="374"/>
    <s v="Denmark"/>
    <d v="2023-12-18T01:13:00"/>
    <s v="Website"/>
    <s v="Paolo Accorti"/>
    <n v="9133"/>
    <d v="2023-12-18T00:00:00"/>
    <d v="1899-12-30T01:13:00"/>
    <s v="December"/>
    <s v="Monday"/>
    <s v="Outlier"/>
    <x v="37"/>
  </r>
  <r>
    <n v="1370775"/>
    <n v="462"/>
    <s v="USA"/>
    <d v="2023-04-23T01:49:00"/>
    <s v="Website"/>
    <s v="Wendy Victorino"/>
    <n v="1949"/>
    <d v="2023-04-23T00:00:00"/>
    <d v="1899-12-30T01:49:00"/>
    <s v="April"/>
    <s v="Sunday"/>
    <s v="Outlier"/>
    <x v="16"/>
  </r>
  <r>
    <n v="1371197"/>
    <n v="1891"/>
    <s v="Singapore"/>
    <d v="2023-03-28T00:12:00"/>
    <s v="App"/>
    <s v="Jose Pedro Roel"/>
    <n v="5430"/>
    <d v="2023-03-28T00:00:00"/>
    <d v="1899-12-30T00:12:00"/>
    <s v="March"/>
    <s v="Tuesday"/>
    <s v="Outlier"/>
    <x v="26"/>
  </r>
  <r>
    <n v="1371439"/>
    <n v="633"/>
    <s v="France"/>
    <d v="2023-10-18T00:07:00"/>
    <s v="Other"/>
    <s v="Valarie Nelson"/>
    <n v="4266"/>
    <d v="2023-10-18T00:00:00"/>
    <d v="1899-12-30T00:07:00"/>
    <s v="October"/>
    <s v="Wednesday"/>
    <s v="Outlier"/>
    <x v="51"/>
  </r>
  <r>
    <n v="1371917"/>
    <n v="1407"/>
    <s v="USA"/>
    <d v="2023-07-25T00:49:00"/>
    <s v="App"/>
    <s v="Victoria Ashworth"/>
    <n v="7060"/>
    <d v="2023-07-25T00:00:00"/>
    <d v="1899-12-30T00:49:00"/>
    <s v="July"/>
    <s v="Tuesday"/>
    <s v="Outlier"/>
    <x v="2"/>
  </r>
  <r>
    <n v="1373309"/>
    <n v="718"/>
    <s v="Norway"/>
    <d v="2023-06-24T00:53:00"/>
    <s v="Other"/>
    <s v="Sue King"/>
    <n v="2634"/>
    <d v="2023-06-24T00:00:00"/>
    <d v="1899-12-30T00:53:00"/>
    <s v="June"/>
    <s v="Saturday"/>
    <s v="Outlier"/>
    <x v="55"/>
  </r>
  <r>
    <n v="1373323"/>
    <n v="1893"/>
    <s v="Australia"/>
    <d v="2023-02-14T01:08:00"/>
    <s v="App"/>
    <s v="Valarie Nelson"/>
    <n v="8546"/>
    <d v="2023-02-14T00:00:00"/>
    <d v="1899-12-30T01:08:00"/>
    <s v="February"/>
    <s v="Tuesday"/>
    <s v="Outlier"/>
    <x v="59"/>
  </r>
  <r>
    <n v="1373414"/>
    <n v="613"/>
    <s v="India"/>
    <d v="2023-02-13T23:46:00"/>
    <s v="Whatsapp"/>
    <s v="Diego Freyre"/>
    <n v="5539"/>
    <d v="2023-02-13T00:00:00"/>
    <d v="1899-12-30T23:46:00"/>
    <s v="February"/>
    <s v="Monday"/>
    <s v="Outlier"/>
    <x v="66"/>
  </r>
  <r>
    <n v="1374086"/>
    <n v="206"/>
    <s v="USA"/>
    <d v="2023-09-10T23:42:00"/>
    <s v="Other"/>
    <s v="Akiko Shimamura"/>
    <n v="622"/>
    <d v="2023-09-10T00:00:00"/>
    <d v="1899-12-30T23:42:00"/>
    <s v="September"/>
    <s v="Sunday"/>
    <s v="Outlier"/>
    <x v="72"/>
  </r>
  <r>
    <n v="1376137"/>
    <n v="1472"/>
    <s v="USA"/>
    <d v="2023-11-05T00:28:00"/>
    <s v="Whatsapp"/>
    <s v="Adrian Huxley"/>
    <n v="7325"/>
    <d v="2023-11-05T00:00:00"/>
    <d v="1899-12-30T00:28:00"/>
    <s v="November"/>
    <s v="Sunday"/>
    <s v="Outlier"/>
    <x v="69"/>
  </r>
  <r>
    <n v="1376176"/>
    <n v="1887"/>
    <s v="Spain"/>
    <d v="2023-02-17T23:46:00"/>
    <s v="Website"/>
    <s v="Diego Freyre"/>
    <n v="9141"/>
    <d v="2023-02-17T00:00:00"/>
    <d v="1899-12-30T23:46:00"/>
    <s v="February"/>
    <s v="Friday"/>
    <s v="Outlier"/>
    <x v="20"/>
  </r>
  <r>
    <n v="1376269"/>
    <n v="1006"/>
    <s v="Australia"/>
    <d v="2023-09-11T00:31:00"/>
    <s v="Website"/>
    <s v="Maria Hernandez"/>
    <n v="1068"/>
    <d v="2023-09-11T00:00:00"/>
    <d v="1899-12-30T00:31:00"/>
    <s v="September"/>
    <s v="Monday"/>
    <s v="Outlier"/>
    <x v="65"/>
  </r>
  <r>
    <n v="1376427"/>
    <n v="1430"/>
    <s v="USA"/>
    <d v="2023-09-07T23:07:00"/>
    <s v="Other"/>
    <s v="Jeff Young"/>
    <n v="9138"/>
    <d v="2023-09-07T00:00:00"/>
    <d v="1899-12-30T23:07:00"/>
    <s v="September"/>
    <s v="Thursday"/>
    <s v="Outlier"/>
    <x v="43"/>
  </r>
  <r>
    <n v="1376435"/>
    <n v="145"/>
    <s v="Italy"/>
    <d v="2023-03-06T23:40:00"/>
    <s v="App"/>
    <s v="Kalle Suominen"/>
    <n v="8109"/>
    <d v="2023-03-06T00:00:00"/>
    <d v="1899-12-30T23:40:00"/>
    <s v="March"/>
    <s v="Monday"/>
    <s v="Outlier"/>
    <x v="65"/>
  </r>
  <r>
    <n v="1379500"/>
    <n v="1128"/>
    <s v="France"/>
    <d v="2023-07-25T02:22:00"/>
    <s v="Whatsapp"/>
    <s v="Tony Calaghan"/>
    <n v="4248"/>
    <d v="2023-07-25T00:00:00"/>
    <d v="1899-12-30T02:22:00"/>
    <s v="July"/>
    <s v="Tuesday"/>
    <s v="Outlier"/>
    <x v="65"/>
  </r>
  <r>
    <n v="1380014"/>
    <n v="914"/>
    <s v="USA"/>
    <d v="2023-12-14T00:57:00"/>
    <s v="Other"/>
    <s v="Eric Natividad"/>
    <n v="5389"/>
    <d v="2023-12-14T00:00:00"/>
    <d v="1899-12-30T00:57:00"/>
    <s v="December"/>
    <s v="Thursday"/>
    <s v="Outlier"/>
    <x v="16"/>
  </r>
  <r>
    <n v="1383231"/>
    <n v="900"/>
    <s v="USA"/>
    <d v="2023-07-27T23:49:00"/>
    <s v="Whatsapp"/>
    <s v="Maurizio Moroni"/>
    <n v="2730"/>
    <d v="2023-07-27T00:00:00"/>
    <d v="1899-12-30T23:49:00"/>
    <s v="July"/>
    <s v="Thursday"/>
    <s v="Outlier"/>
    <x v="26"/>
  </r>
  <r>
    <n v="1383522"/>
    <n v="1792"/>
    <s v="Denmark"/>
    <d v="2023-04-04T00:55:00"/>
    <s v="Whatsapp"/>
    <s v="Jose Pedro Roel"/>
    <n v="9147"/>
    <d v="2023-04-04T00:00:00"/>
    <d v="1899-12-30T00:55:00"/>
    <s v="April"/>
    <s v="Tuesday"/>
    <s v="Outlier"/>
    <x v="0"/>
  </r>
  <r>
    <n v="1383688"/>
    <n v="271"/>
    <s v="USA"/>
    <d v="2023-02-14T01:50:00"/>
    <s v="Other"/>
    <s v="Steve Frick"/>
    <n v="240"/>
    <d v="2023-02-14T00:00:00"/>
    <d v="1899-12-30T01:50:00"/>
    <s v="February"/>
    <s v="Tuesday"/>
    <s v="Outlier"/>
    <x v="17"/>
  </r>
  <r>
    <n v="1384019"/>
    <n v="1408"/>
    <s v="USA"/>
    <d v="2023-11-21T01:48:00"/>
    <s v="Whatsapp"/>
    <s v="Valarie Franco"/>
    <n v="4853"/>
    <d v="2023-11-21T00:00:00"/>
    <d v="1899-12-30T01:48:00"/>
    <s v="November"/>
    <s v="Tuesday"/>
    <s v="Outlier"/>
    <x v="17"/>
  </r>
  <r>
    <n v="1385078"/>
    <n v="146"/>
    <s v="Norway"/>
    <d v="2023-07-19T01:33:00"/>
    <s v="App"/>
    <s v="Dean Cassidy"/>
    <n v="1972"/>
    <d v="2023-07-19T00:00:00"/>
    <d v="1899-12-30T01:33:00"/>
    <s v="July"/>
    <s v="Wednesday"/>
    <s v="Outlier"/>
    <x v="67"/>
  </r>
  <r>
    <n v="1385605"/>
    <n v="1850"/>
    <s v="Germany"/>
    <d v="2023-05-16T00:05:00"/>
    <s v="Website"/>
    <s v="Roland Keitel"/>
    <n v="6075"/>
    <d v="2023-05-16T00:00:00"/>
    <d v="1899-12-30T00:05:00"/>
    <s v="May"/>
    <s v="Tuesday"/>
    <s v="Outlier"/>
    <x v="52"/>
  </r>
  <r>
    <n v="1385745"/>
    <n v="1686"/>
    <s v="France"/>
    <d v="2023-02-01T01:28:00"/>
    <s v="Other"/>
    <s v="Diego Freyre"/>
    <n v="5128"/>
    <d v="2023-02-01T00:00:00"/>
    <d v="1899-12-30T01:28:00"/>
    <s v="February"/>
    <s v="Wednesday"/>
    <s v="Outlier"/>
    <x v="62"/>
  </r>
  <r>
    <n v="1386514"/>
    <n v="1892"/>
    <s v="USA"/>
    <d v="2023-05-24T00:29:00"/>
    <s v="Website"/>
    <s v="Valarie Nelson"/>
    <n v="2382"/>
    <d v="2023-05-24T00:00:00"/>
    <d v="1899-12-30T00:29:00"/>
    <s v="May"/>
    <s v="Wednesday"/>
    <s v="Outlier"/>
    <x v="71"/>
  </r>
  <r>
    <n v="1386601"/>
    <n v="1276"/>
    <s v="France"/>
    <d v="2023-04-10T00:40:00"/>
    <s v="App"/>
    <s v="Valarie Nelson"/>
    <n v="4677"/>
    <d v="2023-04-10T00:00:00"/>
    <d v="1899-12-30T00:40:00"/>
    <s v="April"/>
    <s v="Monday"/>
    <s v="Outlier"/>
    <x v="51"/>
  </r>
  <r>
    <n v="1387867"/>
    <n v="322"/>
    <s v="India"/>
    <d v="2023-05-22T01:12:00"/>
    <s v="Website"/>
    <s v="Kwai Yu"/>
    <n v="7080"/>
    <d v="2023-05-22T00:00:00"/>
    <d v="1899-12-30T01:12:00"/>
    <s v="May"/>
    <s v="Monday"/>
    <s v="Outlier"/>
    <x v="13"/>
  </r>
  <r>
    <n v="1389485"/>
    <n v="607"/>
    <s v="Singapore"/>
    <d v="2023-11-06T00:33:00"/>
    <s v="Website"/>
    <s v="Marta Hernandez"/>
    <n v="8449"/>
    <d v="2023-11-06T00:00:00"/>
    <d v="1899-12-30T00:33:00"/>
    <s v="November"/>
    <s v="Monday"/>
    <s v="Outlier"/>
    <x v="10"/>
  </r>
  <r>
    <n v="1389680"/>
    <n v="888"/>
    <s v="Denmark"/>
    <d v="2023-01-10T00:22:00"/>
    <s v="Whatsapp"/>
    <s v="Palle Ibsen"/>
    <n v="9670"/>
    <d v="2023-01-10T00:00:00"/>
    <d v="1899-12-30T00:22:00"/>
    <s v="January"/>
    <s v="Tuesday"/>
    <s v="Outlier"/>
    <x v="37"/>
  </r>
  <r>
    <n v="1391439"/>
    <n v="811"/>
    <s v="India"/>
    <d v="2023-11-16T22:35:00"/>
    <s v="Website"/>
    <s v="Jonas Bergulfsen"/>
    <n v="6152"/>
    <d v="2023-11-16T00:00:00"/>
    <d v="1899-12-30T22:35:00"/>
    <s v="November"/>
    <s v="Thursday"/>
    <s v="Outlier"/>
    <x v="24"/>
  </r>
  <r>
    <n v="1391623"/>
    <n v="606"/>
    <s v="USA"/>
    <d v="2023-07-10T23:24:00"/>
    <s v="Website"/>
    <s v="Marie Bertrand"/>
    <n v="6445"/>
    <d v="2023-07-10T00:00:00"/>
    <d v="1899-12-30T23:24:00"/>
    <s v="July"/>
    <s v="Monday"/>
    <s v="Outlier"/>
    <x v="65"/>
  </r>
  <r>
    <n v="1392838"/>
    <n v="1138"/>
    <s v="Australia"/>
    <d v="2023-07-30T23:31:00"/>
    <s v="Other"/>
    <s v="Jeff Young"/>
    <n v="1617"/>
    <d v="2023-07-30T00:00:00"/>
    <d v="1899-12-30T23:31:00"/>
    <s v="July"/>
    <s v="Sunday"/>
    <s v="Outlier"/>
    <x v="69"/>
  </r>
  <r>
    <n v="1393397"/>
    <n v="73"/>
    <s v="Germany"/>
    <d v="2023-04-05T00:32:00"/>
    <s v="Other"/>
    <s v="Paul Henriot"/>
    <n v="7174"/>
    <d v="2023-04-05T00:00:00"/>
    <d v="1899-12-30T00:32:00"/>
    <s v="April"/>
    <s v="Wednesday"/>
    <s v="Outlier"/>
    <x v="6"/>
  </r>
  <r>
    <n v="1393864"/>
    <n v="1794"/>
    <s v="Australia"/>
    <d v="2023-07-07T01:45:00"/>
    <s v="App"/>
    <s v="Valarie Nelson"/>
    <n v="3135"/>
    <d v="2023-07-07T00:00:00"/>
    <d v="1899-12-30T01:45:00"/>
    <s v="July"/>
    <s v="Friday"/>
    <s v="Outlier"/>
    <x v="10"/>
  </r>
  <r>
    <n v="1395655"/>
    <n v="345"/>
    <s v="India"/>
    <d v="2023-08-12T00:41:00"/>
    <s v="Website"/>
    <s v="Diego Freyre"/>
    <n v="8180"/>
    <d v="2023-08-12T00:00:00"/>
    <d v="1899-12-30T00:41:00"/>
    <s v="August"/>
    <s v="Saturday"/>
    <s v="Outlier"/>
    <x v="34"/>
  </r>
  <r>
    <n v="1395839"/>
    <n v="163"/>
    <s v="USA"/>
    <d v="2023-05-24T00:16:00"/>
    <s v="Website"/>
    <s v="Diego Freyre"/>
    <n v="2045"/>
    <d v="2023-05-24T00:00:00"/>
    <d v="1899-12-30T00:16:00"/>
    <s v="May"/>
    <s v="Wednesday"/>
    <s v="Outlier"/>
    <x v="49"/>
  </r>
  <r>
    <n v="1396020"/>
    <n v="1139"/>
    <s v="USA"/>
    <d v="2023-12-22T23:33:00"/>
    <s v="Other"/>
    <s v="Diego Freyre"/>
    <n v="5055"/>
    <d v="2023-12-22T00:00:00"/>
    <d v="1899-12-30T23:33:00"/>
    <s v="December"/>
    <s v="Friday"/>
    <s v="Outlier"/>
    <x v="58"/>
  </r>
  <r>
    <n v="1396650"/>
    <n v="1751"/>
    <s v="USA"/>
    <d v="2023-12-12T00:33:00"/>
    <s v="App"/>
    <s v="Jonas Bergulfsen"/>
    <n v="9911"/>
    <d v="2023-12-12T00:00:00"/>
    <d v="1899-12-30T00:33:00"/>
    <s v="December"/>
    <s v="Tuesday"/>
    <s v="Outlier"/>
    <x v="61"/>
  </r>
  <r>
    <n v="1398659"/>
    <n v="1366"/>
    <s v="USA"/>
    <d v="2023-11-29T00:01:00"/>
    <s v="App"/>
    <s v="Julie Murphy"/>
    <n v="1845"/>
    <d v="2023-11-29T00:00:00"/>
    <d v="1899-12-30T00:01:00"/>
    <s v="November"/>
    <s v="Wednesday"/>
    <s v="Outlier"/>
    <x v="60"/>
  </r>
  <r>
    <n v="1399773"/>
    <n v="1990"/>
    <s v="USA"/>
    <d v="2023-01-03T00:04:00"/>
    <s v="Other"/>
    <s v="Mart¡n Sommer"/>
    <n v="6970"/>
    <d v="2023-01-03T00:00:00"/>
    <d v="1899-12-30T00:04:00"/>
    <s v="January"/>
    <s v="Tuesday"/>
    <s v="Outlier"/>
    <x v="20"/>
  </r>
  <r>
    <n v="1400564"/>
    <n v="768"/>
    <s v="USA"/>
    <d v="2023-09-19T01:26:00"/>
    <s v="App"/>
    <s v="Adrian Huxley"/>
    <n v="5190"/>
    <d v="2023-09-19T00:00:00"/>
    <d v="1899-12-30T01:26:00"/>
    <s v="September"/>
    <s v="Tuesday"/>
    <s v="Outlier"/>
    <x v="4"/>
  </r>
  <r>
    <n v="1400596"/>
    <n v="367"/>
    <s v="India"/>
    <d v="2023-08-21T23:08:00"/>
    <s v="Whatsapp"/>
    <s v="Sue Taylor"/>
    <n v="680"/>
    <d v="2023-08-21T00:00:00"/>
    <d v="1899-12-30T23:08:00"/>
    <s v="August"/>
    <s v="Monday"/>
    <s v="Outlier"/>
    <x v="12"/>
  </r>
  <r>
    <n v="1401727"/>
    <n v="637"/>
    <s v="USA"/>
    <d v="2023-08-14T00:35:00"/>
    <s v="Other"/>
    <s v="Maria Hernandez"/>
    <n v="4277"/>
    <d v="2023-08-14T00:00:00"/>
    <d v="1899-12-30T00:35:00"/>
    <s v="August"/>
    <s v="Monday"/>
    <s v="Outlier"/>
    <x v="4"/>
  </r>
  <r>
    <n v="1404328"/>
    <n v="1469"/>
    <s v="Italy"/>
    <d v="2023-02-23T00:20:00"/>
    <s v="App"/>
    <s v="Giovanni Rovelli"/>
    <n v="4532"/>
    <d v="2023-02-23T00:00:00"/>
    <d v="1899-12-30T00:20:00"/>
    <s v="February"/>
    <s v="Thursday"/>
    <s v="Outlier"/>
    <x v="4"/>
  </r>
  <r>
    <n v="1404963"/>
    <n v="69"/>
    <s v="USA"/>
    <d v="2023-12-18T00:55:00"/>
    <s v="Website"/>
    <s v="Francisca Cervantes"/>
    <n v="1572"/>
    <d v="2023-12-18T00:00:00"/>
    <d v="1899-12-30T00:55:00"/>
    <s v="December"/>
    <s v="Monday"/>
    <s v="Outlier"/>
    <x v="36"/>
  </r>
  <r>
    <n v="1405341"/>
    <n v="749"/>
    <s v="Singapore"/>
    <d v="2023-07-08T01:28:00"/>
    <s v="Website"/>
    <s v="Sean Connery"/>
    <n v="1177"/>
    <d v="2023-07-08T00:00:00"/>
    <d v="1899-12-30T01:28:00"/>
    <s v="July"/>
    <s v="Saturday"/>
    <s v="Outlier"/>
    <x v="43"/>
  </r>
  <r>
    <n v="1405517"/>
    <n v="1790"/>
    <s v="USA"/>
    <d v="2023-05-29T00:53:00"/>
    <s v="Whatsapp"/>
    <s v="Yoshi Tannamuri"/>
    <n v="8268"/>
    <d v="2023-05-29T00:00:00"/>
    <d v="1899-12-30T00:53:00"/>
    <s v="May"/>
    <s v="Monday"/>
    <s v="Outlier"/>
    <x v="67"/>
  </r>
  <r>
    <n v="1407976"/>
    <n v="569"/>
    <s v="USA"/>
    <d v="2023-04-02T23:21:00"/>
    <s v="Other"/>
    <s v="Steve Thompson"/>
    <n v="8751"/>
    <d v="2023-04-02T00:00:00"/>
    <d v="1899-12-30T23:21:00"/>
    <s v="April"/>
    <s v="Sunday"/>
    <s v="Outlier"/>
    <x v="14"/>
  </r>
  <r>
    <n v="1409071"/>
    <n v="807"/>
    <s v="Finland"/>
    <d v="2023-04-25T23:14:00"/>
    <s v="Whatsapp"/>
    <s v="Kyung Tseng"/>
    <n v="1067"/>
    <d v="2023-04-25T00:00:00"/>
    <d v="1899-12-30T23:14:00"/>
    <s v="April"/>
    <s v="Tuesday"/>
    <s v="Outlier"/>
    <x v="72"/>
  </r>
  <r>
    <n v="1409253"/>
    <n v="1099"/>
    <s v="France"/>
    <d v="2023-04-03T23:29:00"/>
    <s v="Whatsapp"/>
    <s v="Diego Freyre"/>
    <n v="136"/>
    <d v="2023-04-03T00:00:00"/>
    <d v="1899-12-30T23:29:00"/>
    <s v="April"/>
    <s v="Monday"/>
    <s v="Outlier"/>
    <x v="15"/>
  </r>
  <r>
    <n v="1409459"/>
    <n v="843"/>
    <s v="USA"/>
    <d v="2023-05-21T00:22:00"/>
    <s v="App"/>
    <s v="Sue Frick"/>
    <n v="6955"/>
    <d v="2023-05-21T00:00:00"/>
    <d v="1899-12-30T00:22:00"/>
    <s v="May"/>
    <s v="Sunday"/>
    <s v="Outlier"/>
    <x v="2"/>
  </r>
  <r>
    <n v="1409549"/>
    <n v="915"/>
    <s v="France"/>
    <d v="2023-07-22T00:03:00"/>
    <s v="App"/>
    <s v="Georg Pipps"/>
    <n v="8235"/>
    <d v="2023-07-22T00:00:00"/>
    <d v="1899-12-30T00:03:00"/>
    <s v="July"/>
    <s v="Saturday"/>
    <s v="Outlier"/>
    <x v="36"/>
  </r>
  <r>
    <n v="1409687"/>
    <n v="1475"/>
    <s v="Spain"/>
    <d v="2023-04-03T00:54:00"/>
    <s v="Whatsapp"/>
    <s v="Paolo Accorti"/>
    <n v="3268"/>
    <d v="2023-04-03T00:00:00"/>
    <d v="1899-12-30T00:54:00"/>
    <s v="April"/>
    <s v="Monday"/>
    <s v="Outlier"/>
    <x v="5"/>
  </r>
  <r>
    <n v="1411077"/>
    <n v="1545"/>
    <s v="Norway"/>
    <d v="2023-06-15T00:04:00"/>
    <s v="Whatsapp"/>
    <s v="Leslie Taylor"/>
    <n v="6186"/>
    <d v="2023-06-15T00:00:00"/>
    <d v="1899-12-30T00:04:00"/>
    <s v="June"/>
    <s v="Thursday"/>
    <s v="Outlier"/>
    <x v="35"/>
  </r>
  <r>
    <n v="1411455"/>
    <n v="1416"/>
    <s v="USA"/>
    <d v="2023-03-25T23:35:00"/>
    <s v="Other"/>
    <s v="Daniel Tonini"/>
    <n v="8932"/>
    <d v="2023-03-25T00:00:00"/>
    <d v="1899-12-30T23:35:00"/>
    <s v="March"/>
    <s v="Saturday"/>
    <s v="Outlier"/>
    <x v="58"/>
  </r>
  <r>
    <n v="1412551"/>
    <n v="610"/>
    <s v="France"/>
    <d v="2023-09-07T00:11:00"/>
    <s v="Other"/>
    <s v="Valarie Nelson"/>
    <n v="425"/>
    <d v="2023-09-07T00:00:00"/>
    <d v="1899-12-30T00:11:00"/>
    <s v="September"/>
    <s v="Thursday"/>
    <s v="Outlier"/>
    <x v="14"/>
  </r>
  <r>
    <n v="1414158"/>
    <n v="789"/>
    <s v="France"/>
    <d v="2023-03-20T01:05:00"/>
    <s v="App"/>
    <s v="Michael Frick"/>
    <n v="8686"/>
    <d v="2023-03-20T00:00:00"/>
    <d v="1899-12-30T01:05:00"/>
    <s v="March"/>
    <s v="Monday"/>
    <s v="Outlier"/>
    <x v="14"/>
  </r>
  <r>
    <n v="1416529"/>
    <n v="1980"/>
    <s v="Switzerland"/>
    <d v="2023-06-27T00:07:00"/>
    <s v="App"/>
    <s v="Julie Murphy"/>
    <n v="576"/>
    <d v="2023-06-27T00:00:00"/>
    <d v="1899-12-30T00:07:00"/>
    <s v="June"/>
    <s v="Tuesday"/>
    <s v="Outlier"/>
    <x v="56"/>
  </r>
  <r>
    <n v="1417112"/>
    <n v="1938"/>
    <s v="USA"/>
    <d v="2023-05-18T00:47:00"/>
    <s v="Whatsapp"/>
    <s v="Mart¡n Sommer"/>
    <n v="2520"/>
    <d v="2023-05-18T00:00:00"/>
    <d v="1899-12-30T00:47:00"/>
    <s v="May"/>
    <s v="Thursday"/>
    <s v="Outlier"/>
    <x v="41"/>
  </r>
  <r>
    <n v="1417673"/>
    <n v="1947"/>
    <s v="Spain"/>
    <d v="2023-05-03T01:40:00"/>
    <s v="Website"/>
    <s v="Diego Freyre"/>
    <n v="8765"/>
    <d v="2023-05-03T00:00:00"/>
    <d v="1899-12-30T01:40:00"/>
    <s v="May"/>
    <s v="Wednesday"/>
    <s v="Outlier"/>
    <x v="19"/>
  </r>
  <r>
    <n v="1418125"/>
    <n v="1496"/>
    <s v="USA"/>
    <d v="2023-08-12T00:46:00"/>
    <s v="Website"/>
    <s v="Allen Nelson"/>
    <n v="8586"/>
    <d v="2023-08-12T00:00:00"/>
    <d v="1899-12-30T00:46:00"/>
    <s v="August"/>
    <s v="Saturday"/>
    <s v="Outlier"/>
    <x v="8"/>
  </r>
  <r>
    <n v="1420227"/>
    <n v="1540"/>
    <s v="Australia"/>
    <d v="2023-03-22T00:32:00"/>
    <s v="Website"/>
    <s v="Valarie Nelson"/>
    <n v="615"/>
    <d v="2023-03-22T00:00:00"/>
    <d v="1899-12-30T00:32:00"/>
    <s v="March"/>
    <s v="Wednesday"/>
    <s v="Outlier"/>
    <x v="30"/>
  </r>
  <r>
    <n v="1420448"/>
    <n v="1708"/>
    <s v="France"/>
    <d v="2023-04-09T23:37:00"/>
    <s v="Website"/>
    <s v="Catherine Dewey"/>
    <n v="5060"/>
    <d v="2023-04-09T00:00:00"/>
    <d v="1899-12-30T23:37:00"/>
    <s v="April"/>
    <s v="Sunday"/>
    <s v="Outlier"/>
    <x v="27"/>
  </r>
  <r>
    <n v="1420854"/>
    <n v="1759"/>
    <s v="Spain"/>
    <d v="2023-10-06T23:27:00"/>
    <s v="Website"/>
    <s v="Giovanni Rovelli"/>
    <n v="1964"/>
    <d v="2023-10-06T00:00:00"/>
    <d v="1899-12-30T23:27:00"/>
    <s v="October"/>
    <s v="Friday"/>
    <s v="Outlier"/>
    <x v="13"/>
  </r>
  <r>
    <n v="1421840"/>
    <n v="1128"/>
    <s v="France"/>
    <d v="2023-09-09T23:38:00"/>
    <s v="App"/>
    <s v="Peter Ferguson"/>
    <n v="1084"/>
    <d v="2023-09-09T00:00:00"/>
    <d v="1899-12-30T23:38:00"/>
    <s v="September"/>
    <s v="Saturday"/>
    <s v="Outlier"/>
    <x v="65"/>
  </r>
  <r>
    <n v="1422378"/>
    <n v="684"/>
    <s v="Finland"/>
    <d v="2023-11-06T00:11:00"/>
    <s v="Website"/>
    <s v="Diego Freyre"/>
    <n v="3274"/>
    <d v="2023-11-06T00:00:00"/>
    <d v="1899-12-30T00:11:00"/>
    <s v="November"/>
    <s v="Monday"/>
    <s v="Outlier"/>
    <x v="51"/>
  </r>
  <r>
    <n v="1422755"/>
    <n v="830"/>
    <s v="France"/>
    <d v="2023-10-27T00:04:00"/>
    <s v="App"/>
    <s v="Julie Young"/>
    <n v="7502"/>
    <d v="2023-10-27T00:00:00"/>
    <d v="1899-12-30T00:04:00"/>
    <s v="October"/>
    <s v="Friday"/>
    <s v="Outlier"/>
    <x v="21"/>
  </r>
  <r>
    <n v="1423052"/>
    <n v="536"/>
    <s v="Germany"/>
    <d v="2023-01-27T00:58:00"/>
    <s v="Website"/>
    <s v="Juri Hirano"/>
    <n v="8357"/>
    <d v="2023-01-27T00:00:00"/>
    <d v="1899-12-30T00:58:00"/>
    <s v="January"/>
    <s v="Friday"/>
    <s v="Outlier"/>
    <x v="45"/>
  </r>
  <r>
    <n v="1424219"/>
    <n v="1706"/>
    <s v="USA"/>
    <d v="2023-08-01T00:09:00"/>
    <s v="App"/>
    <s v="Mory Kentary"/>
    <n v="2522"/>
    <d v="2023-08-01T00:00:00"/>
    <d v="1899-12-30T00:09:00"/>
    <s v="August"/>
    <s v="Tuesday"/>
    <s v="Outlier"/>
    <x v="59"/>
  </r>
  <r>
    <n v="1424531"/>
    <n v="1425"/>
    <s v="Australia"/>
    <d v="2023-04-08T22:59:00"/>
    <s v="App"/>
    <s v="Peter Ferguson"/>
    <n v="5390"/>
    <d v="2023-04-08T00:00:00"/>
    <d v="1899-12-30T22:59:00"/>
    <s v="April"/>
    <s v="Saturday"/>
    <s v="Outlier"/>
    <x v="33"/>
  </r>
  <r>
    <n v="1424927"/>
    <n v="176"/>
    <s v="France"/>
    <d v="2023-12-04T00:05:00"/>
    <s v="Website"/>
    <s v="Elizabeth Lincoln"/>
    <n v="9104"/>
    <d v="2023-12-04T00:00:00"/>
    <d v="1899-12-30T00:05:00"/>
    <s v="December"/>
    <s v="Monday"/>
    <s v="Outlier"/>
    <x v="7"/>
  </r>
  <r>
    <n v="1425405"/>
    <n v="1220"/>
    <s v="USA"/>
    <d v="2023-05-24T00:07:00"/>
    <s v="Whatsapp"/>
    <s v="Sue Frick"/>
    <n v="6403"/>
    <d v="2023-05-24T00:00:00"/>
    <d v="1899-12-30T00:07:00"/>
    <s v="May"/>
    <s v="Wednesday"/>
    <s v="Outlier"/>
    <x v="30"/>
  </r>
  <r>
    <n v="1426596"/>
    <n v="1768"/>
    <s v="USA"/>
    <d v="2023-12-21T00:34:00"/>
    <s v="App"/>
    <s v="Julie King"/>
    <n v="3187"/>
    <d v="2023-12-21T00:00:00"/>
    <d v="1899-12-30T00:34:00"/>
    <s v="December"/>
    <s v="Thursday"/>
    <s v="Outlier"/>
    <x v="49"/>
  </r>
  <r>
    <n v="1427947"/>
    <n v="823"/>
    <s v="France"/>
    <d v="2023-01-25T02:12:00"/>
    <s v="Website"/>
    <s v="Janine Labrune"/>
    <n v="4859"/>
    <d v="2023-01-25T00:00:00"/>
    <d v="1899-12-30T02:12:00"/>
    <s v="January"/>
    <s v="Wednesday"/>
    <s v="Outlier"/>
    <x v="42"/>
  </r>
  <r>
    <n v="1428296"/>
    <n v="80"/>
    <s v="USA"/>
    <d v="2023-05-20T00:55:00"/>
    <s v="App"/>
    <s v="Jan Klaeboe"/>
    <n v="1637"/>
    <d v="2023-05-20T00:00:00"/>
    <d v="1899-12-30T00:55:00"/>
    <s v="May"/>
    <s v="Saturday"/>
    <s v="Outlier"/>
    <x v="2"/>
  </r>
  <r>
    <n v="1428328"/>
    <n v="1988"/>
    <s v="USA"/>
    <d v="2023-04-28T01:23:00"/>
    <s v="Website"/>
    <s v="Dean Cassidy"/>
    <n v="2435"/>
    <d v="2023-04-28T00:00:00"/>
    <d v="1899-12-30T01:23:00"/>
    <s v="April"/>
    <s v="Friday"/>
    <s v="Outlier"/>
    <x v="50"/>
  </r>
  <r>
    <n v="1429209"/>
    <n v="701"/>
    <s v="India"/>
    <d v="2023-12-04T01:16:00"/>
    <s v="Whatsapp"/>
    <s v="Steve Frick"/>
    <n v="1494"/>
    <d v="2023-12-04T00:00:00"/>
    <d v="1899-12-30T01:16:00"/>
    <s v="December"/>
    <s v="Monday"/>
    <s v="Outlier"/>
    <x v="54"/>
  </r>
  <r>
    <n v="1432252"/>
    <n v="286"/>
    <s v="USA"/>
    <d v="2023-01-04T00:44:00"/>
    <s v="Whatsapp"/>
    <s v="Juri Hirano"/>
    <n v="4443"/>
    <d v="2023-01-04T00:00:00"/>
    <d v="1899-12-30T00:44:00"/>
    <s v="January"/>
    <s v="Wednesday"/>
    <s v="Outlier"/>
    <x v="33"/>
  </r>
  <r>
    <n v="1433358"/>
    <n v="125"/>
    <s v="Spain"/>
    <d v="2023-05-30T00:20:00"/>
    <s v="Other"/>
    <s v="Giovanni Rovelli"/>
    <n v="7762"/>
    <d v="2023-05-30T00:00:00"/>
    <d v="1899-12-30T00:20:00"/>
    <s v="May"/>
    <s v="Tuesday"/>
    <s v="Outlier"/>
    <x v="30"/>
  </r>
  <r>
    <n v="1436270"/>
    <n v="1052"/>
    <s v="Germany"/>
    <d v="2023-06-24T01:41:00"/>
    <s v="App"/>
    <s v="Eduardo Saavedra"/>
    <n v="1360"/>
    <d v="2023-06-24T00:00:00"/>
    <d v="1899-12-30T01:41:00"/>
    <s v="June"/>
    <s v="Saturday"/>
    <s v="Outlier"/>
    <x v="50"/>
  </r>
  <r>
    <n v="1437527"/>
    <n v="1495"/>
    <s v="Denmark"/>
    <d v="2023-02-25T00:47:00"/>
    <s v="Website"/>
    <s v="Dan Lewis"/>
    <n v="2234"/>
    <d v="2023-02-25T00:00:00"/>
    <d v="1899-12-30T00:47:00"/>
    <s v="February"/>
    <s v="Saturday"/>
    <s v="Outlier"/>
    <x v="6"/>
  </r>
  <r>
    <n v="1437873"/>
    <n v="493"/>
    <s v="USA"/>
    <d v="2023-05-06T23:51:00"/>
    <s v="Website"/>
    <s v="Adrian Huxley"/>
    <n v="5373"/>
    <d v="2023-05-06T00:00:00"/>
    <d v="1899-12-30T23:51:00"/>
    <s v="May"/>
    <s v="Saturday"/>
    <s v="Outlier"/>
    <x v="43"/>
  </r>
  <r>
    <n v="1438232"/>
    <n v="1388"/>
    <s v="Singapore"/>
    <d v="2023-03-31T00:48:00"/>
    <s v="Whatsapp"/>
    <s v="Janine Labrune"/>
    <n v="8781"/>
    <d v="2023-03-31T00:00:00"/>
    <d v="1899-12-30T00:48:00"/>
    <s v="March"/>
    <s v="Friday"/>
    <s v="Outlier"/>
    <x v="48"/>
  </r>
  <r>
    <n v="1438726"/>
    <n v="1037"/>
    <s v="India"/>
    <d v="2023-09-25T00:02:00"/>
    <s v="Whatsapp"/>
    <s v="Diego Freyre"/>
    <n v="2991"/>
    <d v="2023-09-25T00:00:00"/>
    <d v="1899-12-30T00:02:00"/>
    <s v="September"/>
    <s v="Monday"/>
    <s v="Outlier"/>
    <x v="29"/>
  </r>
  <r>
    <n v="1438926"/>
    <n v="367"/>
    <s v="India"/>
    <d v="2023-04-26T22:39:00"/>
    <s v="App"/>
    <s v="Paul Henriot"/>
    <n v="3956"/>
    <d v="2023-04-26T00:00:00"/>
    <d v="1899-12-30T22:39:00"/>
    <s v="April"/>
    <s v="Wednesday"/>
    <s v="Outlier"/>
    <x v="12"/>
  </r>
  <r>
    <n v="1439951"/>
    <n v="1852"/>
    <s v="Italy"/>
    <d v="2023-08-08T23:32:00"/>
    <s v="Whatsapp"/>
    <s v="William Brown"/>
    <n v="1905"/>
    <d v="2023-08-08T00:00:00"/>
    <d v="1899-12-30T23:32:00"/>
    <s v="August"/>
    <s v="Tuesday"/>
    <s v="Outlier"/>
    <x v="27"/>
  </r>
  <r>
    <n v="1440438"/>
    <n v="531"/>
    <s v="USA"/>
    <d v="2023-01-05T01:09:00"/>
    <s v="Website"/>
    <s v="Maurizio Moroni"/>
    <n v="1288"/>
    <d v="2023-01-05T00:00:00"/>
    <d v="1899-12-30T01:09:00"/>
    <s v="January"/>
    <s v="Thursday"/>
    <s v="Outlier"/>
    <x v="64"/>
  </r>
  <r>
    <n v="1440486"/>
    <n v="898"/>
    <s v="USA"/>
    <d v="2023-11-23T00:28:00"/>
    <s v="Website"/>
    <s v="Arnold Cruz"/>
    <n v="7417"/>
    <d v="2023-11-23T00:00:00"/>
    <d v="1899-12-30T00:28:00"/>
    <s v="November"/>
    <s v="Thursday"/>
    <s v="Outlier"/>
    <x v="71"/>
  </r>
  <r>
    <n v="1441153"/>
    <n v="1510"/>
    <s v="Norway"/>
    <d v="2023-10-14T00:39:00"/>
    <s v="App"/>
    <s v="Laurence Lebihan"/>
    <n v="3392"/>
    <d v="2023-10-14T00:00:00"/>
    <d v="1899-12-30T00:39:00"/>
    <s v="October"/>
    <s v="Saturday"/>
    <s v="Outlier"/>
    <x v="12"/>
  </r>
  <r>
    <n v="1441631"/>
    <n v="1359"/>
    <s v="USA"/>
    <d v="2023-05-17T00:51:00"/>
    <s v="Website"/>
    <s v="Valarie Nelson"/>
    <n v="6438"/>
    <d v="2023-05-17T00:00:00"/>
    <d v="1899-12-30T00:51:00"/>
    <s v="May"/>
    <s v="Wednesday"/>
    <s v="Outlier"/>
    <x v="61"/>
  </r>
  <r>
    <n v="1441698"/>
    <n v="118"/>
    <s v="USA"/>
    <d v="2023-05-06T23:52:00"/>
    <s v="Website"/>
    <s v="Allen Nelson"/>
    <n v="4154"/>
    <d v="2023-05-06T00:00:00"/>
    <d v="1899-12-30T23:52:00"/>
    <s v="May"/>
    <s v="Saturday"/>
    <s v="Outlier"/>
    <x v="5"/>
  </r>
  <r>
    <n v="1443406"/>
    <n v="1141"/>
    <s v="France"/>
    <d v="2023-07-24T01:19:00"/>
    <s v="Whatsapp"/>
    <s v="Julie Brown"/>
    <n v="8328"/>
    <d v="2023-07-24T00:00:00"/>
    <d v="1899-12-30T01:19:00"/>
    <s v="July"/>
    <s v="Monday"/>
    <s v="Outlier"/>
    <x v="52"/>
  </r>
  <r>
    <n v="1443815"/>
    <n v="623"/>
    <s v="India"/>
    <d v="2023-01-26T23:58:00"/>
    <s v="App"/>
    <s v="Anna O'Hara"/>
    <n v="9333"/>
    <d v="2023-01-26T00:00:00"/>
    <d v="1899-12-30T23:58:00"/>
    <s v="January"/>
    <s v="Thursday"/>
    <s v="Outlier"/>
    <x v="16"/>
  </r>
  <r>
    <n v="1444534"/>
    <n v="1217"/>
    <s v="USA"/>
    <d v="2023-12-14T00:40:00"/>
    <s v="Whatsapp"/>
    <s v="Martine Rance"/>
    <n v="4597"/>
    <d v="2023-12-14T00:00:00"/>
    <d v="1899-12-30T00:40:00"/>
    <s v="December"/>
    <s v="Thursday"/>
    <s v="Outlier"/>
    <x v="17"/>
  </r>
  <r>
    <n v="1444921"/>
    <n v="973"/>
    <s v="USA"/>
    <d v="2023-09-17T00:13:00"/>
    <s v="App"/>
    <s v="Henriette Pfalzheim"/>
    <n v="7329"/>
    <d v="2023-09-17T00:00:00"/>
    <d v="1899-12-30T00:13:00"/>
    <s v="September"/>
    <s v="Sunday"/>
    <s v="Outlier"/>
    <x v="63"/>
  </r>
  <r>
    <n v="1445405"/>
    <n v="226"/>
    <s v="USA"/>
    <d v="2023-04-26T01:08:00"/>
    <s v="Website"/>
    <s v="Dominique Perrier"/>
    <n v="4037"/>
    <d v="2023-04-26T00:00:00"/>
    <d v="1899-12-30T01:08:00"/>
    <s v="April"/>
    <s v="Wednesday"/>
    <s v="Outlier"/>
    <x v="34"/>
  </r>
  <r>
    <n v="1445568"/>
    <n v="550"/>
    <s v="USA"/>
    <d v="2023-07-23T02:16:00"/>
    <s v="App"/>
    <s v="Michael Holz"/>
    <n v="3612"/>
    <d v="2023-07-23T00:00:00"/>
    <d v="1899-12-30T02:16:00"/>
    <s v="July"/>
    <s v="Sunday"/>
    <s v="Outlier"/>
    <x v="34"/>
  </r>
  <r>
    <n v="1446428"/>
    <n v="1271"/>
    <s v="France"/>
    <d v="2023-12-31T23:34:00"/>
    <s v="Other"/>
    <s v="Jytte Petersen"/>
    <n v="4354"/>
    <d v="2023-12-31T00:00:00"/>
    <d v="1899-12-30T23:34:00"/>
    <s v="December"/>
    <s v="Sunday"/>
    <s v="Outlier"/>
    <x v="64"/>
  </r>
  <r>
    <n v="1448149"/>
    <n v="340"/>
    <s v="France"/>
    <d v="2023-05-12T23:47:00"/>
    <s v="Whatsapp"/>
    <s v="Dominique Perrier"/>
    <n v="8948"/>
    <d v="2023-05-12T00:00:00"/>
    <d v="1899-12-30T23:47:00"/>
    <s v="May"/>
    <s v="Friday"/>
    <s v="Outlier"/>
    <x v="17"/>
  </r>
  <r>
    <n v="1448694"/>
    <n v="75"/>
    <s v="Australia"/>
    <d v="2023-05-22T23:39:00"/>
    <s v="App"/>
    <s v="Juri Yoshido"/>
    <n v="1873"/>
    <d v="2023-05-22T00:00:00"/>
    <d v="1899-12-30T23:39:00"/>
    <s v="May"/>
    <s v="Monday"/>
    <s v="Outlier"/>
    <x v="40"/>
  </r>
  <r>
    <n v="1448727"/>
    <n v="1583"/>
    <s v="Singapore"/>
    <d v="2023-01-25T01:53:00"/>
    <s v="Whatsapp"/>
    <s v="Miguel Barajas"/>
    <n v="8355"/>
    <d v="2023-01-25T00:00:00"/>
    <d v="1899-12-30T01:53:00"/>
    <s v="January"/>
    <s v="Wednesday"/>
    <s v="Outlier"/>
    <x v="38"/>
  </r>
  <r>
    <n v="1449298"/>
    <n v="1511"/>
    <s v="USA"/>
    <d v="2023-06-26T01:29:00"/>
    <s v="Website"/>
    <s v="Michael Holz"/>
    <n v="837"/>
    <d v="2023-06-26T00:00:00"/>
    <d v="1899-12-30T01:29:00"/>
    <s v="June"/>
    <s v="Monday"/>
    <s v="Outlier"/>
    <x v="11"/>
  </r>
  <r>
    <n v="1449763"/>
    <n v="465"/>
    <s v="USA"/>
    <d v="2023-03-12T01:07:00"/>
    <s v="App"/>
    <s v="Matti Karttunen"/>
    <n v="425"/>
    <d v="2023-03-12T00:00:00"/>
    <d v="1899-12-30T01:07:00"/>
    <s v="March"/>
    <s v="Sunday"/>
    <s v="Outlier"/>
    <x v="22"/>
  </r>
  <r>
    <n v="1449820"/>
    <n v="1828"/>
    <s v="Finland"/>
    <d v="2023-11-29T23:40:00"/>
    <s v="Other"/>
    <s v="Henriette Pfalzheim"/>
    <n v="1844"/>
    <d v="2023-11-29T00:00:00"/>
    <d v="1899-12-30T23:40:00"/>
    <s v="November"/>
    <s v="Wednesday"/>
    <s v="Outlier"/>
    <x v="66"/>
  </r>
  <r>
    <n v="1449918"/>
    <n v="1881"/>
    <s v="France"/>
    <d v="2023-03-22T01:51:00"/>
    <s v="Website"/>
    <s v="Kee Kuo"/>
    <n v="8835"/>
    <d v="2023-03-22T00:00:00"/>
    <d v="1899-12-30T01:51:00"/>
    <s v="March"/>
    <s v="Wednesday"/>
    <s v="Outlier"/>
    <x v="69"/>
  </r>
  <r>
    <n v="1452068"/>
    <n v="658"/>
    <s v="India"/>
    <d v="2023-09-30T01:26:00"/>
    <s v="Website"/>
    <s v="Rosa Hernandez"/>
    <n v="1299"/>
    <d v="2023-09-30T00:00:00"/>
    <d v="1899-12-30T01:26:00"/>
    <s v="September"/>
    <s v="Saturday"/>
    <s v="Outlier"/>
    <x v="53"/>
  </r>
  <r>
    <n v="1452251"/>
    <n v="1276"/>
    <s v="France"/>
    <d v="2023-03-24T22:54:00"/>
    <s v="Other"/>
    <s v="Paul Henriot"/>
    <n v="9140"/>
    <d v="2023-03-24T00:00:00"/>
    <d v="1899-12-30T22:54:00"/>
    <s v="March"/>
    <s v="Friday"/>
    <s v="Outlier"/>
    <x v="51"/>
  </r>
  <r>
    <n v="1453632"/>
    <n v="26"/>
    <s v="France"/>
    <d v="2023-05-25T00:49:00"/>
    <s v="App"/>
    <s v="Diego Freyre"/>
    <n v="1681"/>
    <d v="2023-05-25T00:00:00"/>
    <d v="1899-12-30T00:49:00"/>
    <s v="May"/>
    <s v="Thursday"/>
    <s v="Outlier"/>
    <x v="18"/>
  </r>
  <r>
    <n v="1453804"/>
    <n v="727"/>
    <s v="France"/>
    <d v="2023-01-15T22:36:00"/>
    <s v="App"/>
    <s v="Kalle Suominen"/>
    <n v="9801"/>
    <d v="2023-01-15T00:00:00"/>
    <d v="1899-12-30T22:36:00"/>
    <s v="January"/>
    <s v="Sunday"/>
    <s v="Outlier"/>
    <x v="71"/>
  </r>
  <r>
    <n v="1454237"/>
    <n v="604"/>
    <s v="Austria"/>
    <d v="2023-11-20T00:40:00"/>
    <s v="App"/>
    <s v="Diego Freyre"/>
    <n v="8617"/>
    <d v="2023-11-20T00:00:00"/>
    <d v="1899-12-30T00:40:00"/>
    <s v="November"/>
    <s v="Monday"/>
    <s v="Outlier"/>
    <x v="67"/>
  </r>
  <r>
    <n v="1454722"/>
    <n v="557"/>
    <s v="Germany"/>
    <d v="2023-06-14T00:51:00"/>
    <s v="Other"/>
    <s v="Valarie Nelson"/>
    <n v="7460"/>
    <d v="2023-06-14T00:00:00"/>
    <d v="1899-12-30T00:51:00"/>
    <s v="June"/>
    <s v="Wednesday"/>
    <s v="Outlier"/>
    <x v="58"/>
  </r>
  <r>
    <n v="1454915"/>
    <n v="1109"/>
    <s v="India"/>
    <d v="2023-09-26T23:40:00"/>
    <s v="Whatsapp"/>
    <s v="Jonas Bergulfsen"/>
    <n v="5760"/>
    <d v="2023-09-26T00:00:00"/>
    <d v="1899-12-30T23:40:00"/>
    <s v="September"/>
    <s v="Tuesday"/>
    <s v="Outlier"/>
    <x v="46"/>
  </r>
  <r>
    <n v="1455334"/>
    <n v="1735"/>
    <s v="Finland"/>
    <d v="2023-12-06T00:10:00"/>
    <s v="Whatsapp"/>
    <s v="Marie Bertrand"/>
    <n v="8911"/>
    <d v="2023-12-06T00:00:00"/>
    <d v="1899-12-30T00:10:00"/>
    <s v="December"/>
    <s v="Wednesday"/>
    <s v="Outlier"/>
    <x v="15"/>
  </r>
  <r>
    <n v="1456673"/>
    <n v="275"/>
    <s v="Italy"/>
    <d v="2023-07-06T00:10:00"/>
    <s v="Other"/>
    <s v="Mart¡n Sommer"/>
    <n v="4862"/>
    <d v="2023-07-06T00:00:00"/>
    <d v="1899-12-30T00:10:00"/>
    <s v="July"/>
    <s v="Thursday"/>
    <s v="Outlier"/>
    <x v="53"/>
  </r>
  <r>
    <n v="1457155"/>
    <n v="418"/>
    <s v="Singapore"/>
    <d v="2023-09-13T00:13:00"/>
    <s v="Website"/>
    <s v="Juri Hirano"/>
    <n v="2807"/>
    <d v="2023-09-13T00:00:00"/>
    <d v="1899-12-30T00:13:00"/>
    <s v="September"/>
    <s v="Wednesday"/>
    <s v="Outlier"/>
    <x v="13"/>
  </r>
  <r>
    <n v="1459990"/>
    <n v="85"/>
    <s v="Italy"/>
    <d v="2023-06-21T23:31:00"/>
    <s v="Website"/>
    <s v="Pirkko Koskitalo"/>
    <n v="1384"/>
    <d v="2023-06-21T00:00:00"/>
    <d v="1899-12-30T23:31:00"/>
    <s v="June"/>
    <s v="Wednesday"/>
    <s v="Outlier"/>
    <x v="1"/>
  </r>
  <r>
    <n v="1460179"/>
    <n v="331"/>
    <s v="Singapore"/>
    <d v="2023-07-03T01:12:00"/>
    <s v="App"/>
    <s v="Roland Mendel"/>
    <n v="7781"/>
    <d v="2023-07-03T00:00:00"/>
    <d v="1899-12-30T01:12:00"/>
    <s v="July"/>
    <s v="Monday"/>
    <s v="Outlier"/>
    <x v="32"/>
  </r>
  <r>
    <n v="1460925"/>
    <n v="1141"/>
    <s v="France"/>
    <d v="2023-02-06T00:27:00"/>
    <s v="App"/>
    <s v="Ann Brown"/>
    <n v="2472"/>
    <d v="2023-02-06T00:00:00"/>
    <d v="1899-12-30T00:27:00"/>
    <s v="February"/>
    <s v="Monday"/>
    <s v="Outlier"/>
    <x v="52"/>
  </r>
  <r>
    <n v="1461194"/>
    <n v="1262"/>
    <s v="USA"/>
    <d v="2023-04-29T01:37:00"/>
    <s v="App"/>
    <s v="Jose Pedro Roel"/>
    <n v="9700"/>
    <d v="2023-04-29T00:00:00"/>
    <d v="1899-12-30T01:37:00"/>
    <s v="April"/>
    <s v="Saturday"/>
    <s v="Outlier"/>
    <x v="10"/>
  </r>
  <r>
    <n v="1461613"/>
    <n v="1086"/>
    <s v="France"/>
    <d v="2023-10-27T23:19:00"/>
    <s v="Other"/>
    <s v="Mary Saveley"/>
    <n v="8282"/>
    <d v="2023-10-27T00:00:00"/>
    <d v="1899-12-30T23:19:00"/>
    <s v="October"/>
    <s v="Friday"/>
    <s v="Outlier"/>
    <x v="42"/>
  </r>
  <r>
    <n v="1461756"/>
    <n v="1743"/>
    <s v="USA"/>
    <d v="2023-06-21T00:23:00"/>
    <s v="Website"/>
    <s v="Valarie Franco"/>
    <n v="3339"/>
    <d v="2023-06-21T00:00:00"/>
    <d v="1899-12-30T00:23:00"/>
    <s v="June"/>
    <s v="Wednesday"/>
    <s v="Outlier"/>
    <x v="35"/>
  </r>
  <r>
    <n v="1461908"/>
    <n v="311"/>
    <s v="Australia"/>
    <d v="2023-07-06T22:57:00"/>
    <s v="Other"/>
    <s v="Wendy Victorino"/>
    <n v="6698"/>
    <d v="2023-07-06T00:00:00"/>
    <d v="1899-12-30T22:57:00"/>
    <s v="July"/>
    <s v="Thursday"/>
    <s v="Outlier"/>
    <x v="23"/>
  </r>
  <r>
    <n v="1462009"/>
    <n v="1803"/>
    <s v="Spain"/>
    <d v="2023-01-02T00:35:00"/>
    <s v="Whatsapp"/>
    <s v="Valarie Nelson"/>
    <n v="5184"/>
    <d v="2023-01-02T00:00:00"/>
    <d v="1899-12-30T00:35:00"/>
    <s v="January"/>
    <s v="Monday"/>
    <s v="Outlier"/>
    <x v="0"/>
  </r>
  <r>
    <n v="1462495"/>
    <n v="243"/>
    <s v="USA"/>
    <d v="2023-10-28T00:45:00"/>
    <s v="Website"/>
    <s v="Leslie Murphy"/>
    <n v="2850"/>
    <d v="2023-10-28T00:00:00"/>
    <d v="1899-12-30T00:45:00"/>
    <s v="October"/>
    <s v="Saturday"/>
    <s v="Outlier"/>
    <x v="65"/>
  </r>
  <r>
    <n v="1465193"/>
    <n v="87"/>
    <s v="India"/>
    <d v="2023-04-25T00:30:00"/>
    <s v="Website"/>
    <s v="Wendy Victorino"/>
    <n v="7107"/>
    <d v="2023-04-25T00:00:00"/>
    <d v="1899-12-30T00:30:00"/>
    <s v="April"/>
    <s v="Tuesday"/>
    <s v="Outlier"/>
    <x v="14"/>
  </r>
  <r>
    <n v="1465254"/>
    <n v="1992"/>
    <s v="Denmark"/>
    <d v="2023-09-01T00:43:00"/>
    <s v="Website"/>
    <s v="Adrian Huxley"/>
    <n v="5514"/>
    <d v="2023-09-01T00:00:00"/>
    <d v="1899-12-30T00:43:00"/>
    <s v="September"/>
    <s v="Friday"/>
    <s v="Outlier"/>
    <x v="50"/>
  </r>
  <r>
    <n v="1466316"/>
    <n v="122"/>
    <s v="Spain"/>
    <d v="2023-01-07T01:51:00"/>
    <s v="Whatsapp"/>
    <s v="Kyung Yu"/>
    <n v="1672"/>
    <d v="2023-01-07T00:00:00"/>
    <d v="1899-12-30T01:51:00"/>
    <s v="January"/>
    <s v="Saturday"/>
    <s v="Outlier"/>
    <x v="10"/>
  </r>
  <r>
    <n v="1466372"/>
    <n v="1073"/>
    <s v="Spain"/>
    <d v="2023-11-16T22:59:00"/>
    <s v="Website"/>
    <s v="Maria Larsson"/>
    <n v="8940"/>
    <d v="2023-11-16T00:00:00"/>
    <d v="1899-12-30T22:59:00"/>
    <s v="November"/>
    <s v="Thursday"/>
    <s v="Outlier"/>
    <x v="52"/>
  </r>
  <r>
    <n v="1466718"/>
    <n v="453"/>
    <s v="France"/>
    <d v="2023-05-26T00:01:00"/>
    <s v="Website"/>
    <s v="Marta Hernandez"/>
    <n v="9174"/>
    <d v="2023-05-26T00:00:00"/>
    <d v="1899-12-30T00:01:00"/>
    <s v="May"/>
    <s v="Friday"/>
    <s v="Outlier"/>
    <x v="44"/>
  </r>
  <r>
    <n v="1467283"/>
    <n v="113"/>
    <s v="USA"/>
    <d v="2023-08-04T02:26:00"/>
    <s v="Website"/>
    <s v="Yoshi Tannamuri"/>
    <n v="722"/>
    <d v="2023-08-04T00:00:00"/>
    <d v="1899-12-30T02:26:00"/>
    <s v="August"/>
    <s v="Friday"/>
    <s v="Outlier"/>
    <x v="54"/>
  </r>
  <r>
    <n v="1469052"/>
    <n v="376"/>
    <s v="India"/>
    <d v="2023-06-15T23:29:00"/>
    <s v="App"/>
    <s v="Michael Frick"/>
    <n v="4580"/>
    <d v="2023-06-15T00:00:00"/>
    <d v="1899-12-30T23:29:00"/>
    <s v="June"/>
    <s v="Thursday"/>
    <s v="Outlier"/>
    <x v="20"/>
  </r>
  <r>
    <n v="1469471"/>
    <n v="736"/>
    <s v="USA"/>
    <d v="2023-04-27T00:10:00"/>
    <s v="App"/>
    <s v="Valarie Nelson"/>
    <n v="4917"/>
    <d v="2023-04-27T00:00:00"/>
    <d v="1899-12-30T00:10:00"/>
    <s v="April"/>
    <s v="Thursday"/>
    <s v="Outlier"/>
    <x v="63"/>
  </r>
  <r>
    <n v="1470933"/>
    <n v="1285"/>
    <s v="Spain"/>
    <d v="2023-08-02T00:55:00"/>
    <s v="Other"/>
    <s v="Mart¡n Sommer"/>
    <n v="5249"/>
    <d v="2023-08-02T00:00:00"/>
    <d v="1899-12-30T00:55:00"/>
    <s v="August"/>
    <s v="Wednesday"/>
    <s v="Outlier"/>
    <x v="72"/>
  </r>
  <r>
    <n v="1471380"/>
    <n v="139"/>
    <s v="USA"/>
    <d v="2023-08-28T23:02:00"/>
    <s v="Other"/>
    <s v="Diego Freyre"/>
    <n v="2139"/>
    <d v="2023-08-28T00:00:00"/>
    <d v="1899-12-30T23:02:00"/>
    <s v="August"/>
    <s v="Monday"/>
    <s v="Outlier"/>
    <x v="21"/>
  </r>
  <r>
    <n v="1471535"/>
    <n v="668"/>
    <s v="France"/>
    <d v="2023-12-24T23:07:00"/>
    <s v="App"/>
    <s v="Valarie Nelson"/>
    <n v="6311"/>
    <d v="2023-12-24T00:00:00"/>
    <d v="1899-12-30T23:07:00"/>
    <s v="December"/>
    <s v="Sunday"/>
    <s v="Outlier"/>
    <x v="70"/>
  </r>
  <r>
    <n v="1472021"/>
    <n v="1564"/>
    <s v="Singapore"/>
    <d v="2023-12-22T00:24:00"/>
    <s v="App"/>
    <s v="Valarie Nelson"/>
    <n v="7609"/>
    <d v="2023-12-22T00:00:00"/>
    <d v="1899-12-30T00:24:00"/>
    <s v="December"/>
    <s v="Friday"/>
    <s v="Outlier"/>
    <x v="20"/>
  </r>
  <r>
    <n v="1472256"/>
    <n v="196"/>
    <s v="USA"/>
    <d v="2023-12-14T00:09:00"/>
    <s v="App"/>
    <s v="Jean Fresnisre"/>
    <n v="2311"/>
    <d v="2023-12-14T00:00:00"/>
    <d v="1899-12-30T00:09:00"/>
    <s v="December"/>
    <s v="Thursday"/>
    <s v="Outlier"/>
    <x v="55"/>
  </r>
  <r>
    <n v="1472426"/>
    <n v="338"/>
    <s v="India"/>
    <d v="2023-09-16T23:57:00"/>
    <s v="Other"/>
    <s v="Janine Labrune"/>
    <n v="2068"/>
    <d v="2023-09-16T00:00:00"/>
    <d v="1899-12-30T23:57:00"/>
    <s v="September"/>
    <s v="Saturday"/>
    <s v="Outlier"/>
    <x v="66"/>
  </r>
  <r>
    <n v="1472446"/>
    <n v="1614"/>
    <s v="USA"/>
    <d v="2023-11-03T01:48:00"/>
    <s v="Whatsapp"/>
    <s v="Kwai Yu"/>
    <n v="7570"/>
    <d v="2023-11-03T00:00:00"/>
    <d v="1899-12-30T01:48:00"/>
    <s v="November"/>
    <s v="Friday"/>
    <s v="Outlier"/>
    <x v="2"/>
  </r>
  <r>
    <n v="1473392"/>
    <n v="1230"/>
    <s v="Spain"/>
    <d v="2023-09-14T01:42:00"/>
    <s v="Whatsapp"/>
    <s v="Peter Ferguson"/>
    <n v="4758"/>
    <d v="2023-09-14T00:00:00"/>
    <d v="1899-12-30T01:42:00"/>
    <s v="September"/>
    <s v="Thursday"/>
    <s v="Outlier"/>
    <x v="16"/>
  </r>
  <r>
    <n v="1474092"/>
    <n v="1710"/>
    <s v="Spain"/>
    <d v="2023-06-02T23:51:00"/>
    <s v="Website"/>
    <s v="Diego Freyre"/>
    <n v="7733"/>
    <d v="2023-06-02T00:00:00"/>
    <d v="1899-12-30T23:51:00"/>
    <s v="June"/>
    <s v="Friday"/>
    <s v="Outlier"/>
    <x v="58"/>
  </r>
  <r>
    <n v="1474156"/>
    <n v="1822"/>
    <s v="USA"/>
    <d v="2023-05-30T23:52:00"/>
    <s v="Other"/>
    <s v="Julie Young"/>
    <n v="597"/>
    <d v="2023-05-30T00:00:00"/>
    <d v="1899-12-30T23:52:00"/>
    <s v="May"/>
    <s v="Tuesday"/>
    <s v="Outlier"/>
    <x v="72"/>
  </r>
  <r>
    <n v="1474744"/>
    <n v="1900"/>
    <s v="Singapore"/>
    <d v="2023-04-22T00:58:00"/>
    <s v="Website"/>
    <s v="Juri Hirano"/>
    <n v="9529"/>
    <d v="2023-04-22T00:00:00"/>
    <d v="1899-12-30T00:58:00"/>
    <s v="April"/>
    <s v="Saturday"/>
    <s v="Outlier"/>
    <x v="9"/>
  </r>
  <r>
    <n v="1474867"/>
    <n v="1837"/>
    <s v="Switzerland"/>
    <d v="2023-12-08T00:11:00"/>
    <s v="Other"/>
    <s v="Veysel Oeztan"/>
    <n v="6262"/>
    <d v="2023-12-08T00:00:00"/>
    <d v="1899-12-30T00:11:00"/>
    <s v="December"/>
    <s v="Friday"/>
    <s v="Outlier"/>
    <x v="27"/>
  </r>
  <r>
    <n v="1475178"/>
    <n v="466"/>
    <s v="Italy"/>
    <d v="2023-04-12T00:10:00"/>
    <s v="Whatsapp"/>
    <s v="Mory Kentary"/>
    <n v="1408"/>
    <d v="2023-04-12T00:00:00"/>
    <d v="1899-12-30T00:10:00"/>
    <s v="April"/>
    <s v="Wednesday"/>
    <s v="Outlier"/>
    <x v="24"/>
  </r>
  <r>
    <n v="1475354"/>
    <n v="1633"/>
    <s v="Australia"/>
    <d v="2023-10-09T00:27:00"/>
    <s v="Other"/>
    <s v="Peter Ferguson"/>
    <n v="7693"/>
    <d v="2023-10-09T00:00:00"/>
    <d v="1899-12-30T00:27:00"/>
    <s v="October"/>
    <s v="Monday"/>
    <s v="Outlier"/>
    <x v="71"/>
  </r>
  <r>
    <n v="1477405"/>
    <n v="1342"/>
    <s v="USA"/>
    <d v="2023-10-04T01:32:00"/>
    <s v="Whatsapp"/>
    <s v="Elizabeth Lincoln"/>
    <n v="6068"/>
    <d v="2023-10-04T00:00:00"/>
    <d v="1899-12-30T01:32:00"/>
    <s v="October"/>
    <s v="Wednesday"/>
    <s v="Outlier"/>
    <x v="32"/>
  </r>
  <r>
    <n v="1477894"/>
    <n v="1834"/>
    <s v="Australia"/>
    <d v="2023-01-22T23:33:00"/>
    <s v="Website"/>
    <s v="Sue Frick"/>
    <n v="9471"/>
    <d v="2023-01-22T00:00:00"/>
    <d v="1899-12-30T23:33:00"/>
    <s v="January"/>
    <s v="Sunday"/>
    <s v="Outlier"/>
    <x v="52"/>
  </r>
  <r>
    <n v="1478839"/>
    <n v="896"/>
    <s v="Australia"/>
    <d v="2023-02-07T01:43:00"/>
    <s v="Website"/>
    <s v="Julie King"/>
    <n v="6444"/>
    <d v="2023-02-07T00:00:00"/>
    <d v="1899-12-30T01:43:00"/>
    <s v="February"/>
    <s v="Tuesday"/>
    <s v="Outlier"/>
    <x v="33"/>
  </r>
  <r>
    <n v="1479085"/>
    <n v="510"/>
    <s v="USA"/>
    <d v="2023-11-21T22:41:00"/>
    <s v="Other"/>
    <s v="Janine Labrune"/>
    <n v="6503"/>
    <d v="2023-11-21T00:00:00"/>
    <d v="1899-12-30T22:41:00"/>
    <s v="November"/>
    <s v="Tuesday"/>
    <s v="Outlier"/>
    <x v="36"/>
  </r>
  <r>
    <n v="1479736"/>
    <n v="1363"/>
    <s v="France"/>
    <d v="2023-10-07T00:44:00"/>
    <s v="Other"/>
    <s v="Marta Hernandez"/>
    <n v="2193"/>
    <d v="2023-10-07T00:00:00"/>
    <d v="1899-12-30T00:44:00"/>
    <s v="October"/>
    <s v="Saturday"/>
    <s v="Outlier"/>
    <x v="49"/>
  </r>
  <r>
    <n v="1479812"/>
    <n v="340"/>
    <s v="France"/>
    <d v="2023-06-13T00:53:00"/>
    <s v="Whatsapp"/>
    <s v="Dean Cassidy"/>
    <n v="7134"/>
    <d v="2023-06-13T00:00:00"/>
    <d v="1899-12-30T00:53:00"/>
    <s v="June"/>
    <s v="Tuesday"/>
    <s v="Outlier"/>
    <x v="17"/>
  </r>
  <r>
    <n v="1480087"/>
    <n v="26"/>
    <s v="France"/>
    <d v="2023-07-08T23:57:00"/>
    <s v="Website"/>
    <s v="Steve Frick"/>
    <n v="9335"/>
    <d v="2023-07-08T00:00:00"/>
    <d v="1899-12-30T23:57:00"/>
    <s v="July"/>
    <s v="Saturday"/>
    <s v="Outlier"/>
    <x v="18"/>
  </r>
  <r>
    <n v="1480394"/>
    <n v="1003"/>
    <s v="USA"/>
    <d v="2023-06-04T00:36:00"/>
    <s v="Website"/>
    <s v="Kyung Yu"/>
    <n v="2616"/>
    <d v="2023-06-04T00:00:00"/>
    <d v="1899-12-30T00:36:00"/>
    <s v="June"/>
    <s v="Sunday"/>
    <s v="Outlier"/>
    <x v="71"/>
  </r>
  <r>
    <n v="1480900"/>
    <n v="866"/>
    <s v="Singapore"/>
    <d v="2023-01-02T00:12:00"/>
    <s v="App"/>
    <s v="Kwai Yu"/>
    <n v="2284"/>
    <d v="2023-01-02T00:00:00"/>
    <d v="1899-12-30T00:12:00"/>
    <s v="January"/>
    <s v="Monday"/>
    <s v="Outlier"/>
    <x v="50"/>
  </r>
  <r>
    <n v="1480961"/>
    <n v="550"/>
    <s v="USA"/>
    <d v="2023-01-16T01:04:00"/>
    <s v="Website"/>
    <s v="Eduardo Saavedra"/>
    <n v="8407"/>
    <d v="2023-01-16T00:00:00"/>
    <d v="1899-12-30T01:04:00"/>
    <s v="January"/>
    <s v="Monday"/>
    <s v="Outlier"/>
    <x v="34"/>
  </r>
  <r>
    <n v="1481396"/>
    <n v="619"/>
    <s v="USA"/>
    <d v="2023-11-23T01:11:00"/>
    <s v="App"/>
    <s v="Dan Lewis"/>
    <n v="3557"/>
    <d v="2023-11-23T00:00:00"/>
    <d v="1899-12-30T01:11:00"/>
    <s v="November"/>
    <s v="Thursday"/>
    <s v="Outlier"/>
    <x v="4"/>
  </r>
  <r>
    <n v="1482389"/>
    <n v="1928"/>
    <s v="Australia"/>
    <d v="2023-10-17T00:15:00"/>
    <s v="Whatsapp"/>
    <s v="Kalle Suominen"/>
    <n v="32"/>
    <d v="2023-10-17T00:00:00"/>
    <d v="1899-12-30T00:15:00"/>
    <s v="October"/>
    <s v="Tuesday"/>
    <s v="Outlier"/>
    <x v="14"/>
  </r>
  <r>
    <n v="1483729"/>
    <n v="1668"/>
    <s v="USA"/>
    <d v="2023-09-14T23:47:00"/>
    <s v="Whatsapp"/>
    <s v="Janine Labrune"/>
    <n v="1625"/>
    <d v="2023-09-14T00:00:00"/>
    <d v="1899-12-30T23:47:00"/>
    <s v="September"/>
    <s v="Thursday"/>
    <s v="Outlier"/>
    <x v="17"/>
  </r>
  <r>
    <n v="1483901"/>
    <n v="1708"/>
    <s v="France"/>
    <d v="2023-07-08T00:50:00"/>
    <s v="Whatsapp"/>
    <s v="Eric Natividad"/>
    <n v="9214"/>
    <d v="2023-07-08T00:00:00"/>
    <d v="1899-12-30T00:50:00"/>
    <s v="July"/>
    <s v="Saturday"/>
    <s v="Outlier"/>
    <x v="27"/>
  </r>
  <r>
    <n v="1483931"/>
    <n v="1980"/>
    <s v="Switzerland"/>
    <d v="2023-04-15T01:24:00"/>
    <s v="Website"/>
    <s v="William Brown"/>
    <n v="4382"/>
    <d v="2023-04-15T00:00:00"/>
    <d v="1899-12-30T01:24:00"/>
    <s v="April"/>
    <s v="Saturday"/>
    <s v="Outlier"/>
    <x v="56"/>
  </r>
  <r>
    <n v="1485067"/>
    <n v="1608"/>
    <s v="USA"/>
    <d v="2023-02-06T00:09:00"/>
    <s v="Whatsapp"/>
    <s v="Maurizio Moroni"/>
    <n v="3382"/>
    <d v="2023-02-06T00:00:00"/>
    <d v="1899-12-30T00:09:00"/>
    <s v="February"/>
    <s v="Monday"/>
    <s v="Outlier"/>
    <x v="64"/>
  </r>
  <r>
    <n v="1485425"/>
    <n v="980"/>
    <s v="USA"/>
    <d v="2023-07-18T22:55:00"/>
    <s v="App"/>
    <s v="Arnold Cruz"/>
    <n v="9648"/>
    <d v="2023-07-18T00:00:00"/>
    <d v="1899-12-30T22:55:00"/>
    <s v="July"/>
    <s v="Tuesday"/>
    <s v="Outlier"/>
    <x v="34"/>
  </r>
  <r>
    <n v="1485939"/>
    <n v="899"/>
    <s v="USA"/>
    <d v="2023-02-23T00:00:00"/>
    <s v="Whatsapp"/>
    <s v="Laurence Lebihan"/>
    <n v="902"/>
    <d v="2023-02-23T00:00:00"/>
    <d v="1899-12-30T00:00:00"/>
    <s v="February"/>
    <s v="Thursday"/>
    <s v="Outlier"/>
    <x v="21"/>
  </r>
  <r>
    <n v="1486000"/>
    <n v="545"/>
    <s v="USA"/>
    <d v="2023-12-23T01:10:00"/>
    <s v="Website"/>
    <s v="Valarie Nelson"/>
    <n v="2377"/>
    <d v="2023-12-23T00:00:00"/>
    <d v="1899-12-30T01:10:00"/>
    <s v="December"/>
    <s v="Saturday"/>
    <s v="Outlier"/>
    <x v="15"/>
  </r>
  <r>
    <n v="1486426"/>
    <n v="1244"/>
    <s v="Spain"/>
    <d v="2023-10-30T23:38:00"/>
    <s v="App"/>
    <s v="Julie Young"/>
    <n v="8227"/>
    <d v="2023-10-30T00:00:00"/>
    <d v="1899-12-30T23:38:00"/>
    <s v="October"/>
    <s v="Monday"/>
    <s v="Outlier"/>
    <x v="1"/>
  </r>
  <r>
    <n v="1487293"/>
    <n v="1157"/>
    <s v="Singapore"/>
    <d v="2023-01-26T01:15:00"/>
    <s v="Whatsapp"/>
    <s v="Julie Brown"/>
    <n v="2092"/>
    <d v="2023-01-26T00:00:00"/>
    <d v="1899-12-30T01:15:00"/>
    <s v="January"/>
    <s v="Thursday"/>
    <s v="Outlier"/>
    <x v="41"/>
  </r>
  <r>
    <n v="1487429"/>
    <n v="1983"/>
    <s v="Spain"/>
    <d v="2023-03-05T23:31:00"/>
    <s v="Whatsapp"/>
    <s v="Anna O'Hara"/>
    <n v="5465"/>
    <d v="2023-03-05T00:00:00"/>
    <d v="1899-12-30T23:31:00"/>
    <s v="March"/>
    <s v="Sunday"/>
    <s v="Outlier"/>
    <x v="31"/>
  </r>
  <r>
    <n v="1488818"/>
    <n v="827"/>
    <s v="Singapore"/>
    <d v="2023-05-06T00:49:00"/>
    <s v="Other"/>
    <s v="Martine Rance"/>
    <n v="8763"/>
    <d v="2023-05-06T00:00:00"/>
    <d v="1899-12-30T00:49:00"/>
    <s v="May"/>
    <s v="Saturday"/>
    <s v="Outlier"/>
    <x v="28"/>
  </r>
  <r>
    <n v="1488979"/>
    <n v="1787"/>
    <s v="France"/>
    <d v="2023-08-18T01:21:00"/>
    <s v="App"/>
    <s v="Diego Freyre"/>
    <n v="8980"/>
    <d v="2023-08-18T00:00:00"/>
    <d v="1899-12-30T01:21:00"/>
    <s v="August"/>
    <s v="Friday"/>
    <s v="Outlier"/>
    <x v="68"/>
  </r>
  <r>
    <n v="1489446"/>
    <n v="1158"/>
    <s v="Norway"/>
    <d v="2023-10-26T02:00:00"/>
    <s v="Website"/>
    <s v="Dominique Perrier"/>
    <n v="4889"/>
    <d v="2023-10-26T00:00:00"/>
    <d v="1899-12-30T02:00:00"/>
    <s v="October"/>
    <s v="Thursday"/>
    <s v="Outlier"/>
    <x v="0"/>
  </r>
  <r>
    <n v="1489846"/>
    <n v="1501"/>
    <s v="USA"/>
    <d v="2023-05-31T01:46:00"/>
    <s v="App"/>
    <s v="Martine Rance"/>
    <n v="1094"/>
    <d v="2023-05-31T00:00:00"/>
    <d v="1899-12-30T01:46:00"/>
    <s v="May"/>
    <s v="Wednesday"/>
    <s v="Outlier"/>
    <x v="66"/>
  </r>
  <r>
    <n v="1490112"/>
    <n v="348"/>
    <s v="France"/>
    <d v="2023-08-26T01:03:00"/>
    <s v="Other"/>
    <s v="Michael Frick"/>
    <n v="7429"/>
    <d v="2023-08-26T00:00:00"/>
    <d v="1899-12-30T01:03:00"/>
    <s v="August"/>
    <s v="Saturday"/>
    <s v="Outlier"/>
    <x v="57"/>
  </r>
  <r>
    <n v="1490458"/>
    <n v="1820"/>
    <s v="USA"/>
    <d v="2023-04-04T01:19:00"/>
    <s v="Whatsapp"/>
    <s v="Dominique Perrier"/>
    <n v="3873"/>
    <d v="2023-04-04T00:00:00"/>
    <d v="1899-12-30T01:19:00"/>
    <s v="April"/>
    <s v="Tuesday"/>
    <s v="Outlier"/>
    <x v="37"/>
  </r>
  <r>
    <n v="1490598"/>
    <n v="1613"/>
    <s v="USA"/>
    <d v="2023-09-15T00:13:00"/>
    <s v="Website"/>
    <s v="Juri Yoshido"/>
    <n v="2270"/>
    <d v="2023-09-15T00:00:00"/>
    <d v="1899-12-30T00:13:00"/>
    <s v="September"/>
    <s v="Friday"/>
    <s v="Outlier"/>
    <x v="37"/>
  </r>
  <r>
    <n v="1491354"/>
    <n v="1812"/>
    <s v="Spain"/>
    <d v="2023-10-26T02:07:00"/>
    <s v="App"/>
    <s v="Miguel Barajas"/>
    <n v="86"/>
    <d v="2023-10-26T00:00:00"/>
    <d v="1899-12-30T02:07:00"/>
    <s v="October"/>
    <s v="Thursday"/>
    <s v="Outlier"/>
    <x v="22"/>
  </r>
  <r>
    <n v="1491897"/>
    <n v="1955"/>
    <s v="Spain"/>
    <d v="2023-10-06T01:46:00"/>
    <s v="Whatsapp"/>
    <s v="Marta Hernandez"/>
    <n v="9703"/>
    <d v="2023-10-06T00:00:00"/>
    <d v="1899-12-30T01:46:00"/>
    <s v="October"/>
    <s v="Friday"/>
    <s v="Outlier"/>
    <x v="17"/>
  </r>
  <r>
    <n v="1492578"/>
    <n v="1234"/>
    <s v="USA"/>
    <d v="2023-08-26T00:22:00"/>
    <s v="Whatsapp"/>
    <s v="Matti Karttunen"/>
    <n v="3400"/>
    <d v="2023-08-26T00:00:00"/>
    <d v="1899-12-30T00:22:00"/>
    <s v="August"/>
    <s v="Saturday"/>
    <s v="Outlier"/>
    <x v="20"/>
  </r>
  <r>
    <n v="1493135"/>
    <n v="378"/>
    <s v="Switzerland"/>
    <d v="2023-08-08T23:20:00"/>
    <s v="Whatsapp"/>
    <s v="Henriette Pfalzheim"/>
    <n v="8000"/>
    <d v="2023-08-08T00:00:00"/>
    <d v="1899-12-30T23:20:00"/>
    <s v="August"/>
    <s v="Tuesday"/>
    <s v="Outlier"/>
    <x v="45"/>
  </r>
  <r>
    <n v="1494087"/>
    <n v="118"/>
    <s v="USA"/>
    <d v="2023-04-23T01:37:00"/>
    <s v="Website"/>
    <s v="Kee Kuo"/>
    <n v="6162"/>
    <d v="2023-04-23T00:00:00"/>
    <d v="1899-12-30T01:37:00"/>
    <s v="April"/>
    <s v="Sunday"/>
    <s v="Outlier"/>
    <x v="5"/>
  </r>
  <r>
    <n v="1494182"/>
    <n v="1512"/>
    <s v="Denmark"/>
    <d v="2023-11-24T23:39:00"/>
    <s v="App"/>
    <s v="Rosa Hernandez"/>
    <n v="775"/>
    <d v="2023-11-24T00:00:00"/>
    <d v="1899-12-30T23:39:00"/>
    <s v="November"/>
    <s v="Friday"/>
    <s v="Outlier"/>
    <x v="9"/>
  </r>
  <r>
    <n v="1494501"/>
    <n v="1519"/>
    <s v="Spain"/>
    <d v="2023-09-29T23:29:00"/>
    <s v="Other"/>
    <s v="Paul Henriot"/>
    <n v="5248"/>
    <d v="2023-09-29T00:00:00"/>
    <d v="1899-12-30T23:29:00"/>
    <s v="September"/>
    <s v="Friday"/>
    <s v="Outlier"/>
    <x v="1"/>
  </r>
  <r>
    <n v="1494544"/>
    <n v="651"/>
    <s v="USA"/>
    <d v="2023-06-20T01:59:00"/>
    <s v="App"/>
    <s v="Diego Freyre"/>
    <n v="1370"/>
    <d v="2023-06-20T00:00:00"/>
    <d v="1899-12-30T01:59:00"/>
    <s v="June"/>
    <s v="Tuesday"/>
    <s v="Outlier"/>
    <x v="57"/>
  </r>
  <r>
    <n v="1495611"/>
    <n v="1863"/>
    <s v="Spain"/>
    <d v="2023-10-19T23:24:00"/>
    <s v="App"/>
    <s v="Laurence Lebihan"/>
    <n v="3590"/>
    <d v="2023-10-19T00:00:00"/>
    <d v="1899-12-30T23:24:00"/>
    <s v="October"/>
    <s v="Thursday"/>
    <s v="Outlier"/>
    <x v="29"/>
  </r>
  <r>
    <n v="1496982"/>
    <n v="616"/>
    <s v="France"/>
    <d v="2023-07-02T01:03:00"/>
    <s v="Website"/>
    <s v="Diego Freyre"/>
    <n v="4824"/>
    <d v="2023-07-02T00:00:00"/>
    <d v="1899-12-30T01:03:00"/>
    <s v="July"/>
    <s v="Sunday"/>
    <s v="Outlier"/>
    <x v="28"/>
  </r>
  <r>
    <n v="1497326"/>
    <n v="1050"/>
    <s v="France"/>
    <d v="2023-11-29T01:29:00"/>
    <s v="Website"/>
    <s v="Valarie Nelson"/>
    <n v="1670"/>
    <d v="2023-11-29T00:00:00"/>
    <d v="1899-12-30T01:29:00"/>
    <s v="November"/>
    <s v="Wednesday"/>
    <s v="Outlier"/>
    <x v="34"/>
  </r>
  <r>
    <n v="1498622"/>
    <n v="1094"/>
    <s v="India"/>
    <d v="2023-09-22T00:11:00"/>
    <s v="App"/>
    <s v="Elizabeth Devon"/>
    <n v="6659"/>
    <d v="2023-09-22T00:00:00"/>
    <d v="1899-12-30T00:11:00"/>
    <s v="September"/>
    <s v="Friday"/>
    <s v="Outlier"/>
    <x v="50"/>
  </r>
  <r>
    <n v="1499914"/>
    <n v="684"/>
    <s v="Finland"/>
    <d v="2023-02-07T22:41:00"/>
    <s v="Whatsapp"/>
    <s v="Diego Freyre"/>
    <n v="7716"/>
    <d v="2023-02-07T00:00:00"/>
    <d v="1899-12-30T22:41:00"/>
    <s v="February"/>
    <s v="Tuesday"/>
    <s v="Outlier"/>
    <x v="51"/>
  </r>
  <r>
    <n v="1500165"/>
    <n v="979"/>
    <s v="Australia"/>
    <d v="2023-05-15T23:21:00"/>
    <s v="Whatsapp"/>
    <s v="Marie Bertrand"/>
    <n v="3867"/>
    <d v="2023-05-15T00:00:00"/>
    <d v="1899-12-30T23:21:00"/>
    <s v="May"/>
    <s v="Monday"/>
    <s v="Outlier"/>
    <x v="59"/>
  </r>
  <r>
    <n v="1500373"/>
    <n v="746"/>
    <s v="USA"/>
    <d v="2023-04-19T22:50:00"/>
    <s v="Whatsapp"/>
    <s v="Jeff Young"/>
    <n v="1017"/>
    <d v="2023-04-19T00:00:00"/>
    <d v="1899-12-30T22:50:00"/>
    <s v="April"/>
    <s v="Wednesday"/>
    <s v="Outlier"/>
    <x v="21"/>
  </r>
  <r>
    <n v="1500639"/>
    <n v="298"/>
    <s v="Spain"/>
    <d v="2023-06-22T00:55:00"/>
    <s v="Website"/>
    <s v="Kalle Suominen"/>
    <n v="611"/>
    <d v="2023-06-22T00:00:00"/>
    <d v="1899-12-30T00:55:00"/>
    <s v="June"/>
    <s v="Thursday"/>
    <s v="Outlier"/>
    <x v="6"/>
  </r>
  <r>
    <n v="1501027"/>
    <n v="1645"/>
    <s v="Australia"/>
    <d v="2023-07-06T00:27:00"/>
    <s v="Whatsapp"/>
    <s v="Pirkko Koskitalo"/>
    <n v="7105"/>
    <d v="2023-07-06T00:00:00"/>
    <d v="1899-12-30T00:27:00"/>
    <s v="July"/>
    <s v="Thursday"/>
    <s v="Outlier"/>
    <x v="46"/>
  </r>
  <r>
    <n v="1502119"/>
    <n v="214"/>
    <s v="USA"/>
    <d v="2023-09-23T23:28:00"/>
    <s v="App"/>
    <s v="Eric Natividad"/>
    <n v="8968"/>
    <d v="2023-09-23T00:00:00"/>
    <d v="1899-12-30T23:28:00"/>
    <s v="September"/>
    <s v="Saturday"/>
    <s v="Outlier"/>
    <x v="65"/>
  </r>
  <r>
    <n v="1502209"/>
    <n v="1512"/>
    <s v="Denmark"/>
    <d v="2023-02-27T23:36:00"/>
    <s v="Website"/>
    <s v="Ann Brown"/>
    <n v="9349"/>
    <d v="2023-02-27T00:00:00"/>
    <d v="1899-12-30T23:36:00"/>
    <s v="February"/>
    <s v="Monday"/>
    <s v="Outlier"/>
    <x v="9"/>
  </r>
  <r>
    <n v="1503185"/>
    <n v="738"/>
    <s v="France"/>
    <d v="2023-08-02T00:34:00"/>
    <s v="Whatsapp"/>
    <s v="Jose Pedro Roel"/>
    <n v="7706"/>
    <d v="2023-08-02T00:00:00"/>
    <d v="1899-12-30T00:34:00"/>
    <s v="August"/>
    <s v="Wednesday"/>
    <s v="Outlier"/>
    <x v="5"/>
  </r>
  <r>
    <n v="1503619"/>
    <n v="621"/>
    <s v="USA"/>
    <d v="2023-01-17T00:54:00"/>
    <s v="Other"/>
    <s v="Steve Frick"/>
    <n v="4436"/>
    <d v="2023-01-17T00:00:00"/>
    <d v="1899-12-30T00:54:00"/>
    <s v="January"/>
    <s v="Tuesday"/>
    <s v="Outlier"/>
    <x v="63"/>
  </r>
  <r>
    <n v="1503941"/>
    <n v="1910"/>
    <s v="France"/>
    <d v="2023-11-14T02:00:00"/>
    <s v="Whatsapp"/>
    <s v="Valarie Franco"/>
    <n v="4898"/>
    <d v="2023-11-14T00:00:00"/>
    <d v="1899-12-30T02:00:00"/>
    <s v="November"/>
    <s v="Tuesday"/>
    <s v="Outlier"/>
    <x v="66"/>
  </r>
  <r>
    <n v="1506022"/>
    <n v="949"/>
    <s v="Norway"/>
    <d v="2023-01-06T00:29:00"/>
    <s v="Whatsapp"/>
    <s v="Sue Taylor"/>
    <n v="8624"/>
    <d v="2023-01-06T00:00:00"/>
    <d v="1899-12-30T00:29:00"/>
    <s v="January"/>
    <s v="Friday"/>
    <s v="Outlier"/>
    <x v="37"/>
  </r>
  <r>
    <n v="1506385"/>
    <n v="294"/>
    <s v="France"/>
    <d v="2023-12-08T23:15:00"/>
    <s v="Other"/>
    <s v="Valarie Nelson"/>
    <n v="5490"/>
    <d v="2023-12-08T00:00:00"/>
    <d v="1899-12-30T23:15:00"/>
    <s v="December"/>
    <s v="Friday"/>
    <s v="Outlier"/>
    <x v="35"/>
  </r>
  <r>
    <n v="1507608"/>
    <n v="1886"/>
    <s v="Australia"/>
    <d v="2023-05-31T01:04:00"/>
    <s v="Whatsapp"/>
    <s v="Diego Freyre"/>
    <n v="8078"/>
    <d v="2023-05-31T00:00:00"/>
    <d v="1899-12-30T01:04:00"/>
    <s v="May"/>
    <s v="Wednesday"/>
    <s v="Outlier"/>
    <x v="9"/>
  </r>
  <r>
    <n v="1508121"/>
    <n v="1786"/>
    <s v="Singapore"/>
    <d v="2023-04-22T00:58:00"/>
    <s v="Whatsapp"/>
    <s v="Wendy Victorino"/>
    <n v="4650"/>
    <d v="2023-04-22T00:00:00"/>
    <d v="1899-12-30T00:58:00"/>
    <s v="April"/>
    <s v="Saturday"/>
    <s v="Outlier"/>
    <x v="61"/>
  </r>
  <r>
    <n v="1508428"/>
    <n v="1815"/>
    <s v="Austria"/>
    <d v="2023-03-30T00:48:00"/>
    <s v="Other"/>
    <s v="Valarie Nelson"/>
    <n v="5995"/>
    <d v="2023-03-30T00:00:00"/>
    <d v="1899-12-30T00:48:00"/>
    <s v="March"/>
    <s v="Thursday"/>
    <s v="Outlier"/>
    <x v="64"/>
  </r>
  <r>
    <n v="1508568"/>
    <n v="979"/>
    <s v="Australia"/>
    <d v="2023-12-24T00:49:00"/>
    <s v="Other"/>
    <s v="Kyung Yu"/>
    <n v="3218"/>
    <d v="2023-12-24T00:00:00"/>
    <d v="1899-12-30T00:49:00"/>
    <s v="December"/>
    <s v="Sunday"/>
    <s v="Outlier"/>
    <x v="59"/>
  </r>
  <r>
    <n v="1508707"/>
    <n v="376"/>
    <s v="India"/>
    <d v="2023-02-07T23:22:00"/>
    <s v="App"/>
    <s v="Kwai Yu"/>
    <n v="8491"/>
    <d v="2023-02-07T00:00:00"/>
    <d v="1899-12-30T23:22:00"/>
    <s v="February"/>
    <s v="Tuesday"/>
    <s v="Outlier"/>
    <x v="20"/>
  </r>
  <r>
    <n v="1508738"/>
    <n v="1408"/>
    <s v="USA"/>
    <d v="2023-08-26T00:50:00"/>
    <s v="Other"/>
    <s v="Marta Hernandez"/>
    <n v="8503"/>
    <d v="2023-08-26T00:00:00"/>
    <d v="1899-12-30T00:50:00"/>
    <s v="August"/>
    <s v="Saturday"/>
    <s v="Outlier"/>
    <x v="17"/>
  </r>
  <r>
    <n v="1509554"/>
    <n v="610"/>
    <s v="France"/>
    <d v="2023-04-16T00:34:00"/>
    <s v="App"/>
    <s v="Yoshi Tannamuri"/>
    <n v="4098"/>
    <d v="2023-04-16T00:00:00"/>
    <d v="1899-12-30T00:34:00"/>
    <s v="April"/>
    <s v="Sunday"/>
    <s v="Outlier"/>
    <x v="14"/>
  </r>
  <r>
    <n v="1509587"/>
    <n v="822"/>
    <s v="USA"/>
    <d v="2023-12-08T00:16:00"/>
    <s v="Whatsapp"/>
    <s v="Jonas Bergulfsen"/>
    <n v="43"/>
    <d v="2023-12-08T00:00:00"/>
    <d v="1899-12-30T00:16:00"/>
    <s v="December"/>
    <s v="Friday"/>
    <s v="Outlier"/>
    <x v="65"/>
  </r>
  <r>
    <n v="1509701"/>
    <n v="1109"/>
    <s v="India"/>
    <d v="2023-10-27T00:35:00"/>
    <s v="Other"/>
    <s v="Valarie Nelson"/>
    <n v="1460"/>
    <d v="2023-10-27T00:00:00"/>
    <d v="1899-12-30T00:35:00"/>
    <s v="October"/>
    <s v="Friday"/>
    <s v="Outlier"/>
    <x v="46"/>
  </r>
  <r>
    <n v="1512442"/>
    <n v="1243"/>
    <s v="Spain"/>
    <d v="2023-06-18T00:35:00"/>
    <s v="App"/>
    <s v="Jeff Young"/>
    <n v="7379"/>
    <d v="2023-06-18T00:00:00"/>
    <d v="1899-12-30T00:35:00"/>
    <s v="June"/>
    <s v="Sunday"/>
    <s v="Outlier"/>
    <x v="32"/>
  </r>
  <r>
    <n v="1512481"/>
    <n v="1560"/>
    <s v="Singapore"/>
    <d v="2023-02-06T00:54:00"/>
    <s v="Other"/>
    <s v="Paul Henriot"/>
    <n v="1363"/>
    <d v="2023-02-06T00:00:00"/>
    <d v="1899-12-30T00:54:00"/>
    <s v="February"/>
    <s v="Monday"/>
    <s v="Outlier"/>
    <x v="40"/>
  </r>
  <r>
    <n v="1513008"/>
    <n v="1980"/>
    <s v="Switzerland"/>
    <d v="2023-07-26T00:57:00"/>
    <s v="App"/>
    <s v="Valarie Nelson"/>
    <n v="4837"/>
    <d v="2023-07-26T00:00:00"/>
    <d v="1899-12-30T00:57:00"/>
    <s v="July"/>
    <s v="Wednesday"/>
    <s v="Outlier"/>
    <x v="56"/>
  </r>
  <r>
    <n v="1513475"/>
    <n v="375"/>
    <s v="Australia"/>
    <d v="2023-06-02T00:50:00"/>
    <s v="App"/>
    <s v="Diego Freyre"/>
    <n v="7352"/>
    <d v="2023-06-02T00:00:00"/>
    <d v="1899-12-30T00:50:00"/>
    <s v="June"/>
    <s v="Friday"/>
    <s v="Outlier"/>
    <x v="23"/>
  </r>
  <r>
    <n v="1513796"/>
    <n v="218"/>
    <s v="France"/>
    <d v="2023-06-23T23:56:00"/>
    <s v="Other"/>
    <s v="Diego Freyre"/>
    <n v="520"/>
    <d v="2023-06-23T00:00:00"/>
    <d v="1899-12-30T23:56:00"/>
    <s v="June"/>
    <s v="Friday"/>
    <s v="Outlier"/>
    <x v="6"/>
  </r>
  <r>
    <n v="1513980"/>
    <n v="1164"/>
    <s v="USA"/>
    <d v="2023-02-14T23:42:00"/>
    <s v="Website"/>
    <s v="Diego Freyre"/>
    <n v="5236"/>
    <d v="2023-02-14T00:00:00"/>
    <d v="1899-12-30T23:42:00"/>
    <s v="February"/>
    <s v="Tuesday"/>
    <s v="Outlier"/>
    <x v="42"/>
  </r>
  <r>
    <n v="1514182"/>
    <n v="992"/>
    <s v="USA"/>
    <d v="2023-01-14T00:18:00"/>
    <s v="App"/>
    <s v="Janine Labrune"/>
    <n v="4187"/>
    <d v="2023-01-14T00:00:00"/>
    <d v="1899-12-30T00:18:00"/>
    <s v="January"/>
    <s v="Saturday"/>
    <s v="Outlier"/>
    <x v="66"/>
  </r>
  <r>
    <n v="1515579"/>
    <n v="982"/>
    <s v="USA"/>
    <d v="2023-05-06T00:51:00"/>
    <s v="App"/>
    <s v="Diego Freyre"/>
    <n v="811"/>
    <d v="2023-05-06T00:00:00"/>
    <d v="1899-12-30T00:51:00"/>
    <s v="May"/>
    <s v="Saturday"/>
    <s v="Outlier"/>
    <x v="31"/>
  </r>
  <r>
    <n v="1516849"/>
    <n v="108"/>
    <s v="Spain"/>
    <d v="2023-06-03T00:22:00"/>
    <s v="App"/>
    <s v="Pascale Cartrain"/>
    <n v="5536"/>
    <d v="2023-06-03T00:00:00"/>
    <d v="1899-12-30T00:22:00"/>
    <s v="June"/>
    <s v="Saturday"/>
    <s v="Outlier"/>
    <x v="42"/>
  </r>
  <r>
    <n v="1516974"/>
    <n v="136"/>
    <s v="USA"/>
    <d v="2023-05-11T00:55:00"/>
    <s v="Other"/>
    <s v="Jeff Young"/>
    <n v="1042"/>
    <d v="2023-05-11T00:00:00"/>
    <d v="1899-12-30T00:55:00"/>
    <s v="May"/>
    <s v="Thursday"/>
    <s v="Outlier"/>
    <x v="40"/>
  </r>
  <r>
    <n v="1519463"/>
    <n v="266"/>
    <s v="USA"/>
    <d v="2023-01-10T23:28:00"/>
    <s v="Whatsapp"/>
    <s v="Valarie Nelson"/>
    <n v="5361"/>
    <d v="2023-01-10T00:00:00"/>
    <d v="1899-12-30T23:28:00"/>
    <s v="January"/>
    <s v="Tuesday"/>
    <s v="Outlier"/>
    <x v="2"/>
  </r>
  <r>
    <n v="1520253"/>
    <n v="1775"/>
    <s v="USA"/>
    <d v="2023-09-23T23:52:00"/>
    <s v="Website"/>
    <s v="Tony Calaghan"/>
    <n v="429"/>
    <d v="2023-09-23T00:00:00"/>
    <d v="1899-12-30T23:52:00"/>
    <s v="September"/>
    <s v="Saturday"/>
    <s v="Outlier"/>
    <x v="53"/>
  </r>
  <r>
    <n v="1521124"/>
    <n v="1828"/>
    <s v="Finland"/>
    <d v="2023-03-28T01:53:00"/>
    <s v="Whatsapp"/>
    <s v="Eric Natividad"/>
    <n v="8408"/>
    <d v="2023-03-28T00:00:00"/>
    <d v="1899-12-30T01:53:00"/>
    <s v="March"/>
    <s v="Tuesday"/>
    <s v="Outlier"/>
    <x v="66"/>
  </r>
  <r>
    <n v="1521957"/>
    <n v="347"/>
    <s v="Denmark"/>
    <d v="2023-11-06T23:18:00"/>
    <s v="Other"/>
    <s v="Maurizio Moroni"/>
    <n v="2198"/>
    <d v="2023-11-06T00:00:00"/>
    <d v="1899-12-30T23:18:00"/>
    <s v="November"/>
    <s v="Monday"/>
    <s v="Outlier"/>
    <x v="0"/>
  </r>
  <r>
    <n v="1522932"/>
    <n v="1737"/>
    <s v="Singapore"/>
    <d v="2023-11-08T00:44:00"/>
    <s v="App"/>
    <s v="Jose Pedro Roel"/>
    <n v="2633"/>
    <d v="2023-11-08T00:00:00"/>
    <d v="1899-12-30T00:44:00"/>
    <s v="November"/>
    <s v="Wednesday"/>
    <s v="Outlier"/>
    <x v="52"/>
  </r>
  <r>
    <n v="1524093"/>
    <n v="104"/>
    <s v="Australia"/>
    <d v="2023-10-17T23:20:00"/>
    <s v="Website"/>
    <s v="Steve Frick"/>
    <n v="6754"/>
    <d v="2023-10-17T00:00:00"/>
    <d v="1899-12-30T23:20:00"/>
    <s v="October"/>
    <s v="Tuesday"/>
    <s v="Outlier"/>
    <x v="7"/>
  </r>
  <r>
    <n v="1524999"/>
    <n v="333"/>
    <s v="Germany"/>
    <d v="2023-01-17T23:25:00"/>
    <s v="Other"/>
    <s v="Valarie Franco"/>
    <n v="1766"/>
    <d v="2023-01-17T00:00:00"/>
    <d v="1899-12-30T23:25:00"/>
    <s v="January"/>
    <s v="Tuesday"/>
    <s v="Outlier"/>
    <x v="64"/>
  </r>
  <r>
    <n v="1525718"/>
    <n v="255"/>
    <s v="Italy"/>
    <d v="2023-08-23T01:22:00"/>
    <s v="Whatsapp"/>
    <s v="Dean Cassidy"/>
    <n v="1434"/>
    <d v="2023-08-23T00:00:00"/>
    <d v="1899-12-30T01:22:00"/>
    <s v="August"/>
    <s v="Wednesday"/>
    <s v="Outlier"/>
    <x v="14"/>
  </r>
  <r>
    <n v="1526107"/>
    <n v="1781"/>
    <s v="Denmark"/>
    <d v="2023-05-05T22:36:00"/>
    <s v="Website"/>
    <s v="Roland Keitel"/>
    <n v="399"/>
    <d v="2023-05-05T00:00:00"/>
    <d v="1899-12-30T22:36:00"/>
    <s v="May"/>
    <s v="Friday"/>
    <s v="Outlier"/>
    <x v="3"/>
  </r>
  <r>
    <n v="1526749"/>
    <n v="1926"/>
    <s v="Spain"/>
    <d v="2023-08-13T00:40:00"/>
    <s v="App"/>
    <s v="Kalle Suominen"/>
    <n v="7714"/>
    <d v="2023-08-13T00:00:00"/>
    <d v="1899-12-30T00:40:00"/>
    <s v="August"/>
    <s v="Sunday"/>
    <s v="Outlier"/>
    <x v="32"/>
  </r>
  <r>
    <n v="1527612"/>
    <n v="1654"/>
    <s v="USA"/>
    <d v="2023-10-17T22:35:00"/>
    <s v="Other"/>
    <s v="Kyung Yu"/>
    <n v="1813"/>
    <d v="2023-10-17T00:00:00"/>
    <d v="1899-12-30T22:35:00"/>
    <s v="October"/>
    <s v="Tuesday"/>
    <s v="Outlier"/>
    <x v="72"/>
  </r>
  <r>
    <n v="1528079"/>
    <n v="150"/>
    <s v="USA"/>
    <d v="2023-12-13T00:05:00"/>
    <s v="Other"/>
    <s v="Valarie Nelson"/>
    <n v="8608"/>
    <d v="2023-12-13T00:00:00"/>
    <d v="1899-12-30T00:05:00"/>
    <s v="December"/>
    <s v="Wednesday"/>
    <s v="Outlier"/>
    <x v="34"/>
  </r>
  <r>
    <n v="1528540"/>
    <n v="913"/>
    <s v="USA"/>
    <d v="2023-02-03T01:54:00"/>
    <s v="Whatsapp"/>
    <s v="Kwai Yu"/>
    <n v="9004"/>
    <d v="2023-02-03T00:00:00"/>
    <d v="1899-12-30T01:54:00"/>
    <s v="February"/>
    <s v="Friday"/>
    <s v="Outlier"/>
    <x v="9"/>
  </r>
  <r>
    <n v="1529840"/>
    <n v="1794"/>
    <s v="Australia"/>
    <d v="2023-03-03T00:33:00"/>
    <s v="Whatsapp"/>
    <s v="Victoria Ashworth"/>
    <n v="1054"/>
    <d v="2023-03-03T00:00:00"/>
    <d v="1899-12-30T00:33:00"/>
    <s v="March"/>
    <s v="Friday"/>
    <s v="Outlier"/>
    <x v="10"/>
  </r>
  <r>
    <n v="1530454"/>
    <n v="499"/>
    <s v="Australia"/>
    <d v="2023-04-27T23:01:00"/>
    <s v="Website"/>
    <s v="Palle Ibsen"/>
    <n v="7456"/>
    <d v="2023-04-27T00:00:00"/>
    <d v="1899-12-30T23:01:00"/>
    <s v="April"/>
    <s v="Thursday"/>
    <s v="Outlier"/>
    <x v="20"/>
  </r>
  <r>
    <n v="1532546"/>
    <n v="1032"/>
    <s v="France"/>
    <d v="2023-11-15T00:35:00"/>
    <s v="App"/>
    <s v="Jonas Bergulfsen"/>
    <n v="5274"/>
    <d v="2023-11-15T00:00:00"/>
    <d v="1899-12-30T00:35:00"/>
    <s v="November"/>
    <s v="Wednesday"/>
    <s v="Outlier"/>
    <x v="29"/>
  </r>
  <r>
    <n v="1532610"/>
    <n v="1871"/>
    <s v="Italy"/>
    <d v="2023-08-21T00:03:00"/>
    <s v="Whatsapp"/>
    <s v="Marie Bertrand"/>
    <n v="8644"/>
    <d v="2023-08-21T00:00:00"/>
    <d v="1899-12-30T00:03:00"/>
    <s v="August"/>
    <s v="Monday"/>
    <s v="Outlier"/>
    <x v="22"/>
  </r>
  <r>
    <n v="1534392"/>
    <n v="112"/>
    <s v="USA"/>
    <d v="2023-01-26T23:02:00"/>
    <s v="Website"/>
    <s v="Diego Freyre"/>
    <n v="2347"/>
    <d v="2023-01-26T00:00:00"/>
    <d v="1899-12-30T23:02:00"/>
    <s v="January"/>
    <s v="Thursday"/>
    <s v="Outlier"/>
    <x v="41"/>
  </r>
  <r>
    <n v="1535140"/>
    <n v="548"/>
    <s v="USA"/>
    <d v="2023-05-25T00:58:00"/>
    <s v="Other"/>
    <s v="Paul Henriot"/>
    <n v="5570"/>
    <d v="2023-05-25T00:00:00"/>
    <d v="1899-12-30T00:58:00"/>
    <s v="May"/>
    <s v="Thursday"/>
    <s v="Outlier"/>
    <x v="68"/>
  </r>
  <r>
    <n v="1536418"/>
    <n v="760"/>
    <s v="India"/>
    <d v="2023-06-06T22:40:00"/>
    <s v="Website"/>
    <s v="Valarie Nelson"/>
    <n v="5883"/>
    <d v="2023-06-06T00:00:00"/>
    <d v="1899-12-30T22:40:00"/>
    <s v="June"/>
    <s v="Tuesday"/>
    <s v="Outlier"/>
    <x v="13"/>
  </r>
  <r>
    <n v="1536698"/>
    <n v="127"/>
    <s v="Denmark"/>
    <d v="2023-11-10T02:07:00"/>
    <s v="Whatsapp"/>
    <s v="Diego Freyre"/>
    <n v="2350"/>
    <d v="2023-11-10T00:00:00"/>
    <d v="1899-12-30T02:07:00"/>
    <s v="November"/>
    <s v="Friday"/>
    <s v="Outlier"/>
    <x v="56"/>
  </r>
  <r>
    <n v="1536890"/>
    <n v="1364"/>
    <s v="France"/>
    <d v="2023-08-16T01:22:00"/>
    <s v="App"/>
    <s v="Diego Freyre"/>
    <n v="7711"/>
    <d v="2023-08-16T00:00:00"/>
    <d v="1899-12-30T01:22:00"/>
    <s v="August"/>
    <s v="Wednesday"/>
    <s v="Outlier"/>
    <x v="43"/>
  </r>
  <r>
    <n v="1536982"/>
    <n v="742"/>
    <s v="USA"/>
    <d v="2023-04-02T00:12:00"/>
    <s v="Other"/>
    <s v="Julie King"/>
    <n v="5486"/>
    <d v="2023-04-02T00:00:00"/>
    <d v="1899-12-30T00:12:00"/>
    <s v="April"/>
    <s v="Sunday"/>
    <s v="Outlier"/>
    <x v="42"/>
  </r>
  <r>
    <n v="1538322"/>
    <n v="1752"/>
    <s v="Australia"/>
    <d v="2023-10-20T23:44:00"/>
    <s v="Website"/>
    <s v="Jonas Bergulfsen"/>
    <n v="6645"/>
    <d v="2023-10-20T00:00:00"/>
    <d v="1899-12-30T23:44:00"/>
    <s v="October"/>
    <s v="Friday"/>
    <s v="Outlier"/>
    <x v="63"/>
  </r>
  <r>
    <n v="1538360"/>
    <n v="1824"/>
    <s v="USA"/>
    <d v="2023-02-03T23:01:00"/>
    <s v="Whatsapp"/>
    <s v="Valarie Nelson"/>
    <n v="4448"/>
    <d v="2023-02-03T00:00:00"/>
    <d v="1899-12-30T23:01:00"/>
    <s v="February"/>
    <s v="Friday"/>
    <s v="Outlier"/>
    <x v="31"/>
  </r>
  <r>
    <n v="1541893"/>
    <n v="1860"/>
    <s v="Spain"/>
    <d v="2023-01-30T23:40:00"/>
    <s v="Website"/>
    <s v="Mart¡n Sommer"/>
    <n v="1027"/>
    <d v="2023-01-30T00:00:00"/>
    <d v="1899-12-30T23:40:00"/>
    <s v="January"/>
    <s v="Monday"/>
    <s v="Outlier"/>
    <x v="57"/>
  </r>
  <r>
    <n v="1542275"/>
    <n v="1647"/>
    <s v="USA"/>
    <d v="2023-08-27T01:43:00"/>
    <s v="Whatsapp"/>
    <s v="Juri Hirano"/>
    <n v="8992"/>
    <d v="2023-08-27T00:00:00"/>
    <d v="1899-12-30T01:43:00"/>
    <s v="August"/>
    <s v="Sunday"/>
    <s v="Outlier"/>
    <x v="13"/>
  </r>
  <r>
    <n v="1542373"/>
    <n v="1267"/>
    <s v="Italy"/>
    <d v="2023-05-13T00:40:00"/>
    <s v="Whatsapp"/>
    <s v="Eric Natividad"/>
    <n v="3468"/>
    <d v="2023-05-13T00:00:00"/>
    <d v="1899-12-30T00:40:00"/>
    <s v="May"/>
    <s v="Saturday"/>
    <s v="Outlier"/>
    <x v="14"/>
  </r>
  <r>
    <n v="1543099"/>
    <n v="1489"/>
    <s v="Spain"/>
    <d v="2023-02-17T22:44:00"/>
    <s v="Whatsapp"/>
    <s v="Roland Mendel"/>
    <n v="5530"/>
    <d v="2023-02-17T00:00:00"/>
    <d v="1899-12-30T22:44:00"/>
    <s v="February"/>
    <s v="Friday"/>
    <s v="Outlier"/>
    <x v="7"/>
  </r>
  <r>
    <n v="1543135"/>
    <n v="647"/>
    <s v="Australia"/>
    <d v="2023-06-07T01:04:00"/>
    <s v="App"/>
    <s v="Ann Brown"/>
    <n v="9026"/>
    <d v="2023-06-07T00:00:00"/>
    <d v="1899-12-30T01:04:00"/>
    <s v="June"/>
    <s v="Wednesday"/>
    <s v="Outlier"/>
    <x v="15"/>
  </r>
  <r>
    <n v="1543232"/>
    <n v="871"/>
    <s v="Italy"/>
    <d v="2023-06-26T00:25:00"/>
    <s v="Website"/>
    <s v="Francisca Cervantes"/>
    <n v="2237"/>
    <d v="2023-06-26T00:00:00"/>
    <d v="1899-12-30T00:25:00"/>
    <s v="June"/>
    <s v="Monday"/>
    <s v="Outlier"/>
    <x v="15"/>
  </r>
  <r>
    <n v="1543526"/>
    <n v="1554"/>
    <s v="Germany"/>
    <d v="2023-06-24T00:08:00"/>
    <s v="Website"/>
    <s v="Mary Saveley"/>
    <n v="9175"/>
    <d v="2023-06-24T00:00:00"/>
    <d v="1899-12-30T00:08:00"/>
    <s v="June"/>
    <s v="Saturday"/>
    <s v="Outlier"/>
    <x v="44"/>
  </r>
  <r>
    <n v="1544633"/>
    <n v="714"/>
    <s v="USA"/>
    <d v="2023-08-19T01:09:00"/>
    <s v="Other"/>
    <s v="Yoshi Tannamuri"/>
    <n v="347"/>
    <d v="2023-08-19T00:00:00"/>
    <d v="1899-12-30T01:09:00"/>
    <s v="August"/>
    <s v="Saturday"/>
    <s v="Outlier"/>
    <x v="5"/>
  </r>
  <r>
    <n v="1545246"/>
    <n v="1069"/>
    <s v="Australia"/>
    <d v="2023-02-27T01:13:00"/>
    <s v="Website"/>
    <s v="Wendy Victorino"/>
    <n v="5132"/>
    <d v="2023-02-27T00:00:00"/>
    <d v="1899-12-30T01:13:00"/>
    <s v="February"/>
    <s v="Monday"/>
    <s v="Outlier"/>
    <x v="16"/>
  </r>
  <r>
    <n v="1546512"/>
    <n v="33"/>
    <s v="Spain"/>
    <d v="2023-12-24T00:56:00"/>
    <s v="Website"/>
    <s v="Valarie Nelson"/>
    <n v="9521"/>
    <d v="2023-12-24T00:00:00"/>
    <d v="1899-12-30T00:56:00"/>
    <s v="December"/>
    <s v="Sunday"/>
    <s v="Outlier"/>
    <x v="62"/>
  </r>
  <r>
    <n v="1546802"/>
    <n v="1394"/>
    <s v="USA"/>
    <d v="2023-09-01T00:26:00"/>
    <s v="Website"/>
    <s v="Leslie Murphy"/>
    <n v="8149"/>
    <d v="2023-09-01T00:00:00"/>
    <d v="1899-12-30T00:26:00"/>
    <s v="September"/>
    <s v="Friday"/>
    <s v="Outlier"/>
    <x v="30"/>
  </r>
  <r>
    <n v="1547057"/>
    <n v="18"/>
    <s v="USA"/>
    <d v="2023-05-14T00:44:00"/>
    <s v="Other"/>
    <s v="Akiko Shimamura"/>
    <n v="9727"/>
    <d v="2023-05-14T00:00:00"/>
    <d v="1899-12-30T00:44:00"/>
    <s v="May"/>
    <s v="Sunday"/>
    <s v="Outlier"/>
    <x v="67"/>
  </r>
  <r>
    <n v="1548032"/>
    <n v="1733"/>
    <s v="Italy"/>
    <d v="2023-10-17T01:23:00"/>
    <s v="Whatsapp"/>
    <s v="Adrian Huxley"/>
    <n v="3053"/>
    <d v="2023-10-17T00:00:00"/>
    <d v="1899-12-30T01:23:00"/>
    <s v="October"/>
    <s v="Tuesday"/>
    <s v="Outlier"/>
    <x v="24"/>
  </r>
  <r>
    <n v="1548655"/>
    <n v="327"/>
    <s v="India"/>
    <d v="2023-08-21T00:46:00"/>
    <s v="Website"/>
    <s v="Kyung Yu"/>
    <n v="8582"/>
    <d v="2023-08-21T00:00:00"/>
    <d v="1899-12-30T00:46:00"/>
    <s v="August"/>
    <s v="Monday"/>
    <s v="Outlier"/>
    <x v="24"/>
  </r>
  <r>
    <n v="1548735"/>
    <n v="90"/>
    <s v="USA"/>
    <d v="2023-08-02T23:20:00"/>
    <s v="Whatsapp"/>
    <s v="Maria Larsson"/>
    <n v="1069"/>
    <d v="2023-08-02T00:00:00"/>
    <d v="1899-12-30T23:20:00"/>
    <s v="August"/>
    <s v="Wednesday"/>
    <s v="Outlier"/>
    <x v="68"/>
  </r>
  <r>
    <n v="1549353"/>
    <n v="1603"/>
    <s v="USA"/>
    <d v="2023-09-13T01:24:00"/>
    <s v="Website"/>
    <s v="Daniel Tonini"/>
    <n v="2101"/>
    <d v="2023-09-13T00:00:00"/>
    <d v="1899-12-30T01:24:00"/>
    <s v="September"/>
    <s v="Wednesday"/>
    <s v="Outlier"/>
    <x v="38"/>
  </r>
  <r>
    <n v="1550005"/>
    <n v="1984"/>
    <s v="Australia"/>
    <d v="2023-03-17T00:55:00"/>
    <s v="Website"/>
    <s v="Yoshi Tannamuri"/>
    <n v="2075"/>
    <d v="2023-03-17T00:00:00"/>
    <d v="1899-12-30T00:55:00"/>
    <s v="March"/>
    <s v="Friday"/>
    <s v="Outlier"/>
    <x v="23"/>
  </r>
  <r>
    <n v="1550154"/>
    <n v="1589"/>
    <s v="USA"/>
    <d v="2023-05-14T01:45:00"/>
    <s v="Website"/>
    <s v="Michael Frick"/>
    <n v="3729"/>
    <d v="2023-05-14T00:00:00"/>
    <d v="1899-12-30T01:45:00"/>
    <s v="May"/>
    <s v="Sunday"/>
    <s v="Outlier"/>
    <x v="1"/>
  </r>
  <r>
    <n v="1550175"/>
    <n v="308"/>
    <s v="Spain"/>
    <d v="2023-03-03T23:39:00"/>
    <s v="Website"/>
    <s v="Julie Murphy"/>
    <n v="6486"/>
    <d v="2023-03-03T00:00:00"/>
    <d v="1899-12-30T23:39:00"/>
    <s v="March"/>
    <s v="Friday"/>
    <s v="Outlier"/>
    <x v="28"/>
  </r>
  <r>
    <n v="1551349"/>
    <n v="694"/>
    <s v="Finland"/>
    <d v="2023-10-28T01:13:00"/>
    <s v="App"/>
    <s v="Mart¡n Sommer"/>
    <n v="9059"/>
    <d v="2023-10-28T00:00:00"/>
    <d v="1899-12-30T01:13:00"/>
    <s v="October"/>
    <s v="Saturday"/>
    <s v="Outlier"/>
    <x v="40"/>
  </r>
  <r>
    <n v="1551563"/>
    <n v="394"/>
    <s v="India"/>
    <d v="2023-12-07T01:39:00"/>
    <s v="Whatsapp"/>
    <s v="Diego Freyre"/>
    <n v="932"/>
    <d v="2023-12-07T00:00:00"/>
    <d v="1899-12-30T01:39:00"/>
    <s v="December"/>
    <s v="Thursday"/>
    <s v="Outlier"/>
    <x v="48"/>
  </r>
  <r>
    <n v="1552540"/>
    <n v="1457"/>
    <s v="Australia"/>
    <d v="2023-08-23T23:48:00"/>
    <s v="Other"/>
    <s v="Anna O'Hara"/>
    <n v="9266"/>
    <d v="2023-08-23T00:00:00"/>
    <d v="1899-12-30T23:48:00"/>
    <s v="August"/>
    <s v="Wednesday"/>
    <s v="Outlier"/>
    <x v="22"/>
  </r>
  <r>
    <n v="1553612"/>
    <n v="1628"/>
    <s v="USA"/>
    <d v="2023-05-09T00:16:00"/>
    <s v="Website"/>
    <s v="Valarie Nelson"/>
    <n v="6089"/>
    <d v="2023-05-09T00:00:00"/>
    <d v="1899-12-30T00:16:00"/>
    <s v="May"/>
    <s v="Tuesday"/>
    <s v="Outlier"/>
    <x v="33"/>
  </r>
  <r>
    <n v="1553858"/>
    <n v="699"/>
    <s v="USA"/>
    <d v="2023-08-31T01:16:00"/>
    <s v="App"/>
    <s v="Jean Fresnisre"/>
    <n v="7598"/>
    <d v="2023-08-31T00:00:00"/>
    <d v="1899-12-30T01:16:00"/>
    <s v="August"/>
    <s v="Thursday"/>
    <s v="Outlier"/>
    <x v="17"/>
  </r>
  <r>
    <n v="1555572"/>
    <n v="1665"/>
    <s v="Switzerland"/>
    <d v="2023-03-21T01:03:00"/>
    <s v="App"/>
    <s v="Diego Freyre"/>
    <n v="1259"/>
    <d v="2023-03-21T00:00:00"/>
    <d v="1899-12-30T01:03:00"/>
    <s v="March"/>
    <s v="Tuesday"/>
    <s v="Outlier"/>
    <x v="11"/>
  </r>
  <r>
    <n v="1556551"/>
    <n v="556"/>
    <s v="France"/>
    <d v="2023-04-11T00:35:00"/>
    <s v="App"/>
    <s v="Giovanni Rovelli"/>
    <n v="4482"/>
    <d v="2023-04-11T00:00:00"/>
    <d v="1899-12-30T00:35:00"/>
    <s v="April"/>
    <s v="Tuesday"/>
    <s v="Outlier"/>
    <x v="54"/>
  </r>
  <r>
    <n v="1557337"/>
    <n v="508"/>
    <s v="Switzerland"/>
    <d v="2023-01-31T00:49:00"/>
    <s v="App"/>
    <s v="Peter Ferguson"/>
    <n v="4679"/>
    <d v="2023-01-31T00:00:00"/>
    <d v="1899-12-30T00:49:00"/>
    <s v="January"/>
    <s v="Tuesday"/>
    <s v="Outlier"/>
    <x v="48"/>
  </r>
  <r>
    <n v="1558722"/>
    <n v="623"/>
    <s v="India"/>
    <d v="2023-07-27T01:37:00"/>
    <s v="Website"/>
    <s v="Diego Freyre"/>
    <n v="1232"/>
    <d v="2023-07-27T00:00:00"/>
    <d v="1899-12-30T01:37:00"/>
    <s v="July"/>
    <s v="Thursday"/>
    <s v="Outlier"/>
    <x v="16"/>
  </r>
  <r>
    <n v="1558773"/>
    <n v="1230"/>
    <s v="Spain"/>
    <d v="2023-08-05T00:57:00"/>
    <s v="Website"/>
    <s v="Pascale Cartrain"/>
    <n v="5890"/>
    <d v="2023-08-05T00:00:00"/>
    <d v="1899-12-30T00:57:00"/>
    <s v="August"/>
    <s v="Saturday"/>
    <s v="Outlier"/>
    <x v="16"/>
  </r>
  <r>
    <n v="1558851"/>
    <n v="431"/>
    <s v="India"/>
    <d v="2023-12-28T23:23:00"/>
    <s v="Website"/>
    <s v="Juri Hirano"/>
    <n v="3075"/>
    <d v="2023-12-28T00:00:00"/>
    <d v="1899-12-30T23:23:00"/>
    <s v="December"/>
    <s v="Thursday"/>
    <s v="Outlier"/>
    <x v="6"/>
  </r>
  <r>
    <n v="1558891"/>
    <n v="1358"/>
    <s v="Australia"/>
    <d v="2023-01-22T00:28:00"/>
    <s v="Other"/>
    <s v="Mory Kentary"/>
    <n v="9227"/>
    <d v="2023-01-22T00:00:00"/>
    <d v="1899-12-30T00:28:00"/>
    <s v="January"/>
    <s v="Sunday"/>
    <s v="Outlier"/>
    <x v="52"/>
  </r>
  <r>
    <n v="1560730"/>
    <n v="1689"/>
    <s v="Australia"/>
    <d v="2023-06-29T00:34:00"/>
    <s v="Whatsapp"/>
    <s v="Peter Ferguson"/>
    <n v="9570"/>
    <d v="2023-06-29T00:00:00"/>
    <d v="1899-12-30T00:34:00"/>
    <s v="June"/>
    <s v="Thursday"/>
    <s v="Outlier"/>
    <x v="63"/>
  </r>
  <r>
    <n v="1561328"/>
    <n v="1031"/>
    <s v="Australia"/>
    <d v="2023-10-30T23:49:00"/>
    <s v="Whatsapp"/>
    <s v="Elizabeth Lincoln"/>
    <n v="2619"/>
    <d v="2023-10-30T00:00:00"/>
    <d v="1899-12-30T23:49:00"/>
    <s v="October"/>
    <s v="Monday"/>
    <s v="Outlier"/>
    <x v="28"/>
  </r>
  <r>
    <n v="1561588"/>
    <n v="237"/>
    <s v="France"/>
    <d v="2023-08-24T23:18:00"/>
    <s v="Other"/>
    <s v="Sue Frick"/>
    <n v="7424"/>
    <d v="2023-08-24T00:00:00"/>
    <d v="1899-12-30T23:18:00"/>
    <s v="August"/>
    <s v="Thursday"/>
    <s v="Outlier"/>
    <x v="56"/>
  </r>
  <r>
    <n v="1562667"/>
    <n v="984"/>
    <s v="France"/>
    <d v="2023-07-06T23:41:00"/>
    <s v="Other"/>
    <s v="Diego Freyre"/>
    <n v="424"/>
    <d v="2023-07-06T00:00:00"/>
    <d v="1899-12-30T23:41:00"/>
    <s v="July"/>
    <s v="Thursday"/>
    <s v="Outlier"/>
    <x v="19"/>
  </r>
  <r>
    <n v="1562703"/>
    <n v="347"/>
    <s v="Denmark"/>
    <d v="2023-09-14T00:25:00"/>
    <s v="Whatsapp"/>
    <s v="Janine Labrune"/>
    <n v="1845"/>
    <d v="2023-09-14T00:00:00"/>
    <d v="1899-12-30T00:25:00"/>
    <s v="September"/>
    <s v="Thursday"/>
    <s v="Outlier"/>
    <x v="0"/>
  </r>
  <r>
    <n v="1562821"/>
    <n v="917"/>
    <s v="Norway"/>
    <d v="2023-06-13T00:11:00"/>
    <s v="Whatsapp"/>
    <s v="Jan Klaeboe"/>
    <n v="5545"/>
    <d v="2023-06-13T00:00:00"/>
    <d v="1899-12-30T00:11:00"/>
    <s v="June"/>
    <s v="Tuesday"/>
    <s v="Outlier"/>
    <x v="10"/>
  </r>
  <r>
    <n v="1563544"/>
    <n v="1905"/>
    <s v="Spain"/>
    <d v="2023-11-12T01:14:00"/>
    <s v="Website"/>
    <s v="Dean Cassidy"/>
    <n v="4596"/>
    <d v="2023-11-12T00:00:00"/>
    <d v="1899-12-30T01:14:00"/>
    <s v="November"/>
    <s v="Sunday"/>
    <s v="Outlier"/>
    <x v="68"/>
  </r>
  <r>
    <n v="1563696"/>
    <n v="1079"/>
    <s v="India"/>
    <d v="2023-04-17T23:39:00"/>
    <s v="Website"/>
    <s v="Steve Frick"/>
    <n v="2297"/>
    <d v="2023-04-17T00:00:00"/>
    <d v="1899-12-30T23:39:00"/>
    <s v="April"/>
    <s v="Monday"/>
    <s v="Outlier"/>
    <x v="3"/>
  </r>
  <r>
    <n v="1564030"/>
    <n v="1844"/>
    <s v="Singapore"/>
    <d v="2023-12-30T00:00:00"/>
    <s v="Other"/>
    <s v="Helen Bennett"/>
    <n v="9452"/>
    <d v="2023-12-30T00:00:00"/>
    <d v="1899-12-30T00:00:00"/>
    <s v="December"/>
    <s v="Saturday"/>
    <s v="Outlier"/>
    <x v="51"/>
  </r>
  <r>
    <n v="1564843"/>
    <n v="1271"/>
    <s v="France"/>
    <d v="2023-02-16T01:53:00"/>
    <s v="Other"/>
    <s v="Giovanni Rovelli"/>
    <n v="2114"/>
    <d v="2023-02-16T00:00:00"/>
    <d v="1899-12-30T01:53:00"/>
    <s v="February"/>
    <s v="Thursday"/>
    <s v="Outlier"/>
    <x v="64"/>
  </r>
  <r>
    <n v="1564926"/>
    <n v="1519"/>
    <s v="Spain"/>
    <d v="2023-04-23T22:50:00"/>
    <s v="App"/>
    <s v="Eduardo Saavedra"/>
    <n v="6988"/>
    <d v="2023-04-23T00:00:00"/>
    <d v="1899-12-30T22:50:00"/>
    <s v="April"/>
    <s v="Sunday"/>
    <s v="Outlier"/>
    <x v="1"/>
  </r>
  <r>
    <n v="1565544"/>
    <n v="1432"/>
    <s v="USA"/>
    <d v="2023-01-10T00:53:00"/>
    <s v="Whatsapp"/>
    <s v="Dan Lewis"/>
    <n v="1232"/>
    <d v="2023-01-10T00:00:00"/>
    <d v="1899-12-30T00:53:00"/>
    <s v="January"/>
    <s v="Tuesday"/>
    <s v="Outlier"/>
    <x v="35"/>
  </r>
  <r>
    <n v="1566865"/>
    <n v="1937"/>
    <s v="Austria"/>
    <d v="2023-11-27T01:28:00"/>
    <s v="Other"/>
    <s v="Adrian Huxley"/>
    <n v="1543"/>
    <d v="2023-11-27T00:00:00"/>
    <d v="1899-12-30T01:28:00"/>
    <s v="November"/>
    <s v="Monday"/>
    <s v="Outlier"/>
    <x v="18"/>
  </r>
  <r>
    <n v="1567251"/>
    <n v="1808"/>
    <s v="Italy"/>
    <d v="2023-07-28T01:58:00"/>
    <s v="Whatsapp"/>
    <s v="Janine Labrune"/>
    <n v="5439"/>
    <d v="2023-07-28T00:00:00"/>
    <d v="1899-12-30T01:58:00"/>
    <s v="July"/>
    <s v="Friday"/>
    <s v="Outlier"/>
    <x v="9"/>
  </r>
  <r>
    <n v="1567280"/>
    <n v="634"/>
    <s v="USA"/>
    <d v="2023-11-23T22:58:00"/>
    <s v="App"/>
    <s v="Violeta Benitez"/>
    <n v="9698"/>
    <d v="2023-11-23T00:00:00"/>
    <d v="1899-12-30T22:58:00"/>
    <s v="November"/>
    <s v="Thursday"/>
    <s v="Outlier"/>
    <x v="14"/>
  </r>
  <r>
    <n v="1568848"/>
    <n v="1783"/>
    <s v="USA"/>
    <d v="2023-07-16T00:51:00"/>
    <s v="App"/>
    <s v="Paul Henriot"/>
    <n v="8771"/>
    <d v="2023-07-16T00:00:00"/>
    <d v="1899-12-30T00:51:00"/>
    <s v="July"/>
    <s v="Sunday"/>
    <s v="Outlier"/>
    <x v="18"/>
  </r>
  <r>
    <n v="1569922"/>
    <n v="1948"/>
    <s v="USA"/>
    <d v="2023-03-07T23:40:00"/>
    <s v="Website"/>
    <s v="William Brown"/>
    <n v="3425"/>
    <d v="2023-03-07T00:00:00"/>
    <d v="1899-12-30T23:40:00"/>
    <s v="March"/>
    <s v="Tuesday"/>
    <s v="Outlier"/>
    <x v="33"/>
  </r>
  <r>
    <n v="1570720"/>
    <n v="1593"/>
    <s v="France"/>
    <d v="2023-10-21T22:35:00"/>
    <s v="Website"/>
    <s v="Maurizio Moroni"/>
    <n v="414"/>
    <d v="2023-10-21T00:00:00"/>
    <d v="1899-12-30T22:35:00"/>
    <s v="October"/>
    <s v="Saturday"/>
    <s v="Outlier"/>
    <x v="6"/>
  </r>
  <r>
    <n v="1571075"/>
    <n v="660"/>
    <s v="USA"/>
    <d v="2023-05-25T01:24:00"/>
    <s v="Other"/>
    <s v="Arnold Cruz"/>
    <n v="4346"/>
    <d v="2023-05-25T00:00:00"/>
    <d v="1899-12-30T01:24:00"/>
    <s v="May"/>
    <s v="Thursday"/>
    <s v="Outlier"/>
    <x v="12"/>
  </r>
  <r>
    <n v="1576077"/>
    <n v="1385"/>
    <s v="USA"/>
    <d v="2023-11-10T23:05:00"/>
    <s v="Website"/>
    <s v="Paul Henriot"/>
    <n v="9058"/>
    <d v="2023-11-10T00:00:00"/>
    <d v="1899-12-30T23:05:00"/>
    <s v="November"/>
    <s v="Friday"/>
    <s v="Outlier"/>
    <x v="24"/>
  </r>
  <r>
    <n v="1576972"/>
    <n v="1702"/>
    <s v="Italy"/>
    <d v="2023-10-25T00:58:00"/>
    <s v="Other"/>
    <s v="Valarie Nelson"/>
    <n v="8340"/>
    <d v="2023-10-25T00:00:00"/>
    <d v="1899-12-30T00:58:00"/>
    <s v="October"/>
    <s v="Wednesday"/>
    <s v="Outlier"/>
    <x v="47"/>
  </r>
  <r>
    <n v="1578400"/>
    <n v="1795"/>
    <s v="France"/>
    <d v="2023-01-12T00:01:00"/>
    <s v="Other"/>
    <s v="Julie Young"/>
    <n v="5568"/>
    <d v="2023-01-12T00:00:00"/>
    <d v="1899-12-30T00:01:00"/>
    <s v="January"/>
    <s v="Thursday"/>
    <s v="Outlier"/>
    <x v="62"/>
  </r>
  <r>
    <n v="1579155"/>
    <n v="796"/>
    <s v="Finland"/>
    <d v="2023-02-16T00:54:00"/>
    <s v="App"/>
    <s v="Julie Brown"/>
    <n v="799"/>
    <d v="2023-02-16T00:00:00"/>
    <d v="1899-12-30T00:54:00"/>
    <s v="February"/>
    <s v="Thursday"/>
    <s v="Outlier"/>
    <x v="18"/>
  </r>
  <r>
    <n v="1580103"/>
    <n v="689"/>
    <s v="France"/>
    <d v="2023-03-07T00:57:00"/>
    <s v="Other"/>
    <s v="Anna O'Hara"/>
    <n v="5667"/>
    <d v="2023-03-07T00:00:00"/>
    <d v="1899-12-30T00:57:00"/>
    <s v="March"/>
    <s v="Tuesday"/>
    <s v="Outlier"/>
    <x v="10"/>
  </r>
  <r>
    <n v="1580615"/>
    <n v="932"/>
    <s v="Switzerland"/>
    <d v="2023-11-15T00:23:00"/>
    <s v="Website"/>
    <s v="Martine Rance"/>
    <n v="1629"/>
    <d v="2023-11-15T00:00:00"/>
    <d v="1899-12-30T00:23:00"/>
    <s v="November"/>
    <s v="Wednesday"/>
    <s v="Outlier"/>
    <x v="57"/>
  </r>
  <r>
    <n v="1580632"/>
    <n v="1084"/>
    <s v="India"/>
    <d v="2023-10-17T01:12:00"/>
    <s v="Other"/>
    <s v="Diego Freyre"/>
    <n v="9219"/>
    <d v="2023-10-17T00:00:00"/>
    <d v="1899-12-30T01:12:00"/>
    <s v="October"/>
    <s v="Tuesday"/>
    <s v="Outlier"/>
    <x v="21"/>
  </r>
  <r>
    <n v="1580986"/>
    <n v="523"/>
    <s v="USA"/>
    <d v="2023-09-06T02:05:00"/>
    <s v="Website"/>
    <s v="Dominique Perrier"/>
    <n v="438"/>
    <d v="2023-09-06T00:00:00"/>
    <d v="1899-12-30T02:05:00"/>
    <s v="September"/>
    <s v="Wednesday"/>
    <s v="Outlier"/>
    <x v="47"/>
  </r>
  <r>
    <n v="1582168"/>
    <n v="1048"/>
    <s v="India"/>
    <d v="2023-11-24T00:52:00"/>
    <s v="Website"/>
    <s v="Martine Rance"/>
    <n v="9234"/>
    <d v="2023-11-24T00:00:00"/>
    <d v="1899-12-30T00:52:00"/>
    <s v="November"/>
    <s v="Friday"/>
    <s v="Outlier"/>
    <x v="47"/>
  </r>
  <r>
    <n v="1582591"/>
    <n v="618"/>
    <s v="Finland"/>
    <d v="2023-10-05T01:34:00"/>
    <s v="App"/>
    <s v="Michael Frick"/>
    <n v="6609"/>
    <d v="2023-10-05T00:00:00"/>
    <d v="1899-12-30T01:34:00"/>
    <s v="October"/>
    <s v="Thursday"/>
    <s v="Outlier"/>
    <x v="30"/>
  </r>
  <r>
    <n v="1583961"/>
    <n v="729"/>
    <s v="Italy"/>
    <d v="2023-05-06T00:39:00"/>
    <s v="Whatsapp"/>
    <s v="Dominique Perrier"/>
    <n v="6820"/>
    <d v="2023-05-06T00:00:00"/>
    <d v="1899-12-30T00:39:00"/>
    <s v="May"/>
    <s v="Saturday"/>
    <s v="Outlier"/>
    <x v="50"/>
  </r>
  <r>
    <n v="1584433"/>
    <n v="1648"/>
    <s v="Germany"/>
    <d v="2023-01-04T01:51:00"/>
    <s v="Website"/>
    <s v="Juri Yoshido"/>
    <n v="1991"/>
    <d v="2023-01-04T00:00:00"/>
    <d v="1899-12-30T01:51:00"/>
    <s v="January"/>
    <s v="Wednesday"/>
    <s v="Outlier"/>
    <x v="61"/>
  </r>
  <r>
    <n v="1584769"/>
    <n v="1176"/>
    <s v="USA"/>
    <d v="2023-10-08T23:22:00"/>
    <s v="Whatsapp"/>
    <s v="Miguel Barajas"/>
    <n v="1945"/>
    <d v="2023-10-08T00:00:00"/>
    <d v="1899-12-30T23:22:00"/>
    <s v="October"/>
    <s v="Sunday"/>
    <s v="Outlier"/>
    <x v="20"/>
  </r>
  <r>
    <n v="1585229"/>
    <n v="187"/>
    <s v="France"/>
    <d v="2023-02-06T00:16:00"/>
    <s v="App"/>
    <s v="Marta Hernandez"/>
    <n v="7994"/>
    <d v="2023-02-06T00:00:00"/>
    <d v="1899-12-30T00:16:00"/>
    <s v="February"/>
    <s v="Monday"/>
    <s v="Outlier"/>
    <x v="17"/>
  </r>
  <r>
    <n v="1585349"/>
    <n v="716"/>
    <s v="India"/>
    <d v="2023-02-25T23:13:00"/>
    <s v="App"/>
    <s v="Matti Karttunen"/>
    <n v="9212"/>
    <d v="2023-02-25T00:00:00"/>
    <d v="1899-12-30T23:13:00"/>
    <s v="February"/>
    <s v="Saturday"/>
    <s v="Outlier"/>
    <x v="46"/>
  </r>
  <r>
    <n v="1585425"/>
    <n v="1009"/>
    <s v="USA"/>
    <d v="2023-03-22T23:33:00"/>
    <s v="Other"/>
    <s v="Jonas Bergulfsen"/>
    <n v="3322"/>
    <d v="2023-03-22T00:00:00"/>
    <d v="1899-12-30T23:33:00"/>
    <s v="March"/>
    <s v="Wednesday"/>
    <s v="Outlier"/>
    <x v="60"/>
  </r>
  <r>
    <n v="1585483"/>
    <n v="1389"/>
    <s v="USA"/>
    <d v="2023-11-12T00:34:00"/>
    <s v="App"/>
    <s v="Kee Kuo"/>
    <n v="521"/>
    <d v="2023-11-12T00:00:00"/>
    <d v="1899-12-30T00:34:00"/>
    <s v="November"/>
    <s v="Sunday"/>
    <s v="Outlier"/>
    <x v="3"/>
  </r>
  <r>
    <n v="1586073"/>
    <n v="1330"/>
    <s v="Australia"/>
    <d v="2023-09-10T00:40:00"/>
    <s v="App"/>
    <s v="Rosa Hernandez"/>
    <n v="9985"/>
    <d v="2023-09-10T00:00:00"/>
    <d v="1899-12-30T00:40:00"/>
    <s v="September"/>
    <s v="Sunday"/>
    <s v="Outlier"/>
    <x v="0"/>
  </r>
  <r>
    <n v="1586149"/>
    <n v="1596"/>
    <s v="USA"/>
    <d v="2023-03-25T23:29:00"/>
    <s v="App"/>
    <s v="Georg Pipps"/>
    <n v="5945"/>
    <d v="2023-03-25T00:00:00"/>
    <d v="1899-12-30T23:29:00"/>
    <s v="March"/>
    <s v="Saturday"/>
    <s v="Outlier"/>
    <x v="60"/>
  </r>
  <r>
    <n v="1586243"/>
    <n v="1472"/>
    <s v="USA"/>
    <d v="2023-07-08T01:42:00"/>
    <s v="Website"/>
    <s v="Diego Freyre"/>
    <n v="2468"/>
    <d v="2023-07-08T00:00:00"/>
    <d v="1899-12-30T01:42:00"/>
    <s v="July"/>
    <s v="Saturday"/>
    <s v="Outlier"/>
    <x v="69"/>
  </r>
  <r>
    <n v="1587760"/>
    <n v="1290"/>
    <s v="USA"/>
    <d v="2023-12-02T00:38:00"/>
    <s v="App"/>
    <s v="Wing C Tam"/>
    <n v="9238"/>
    <d v="2023-12-02T00:00:00"/>
    <d v="1899-12-30T00:38:00"/>
    <s v="December"/>
    <s v="Saturday"/>
    <s v="Outlier"/>
    <x v="34"/>
  </r>
  <r>
    <n v="1587777"/>
    <n v="1962"/>
    <s v="USA"/>
    <d v="2023-12-11T00:12:00"/>
    <s v="App"/>
    <s v="Janine Labrune"/>
    <n v="9310"/>
    <d v="2023-12-11T00:00:00"/>
    <d v="1899-12-30T00:12:00"/>
    <s v="December"/>
    <s v="Monday"/>
    <s v="Outlier"/>
    <x v="12"/>
  </r>
  <r>
    <n v="1587832"/>
    <n v="1483"/>
    <s v="USA"/>
    <d v="2023-11-09T23:05:00"/>
    <s v="Website"/>
    <s v="Valarie Nelson"/>
    <n v="3831"/>
    <d v="2023-11-09T00:00:00"/>
    <d v="1899-12-30T23:05:00"/>
    <s v="November"/>
    <s v="Thursday"/>
    <s v="Outlier"/>
    <x v="43"/>
  </r>
  <r>
    <n v="1587870"/>
    <n v="1515"/>
    <s v="USA"/>
    <d v="2023-06-01T23:06:00"/>
    <s v="Website"/>
    <s v="Elizabeth Devon"/>
    <n v="3277"/>
    <d v="2023-06-01T00:00:00"/>
    <d v="1899-12-30T23:06:00"/>
    <s v="June"/>
    <s v="Thursday"/>
    <s v="Outlier"/>
    <x v="26"/>
  </r>
  <r>
    <n v="1587900"/>
    <n v="1466"/>
    <s v="Ireland"/>
    <d v="2023-05-26T00:18:00"/>
    <s v="Whatsapp"/>
    <s v="Giovanni Rovelli"/>
    <n v="465"/>
    <d v="2023-05-26T00:00:00"/>
    <d v="1899-12-30T00:18:00"/>
    <s v="May"/>
    <s v="Friday"/>
    <s v="Outlier"/>
    <x v="36"/>
  </r>
  <r>
    <n v="1589059"/>
    <n v="1381"/>
    <s v="USA"/>
    <d v="2023-04-13T00:48:00"/>
    <s v="Website"/>
    <s v="Peter Ferguson"/>
    <n v="8578"/>
    <d v="2023-04-13T00:00:00"/>
    <d v="1899-12-30T00:48:00"/>
    <s v="April"/>
    <s v="Thursday"/>
    <s v="Outlier"/>
    <x v="9"/>
  </r>
  <r>
    <n v="1589657"/>
    <n v="880"/>
    <s v="India"/>
    <d v="2023-04-12T23:45:00"/>
    <s v="Other"/>
    <s v="Diego Freyre"/>
    <n v="3223"/>
    <d v="2023-04-12T00:00:00"/>
    <d v="1899-12-30T23:45:00"/>
    <s v="April"/>
    <s v="Wednesday"/>
    <s v="Outlier"/>
    <x v="60"/>
  </r>
  <r>
    <n v="1589664"/>
    <n v="98"/>
    <s v="Denmark"/>
    <d v="2023-10-18T01:39:00"/>
    <s v="Website"/>
    <s v="Wing C Tam"/>
    <n v="9044"/>
    <d v="2023-10-18T00:00:00"/>
    <d v="1899-12-30T01:39:00"/>
    <s v="October"/>
    <s v="Wednesday"/>
    <s v="Outlier"/>
    <x v="31"/>
  </r>
  <r>
    <n v="1590156"/>
    <n v="131"/>
    <s v="Italy"/>
    <d v="2023-03-30T23:46:00"/>
    <s v="App"/>
    <s v="Diego Freyre"/>
    <n v="8404"/>
    <d v="2023-03-30T00:00:00"/>
    <d v="1899-12-30T23:46:00"/>
    <s v="March"/>
    <s v="Thursday"/>
    <s v="Outlier"/>
    <x v="70"/>
  </r>
  <r>
    <n v="1592825"/>
    <n v="1447"/>
    <s v="Singapore"/>
    <d v="2023-07-06T01:23:00"/>
    <s v="App"/>
    <s v="Juri Hirano"/>
    <n v="7216"/>
    <d v="2023-07-06T00:00:00"/>
    <d v="1899-12-30T01:23:00"/>
    <s v="July"/>
    <s v="Thursday"/>
    <s v="Outlier"/>
    <x v="1"/>
  </r>
  <r>
    <n v="1594427"/>
    <n v="822"/>
    <s v="USA"/>
    <d v="2023-12-12T22:47:00"/>
    <s v="App"/>
    <s v="Steve Thompson"/>
    <n v="4417"/>
    <d v="2023-12-12T00:00:00"/>
    <d v="1899-12-30T22:47:00"/>
    <s v="December"/>
    <s v="Tuesday"/>
    <s v="Outlier"/>
    <x v="65"/>
  </r>
  <r>
    <n v="1594617"/>
    <n v="1747"/>
    <s v="USA"/>
    <d v="2023-05-16T00:47:00"/>
    <s v="App"/>
    <s v="Mory Kentary"/>
    <n v="4361"/>
    <d v="2023-05-16T00:00:00"/>
    <d v="1899-12-30T00:47:00"/>
    <s v="May"/>
    <s v="Tuesday"/>
    <s v="Outlier"/>
    <x v="57"/>
  </r>
  <r>
    <n v="1594721"/>
    <n v="1894"/>
    <s v="Spain"/>
    <d v="2023-07-16T23:55:00"/>
    <s v="Other"/>
    <s v="Peter Ferguson"/>
    <n v="5493"/>
    <d v="2023-07-16T00:00:00"/>
    <d v="1899-12-30T23:55:00"/>
    <s v="July"/>
    <s v="Sunday"/>
    <s v="Outlier"/>
    <x v="45"/>
  </r>
  <r>
    <n v="1594992"/>
    <n v="114"/>
    <s v="USA"/>
    <d v="2023-12-10T23:18:00"/>
    <s v="App"/>
    <s v="Elizabeth Lincoln"/>
    <n v="1650"/>
    <d v="2023-12-10T00:00:00"/>
    <d v="1899-12-30T23:18:00"/>
    <s v="December"/>
    <s v="Sunday"/>
    <s v="Outlier"/>
    <x v="4"/>
  </r>
  <r>
    <n v="1595227"/>
    <n v="441"/>
    <s v="USA"/>
    <d v="2023-07-14T00:48:00"/>
    <s v="Whatsapp"/>
    <s v="Sue Frick"/>
    <n v="4974"/>
    <d v="2023-07-14T00:00:00"/>
    <d v="1899-12-30T00:48:00"/>
    <s v="July"/>
    <s v="Friday"/>
    <s v="Outlier"/>
    <x v="55"/>
  </r>
  <r>
    <n v="1595262"/>
    <n v="1837"/>
    <s v="Switzerland"/>
    <d v="2023-09-20T23:31:00"/>
    <s v="Other"/>
    <s v="Diego Freyre"/>
    <n v="8118"/>
    <d v="2023-09-20T00:00:00"/>
    <d v="1899-12-30T23:31:00"/>
    <s v="September"/>
    <s v="Wednesday"/>
    <s v="Outlier"/>
    <x v="27"/>
  </r>
  <r>
    <n v="1597150"/>
    <n v="1599"/>
    <s v="USA"/>
    <d v="2023-11-12T00:19:00"/>
    <s v="Whatsapp"/>
    <s v="Janine Labrune"/>
    <n v="3756"/>
    <d v="2023-11-12T00:00:00"/>
    <d v="1899-12-30T00:19:00"/>
    <s v="November"/>
    <s v="Sunday"/>
    <s v="Outlier"/>
    <x v="49"/>
  </r>
  <r>
    <n v="1598652"/>
    <n v="191"/>
    <s v="Germany"/>
    <d v="2023-10-26T23:32:00"/>
    <s v="App"/>
    <s v="Jan Klaeboe"/>
    <n v="2084"/>
    <d v="2023-10-26T00:00:00"/>
    <d v="1899-12-30T23:32:00"/>
    <s v="October"/>
    <s v="Thursday"/>
    <s v="Outlier"/>
    <x v="12"/>
  </r>
  <r>
    <n v="1599039"/>
    <n v="1483"/>
    <s v="USA"/>
    <d v="2023-01-23T22:54:00"/>
    <s v="Whatsapp"/>
    <s v="Michael Donnermeyer"/>
    <n v="9658"/>
    <d v="2023-01-23T00:00:00"/>
    <d v="1899-12-30T22:54:00"/>
    <s v="January"/>
    <s v="Monday"/>
    <s v="Outlier"/>
    <x v="43"/>
  </r>
  <r>
    <n v="1599499"/>
    <n v="427"/>
    <s v="India"/>
    <d v="2023-03-13T23:51:00"/>
    <s v="Website"/>
    <s v="Steve Frick"/>
    <n v="3608"/>
    <d v="2023-03-13T00:00:00"/>
    <d v="1899-12-30T23:51:00"/>
    <s v="March"/>
    <s v="Monday"/>
    <s v="Outlier"/>
    <x v="0"/>
  </r>
  <r>
    <n v="1599786"/>
    <n v="821"/>
    <s v="Italy"/>
    <d v="2023-01-19T23:25:00"/>
    <s v="App"/>
    <s v="Helen Bennett"/>
    <n v="480"/>
    <d v="2023-01-19T00:00:00"/>
    <d v="1899-12-30T23:25:00"/>
    <s v="January"/>
    <s v="Thursday"/>
    <s v="Outlier"/>
    <x v="62"/>
  </r>
  <r>
    <n v="1600216"/>
    <n v="314"/>
    <s v="Spain"/>
    <d v="2023-11-19T00:15:00"/>
    <s v="App"/>
    <s v="Giovanni Rovelli"/>
    <n v="8607"/>
    <d v="2023-11-19T00:00:00"/>
    <d v="1899-12-30T00:15:00"/>
    <s v="November"/>
    <s v="Sunday"/>
    <s v="Outlier"/>
    <x v="4"/>
  </r>
  <r>
    <n v="1602189"/>
    <n v="676"/>
    <s v="India"/>
    <d v="2023-07-09T00:52:00"/>
    <s v="App"/>
    <s v="Eduardo Saavedra"/>
    <n v="179"/>
    <d v="2023-07-09T00:00:00"/>
    <d v="1899-12-30T00:52:00"/>
    <s v="July"/>
    <s v="Sunday"/>
    <s v="Outlier"/>
    <x v="8"/>
  </r>
  <r>
    <n v="1604175"/>
    <n v="265"/>
    <s v="Australia"/>
    <d v="2023-04-30T00:17:00"/>
    <s v="Website"/>
    <s v="Dan Lewis"/>
    <n v="5731"/>
    <d v="2023-04-30T00:00:00"/>
    <d v="1899-12-30T00:17:00"/>
    <s v="April"/>
    <s v="Sunday"/>
    <s v="Outlier"/>
    <x v="50"/>
  </r>
  <r>
    <n v="1604289"/>
    <n v="214"/>
    <s v="USA"/>
    <d v="2023-04-15T01:58:00"/>
    <s v="Website"/>
    <s v="Adrian Huxley"/>
    <n v="9600"/>
    <d v="2023-04-15T00:00:00"/>
    <d v="1899-12-30T01:58:00"/>
    <s v="April"/>
    <s v="Saturday"/>
    <s v="Outlier"/>
    <x v="65"/>
  </r>
  <r>
    <n v="1604334"/>
    <n v="1237"/>
    <s v="USA"/>
    <d v="2023-12-17T23:32:00"/>
    <s v="Whatsapp"/>
    <s v="Janine Labrune"/>
    <n v="4433"/>
    <d v="2023-12-17T00:00:00"/>
    <d v="1899-12-30T23:32:00"/>
    <s v="December"/>
    <s v="Sunday"/>
    <s v="Outlier"/>
    <x v="27"/>
  </r>
  <r>
    <n v="1605621"/>
    <n v="98"/>
    <s v="Denmark"/>
    <d v="2023-09-05T01:33:00"/>
    <s v="App"/>
    <s v="Violeta Benitez"/>
    <n v="4118"/>
    <d v="2023-09-05T00:00:00"/>
    <d v="1899-12-30T01:33:00"/>
    <s v="September"/>
    <s v="Tuesday"/>
    <s v="Outlier"/>
    <x v="31"/>
  </r>
  <r>
    <n v="1605700"/>
    <n v="1574"/>
    <s v="Austria"/>
    <d v="2023-02-09T01:00:00"/>
    <s v="Other"/>
    <s v="Paul Henriot"/>
    <n v="2305"/>
    <d v="2023-02-09T00:00:00"/>
    <d v="1899-12-30T01:00:00"/>
    <s v="February"/>
    <s v="Thursday"/>
    <s v="Outlier"/>
    <x v="40"/>
  </r>
  <r>
    <n v="1605731"/>
    <n v="564"/>
    <s v="USA"/>
    <d v="2023-06-24T00:02:00"/>
    <s v="Whatsapp"/>
    <s v="William Brown"/>
    <n v="6271"/>
    <d v="2023-06-24T00:00:00"/>
    <d v="1899-12-30T00:02:00"/>
    <s v="June"/>
    <s v="Saturday"/>
    <s v="Outlier"/>
    <x v="69"/>
  </r>
  <r>
    <n v="1605754"/>
    <n v="1734"/>
    <s v="USA"/>
    <d v="2023-06-09T01:16:00"/>
    <s v="Whatsapp"/>
    <s v="Maurizio Moroni"/>
    <n v="504"/>
    <d v="2023-06-09T00:00:00"/>
    <d v="1899-12-30T01:16:00"/>
    <s v="June"/>
    <s v="Friday"/>
    <s v="Outlier"/>
    <x v="14"/>
  </r>
  <r>
    <n v="1607015"/>
    <n v="1741"/>
    <s v="USA"/>
    <d v="2023-12-26T01:08:00"/>
    <s v="Whatsapp"/>
    <s v="Diego Freyre"/>
    <n v="4369"/>
    <d v="2023-12-26T00:00:00"/>
    <d v="1899-12-30T01:08:00"/>
    <s v="December"/>
    <s v="Tuesday"/>
    <s v="Outlier"/>
    <x v="37"/>
  </r>
  <r>
    <n v="1607569"/>
    <n v="1930"/>
    <s v="USA"/>
    <d v="2023-09-07T23:47:00"/>
    <s v="Website"/>
    <s v="Maria Hernandez"/>
    <n v="1307"/>
    <d v="2023-09-07T00:00:00"/>
    <d v="1899-12-30T23:47:00"/>
    <s v="September"/>
    <s v="Thursday"/>
    <s v="Outlier"/>
    <x v="28"/>
  </r>
  <r>
    <n v="1608036"/>
    <n v="1794"/>
    <s v="Australia"/>
    <d v="2023-08-22T23:43:00"/>
    <s v="Other"/>
    <s v="Jeff Young"/>
    <n v="3016"/>
    <d v="2023-08-22T00:00:00"/>
    <d v="1899-12-30T23:43:00"/>
    <s v="August"/>
    <s v="Tuesday"/>
    <s v="Outlier"/>
    <x v="10"/>
  </r>
  <r>
    <n v="1609306"/>
    <n v="529"/>
    <s v="India"/>
    <d v="2023-12-01T01:21:00"/>
    <s v="App"/>
    <s v="Kalle Suominen"/>
    <n v="847"/>
    <d v="2023-12-01T00:00:00"/>
    <d v="1899-12-30T01:21:00"/>
    <s v="December"/>
    <s v="Friday"/>
    <s v="Outlier"/>
    <x v="60"/>
  </r>
  <r>
    <n v="1609928"/>
    <n v="1237"/>
    <s v="USA"/>
    <d v="2023-06-05T00:58:00"/>
    <s v="App"/>
    <s v="Pirkko Koskitalo"/>
    <n v="373"/>
    <d v="2023-06-05T00:00:00"/>
    <d v="1899-12-30T00:58:00"/>
    <s v="June"/>
    <s v="Monday"/>
    <s v="Outlier"/>
    <x v="27"/>
  </r>
  <r>
    <n v="1610660"/>
    <n v="1126"/>
    <s v="France"/>
    <d v="2023-03-15T23:51:00"/>
    <s v="Website"/>
    <s v="Eric Natividad"/>
    <n v="4580"/>
    <d v="2023-03-15T00:00:00"/>
    <d v="1899-12-30T23:51:00"/>
    <s v="March"/>
    <s v="Wednesday"/>
    <s v="Outlier"/>
    <x v="48"/>
  </r>
  <r>
    <n v="1611854"/>
    <n v="1101"/>
    <s v="India"/>
    <d v="2023-07-08T23:58:00"/>
    <s v="Other"/>
    <s v="Maurizio Moroni"/>
    <n v="508"/>
    <d v="2023-07-08T00:00:00"/>
    <d v="1899-12-30T23:58:00"/>
    <s v="July"/>
    <s v="Saturday"/>
    <s v="Outlier"/>
    <x v="18"/>
  </r>
  <r>
    <n v="1612026"/>
    <n v="730"/>
    <s v="Austria"/>
    <d v="2023-01-25T01:29:00"/>
    <s v="App"/>
    <s v="Jose Pedro Roel"/>
    <n v="5053"/>
    <d v="2023-01-25T00:00:00"/>
    <d v="1899-12-30T01:29:00"/>
    <s v="January"/>
    <s v="Wednesday"/>
    <s v="Outlier"/>
    <x v="57"/>
  </r>
  <r>
    <n v="1612028"/>
    <n v="1167"/>
    <s v="USA"/>
    <d v="2023-01-18T23:58:00"/>
    <s v="Whatsapp"/>
    <s v="Steve Frick"/>
    <n v="9324"/>
    <d v="2023-01-18T00:00:00"/>
    <d v="1899-12-30T23:58:00"/>
    <s v="January"/>
    <s v="Wednesday"/>
    <s v="Outlier"/>
    <x v="61"/>
  </r>
  <r>
    <n v="1613483"/>
    <n v="296"/>
    <s v="Denmark"/>
    <d v="2023-10-20T01:05:00"/>
    <s v="Other"/>
    <s v="Valarie Franco"/>
    <n v="2248"/>
    <d v="2023-10-20T00:00:00"/>
    <d v="1899-12-30T01:05:00"/>
    <s v="October"/>
    <s v="Friday"/>
    <s v="Outlier"/>
    <x v="41"/>
  </r>
  <r>
    <n v="1615509"/>
    <n v="63"/>
    <s v="Norway"/>
    <d v="2023-10-30T22:32:00"/>
    <s v="Other"/>
    <s v="Dean Cassidy"/>
    <n v="7909"/>
    <d v="2023-10-30T00:00:00"/>
    <d v="1899-12-30T22:32:00"/>
    <s v="October"/>
    <s v="Monday"/>
    <s v="Outlier"/>
    <x v="12"/>
  </r>
  <r>
    <n v="1616083"/>
    <n v="894"/>
    <s v="Australia"/>
    <d v="2023-06-13T00:54:00"/>
    <s v="App"/>
    <s v="Roland Keitel"/>
    <n v="9153"/>
    <d v="2023-06-13T00:00:00"/>
    <d v="1899-12-30T00:54:00"/>
    <s v="June"/>
    <s v="Tuesday"/>
    <s v="Outlier"/>
    <x v="2"/>
  </r>
  <r>
    <n v="1616804"/>
    <n v="902"/>
    <s v="USA"/>
    <d v="2023-04-07T23:00:00"/>
    <s v="App"/>
    <s v="Diego Freyre"/>
    <n v="8265"/>
    <d v="2023-04-07T00:00:00"/>
    <d v="1899-12-30T23:00:00"/>
    <s v="April"/>
    <s v="Friday"/>
    <s v="Outlier"/>
    <x v="43"/>
  </r>
  <r>
    <n v="1617273"/>
    <n v="547"/>
    <s v="USA"/>
    <d v="2023-08-18T00:04:00"/>
    <s v="App"/>
    <s v="Wendy Victorino"/>
    <n v="2095"/>
    <d v="2023-08-18T00:00:00"/>
    <d v="1899-12-30T00:04:00"/>
    <s v="August"/>
    <s v="Friday"/>
    <s v="Outlier"/>
    <x v="45"/>
  </r>
  <r>
    <n v="1617524"/>
    <n v="34"/>
    <s v="Australia"/>
    <d v="2023-02-11T23:42:00"/>
    <s v="Other"/>
    <s v="Valarie Nelson"/>
    <n v="1527"/>
    <d v="2023-02-11T00:00:00"/>
    <d v="1899-12-30T23:42:00"/>
    <s v="February"/>
    <s v="Saturday"/>
    <s v="Outlier"/>
    <x v="1"/>
  </r>
  <r>
    <n v="1620752"/>
    <n v="1687"/>
    <s v="Australia"/>
    <d v="2023-10-13T23:37:00"/>
    <s v="Other"/>
    <s v="Valarie Nelson"/>
    <n v="7191"/>
    <d v="2023-10-13T00:00:00"/>
    <d v="1899-12-30T23:37:00"/>
    <s v="October"/>
    <s v="Friday"/>
    <s v="Outlier"/>
    <x v="4"/>
  </r>
  <r>
    <n v="1622340"/>
    <n v="1487"/>
    <s v="Italy"/>
    <d v="2023-05-06T00:14:00"/>
    <s v="Whatsapp"/>
    <s v="Kwai Yu"/>
    <n v="4769"/>
    <d v="2023-05-06T00:00:00"/>
    <d v="1899-12-30T00:14:00"/>
    <s v="May"/>
    <s v="Saturday"/>
    <s v="Outlier"/>
    <x v="15"/>
  </r>
  <r>
    <n v="1622599"/>
    <n v="453"/>
    <s v="France"/>
    <d v="2023-01-14T23:51:00"/>
    <s v="App"/>
    <s v="Marta Hernandez"/>
    <n v="8568"/>
    <d v="2023-01-14T00:00:00"/>
    <d v="1899-12-30T23:51:00"/>
    <s v="January"/>
    <s v="Saturday"/>
    <s v="Outlier"/>
    <x v="44"/>
  </r>
  <r>
    <n v="1624567"/>
    <n v="977"/>
    <s v="India"/>
    <d v="2023-07-20T01:58:00"/>
    <s v="Website"/>
    <s v="Palle Ibsen"/>
    <n v="1814"/>
    <d v="2023-07-20T00:00:00"/>
    <d v="1899-12-30T01:58:00"/>
    <s v="July"/>
    <s v="Thursday"/>
    <s v="Outlier"/>
    <x v="34"/>
  </r>
  <r>
    <n v="1625256"/>
    <n v="1551"/>
    <s v="USA"/>
    <d v="2023-08-30T01:53:00"/>
    <s v="Whatsapp"/>
    <s v="Jonas Bergulfsen"/>
    <n v="2960"/>
    <d v="2023-08-30T00:00:00"/>
    <d v="1899-12-30T01:53:00"/>
    <s v="August"/>
    <s v="Wednesday"/>
    <s v="Outlier"/>
    <x v="29"/>
  </r>
  <r>
    <n v="1625678"/>
    <n v="239"/>
    <s v="India"/>
    <d v="2023-06-01T00:12:00"/>
    <s v="Other"/>
    <s v="Marie Bertrand"/>
    <n v="1366"/>
    <d v="2023-06-01T00:00:00"/>
    <d v="1899-12-30T00:12:00"/>
    <s v="June"/>
    <s v="Thursday"/>
    <s v="Outlier"/>
    <x v="55"/>
  </r>
  <r>
    <n v="1625859"/>
    <n v="1409"/>
    <s v="USA"/>
    <d v="2023-07-17T23:52:00"/>
    <s v="App"/>
    <s v="Diego Freyre"/>
    <n v="3766"/>
    <d v="2023-07-17T00:00:00"/>
    <d v="1899-12-30T23:52:00"/>
    <s v="July"/>
    <s v="Monday"/>
    <s v="Outlier"/>
    <x v="42"/>
  </r>
  <r>
    <n v="1626780"/>
    <n v="230"/>
    <s v="USA"/>
    <d v="2023-12-25T23:28:00"/>
    <s v="Website"/>
    <s v="Paul Henriot"/>
    <n v="3369"/>
    <d v="2023-12-25T00:00:00"/>
    <d v="1899-12-30T23:28:00"/>
    <s v="December"/>
    <s v="Monday"/>
    <s v="Outlier"/>
    <x v="33"/>
  </r>
  <r>
    <n v="1627081"/>
    <n v="741"/>
    <s v="USA"/>
    <d v="2023-01-09T01:36:00"/>
    <s v="Other"/>
    <s v="Valarie Nelson"/>
    <n v="5636"/>
    <d v="2023-01-09T00:00:00"/>
    <d v="1899-12-30T01:36:00"/>
    <s v="January"/>
    <s v="Monday"/>
    <s v="Outlier"/>
    <x v="5"/>
  </r>
  <r>
    <n v="1628939"/>
    <n v="1474"/>
    <s v="USA"/>
    <d v="2023-09-05T00:54:00"/>
    <s v="Website"/>
    <s v="Diego Freyre"/>
    <n v="4675"/>
    <d v="2023-09-05T00:00:00"/>
    <d v="1899-12-30T00:54:00"/>
    <s v="September"/>
    <s v="Tuesday"/>
    <s v="Outlier"/>
    <x v="5"/>
  </r>
  <r>
    <n v="1629259"/>
    <n v="1982"/>
    <s v="Italy"/>
    <d v="2023-08-28T01:19:00"/>
    <s v="App"/>
    <s v="Daniel Da Cunha"/>
    <n v="9052"/>
    <d v="2023-08-28T00:00:00"/>
    <d v="1899-12-30T01:19:00"/>
    <s v="August"/>
    <s v="Monday"/>
    <s v="Outlier"/>
    <x v="8"/>
  </r>
  <r>
    <n v="1629885"/>
    <n v="366"/>
    <s v="India"/>
    <d v="2023-08-31T23:57:00"/>
    <s v="Other"/>
    <s v="Diego Freyre"/>
    <n v="6675"/>
    <d v="2023-08-31T00:00:00"/>
    <d v="1899-12-30T23:57:00"/>
    <s v="August"/>
    <s v="Thursday"/>
    <s v="Outlier"/>
    <x v="33"/>
  </r>
  <r>
    <n v="1629891"/>
    <n v="1088"/>
    <s v="India"/>
    <d v="2023-06-20T00:23:00"/>
    <s v="Other"/>
    <s v="Janine Labrune"/>
    <n v="5428"/>
    <d v="2023-06-20T00:00:00"/>
    <d v="1899-12-30T00:23:00"/>
    <s v="June"/>
    <s v="Tuesday"/>
    <s v="Outlier"/>
    <x v="54"/>
  </r>
  <r>
    <n v="1630533"/>
    <n v="450"/>
    <s v="Italy"/>
    <d v="2023-04-11T00:46:00"/>
    <s v="Other"/>
    <s v="Diego Freyre"/>
    <n v="1269"/>
    <d v="2023-04-11T00:00:00"/>
    <d v="1899-12-30T00:46:00"/>
    <s v="April"/>
    <s v="Tuesday"/>
    <s v="Outlier"/>
    <x v="62"/>
  </r>
  <r>
    <n v="1630634"/>
    <n v="400"/>
    <s v="Australia"/>
    <d v="2023-03-10T01:04:00"/>
    <s v="Whatsapp"/>
    <s v="Eric Natividad"/>
    <n v="4641"/>
    <d v="2023-03-10T00:00:00"/>
    <d v="1899-12-30T01:04:00"/>
    <s v="March"/>
    <s v="Friday"/>
    <s v="Outlier"/>
    <x v="16"/>
  </r>
  <r>
    <n v="1631258"/>
    <n v="1613"/>
    <s v="USA"/>
    <d v="2023-12-02T23:54:00"/>
    <s v="Website"/>
    <s v="Jeff Young"/>
    <n v="382"/>
    <d v="2023-12-02T00:00:00"/>
    <d v="1899-12-30T23:54:00"/>
    <s v="December"/>
    <s v="Saturday"/>
    <s v="Outlier"/>
    <x v="37"/>
  </r>
  <r>
    <n v="1631401"/>
    <n v="932"/>
    <s v="Switzerland"/>
    <d v="2023-06-25T01:54:00"/>
    <s v="Whatsapp"/>
    <s v="Valarie Nelson"/>
    <n v="638"/>
    <d v="2023-06-25T00:00:00"/>
    <d v="1899-12-30T01:54:00"/>
    <s v="June"/>
    <s v="Sunday"/>
    <s v="Outlier"/>
    <x v="57"/>
  </r>
  <r>
    <n v="1632433"/>
    <n v="520"/>
    <s v="Spain"/>
    <d v="2023-10-05T00:05:00"/>
    <s v="Website"/>
    <s v="Diego Freyre"/>
    <n v="2927"/>
    <d v="2023-10-05T00:00:00"/>
    <d v="1899-12-30T00:05:00"/>
    <s v="October"/>
    <s v="Thursday"/>
    <s v="Outlier"/>
    <x v="49"/>
  </r>
  <r>
    <n v="1632791"/>
    <n v="1581"/>
    <s v="USA"/>
    <d v="2023-10-10T23:27:00"/>
    <s v="Other"/>
    <s v="Eric Natividad"/>
    <n v="3408"/>
    <d v="2023-10-10T00:00:00"/>
    <d v="1899-12-30T23:27:00"/>
    <s v="October"/>
    <s v="Tuesday"/>
    <s v="Outlier"/>
    <x v="33"/>
  </r>
  <r>
    <n v="1633524"/>
    <n v="1801"/>
    <s v="Spain"/>
    <d v="2023-07-12T00:11:00"/>
    <s v="App"/>
    <s v="Maurizio Moroni"/>
    <n v="6028"/>
    <d v="2023-07-12T00:00:00"/>
    <d v="1899-12-30T00:11:00"/>
    <s v="July"/>
    <s v="Wednesday"/>
    <s v="Outlier"/>
    <x v="62"/>
  </r>
  <r>
    <n v="1635379"/>
    <n v="1673"/>
    <s v="Spain"/>
    <d v="2023-04-12T00:48:00"/>
    <s v="Whatsapp"/>
    <s v="Wing C Tam"/>
    <n v="5543"/>
    <d v="2023-04-12T00:00:00"/>
    <d v="1899-12-30T00:48:00"/>
    <s v="April"/>
    <s v="Wednesday"/>
    <s v="Outlier"/>
    <x v="35"/>
  </r>
  <r>
    <n v="1635597"/>
    <n v="1235"/>
    <s v="Singapore"/>
    <d v="2023-09-03T23:09:00"/>
    <s v="Whatsapp"/>
    <s v="Leslie Murphy"/>
    <n v="7590"/>
    <d v="2023-09-03T00:00:00"/>
    <d v="1899-12-30T23:09:00"/>
    <s v="September"/>
    <s v="Sunday"/>
    <s v="Outlier"/>
    <x v="45"/>
  </r>
  <r>
    <n v="1635802"/>
    <n v="1031"/>
    <s v="Australia"/>
    <d v="2023-12-27T23:52:00"/>
    <s v="Website"/>
    <s v="Mary Saveley"/>
    <n v="67"/>
    <d v="2023-12-27T00:00:00"/>
    <d v="1899-12-30T23:52:00"/>
    <s v="December"/>
    <s v="Wednesday"/>
    <s v="Outlier"/>
    <x v="28"/>
  </r>
  <r>
    <n v="1638003"/>
    <n v="291"/>
    <s v="India"/>
    <d v="2023-11-30T22:47:00"/>
    <s v="Whatsapp"/>
    <s v="Dean Cassidy"/>
    <n v="4753"/>
    <d v="2023-11-30T00:00:00"/>
    <d v="1899-12-30T22:47:00"/>
    <s v="November"/>
    <s v="Thursday"/>
    <s v="Outlier"/>
    <x v="60"/>
  </r>
  <r>
    <n v="1638963"/>
    <n v="1152"/>
    <s v="Spain"/>
    <d v="2023-03-06T01:32:00"/>
    <s v="Website"/>
    <s v="Roland Keitel"/>
    <n v="1352"/>
    <d v="2023-03-06T00:00:00"/>
    <d v="1899-12-30T01:32:00"/>
    <s v="March"/>
    <s v="Monday"/>
    <s v="Outlier"/>
    <x v="25"/>
  </r>
  <r>
    <n v="1639546"/>
    <n v="1491"/>
    <s v="USA"/>
    <d v="2023-04-29T23:00:00"/>
    <s v="App"/>
    <s v="Kalle Suominen"/>
    <n v="4460"/>
    <d v="2023-04-29T00:00:00"/>
    <d v="1899-12-30T23:00:00"/>
    <s v="April"/>
    <s v="Saturday"/>
    <s v="Outlier"/>
    <x v="25"/>
  </r>
  <r>
    <n v="1639990"/>
    <n v="1616"/>
    <s v="USA"/>
    <d v="2023-04-30T01:26:00"/>
    <s v="Whatsapp"/>
    <s v="Kyung Yu"/>
    <n v="3972"/>
    <d v="2023-04-30T00:00:00"/>
    <d v="1899-12-30T01:26:00"/>
    <s v="April"/>
    <s v="Sunday"/>
    <s v="Outlier"/>
    <x v="4"/>
  </r>
  <r>
    <n v="1640444"/>
    <n v="823"/>
    <s v="France"/>
    <d v="2023-02-03T23:54:00"/>
    <s v="Website"/>
    <s v="Valarie Nelson"/>
    <n v="6055"/>
    <d v="2023-02-03T00:00:00"/>
    <d v="1899-12-30T23:54:00"/>
    <s v="February"/>
    <s v="Friday"/>
    <s v="Outlier"/>
    <x v="42"/>
  </r>
  <r>
    <n v="1641043"/>
    <n v="42"/>
    <s v="Spain"/>
    <d v="2023-02-19T23:02:00"/>
    <s v="Other"/>
    <s v="Kwai Yu"/>
    <n v="8182"/>
    <d v="2023-02-19T00:00:00"/>
    <d v="1899-12-30T23:02:00"/>
    <s v="February"/>
    <s v="Sunday"/>
    <s v="Outlier"/>
    <x v="64"/>
  </r>
  <r>
    <n v="1641217"/>
    <n v="1098"/>
    <s v="Singapore"/>
    <d v="2023-05-06T00:44:00"/>
    <s v="Website"/>
    <s v="Victoria Ashworth"/>
    <n v="8834"/>
    <d v="2023-05-06T00:00:00"/>
    <d v="1899-12-30T00:44:00"/>
    <s v="May"/>
    <s v="Saturday"/>
    <s v="Outlier"/>
    <x v="34"/>
  </r>
  <r>
    <n v="1642122"/>
    <n v="143"/>
    <s v="USA"/>
    <d v="2023-10-28T00:17:00"/>
    <s v="App"/>
    <s v="Palle Ibsen"/>
    <n v="819"/>
    <d v="2023-10-28T00:00:00"/>
    <d v="1899-12-30T00:17:00"/>
    <s v="October"/>
    <s v="Saturday"/>
    <s v="Outlier"/>
    <x v="7"/>
  </r>
  <r>
    <n v="1642131"/>
    <n v="368"/>
    <s v="Finland"/>
    <d v="2023-07-16T00:20:00"/>
    <s v="Other"/>
    <s v="Jonas Bergulfsen"/>
    <n v="419"/>
    <d v="2023-07-16T00:00:00"/>
    <d v="1899-12-30T00:20:00"/>
    <s v="July"/>
    <s v="Sunday"/>
    <s v="Outlier"/>
    <x v="30"/>
  </r>
  <r>
    <n v="1642677"/>
    <n v="387"/>
    <s v="Australia"/>
    <d v="2023-02-04T23:10:00"/>
    <s v="App"/>
    <s v="Maria Hernandez"/>
    <n v="8906"/>
    <d v="2023-02-04T00:00:00"/>
    <d v="1899-12-30T23:10:00"/>
    <s v="February"/>
    <s v="Saturday"/>
    <s v="Outlier"/>
    <x v="10"/>
  </r>
  <r>
    <n v="1643238"/>
    <n v="455"/>
    <s v="Germany"/>
    <d v="2023-03-31T02:00:00"/>
    <s v="Whatsapp"/>
    <s v="Diego Freyre"/>
    <n v="3777"/>
    <d v="2023-03-31T00:00:00"/>
    <d v="1899-12-30T02:00:00"/>
    <s v="March"/>
    <s v="Friday"/>
    <s v="Outlier"/>
    <x v="44"/>
  </r>
  <r>
    <n v="1643298"/>
    <n v="1699"/>
    <s v="Australia"/>
    <d v="2023-04-19T23:45:00"/>
    <s v="Website"/>
    <s v="Paul Henriot"/>
    <n v="6207"/>
    <d v="2023-04-19T00:00:00"/>
    <d v="1899-12-30T23:45:00"/>
    <s v="April"/>
    <s v="Wednesday"/>
    <s v="Outlier"/>
    <x v="29"/>
  </r>
  <r>
    <n v="1644933"/>
    <n v="164"/>
    <s v="USA"/>
    <d v="2023-07-20T00:29:00"/>
    <s v="App"/>
    <s v="Akiko Shimamura"/>
    <n v="3831"/>
    <d v="2023-07-20T00:00:00"/>
    <d v="1899-12-30T00:29:00"/>
    <s v="July"/>
    <s v="Thursday"/>
    <s v="Outlier"/>
    <x v="40"/>
  </r>
  <r>
    <n v="1644988"/>
    <n v="1400"/>
    <s v="USA"/>
    <d v="2023-10-27T00:35:00"/>
    <s v="Website"/>
    <s v="Diego Freyre"/>
    <n v="523"/>
    <d v="2023-10-27T00:00:00"/>
    <d v="1899-12-30T00:35:00"/>
    <s v="October"/>
    <s v="Friday"/>
    <s v="Outlier"/>
    <x v="6"/>
  </r>
  <r>
    <n v="1646606"/>
    <n v="654"/>
    <s v="France"/>
    <d v="2023-11-13T23:33:00"/>
    <s v="App"/>
    <s v="Daniel Da Cunha"/>
    <n v="673"/>
    <d v="2023-11-13T00:00:00"/>
    <d v="1899-12-30T23:33:00"/>
    <s v="November"/>
    <s v="Monday"/>
    <s v="Outlier"/>
    <x v="66"/>
  </r>
  <r>
    <n v="1646930"/>
    <n v="146"/>
    <s v="Norway"/>
    <d v="2023-06-10T01:09:00"/>
    <s v="Other"/>
    <s v="Julie King"/>
    <n v="5619"/>
    <d v="2023-06-10T00:00:00"/>
    <d v="1899-12-30T01:09:00"/>
    <s v="June"/>
    <s v="Saturday"/>
    <s v="Outlier"/>
    <x v="67"/>
  </r>
  <r>
    <n v="1646954"/>
    <n v="275"/>
    <s v="Italy"/>
    <d v="2023-01-23T00:34:00"/>
    <s v="Website"/>
    <s v="Arnold Cruz"/>
    <n v="4944"/>
    <d v="2023-01-23T00:00:00"/>
    <d v="1899-12-30T00:34:00"/>
    <s v="January"/>
    <s v="Monday"/>
    <s v="Outlier"/>
    <x v="53"/>
  </r>
  <r>
    <n v="1647290"/>
    <n v="1451"/>
    <s v="USA"/>
    <d v="2023-11-06T00:04:00"/>
    <s v="Other"/>
    <s v="Paul Henriot"/>
    <n v="4573"/>
    <d v="2023-11-06T00:00:00"/>
    <d v="1899-12-30T00:04:00"/>
    <s v="November"/>
    <s v="Monday"/>
    <s v="Outlier"/>
    <x v="66"/>
  </r>
  <r>
    <n v="1648180"/>
    <n v="993"/>
    <s v="Finland"/>
    <d v="2023-01-02T00:28:00"/>
    <s v="App"/>
    <s v="Valarie Nelson"/>
    <n v="4526"/>
    <d v="2023-01-02T00:00:00"/>
    <d v="1899-12-30T00:28:00"/>
    <s v="January"/>
    <s v="Monday"/>
    <s v="Outlier"/>
    <x v="46"/>
  </r>
  <r>
    <n v="1648466"/>
    <n v="842"/>
    <s v="France"/>
    <d v="2023-01-22T23:47:00"/>
    <s v="Whatsapp"/>
    <s v="Julie Young"/>
    <n v="3076"/>
    <d v="2023-01-22T00:00:00"/>
    <d v="1899-12-30T23:47:00"/>
    <s v="January"/>
    <s v="Sunday"/>
    <s v="Outlier"/>
    <x v="10"/>
  </r>
  <r>
    <n v="1649120"/>
    <n v="74"/>
    <s v="USA"/>
    <d v="2023-04-14T00:28:00"/>
    <s v="App"/>
    <s v="Julie Brown"/>
    <n v="4798"/>
    <d v="2023-04-14T00:00:00"/>
    <d v="1899-12-30T00:28:00"/>
    <s v="April"/>
    <s v="Friday"/>
    <s v="Outlier"/>
    <x v="9"/>
  </r>
  <r>
    <n v="1649225"/>
    <n v="859"/>
    <s v="USA"/>
    <d v="2023-09-12T23:05:00"/>
    <s v="Other"/>
    <s v="Anna O'Hara"/>
    <n v="811"/>
    <d v="2023-09-12T00:00:00"/>
    <d v="1899-12-30T23:05:00"/>
    <s v="September"/>
    <s v="Tuesday"/>
    <s v="Outlier"/>
    <x v="6"/>
  </r>
  <r>
    <n v="1650492"/>
    <n v="473"/>
    <s v="Ireland"/>
    <d v="2023-12-02T00:17:00"/>
    <s v="Whatsapp"/>
    <s v="Martine Rance"/>
    <n v="8148"/>
    <d v="2023-12-02T00:00:00"/>
    <d v="1899-12-30T00:17:00"/>
    <s v="December"/>
    <s v="Saturday"/>
    <s v="Outlier"/>
    <x v="11"/>
  </r>
  <r>
    <n v="1650779"/>
    <n v="1034"/>
    <s v="Italy"/>
    <d v="2023-04-12T00:48:00"/>
    <s v="Other"/>
    <s v="Diego Freyre"/>
    <n v="8843"/>
    <d v="2023-04-12T00:00:00"/>
    <d v="1899-12-30T00:48:00"/>
    <s v="April"/>
    <s v="Wednesday"/>
    <s v="Outlier"/>
    <x v="34"/>
  </r>
  <r>
    <n v="1651135"/>
    <n v="1845"/>
    <s v="Finland"/>
    <d v="2023-12-07T00:09:00"/>
    <s v="Other"/>
    <s v="Dominique Perrier"/>
    <n v="2721"/>
    <d v="2023-12-07T00:00:00"/>
    <d v="1899-12-30T00:09:00"/>
    <s v="December"/>
    <s v="Thursday"/>
    <s v="Outlier"/>
    <x v="69"/>
  </r>
  <r>
    <n v="1653886"/>
    <n v="1518"/>
    <s v="USA"/>
    <d v="2023-05-08T01:31:00"/>
    <s v="Other"/>
    <s v="Martine Rance"/>
    <n v="8879"/>
    <d v="2023-05-08T00:00:00"/>
    <d v="1899-12-30T01:31:00"/>
    <s v="May"/>
    <s v="Monday"/>
    <s v="Outlier"/>
    <x v="50"/>
  </r>
  <r>
    <n v="1654315"/>
    <n v="762"/>
    <s v="Denmark"/>
    <d v="2023-08-31T00:20:00"/>
    <s v="App"/>
    <s v="Michael Frick"/>
    <n v="4846"/>
    <d v="2023-08-31T00:00:00"/>
    <d v="1899-12-30T00:20:00"/>
    <s v="August"/>
    <s v="Thursday"/>
    <s v="Outlier"/>
    <x v="29"/>
  </r>
  <r>
    <n v="1654344"/>
    <n v="1851"/>
    <s v="Spain"/>
    <d v="2023-02-04T00:50:00"/>
    <s v="App"/>
    <s v="Dominique Perrier"/>
    <n v="1085"/>
    <d v="2023-02-04T00:00:00"/>
    <d v="1899-12-30T00:50:00"/>
    <s v="February"/>
    <s v="Saturday"/>
    <s v="Outlier"/>
    <x v="15"/>
  </r>
  <r>
    <n v="1654679"/>
    <n v="804"/>
    <s v="Germany"/>
    <d v="2023-06-18T23:39:00"/>
    <s v="Other"/>
    <s v="Juri Yoshido"/>
    <n v="8264"/>
    <d v="2023-06-18T00:00:00"/>
    <d v="1899-12-30T23:39:00"/>
    <s v="June"/>
    <s v="Sunday"/>
    <s v="Outlier"/>
    <x v="72"/>
  </r>
  <r>
    <n v="1655697"/>
    <n v="499"/>
    <s v="Australia"/>
    <d v="2023-05-05T00:56:00"/>
    <s v="Other"/>
    <s v="Miguel Barajas"/>
    <n v="3864"/>
    <d v="2023-05-05T00:00:00"/>
    <d v="1899-12-30T00:56:00"/>
    <s v="May"/>
    <s v="Friday"/>
    <s v="Outlier"/>
    <x v="20"/>
  </r>
  <r>
    <n v="1656071"/>
    <n v="901"/>
    <s v="USA"/>
    <d v="2023-11-05T00:01:00"/>
    <s v="App"/>
    <s v="Marta Hernandez"/>
    <n v="634"/>
    <d v="2023-11-05T00:00:00"/>
    <d v="1899-12-30T00:01:00"/>
    <s v="November"/>
    <s v="Sunday"/>
    <s v="Outlier"/>
    <x v="60"/>
  </r>
  <r>
    <n v="1656749"/>
    <n v="316"/>
    <s v="India"/>
    <d v="2023-06-06T00:20:00"/>
    <s v="App"/>
    <s v="Matti Karttunen"/>
    <n v="7917"/>
    <d v="2023-06-06T00:00:00"/>
    <d v="1899-12-30T00:20:00"/>
    <s v="June"/>
    <s v="Tuesday"/>
    <s v="Outlier"/>
    <x v="20"/>
  </r>
  <r>
    <n v="1657013"/>
    <n v="1799"/>
    <s v="France"/>
    <d v="2023-04-15T00:19:00"/>
    <s v="Whatsapp"/>
    <s v="Jonas Bergulfsen"/>
    <n v="5240"/>
    <d v="2023-04-15T00:00:00"/>
    <d v="1899-12-30T00:19:00"/>
    <s v="April"/>
    <s v="Saturday"/>
    <s v="Outlier"/>
    <x v="21"/>
  </r>
  <r>
    <n v="1657910"/>
    <n v="853"/>
    <s v="USA"/>
    <d v="2023-06-25T00:39:00"/>
    <s v="Website"/>
    <s v="Kee Kuo"/>
    <n v="8403"/>
    <d v="2023-06-25T00:00:00"/>
    <d v="1899-12-30T00:39:00"/>
    <s v="June"/>
    <s v="Sunday"/>
    <s v="Outlier"/>
    <x v="56"/>
  </r>
  <r>
    <n v="1659401"/>
    <n v="214"/>
    <s v="USA"/>
    <d v="2023-07-11T23:22:00"/>
    <s v="Other"/>
    <s v="Rosa Hernandez"/>
    <n v="1671"/>
    <d v="2023-07-11T00:00:00"/>
    <d v="1899-12-30T23:22:00"/>
    <s v="July"/>
    <s v="Tuesday"/>
    <s v="Outlier"/>
    <x v="65"/>
  </r>
  <r>
    <n v="1659771"/>
    <n v="597"/>
    <s v="France"/>
    <d v="2023-11-17T01:14:00"/>
    <s v="App"/>
    <s v="Georg Pipps"/>
    <n v="2382"/>
    <d v="2023-11-17T00:00:00"/>
    <d v="1899-12-30T01:14:00"/>
    <s v="November"/>
    <s v="Friday"/>
    <s v="Outlier"/>
    <x v="64"/>
  </r>
  <r>
    <n v="1659887"/>
    <n v="1854"/>
    <s v="USA"/>
    <d v="2023-12-11T00:04:00"/>
    <s v="Website"/>
    <s v="Daniel Da Cunha"/>
    <n v="3461"/>
    <d v="2023-12-11T00:00:00"/>
    <d v="1899-12-30T00:04:00"/>
    <s v="December"/>
    <s v="Monday"/>
    <s v="Outlier"/>
    <x v="27"/>
  </r>
  <r>
    <n v="1660154"/>
    <n v="105"/>
    <s v="USA"/>
    <d v="2023-05-10T01:40:00"/>
    <s v="App"/>
    <s v="Wing C Tam"/>
    <n v="9184"/>
    <d v="2023-05-10T00:00:00"/>
    <d v="1899-12-30T01:40:00"/>
    <s v="May"/>
    <s v="Wednesday"/>
    <s v="Outlier"/>
    <x v="16"/>
  </r>
  <r>
    <n v="1660467"/>
    <n v="46"/>
    <s v="Finland"/>
    <d v="2023-09-07T00:41:00"/>
    <s v="Other"/>
    <s v="Janine Labrune"/>
    <n v="7481"/>
    <d v="2023-09-07T00:00:00"/>
    <d v="1899-12-30T00:41:00"/>
    <s v="September"/>
    <s v="Thursday"/>
    <s v="Outlier"/>
    <x v="50"/>
  </r>
  <r>
    <n v="1661217"/>
    <n v="1025"/>
    <s v="Australia"/>
    <d v="2023-09-03T23:21:00"/>
    <s v="Website"/>
    <s v="Valarie Nelson"/>
    <n v="9380"/>
    <d v="2023-09-03T00:00:00"/>
    <d v="1899-12-30T23:21:00"/>
    <s v="September"/>
    <s v="Sunday"/>
    <s v="Outlier"/>
    <x v="68"/>
  </r>
  <r>
    <n v="1662668"/>
    <n v="1000"/>
    <s v="India"/>
    <d v="2023-10-06T00:15:00"/>
    <s v="Website"/>
    <s v="Elizabeth Devon"/>
    <n v="4805"/>
    <d v="2023-10-06T00:00:00"/>
    <d v="1899-12-30T00:15:00"/>
    <s v="October"/>
    <s v="Friday"/>
    <s v="Outlier"/>
    <x v="45"/>
  </r>
  <r>
    <n v="1662944"/>
    <n v="1488"/>
    <s v="USA"/>
    <d v="2023-12-20T00:47:00"/>
    <s v="Website"/>
    <s v="Jytte Petersen"/>
    <n v="9411"/>
    <d v="2023-12-20T00:00:00"/>
    <d v="1899-12-30T00:47:00"/>
    <s v="December"/>
    <s v="Wednesday"/>
    <s v="Outlier"/>
    <x v="31"/>
  </r>
  <r>
    <n v="1664960"/>
    <n v="754"/>
    <s v="Italy"/>
    <d v="2023-05-24T22:53:00"/>
    <s v="Website"/>
    <s v="Georg Pipps"/>
    <n v="4918"/>
    <d v="2023-05-24T00:00:00"/>
    <d v="1899-12-30T22:53:00"/>
    <s v="May"/>
    <s v="Wednesday"/>
    <s v="Outlier"/>
    <x v="30"/>
  </r>
  <r>
    <n v="1664973"/>
    <n v="698"/>
    <s v="Australia"/>
    <d v="2023-08-10T00:54:00"/>
    <s v="Whatsapp"/>
    <s v="Ann Brown"/>
    <n v="1301"/>
    <d v="2023-08-10T00:00:00"/>
    <d v="1899-12-30T00:54:00"/>
    <s v="August"/>
    <s v="Thursday"/>
    <s v="Outlier"/>
    <x v="57"/>
  </r>
  <r>
    <n v="1665135"/>
    <n v="818"/>
    <s v="France"/>
    <d v="2023-12-31T01:14:00"/>
    <s v="Whatsapp"/>
    <s v="Valarie Nelson"/>
    <n v="4905"/>
    <d v="2023-12-31T00:00:00"/>
    <d v="1899-12-30T01:14:00"/>
    <s v="December"/>
    <s v="Sunday"/>
    <s v="Outlier"/>
    <x v="27"/>
  </r>
  <r>
    <n v="1665167"/>
    <n v="479"/>
    <s v="Finland"/>
    <d v="2023-03-04T01:46:00"/>
    <s v="App"/>
    <s v="Diego Freyre"/>
    <n v="6692"/>
    <d v="2023-03-04T00:00:00"/>
    <d v="1899-12-30T01:46:00"/>
    <s v="March"/>
    <s v="Saturday"/>
    <s v="Outlier"/>
    <x v="49"/>
  </r>
  <r>
    <n v="1665250"/>
    <n v="329"/>
    <s v="Spain"/>
    <d v="2023-05-02T00:32:00"/>
    <s v="Whatsapp"/>
    <s v="Maria Larsson"/>
    <n v="6153"/>
    <d v="2023-05-02T00:00:00"/>
    <d v="1899-12-30T00:32:00"/>
    <s v="May"/>
    <s v="Tuesday"/>
    <s v="Outlier"/>
    <x v="39"/>
  </r>
  <r>
    <n v="1665582"/>
    <n v="1022"/>
    <s v="India"/>
    <d v="2023-06-24T00:16:00"/>
    <s v="Other"/>
    <s v="Jesus Fernandez"/>
    <n v="7517"/>
    <d v="2023-06-24T00:00:00"/>
    <d v="1899-12-30T00:16:00"/>
    <s v="June"/>
    <s v="Saturday"/>
    <s v="Outlier"/>
    <x v="52"/>
  </r>
  <r>
    <n v="1665843"/>
    <n v="1411"/>
    <s v="Spain"/>
    <d v="2023-07-01T01:46:00"/>
    <s v="App"/>
    <s v="Wing C Tam"/>
    <n v="687"/>
    <d v="2023-07-01T00:00:00"/>
    <d v="1899-12-30T01:46:00"/>
    <s v="July"/>
    <s v="Saturday"/>
    <s v="Outlier"/>
    <x v="44"/>
  </r>
  <r>
    <n v="1665934"/>
    <n v="89"/>
    <s v="Italy"/>
    <d v="2023-09-20T01:16:00"/>
    <s v="Other"/>
    <s v="Eduardo Saavedra"/>
    <n v="4910"/>
    <d v="2023-09-20T00:00:00"/>
    <d v="1899-12-30T01:16:00"/>
    <s v="September"/>
    <s v="Wednesday"/>
    <s v="Outlier"/>
    <x v="19"/>
  </r>
  <r>
    <n v="1666083"/>
    <n v="1307"/>
    <s v="France"/>
    <d v="2023-01-19T01:08:00"/>
    <s v="Other"/>
    <s v="Mary Saveley"/>
    <n v="4117"/>
    <d v="2023-01-19T00:00:00"/>
    <d v="1899-12-30T01:08:00"/>
    <s v="January"/>
    <s v="Thursday"/>
    <s v="Outlier"/>
    <x v="61"/>
  </r>
  <r>
    <n v="1666505"/>
    <n v="1736"/>
    <s v="USA"/>
    <d v="2023-01-22T01:21:00"/>
    <s v="App"/>
    <s v="Valarie Thompson"/>
    <n v="2955"/>
    <d v="2023-01-22T00:00:00"/>
    <d v="1899-12-30T01:21:00"/>
    <s v="January"/>
    <s v="Sunday"/>
    <s v="Outlier"/>
    <x v="12"/>
  </r>
  <r>
    <n v="1666521"/>
    <n v="1386"/>
    <s v="Austria"/>
    <d v="2023-07-30T23:43:00"/>
    <s v="Website"/>
    <s v="William Brown"/>
    <n v="4645"/>
    <d v="2023-07-30T00:00:00"/>
    <d v="1899-12-30T23:43:00"/>
    <s v="July"/>
    <s v="Sunday"/>
    <s v="Outlier"/>
    <x v="65"/>
  </r>
  <r>
    <n v="1666856"/>
    <n v="1370"/>
    <s v="Ireland"/>
    <d v="2023-10-04T01:20:00"/>
    <s v="Other"/>
    <s v="Kwai Yu"/>
    <n v="148"/>
    <d v="2023-10-04T00:00:00"/>
    <d v="1899-12-30T01:20:00"/>
    <s v="October"/>
    <s v="Wednesday"/>
    <s v="Outlier"/>
    <x v="20"/>
  </r>
  <r>
    <n v="1667133"/>
    <n v="1173"/>
    <s v="USA"/>
    <d v="2023-08-14T00:11:00"/>
    <s v="Other"/>
    <s v="Jean Fresnisre"/>
    <n v="8164"/>
    <d v="2023-08-14T00:00:00"/>
    <d v="1899-12-30T00:11:00"/>
    <s v="August"/>
    <s v="Monday"/>
    <s v="Outlier"/>
    <x v="58"/>
  </r>
  <r>
    <n v="1667673"/>
    <n v="991"/>
    <s v="USA"/>
    <d v="2023-09-09T23:31:00"/>
    <s v="App"/>
    <s v="Catherine Dewey"/>
    <n v="1581"/>
    <d v="2023-09-09T00:00:00"/>
    <d v="1899-12-30T23:31:00"/>
    <s v="September"/>
    <s v="Saturday"/>
    <s v="Outlier"/>
    <x v="39"/>
  </r>
  <r>
    <n v="1668081"/>
    <n v="1858"/>
    <s v="USA"/>
    <d v="2023-03-05T01:04:00"/>
    <s v="App"/>
    <s v="Elizabeth Lincoln"/>
    <n v="7774"/>
    <d v="2023-03-05T00:00:00"/>
    <d v="1899-12-30T01:04:00"/>
    <s v="March"/>
    <s v="Sunday"/>
    <s v="Outlier"/>
    <x v="0"/>
  </r>
  <r>
    <n v="1668581"/>
    <n v="186"/>
    <s v="Singapore"/>
    <d v="2023-09-24T00:49:00"/>
    <s v="Website"/>
    <s v="Juri Yoshido"/>
    <n v="6296"/>
    <d v="2023-09-24T00:00:00"/>
    <d v="1899-12-30T00:49:00"/>
    <s v="September"/>
    <s v="Sunday"/>
    <s v="Outlier"/>
    <x v="42"/>
  </r>
  <r>
    <n v="1669169"/>
    <n v="1146"/>
    <s v="USA"/>
    <d v="2023-05-12T23:36:00"/>
    <s v="Website"/>
    <s v="Victoria Ashworth"/>
    <n v="8796"/>
    <d v="2023-05-12T00:00:00"/>
    <d v="1899-12-30T23:36:00"/>
    <s v="May"/>
    <s v="Friday"/>
    <s v="Outlier"/>
    <x v="12"/>
  </r>
  <r>
    <n v="1669358"/>
    <n v="351"/>
    <s v="Australia"/>
    <d v="2023-02-05T01:52:00"/>
    <s v="Website"/>
    <s v="Janine Labrune"/>
    <n v="462"/>
    <d v="2023-02-05T00:00:00"/>
    <d v="1899-12-30T01:52:00"/>
    <s v="February"/>
    <s v="Sunday"/>
    <s v="Outlier"/>
    <x v="27"/>
  </r>
  <r>
    <n v="1670695"/>
    <n v="48"/>
    <s v="USA"/>
    <d v="2023-03-08T00:34:00"/>
    <s v="App"/>
    <s v="Christina Berglund"/>
    <n v="8888"/>
    <d v="2023-03-08T00:00:00"/>
    <d v="1899-12-30T00:34:00"/>
    <s v="March"/>
    <s v="Wednesday"/>
    <s v="Outlier"/>
    <x v="50"/>
  </r>
  <r>
    <n v="1670797"/>
    <n v="1465"/>
    <s v="France"/>
    <d v="2023-06-19T01:37:00"/>
    <s v="Other"/>
    <s v="Akiko Shimamura"/>
    <n v="556"/>
    <d v="2023-06-19T00:00:00"/>
    <d v="1899-12-30T01:37:00"/>
    <s v="June"/>
    <s v="Monday"/>
    <s v="Outlier"/>
    <x v="37"/>
  </r>
  <r>
    <n v="1671351"/>
    <n v="861"/>
    <s v="USA"/>
    <d v="2023-11-25T00:08:00"/>
    <s v="Whatsapp"/>
    <s v="Diego Freyre"/>
    <n v="4300"/>
    <d v="2023-11-25T00:00:00"/>
    <d v="1899-12-30T00:08:00"/>
    <s v="November"/>
    <s v="Saturday"/>
    <s v="Outlier"/>
    <x v="61"/>
  </r>
  <r>
    <n v="1672350"/>
    <n v="1440"/>
    <s v="Spain"/>
    <d v="2023-03-21T00:53:00"/>
    <s v="Website"/>
    <s v="Pirkko Koskitalo"/>
    <n v="4066"/>
    <d v="2023-03-21T00:00:00"/>
    <d v="1899-12-30T00:53:00"/>
    <s v="March"/>
    <s v="Tuesday"/>
    <s v="Outlier"/>
    <x v="52"/>
  </r>
  <r>
    <n v="1672683"/>
    <n v="727"/>
    <s v="France"/>
    <d v="2023-12-03T22:33:00"/>
    <s v="Whatsapp"/>
    <s v="Valarie Nelson"/>
    <n v="8160"/>
    <d v="2023-12-03T00:00:00"/>
    <d v="1899-12-30T22:33:00"/>
    <s v="December"/>
    <s v="Sunday"/>
    <s v="Outlier"/>
    <x v="71"/>
  </r>
  <r>
    <n v="1673913"/>
    <n v="1434"/>
    <s v="USA"/>
    <d v="2023-06-26T01:16:00"/>
    <s v="Other"/>
    <s v="Valarie Nelson"/>
    <n v="4928"/>
    <d v="2023-06-26T00:00:00"/>
    <d v="1899-12-30T01:16:00"/>
    <s v="June"/>
    <s v="Monday"/>
    <s v="Outlier"/>
    <x v="48"/>
  </r>
  <r>
    <n v="1674149"/>
    <n v="1974"/>
    <s v="USA"/>
    <d v="2023-08-21T01:09:00"/>
    <s v="App"/>
    <s v="Juri Yoshido"/>
    <n v="2019"/>
    <d v="2023-08-21T00:00:00"/>
    <d v="1899-12-30T01:09:00"/>
    <s v="August"/>
    <s v="Monday"/>
    <s v="Outlier"/>
    <x v="8"/>
  </r>
  <r>
    <n v="1674723"/>
    <n v="1511"/>
    <s v="USA"/>
    <d v="2023-09-09T22:47:00"/>
    <s v="Website"/>
    <s v="Giovanni Rovelli"/>
    <n v="3096"/>
    <d v="2023-09-09T00:00:00"/>
    <d v="1899-12-30T22:47:00"/>
    <s v="September"/>
    <s v="Saturday"/>
    <s v="Outlier"/>
    <x v="11"/>
  </r>
  <r>
    <n v="1675193"/>
    <n v="552"/>
    <s v="India"/>
    <d v="2023-11-12T23:47:00"/>
    <s v="Whatsapp"/>
    <s v="Peter Ferguson"/>
    <n v="2913"/>
    <d v="2023-11-12T00:00:00"/>
    <d v="1899-12-30T23:47:00"/>
    <s v="November"/>
    <s v="Sunday"/>
    <s v="Outlier"/>
    <x v="25"/>
  </r>
  <r>
    <n v="1675253"/>
    <n v="632"/>
    <s v="USA"/>
    <d v="2023-08-26T00:18:00"/>
    <s v="Website"/>
    <s v="Diego Freyre"/>
    <n v="3340"/>
    <d v="2023-08-26T00:00:00"/>
    <d v="1899-12-30T00:18:00"/>
    <s v="August"/>
    <s v="Saturday"/>
    <s v="Outlier"/>
    <x v="25"/>
  </r>
  <r>
    <n v="1675528"/>
    <n v="360"/>
    <s v="India"/>
    <d v="2023-07-30T00:12:00"/>
    <s v="Whatsapp"/>
    <s v="Wing C Tam"/>
    <n v="3204"/>
    <d v="2023-07-30T00:00:00"/>
    <d v="1899-12-30T00:12:00"/>
    <s v="July"/>
    <s v="Sunday"/>
    <s v="Outlier"/>
    <x v="24"/>
  </r>
  <r>
    <n v="1676930"/>
    <n v="640"/>
    <s v="France"/>
    <d v="2023-11-24T23:41:00"/>
    <s v="Website"/>
    <s v="Diego Freyre"/>
    <n v="598"/>
    <d v="2023-11-24T00:00:00"/>
    <d v="1899-12-30T23:41:00"/>
    <s v="November"/>
    <s v="Friday"/>
    <s v="Outlier"/>
    <x v="66"/>
  </r>
  <r>
    <n v="1677048"/>
    <n v="1415"/>
    <s v="France"/>
    <d v="2023-10-19T02:29:00"/>
    <s v="Whatsapp"/>
    <s v="Juri Hirano"/>
    <n v="598"/>
    <d v="2023-10-19T00:00:00"/>
    <d v="1899-12-30T02:29:00"/>
    <s v="October"/>
    <s v="Thursday"/>
    <s v="Outlier"/>
    <x v="37"/>
  </r>
  <r>
    <n v="1677075"/>
    <n v="460"/>
    <s v="Australia"/>
    <d v="2023-10-12T23:57:00"/>
    <s v="App"/>
    <s v="Steve Thompson"/>
    <n v="7376"/>
    <d v="2023-10-12T00:00:00"/>
    <d v="1899-12-30T23:57:00"/>
    <s v="October"/>
    <s v="Thursday"/>
    <s v="Outlier"/>
    <x v="30"/>
  </r>
  <r>
    <n v="1677682"/>
    <n v="1224"/>
    <s v="France"/>
    <d v="2023-03-26T22:55:00"/>
    <s v="Other"/>
    <s v="Mory Kentary"/>
    <n v="8833"/>
    <d v="2023-03-26T00:00:00"/>
    <d v="1899-12-30T22:55:00"/>
    <s v="March"/>
    <s v="Sunday"/>
    <s v="Outlier"/>
    <x v="37"/>
  </r>
  <r>
    <n v="1677717"/>
    <n v="376"/>
    <s v="India"/>
    <d v="2023-06-21T23:56:00"/>
    <s v="Other"/>
    <s v="Peter Ferguson"/>
    <n v="8542"/>
    <d v="2023-06-21T00:00:00"/>
    <d v="1899-12-30T23:56:00"/>
    <s v="June"/>
    <s v="Wednesday"/>
    <s v="Outlier"/>
    <x v="20"/>
  </r>
  <r>
    <n v="1678550"/>
    <n v="1521"/>
    <s v="USA"/>
    <d v="2023-11-06T00:46:00"/>
    <s v="Other"/>
    <s v="Elizabeth Lincoln"/>
    <n v="8554"/>
    <d v="2023-11-06T00:00:00"/>
    <d v="1899-12-30T00:46:00"/>
    <s v="November"/>
    <s v="Monday"/>
    <s v="Outlier"/>
    <x v="51"/>
  </r>
  <r>
    <n v="1679147"/>
    <n v="696"/>
    <s v="France"/>
    <d v="2023-04-16T23:36:00"/>
    <s v="Other"/>
    <s v="Sue Frick"/>
    <n v="4669"/>
    <d v="2023-04-16T00:00:00"/>
    <d v="1899-12-30T23:36:00"/>
    <s v="April"/>
    <s v="Sunday"/>
    <s v="Outlier"/>
    <x v="35"/>
  </r>
  <r>
    <n v="1679923"/>
    <n v="1835"/>
    <s v="Finland"/>
    <d v="2023-02-23T23:59:00"/>
    <s v="Whatsapp"/>
    <s v="Diego Freyre"/>
    <n v="2710"/>
    <d v="2023-02-23T00:00:00"/>
    <d v="1899-12-30T23:59:00"/>
    <s v="February"/>
    <s v="Thursday"/>
    <s v="Outlier"/>
    <x v="64"/>
  </r>
  <r>
    <n v="1680806"/>
    <n v="1304"/>
    <s v="Italy"/>
    <d v="2023-06-23T00:29:00"/>
    <s v="App"/>
    <s v="Janine Labrune"/>
    <n v="3072"/>
    <d v="2023-06-23T00:00:00"/>
    <d v="1899-12-30T00:29:00"/>
    <s v="June"/>
    <s v="Friday"/>
    <s v="Outlier"/>
    <x v="65"/>
  </r>
  <r>
    <n v="1681214"/>
    <n v="291"/>
    <s v="India"/>
    <d v="2023-05-15T01:00:00"/>
    <s v="Website"/>
    <s v="Jan Klaeboe"/>
    <n v="8168"/>
    <d v="2023-05-15T00:00:00"/>
    <d v="1899-12-30T01:00:00"/>
    <s v="May"/>
    <s v="Monday"/>
    <s v="Outlier"/>
    <x v="60"/>
  </r>
  <r>
    <n v="1681720"/>
    <n v="71"/>
    <s v="India"/>
    <d v="2023-04-06T00:24:00"/>
    <s v="Other"/>
    <s v="Michael Donnermeyer"/>
    <n v="1552"/>
    <d v="2023-04-06T00:00:00"/>
    <d v="1899-12-30T00:24:00"/>
    <s v="April"/>
    <s v="Thursday"/>
    <s v="Outlier"/>
    <x v="68"/>
  </r>
  <r>
    <n v="1682186"/>
    <n v="1537"/>
    <s v="USA"/>
    <d v="2023-07-31T00:50:00"/>
    <s v="App"/>
    <s v="Steve Frick"/>
    <n v="9912"/>
    <d v="2023-07-31T00:00:00"/>
    <d v="1899-12-30T00:50:00"/>
    <s v="July"/>
    <s v="Monday"/>
    <s v="Outlier"/>
    <x v="69"/>
  </r>
  <r>
    <n v="1682358"/>
    <n v="567"/>
    <s v="Australia"/>
    <d v="2023-03-27T23:19:00"/>
    <s v="Website"/>
    <s v="Helen Bennett"/>
    <n v="4540"/>
    <d v="2023-03-27T00:00:00"/>
    <d v="1899-12-30T23:19:00"/>
    <s v="March"/>
    <s v="Monday"/>
    <s v="Outlier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50880-9B7E-4FB0-949C-AC694D01C0F6}" name="PivotTable13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27:C157" firstHeaderRow="0" firstDataRow="1" firstDataCol="1"/>
  <pivotFields count="6">
    <pivotField showAll="0">
      <items count="93">
        <item x="4"/>
        <item x="12"/>
        <item x="65"/>
        <item x="52"/>
        <item x="10"/>
        <item x="15"/>
        <item x="26"/>
        <item x="78"/>
        <item x="20"/>
        <item x="32"/>
        <item x="79"/>
        <item x="23"/>
        <item x="75"/>
        <item x="29"/>
        <item x="11"/>
        <item x="36"/>
        <item x="51"/>
        <item x="73"/>
        <item x="35"/>
        <item x="55"/>
        <item x="43"/>
        <item x="25"/>
        <item x="28"/>
        <item x="21"/>
        <item x="67"/>
        <item x="18"/>
        <item x="47"/>
        <item x="13"/>
        <item x="77"/>
        <item x="2"/>
        <item x="91"/>
        <item x="70"/>
        <item x="72"/>
        <item x="1"/>
        <item x="41"/>
        <item x="56"/>
        <item x="68"/>
        <item x="33"/>
        <item x="46"/>
        <item x="6"/>
        <item x="0"/>
        <item x="66"/>
        <item x="5"/>
        <item x="83"/>
        <item x="3"/>
        <item x="19"/>
        <item x="69"/>
        <item x="39"/>
        <item x="63"/>
        <item x="89"/>
        <item x="54"/>
        <item x="27"/>
        <item x="34"/>
        <item x="40"/>
        <item x="84"/>
        <item x="17"/>
        <item x="42"/>
        <item x="49"/>
        <item x="64"/>
        <item x="44"/>
        <item x="37"/>
        <item x="60"/>
        <item x="86"/>
        <item x="90"/>
        <item x="71"/>
        <item x="22"/>
        <item x="62"/>
        <item x="7"/>
        <item x="82"/>
        <item x="48"/>
        <item x="61"/>
        <item x="88"/>
        <item x="30"/>
        <item x="58"/>
        <item x="16"/>
        <item x="74"/>
        <item x="80"/>
        <item x="8"/>
        <item x="85"/>
        <item x="14"/>
        <item x="76"/>
        <item x="38"/>
        <item x="24"/>
        <item x="87"/>
        <item x="53"/>
        <item x="59"/>
        <item x="9"/>
        <item x="31"/>
        <item x="50"/>
        <item x="81"/>
        <item x="57"/>
        <item x="45"/>
        <item t="default"/>
      </items>
    </pivotField>
    <pivotField axis="axisRow" showAll="0" sortType="descending">
      <items count="31">
        <item x="18"/>
        <item x="5"/>
        <item x="0"/>
        <item x="12"/>
        <item x="24"/>
        <item x="20"/>
        <item x="27"/>
        <item x="4"/>
        <item x="25"/>
        <item x="13"/>
        <item x="19"/>
        <item x="21"/>
        <item x="8"/>
        <item x="9"/>
        <item x="10"/>
        <item x="26"/>
        <item x="6"/>
        <item x="17"/>
        <item x="23"/>
        <item x="1"/>
        <item x="22"/>
        <item x="14"/>
        <item x="11"/>
        <item x="29"/>
        <item x="2"/>
        <item x="28"/>
        <item x="3"/>
        <item x="7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2"/>
        <item x="4"/>
        <item x="0"/>
        <item x="3"/>
        <item t="default"/>
      </items>
    </pivotField>
    <pivotField dataField="1" showAll="0"/>
    <pivotField dataField="1" showAll="0"/>
    <pivotField showAll="0">
      <items count="3">
        <item x="0"/>
        <item x="1"/>
        <item t="default"/>
      </items>
    </pivotField>
  </pivotFields>
  <rowFields count="1">
    <field x="1"/>
  </rowFields>
  <rowItems count="30">
    <i>
      <x v="22"/>
    </i>
    <i>
      <x v="4"/>
    </i>
    <i>
      <x v="5"/>
    </i>
    <i>
      <x v="20"/>
    </i>
    <i>
      <x v="14"/>
    </i>
    <i>
      <x v="16"/>
    </i>
    <i>
      <x v="27"/>
    </i>
    <i>
      <x v="7"/>
    </i>
    <i>
      <x v="3"/>
    </i>
    <i>
      <x v="9"/>
    </i>
    <i>
      <x v="8"/>
    </i>
    <i>
      <x v="17"/>
    </i>
    <i>
      <x v="13"/>
    </i>
    <i>
      <x v="19"/>
    </i>
    <i>
      <x v="1"/>
    </i>
    <i>
      <x v="12"/>
    </i>
    <i>
      <x v="24"/>
    </i>
    <i>
      <x v="2"/>
    </i>
    <i>
      <x v="25"/>
    </i>
    <i>
      <x v="18"/>
    </i>
    <i>
      <x v="6"/>
    </i>
    <i>
      <x v="10"/>
    </i>
    <i>
      <x v="29"/>
    </i>
    <i>
      <x v="15"/>
    </i>
    <i>
      <x v="11"/>
    </i>
    <i>
      <x/>
    </i>
    <i>
      <x v="28"/>
    </i>
    <i>
      <x v="23"/>
    </i>
    <i>
      <x v="26"/>
    </i>
    <i>
      <x v="21"/>
    </i>
  </rowItems>
  <colFields count="1">
    <field x="-2"/>
  </colFields>
  <colItems count="2">
    <i>
      <x/>
    </i>
    <i i="1">
      <x v="1"/>
    </i>
  </colItems>
  <dataFields count="2">
    <dataField name="Sum of 2023 Sales Target" fld="3" baseField="0" baseItem="0"/>
    <dataField name="Sum of Achieved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F0D61-1012-4C13-BE33-09035556119B}" name="PivotTable1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19:B124" firstHeaderRow="1" firstDataRow="1" firstDataCol="1"/>
  <pivotFields count="6">
    <pivotField showAll="0">
      <items count="93">
        <item x="4"/>
        <item x="12"/>
        <item x="65"/>
        <item x="52"/>
        <item x="10"/>
        <item x="15"/>
        <item x="26"/>
        <item x="78"/>
        <item x="20"/>
        <item x="32"/>
        <item x="79"/>
        <item x="23"/>
        <item x="75"/>
        <item x="29"/>
        <item x="11"/>
        <item x="36"/>
        <item x="51"/>
        <item x="73"/>
        <item x="35"/>
        <item x="55"/>
        <item x="43"/>
        <item x="25"/>
        <item x="28"/>
        <item x="21"/>
        <item x="67"/>
        <item x="18"/>
        <item x="47"/>
        <item x="13"/>
        <item x="77"/>
        <item x="2"/>
        <item x="91"/>
        <item x="70"/>
        <item x="72"/>
        <item x="1"/>
        <item x="41"/>
        <item x="56"/>
        <item x="68"/>
        <item x="33"/>
        <item x="46"/>
        <item x="6"/>
        <item x="0"/>
        <item x="66"/>
        <item x="5"/>
        <item x="83"/>
        <item x="3"/>
        <item x="19"/>
        <item x="69"/>
        <item x="39"/>
        <item x="63"/>
        <item x="89"/>
        <item x="54"/>
        <item x="27"/>
        <item x="34"/>
        <item x="40"/>
        <item x="84"/>
        <item x="17"/>
        <item x="42"/>
        <item x="49"/>
        <item x="64"/>
        <item x="44"/>
        <item x="37"/>
        <item x="60"/>
        <item x="86"/>
        <item x="90"/>
        <item x="71"/>
        <item x="22"/>
        <item x="62"/>
        <item x="7"/>
        <item x="82"/>
        <item x="48"/>
        <item x="61"/>
        <item x="88"/>
        <item x="30"/>
        <item x="58"/>
        <item x="16"/>
        <item x="74"/>
        <item x="80"/>
        <item x="8"/>
        <item x="85"/>
        <item x="14"/>
        <item x="76"/>
        <item x="38"/>
        <item x="24"/>
        <item x="87"/>
        <item x="53"/>
        <item x="59"/>
        <item x="9"/>
        <item x="31"/>
        <item x="50"/>
        <item x="81"/>
        <item x="57"/>
        <item x="45"/>
        <item t="default"/>
      </items>
    </pivotField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4"/>
    </i>
    <i>
      <x v="2"/>
    </i>
    <i>
      <x v="3"/>
    </i>
  </rowItems>
  <colItems count="1">
    <i/>
  </colItems>
  <dataFields count="1">
    <dataField name="Sum of 2023 Sales Targe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E75A0-7D26-41B4-8F6B-5A0FFB2B98F6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6:C115" firstHeaderRow="0" firstDataRow="1" firstDataCol="1"/>
  <pivotFields count="13">
    <pivotField dataField="1" showAll="0"/>
    <pivotField showAll="0"/>
    <pivotField showAll="0"/>
    <pivotField numFmtId="164" showAll="0"/>
    <pivotField showAll="0"/>
    <pivotField showAll="0"/>
    <pivotField dataField="1" showAll="0"/>
    <pivotField numFmtId="14" showAll="0"/>
    <pivotField numFmtId="165"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Order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76EB2-CDBA-47F1-A93C-D24FF6DB55E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6:B94" firstHeaderRow="1" firstDataRow="1" firstDataCol="1"/>
  <pivotFields count="13">
    <pivotField dataField="1" showAll="0"/>
    <pivotField showAll="0"/>
    <pivotField showAll="0"/>
    <pivotField numFmtId="164" showAll="0"/>
    <pivotField showAll="0"/>
    <pivotField showAll="0"/>
    <pivotField showAll="0"/>
    <pivotField numFmtId="14" showAll="0"/>
    <pivotField numFmtId="165" showAll="0">
      <items count="222">
        <item x="126"/>
        <item x="63"/>
        <item x="89"/>
        <item x="72"/>
        <item x="64"/>
        <item x="48"/>
        <item x="22"/>
        <item x="34"/>
        <item x="149"/>
        <item x="81"/>
        <item x="107"/>
        <item x="10"/>
        <item x="19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8"/>
        <item x="16"/>
        <item x="186"/>
        <item x="130"/>
        <item x="121"/>
        <item x="12"/>
        <item x="207"/>
        <item x="31"/>
        <item x="37"/>
        <item x="92"/>
        <item x="7"/>
        <item x="122"/>
        <item x="52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60"/>
        <item x="216"/>
        <item x="131"/>
        <item x="202"/>
        <item x="199"/>
        <item x="82"/>
        <item x="198"/>
        <item x="98"/>
        <item x="41"/>
        <item x="197"/>
        <item x="113"/>
        <item x="180"/>
        <item x="214"/>
        <item x="204"/>
        <item x="205"/>
        <item x="18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44"/>
        <item x="114"/>
        <item x="183"/>
        <item x="182"/>
        <item x="159"/>
        <item x="163"/>
        <item x="40"/>
        <item x="66"/>
        <item x="175"/>
        <item x="176"/>
        <item x="4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t="default"/>
      </items>
    </pivotField>
    <pivotField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axis="axisRow" showAll="0">
      <items count="8">
        <item x="5"/>
        <item x="2"/>
        <item x="4"/>
        <item x="3"/>
        <item x="0"/>
        <item x="1"/>
        <item x="6"/>
        <item t="default"/>
      </items>
    </pivotField>
    <pivotField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6F2A7-97B8-49BF-8D30-7B73D18ECDBE}" name="PivotTable8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70:C72" firstHeaderRow="0" firstDataRow="1" firstDataCol="1"/>
  <pivotFields count="6">
    <pivotField dataField="1" showAll="0">
      <items count="93">
        <item x="4"/>
        <item x="12"/>
        <item x="65"/>
        <item x="52"/>
        <item x="10"/>
        <item x="15"/>
        <item x="26"/>
        <item x="78"/>
        <item x="20"/>
        <item x="32"/>
        <item x="79"/>
        <item x="23"/>
        <item x="75"/>
        <item x="29"/>
        <item x="11"/>
        <item x="36"/>
        <item x="51"/>
        <item x="73"/>
        <item x="35"/>
        <item x="55"/>
        <item x="43"/>
        <item x="25"/>
        <item x="28"/>
        <item x="21"/>
        <item x="67"/>
        <item x="18"/>
        <item x="47"/>
        <item x="13"/>
        <item x="77"/>
        <item x="2"/>
        <item x="91"/>
        <item x="70"/>
        <item x="72"/>
        <item x="1"/>
        <item x="41"/>
        <item x="56"/>
        <item x="68"/>
        <item x="33"/>
        <item x="46"/>
        <item x="6"/>
        <item x="0"/>
        <item x="66"/>
        <item x="5"/>
        <item x="83"/>
        <item x="3"/>
        <item x="19"/>
        <item x="69"/>
        <item x="39"/>
        <item x="63"/>
        <item x="89"/>
        <item x="54"/>
        <item x="27"/>
        <item x="34"/>
        <item x="40"/>
        <item x="84"/>
        <item x="17"/>
        <item x="42"/>
        <item x="49"/>
        <item x="64"/>
        <item x="44"/>
        <item x="37"/>
        <item x="60"/>
        <item x="86"/>
        <item x="90"/>
        <item x="71"/>
        <item x="22"/>
        <item x="62"/>
        <item x="7"/>
        <item x="82"/>
        <item x="48"/>
        <item x="61"/>
        <item x="88"/>
        <item x="30"/>
        <item x="58"/>
        <item x="16"/>
        <item x="74"/>
        <item x="80"/>
        <item x="8"/>
        <item x="85"/>
        <item x="14"/>
        <item x="76"/>
        <item x="38"/>
        <item x="24"/>
        <item x="87"/>
        <item x="53"/>
        <item x="59"/>
        <item x="9"/>
        <item x="31"/>
        <item x="50"/>
        <item x="81"/>
        <item x="57"/>
        <item x="45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Achieved Sales" fld="4" baseField="0" baseItem="0"/>
    <dataField name="Count of Sales POC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AF935-F8DA-4E4A-91C6-AE483BC0218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4:B59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Count of Custom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3AC38-F5DE-4FA3-B022-6971F0AD5173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9:C47" firstHeaderRow="0" firstDataRow="1" firstDataCol="1"/>
  <pivotFields count="13">
    <pivotField showAll="0"/>
    <pivotField dataField="1" showAll="0"/>
    <pivotField showAll="0">
      <items count="15">
        <item x="6"/>
        <item x="9"/>
        <item x="13"/>
        <item x="10"/>
        <item x="3"/>
        <item x="7"/>
        <item x="1"/>
        <item x="12"/>
        <item x="2"/>
        <item x="8"/>
        <item x="5"/>
        <item x="4"/>
        <item x="11"/>
        <item x="0"/>
        <item t="default"/>
      </items>
    </pivotField>
    <pivotField numFmtId="164" showAll="0"/>
    <pivotField showAll="0"/>
    <pivotField showAll="0"/>
    <pivotField dataField="1" showAll="0"/>
    <pivotField numFmtId="14" showAll="0"/>
    <pivotField numFmtId="165" showAll="0">
      <items count="222">
        <item x="126"/>
        <item x="63"/>
        <item x="89"/>
        <item x="72"/>
        <item x="64"/>
        <item x="48"/>
        <item x="22"/>
        <item x="34"/>
        <item x="149"/>
        <item x="81"/>
        <item x="107"/>
        <item x="10"/>
        <item x="19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8"/>
        <item x="16"/>
        <item x="186"/>
        <item x="130"/>
        <item x="121"/>
        <item x="12"/>
        <item x="207"/>
        <item x="31"/>
        <item x="37"/>
        <item x="92"/>
        <item x="7"/>
        <item x="122"/>
        <item x="52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60"/>
        <item x="216"/>
        <item x="131"/>
        <item x="202"/>
        <item x="199"/>
        <item x="82"/>
        <item x="198"/>
        <item x="98"/>
        <item x="41"/>
        <item x="197"/>
        <item x="113"/>
        <item x="180"/>
        <item x="214"/>
        <item x="204"/>
        <item x="205"/>
        <item x="18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44"/>
        <item x="114"/>
        <item x="183"/>
        <item x="182"/>
        <item x="159"/>
        <item x="163"/>
        <item x="40"/>
        <item x="66"/>
        <item x="175"/>
        <item x="176"/>
        <item x="4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t="default"/>
      </items>
    </pivotField>
    <pivotField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showAll="0"/>
    <pivotField showAll="0"/>
    <pivotField axis="axisRow" showAll="0" sortType="descending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2"/>
  </rowFields>
  <rowItems count="8">
    <i>
      <x v="17"/>
    </i>
    <i>
      <x v="1"/>
    </i>
    <i>
      <x v="2"/>
    </i>
    <i>
      <x v="23"/>
    </i>
    <i>
      <x v="24"/>
    </i>
    <i>
      <x v="3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1" subtotal="count" baseField="0" baseItem="0"/>
    <dataField name="Average of Order Value" fld="6" subtotal="average" baseField="0" baseItem="0" numFmtId="2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83E52-3AD1-4BF5-87A8-ED1A7EEAE2FF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0:C35" firstHeaderRow="0" firstDataRow="1" firstDataCol="1"/>
  <pivotFields count="13">
    <pivotField showAll="0"/>
    <pivotField dataField="1" showAll="0"/>
    <pivotField axis="axisRow" showAll="0" sortType="descending">
      <items count="15">
        <item x="6"/>
        <item x="9"/>
        <item x="13"/>
        <item x="10"/>
        <item x="3"/>
        <item x="7"/>
        <item x="1"/>
        <item x="12"/>
        <item x="2"/>
        <item x="8"/>
        <item x="5"/>
        <item x="4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64" showAll="0"/>
    <pivotField showAll="0"/>
    <pivotField showAll="0"/>
    <pivotField dataField="1" showAll="0"/>
    <pivotField numFmtId="14" showAll="0"/>
    <pivotField numFmtId="165" showAll="0">
      <items count="222">
        <item x="126"/>
        <item x="63"/>
        <item x="89"/>
        <item x="72"/>
        <item x="64"/>
        <item x="48"/>
        <item x="22"/>
        <item x="34"/>
        <item x="149"/>
        <item x="81"/>
        <item x="107"/>
        <item x="10"/>
        <item x="19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8"/>
        <item x="16"/>
        <item x="186"/>
        <item x="130"/>
        <item x="121"/>
        <item x="12"/>
        <item x="207"/>
        <item x="31"/>
        <item x="37"/>
        <item x="92"/>
        <item x="7"/>
        <item x="122"/>
        <item x="52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60"/>
        <item x="216"/>
        <item x="131"/>
        <item x="202"/>
        <item x="199"/>
        <item x="82"/>
        <item x="198"/>
        <item x="98"/>
        <item x="41"/>
        <item x="197"/>
        <item x="113"/>
        <item x="180"/>
        <item x="214"/>
        <item x="204"/>
        <item x="205"/>
        <item x="18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44"/>
        <item x="114"/>
        <item x="183"/>
        <item x="182"/>
        <item x="159"/>
        <item x="163"/>
        <item x="40"/>
        <item x="66"/>
        <item x="175"/>
        <item x="176"/>
        <item x="4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t="default"/>
      </items>
    </pivotField>
    <pivotField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15">
    <i>
      <x v="13"/>
    </i>
    <i>
      <x v="4"/>
    </i>
    <i>
      <x v="11"/>
    </i>
    <i>
      <x v="6"/>
    </i>
    <i>
      <x/>
    </i>
    <i>
      <x v="8"/>
    </i>
    <i>
      <x v="10"/>
    </i>
    <i>
      <x v="3"/>
    </i>
    <i>
      <x v="2"/>
    </i>
    <i>
      <x v="5"/>
    </i>
    <i>
      <x v="1"/>
    </i>
    <i>
      <x v="9"/>
    </i>
    <i>
      <x v="12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1" subtotal="count" baseField="0" baseItem="0"/>
    <dataField name="Sum of Order Value" fld="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6B309-3F0D-4BF9-A115-EA2810336A3B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6" firstHeaderRow="0" firstDataRow="1" firstDataCol="1"/>
  <pivotFields count="13">
    <pivotField dataField="1" showAll="0"/>
    <pivotField showAll="0"/>
    <pivotField showAll="0"/>
    <pivotField numFmtId="164" showAll="0"/>
    <pivotField showAll="0"/>
    <pivotField showAll="0"/>
    <pivotField dataField="1" showAll="0"/>
    <pivotField numFmtId="14" showAll="0"/>
    <pivotField numFmtId="165" showAll="0">
      <items count="222">
        <item x="126"/>
        <item x="63"/>
        <item x="89"/>
        <item x="72"/>
        <item x="64"/>
        <item x="48"/>
        <item x="22"/>
        <item x="34"/>
        <item x="149"/>
        <item x="81"/>
        <item x="107"/>
        <item x="10"/>
        <item x="19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8"/>
        <item x="16"/>
        <item x="186"/>
        <item x="130"/>
        <item x="121"/>
        <item x="12"/>
        <item x="207"/>
        <item x="31"/>
        <item x="37"/>
        <item x="92"/>
        <item x="7"/>
        <item x="122"/>
        <item x="52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60"/>
        <item x="216"/>
        <item x="131"/>
        <item x="202"/>
        <item x="199"/>
        <item x="82"/>
        <item x="198"/>
        <item x="98"/>
        <item x="41"/>
        <item x="197"/>
        <item x="113"/>
        <item x="180"/>
        <item x="214"/>
        <item x="204"/>
        <item x="205"/>
        <item x="18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44"/>
        <item x="114"/>
        <item x="183"/>
        <item x="182"/>
        <item x="159"/>
        <item x="163"/>
        <item x="40"/>
        <item x="66"/>
        <item x="175"/>
        <item x="176"/>
        <item x="4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t="default"/>
      </items>
    </pivotField>
    <pivotField axis="axisRow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Order Value" fld="6" subtotal="average" baseField="0" baseItem="0"/>
  </dataFields>
  <formats count="1">
    <format dxfId="2">
      <pivotArea collapsedLevelsAreSubtotals="1" fieldPosition="0">
        <references count="2">
          <reference field="4294967294" count="1" selected="0">
            <x v="1"/>
          </reference>
          <reference field="9" count="0"/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1171-BE32-4C5D-A744-FE607DCCA9A6}">
  <sheetPr>
    <tabColor theme="7"/>
  </sheetPr>
  <dimension ref="A1:M2823"/>
  <sheetViews>
    <sheetView topLeftCell="E1" workbookViewId="0">
      <selection activeCell="O3" sqref="O3"/>
    </sheetView>
  </sheetViews>
  <sheetFormatPr defaultRowHeight="20" customHeight="1" x14ac:dyDescent="0.35"/>
  <cols>
    <col min="1" max="1" width="13.08984375" bestFit="1" customWidth="1"/>
    <col min="2" max="2" width="16.6328125" bestFit="1" customWidth="1"/>
    <col min="3" max="3" width="22.1796875" style="2" bestFit="1" customWidth="1"/>
    <col min="4" max="4" width="19.7265625" bestFit="1" customWidth="1"/>
    <col min="5" max="5" width="17.453125" bestFit="1" customWidth="1"/>
    <col min="6" max="6" width="19.54296875" bestFit="1" customWidth="1"/>
    <col min="7" max="7" width="16.36328125" bestFit="1" customWidth="1"/>
    <col min="8" max="8" width="15" style="4" bestFit="1" customWidth="1"/>
    <col min="9" max="9" width="15.26953125" style="5" bestFit="1" customWidth="1"/>
    <col min="10" max="10" width="16.90625" bestFit="1" customWidth="1"/>
    <col min="11" max="11" width="14.1796875" bestFit="1" customWidth="1"/>
    <col min="12" max="12" width="17.7265625" style="58" bestFit="1" customWidth="1"/>
    <col min="13" max="13" width="8.81640625" style="58" bestFit="1" customWidth="1"/>
  </cols>
  <sheetData>
    <row r="1" spans="1:13" ht="20" customHeight="1" thickBot="1" x14ac:dyDescent="0.4">
      <c r="A1" s="32" t="s">
        <v>122</v>
      </c>
      <c r="B1" s="33" t="s">
        <v>2</v>
      </c>
      <c r="C1" s="33" t="s">
        <v>114</v>
      </c>
      <c r="D1" s="34" t="s">
        <v>0</v>
      </c>
      <c r="E1" s="33" t="s">
        <v>112</v>
      </c>
      <c r="F1" s="33" t="s">
        <v>3</v>
      </c>
      <c r="G1" s="33" t="s">
        <v>1</v>
      </c>
      <c r="H1" s="33" t="s">
        <v>134</v>
      </c>
      <c r="I1" s="35" t="s">
        <v>135</v>
      </c>
      <c r="J1" s="33" t="s">
        <v>136</v>
      </c>
      <c r="K1" s="55" t="s">
        <v>137</v>
      </c>
      <c r="L1" s="60" t="s">
        <v>151</v>
      </c>
      <c r="M1" s="60" t="s">
        <v>124</v>
      </c>
    </row>
    <row r="2" spans="1:13" ht="20" customHeight="1" x14ac:dyDescent="0.35">
      <c r="A2" s="17">
        <v>1597</v>
      </c>
      <c r="B2" s="18">
        <v>856</v>
      </c>
      <c r="C2" s="23" t="s">
        <v>99</v>
      </c>
      <c r="D2" s="24">
        <v>45275.034722222219</v>
      </c>
      <c r="E2" s="18" t="s">
        <v>96</v>
      </c>
      <c r="F2" s="18" t="s">
        <v>4</v>
      </c>
      <c r="G2" s="18">
        <v>412</v>
      </c>
      <c r="H2" s="25">
        <f>INT(D2)</f>
        <v>45275</v>
      </c>
      <c r="I2" s="26">
        <f>MOD(D2,1)</f>
        <v>3.4722222218988463E-2</v>
      </c>
      <c r="J2" s="18" t="str">
        <f>TEXT(D2,"mmmm")</f>
        <v>December</v>
      </c>
      <c r="K2" s="56" t="str">
        <f>TEXT(D2,"dddd")</f>
        <v>Friday</v>
      </c>
      <c r="L2" s="59" t="str">
        <f>IF(OR(G2&gt;Answers!I17,G2&lt;Answers!I18),"Outlier","Normal")</f>
        <v>Normal</v>
      </c>
      <c r="M2" s="59">
        <v>59</v>
      </c>
    </row>
    <row r="3" spans="1:13" ht="20" customHeight="1" x14ac:dyDescent="0.35">
      <c r="A3" s="17">
        <v>2011</v>
      </c>
      <c r="B3" s="18">
        <v>525</v>
      </c>
      <c r="C3" s="23" t="s">
        <v>113</v>
      </c>
      <c r="D3" s="24">
        <v>45045.986111111109</v>
      </c>
      <c r="E3" s="18" t="s">
        <v>133</v>
      </c>
      <c r="F3" s="18" t="s">
        <v>5</v>
      </c>
      <c r="G3" s="18">
        <v>4551</v>
      </c>
      <c r="H3" s="25">
        <f t="shared" ref="H3:H66" si="0">INT(D3)</f>
        <v>45045</v>
      </c>
      <c r="I3" s="26">
        <f t="shared" ref="I3:I66" si="1">MOD(D3,1)</f>
        <v>0.98611111110949423</v>
      </c>
      <c r="J3" s="18" t="str">
        <f t="shared" ref="J3:J66" si="2">TEXT(D3,"mmmm")</f>
        <v>April</v>
      </c>
      <c r="K3" s="56" t="str">
        <f t="shared" ref="K3:K66" si="3">TEXT(D3,"dddd")</f>
        <v>Saturday</v>
      </c>
      <c r="L3" s="18" t="str">
        <f>IF(OR(G3&gt;Answers!I18,G3&lt;Answers!I19),"Outlier","Normal")</f>
        <v>Outlier</v>
      </c>
      <c r="M3" s="18">
        <v>20</v>
      </c>
    </row>
    <row r="4" spans="1:13" ht="20" customHeight="1" x14ac:dyDescent="0.35">
      <c r="A4" s="17">
        <v>2822</v>
      </c>
      <c r="B4" s="18">
        <v>1614</v>
      </c>
      <c r="C4" s="23" t="s">
        <v>99</v>
      </c>
      <c r="D4" s="24">
        <v>45290.01458333333</v>
      </c>
      <c r="E4" s="18" t="s">
        <v>133</v>
      </c>
      <c r="F4" s="18" t="s">
        <v>6</v>
      </c>
      <c r="G4" s="18">
        <v>3960</v>
      </c>
      <c r="H4" s="25">
        <f t="shared" si="0"/>
        <v>45290</v>
      </c>
      <c r="I4" s="26">
        <f t="shared" si="1"/>
        <v>1.4583333329937886E-2</v>
      </c>
      <c r="J4" s="18" t="str">
        <f t="shared" si="2"/>
        <v>December</v>
      </c>
      <c r="K4" s="56" t="str">
        <f t="shared" si="3"/>
        <v>Saturday</v>
      </c>
      <c r="L4" s="18" t="str">
        <f>IF(OR(G4&gt;Answers!I19,G4&lt;Answers!I20),"Outlier","Normal")</f>
        <v>Outlier</v>
      </c>
      <c r="M4" s="18">
        <v>37</v>
      </c>
    </row>
    <row r="5" spans="1:13" ht="20" customHeight="1" x14ac:dyDescent="0.35">
      <c r="A5" s="17">
        <v>2889</v>
      </c>
      <c r="B5" s="18">
        <v>743</v>
      </c>
      <c r="C5" s="23" t="s">
        <v>99</v>
      </c>
      <c r="D5" s="24">
        <v>45258.021527777775</v>
      </c>
      <c r="E5" s="18" t="s">
        <v>133</v>
      </c>
      <c r="F5" s="18" t="s">
        <v>7</v>
      </c>
      <c r="G5" s="18">
        <v>8397</v>
      </c>
      <c r="H5" s="25">
        <f t="shared" si="0"/>
        <v>45258</v>
      </c>
      <c r="I5" s="26">
        <f t="shared" si="1"/>
        <v>2.1527777775190771E-2</v>
      </c>
      <c r="J5" s="18" t="str">
        <f t="shared" si="2"/>
        <v>November</v>
      </c>
      <c r="K5" s="56" t="str">
        <f t="shared" si="3"/>
        <v>Tuesday</v>
      </c>
      <c r="L5" s="18" t="str">
        <f>IF(OR(G5&gt;Answers!I20,G5&lt;Answers!I21),"Outlier","Normal")</f>
        <v>Outlier</v>
      </c>
      <c r="M5" s="18">
        <v>29</v>
      </c>
    </row>
    <row r="6" spans="1:13" ht="20" customHeight="1" x14ac:dyDescent="0.35">
      <c r="A6" s="17">
        <v>3971</v>
      </c>
      <c r="B6" s="18">
        <v>20</v>
      </c>
      <c r="C6" s="23" t="s">
        <v>99</v>
      </c>
      <c r="D6" s="24">
        <v>45225.96597222222</v>
      </c>
      <c r="E6" s="18" t="s">
        <v>98</v>
      </c>
      <c r="F6" s="18" t="s">
        <v>8</v>
      </c>
      <c r="G6" s="18">
        <v>5545</v>
      </c>
      <c r="H6" s="25">
        <f t="shared" si="0"/>
        <v>45225</v>
      </c>
      <c r="I6" s="26">
        <f t="shared" si="1"/>
        <v>0.96597222222044365</v>
      </c>
      <c r="J6" s="18" t="str">
        <f t="shared" si="2"/>
        <v>October</v>
      </c>
      <c r="K6" s="56" t="str">
        <f t="shared" si="3"/>
        <v>Thursday</v>
      </c>
      <c r="L6" s="18" t="str">
        <f>IF(OR(G6&gt;Answers!I21,G6&lt;Answers!I22),"Outlier","Normal")</f>
        <v>Outlier</v>
      </c>
      <c r="M6" s="18">
        <v>38</v>
      </c>
    </row>
    <row r="7" spans="1:13" ht="20" customHeight="1" x14ac:dyDescent="0.35">
      <c r="A7" s="17">
        <v>4111</v>
      </c>
      <c r="B7" s="18">
        <v>1367</v>
      </c>
      <c r="C7" s="23" t="s">
        <v>107</v>
      </c>
      <c r="D7" s="24">
        <v>44993.952777777777</v>
      </c>
      <c r="E7" s="18" t="s">
        <v>97</v>
      </c>
      <c r="F7" s="18" t="s">
        <v>9</v>
      </c>
      <c r="G7" s="18">
        <v>7800</v>
      </c>
      <c r="H7" s="25">
        <f t="shared" si="0"/>
        <v>44993</v>
      </c>
      <c r="I7" s="26">
        <f t="shared" si="1"/>
        <v>0.95277777777664596</v>
      </c>
      <c r="J7" s="18" t="str">
        <f t="shared" si="2"/>
        <v>March</v>
      </c>
      <c r="K7" s="56" t="str">
        <f t="shared" si="3"/>
        <v>Wednesday</v>
      </c>
      <c r="L7" s="18" t="str">
        <f>IF(OR(G7&gt;Answers!I22,G7&lt;Answers!I23),"Outlier","Normal")</f>
        <v>Outlier</v>
      </c>
      <c r="M7" s="18">
        <v>25</v>
      </c>
    </row>
    <row r="8" spans="1:13" ht="20" customHeight="1" x14ac:dyDescent="0.35">
      <c r="A8" s="17">
        <v>4801</v>
      </c>
      <c r="B8" s="18">
        <v>945</v>
      </c>
      <c r="C8" s="23" t="s">
        <v>100</v>
      </c>
      <c r="D8" s="24">
        <v>44975.015972222223</v>
      </c>
      <c r="E8" s="18" t="s">
        <v>96</v>
      </c>
      <c r="F8" s="18" t="s">
        <v>10</v>
      </c>
      <c r="G8" s="18">
        <v>4674</v>
      </c>
      <c r="H8" s="25">
        <f t="shared" si="0"/>
        <v>44975</v>
      </c>
      <c r="I8" s="26">
        <f t="shared" si="1"/>
        <v>1.5972222223354038E-2</v>
      </c>
      <c r="J8" s="18" t="str">
        <f t="shared" si="2"/>
        <v>February</v>
      </c>
      <c r="K8" s="56" t="str">
        <f t="shared" si="3"/>
        <v>Saturday</v>
      </c>
      <c r="L8" s="18" t="str">
        <f>IF(OR(G8&gt;Answers!I23,G8&lt;Answers!I24),"Outlier","Normal")</f>
        <v>Outlier</v>
      </c>
      <c r="M8" s="18">
        <v>34</v>
      </c>
    </row>
    <row r="9" spans="1:13" ht="20" customHeight="1" x14ac:dyDescent="0.35">
      <c r="A9" s="17">
        <v>5719</v>
      </c>
      <c r="B9" s="18">
        <v>218</v>
      </c>
      <c r="C9" s="23" t="s">
        <v>100</v>
      </c>
      <c r="D9" s="24">
        <v>45253.048611111109</v>
      </c>
      <c r="E9" s="18" t="s">
        <v>98</v>
      </c>
      <c r="F9" s="18" t="s">
        <v>11</v>
      </c>
      <c r="G9" s="18">
        <v>5954</v>
      </c>
      <c r="H9" s="25">
        <f t="shared" si="0"/>
        <v>45253</v>
      </c>
      <c r="I9" s="26">
        <f t="shared" si="1"/>
        <v>4.8611111109494232E-2</v>
      </c>
      <c r="J9" s="18" t="str">
        <f t="shared" si="2"/>
        <v>November</v>
      </c>
      <c r="K9" s="56" t="str">
        <f t="shared" si="3"/>
        <v>Thursday</v>
      </c>
      <c r="L9" s="18" t="str">
        <f>IF(OR(G9&gt;Answers!I24,G9&lt;Answers!I25),"Outlier","Normal")</f>
        <v>Outlier</v>
      </c>
      <c r="M9" s="18">
        <v>34</v>
      </c>
    </row>
    <row r="10" spans="1:13" ht="20" customHeight="1" x14ac:dyDescent="0.35">
      <c r="A10" s="17">
        <v>5846</v>
      </c>
      <c r="B10" s="18">
        <v>264</v>
      </c>
      <c r="C10" s="23" t="s">
        <v>99</v>
      </c>
      <c r="D10" s="24">
        <v>45283.055555555555</v>
      </c>
      <c r="E10" s="18" t="s">
        <v>98</v>
      </c>
      <c r="F10" s="18" t="s">
        <v>12</v>
      </c>
      <c r="G10" s="18">
        <v>9887</v>
      </c>
      <c r="H10" s="25">
        <f t="shared" si="0"/>
        <v>45283</v>
      </c>
      <c r="I10" s="26">
        <f t="shared" si="1"/>
        <v>5.5555555554747116E-2</v>
      </c>
      <c r="J10" s="18" t="str">
        <f t="shared" si="2"/>
        <v>December</v>
      </c>
      <c r="K10" s="56" t="str">
        <f t="shared" si="3"/>
        <v>Saturday</v>
      </c>
      <c r="L10" s="18" t="str">
        <f>IF(OR(G10&gt;Answers!I25,G10&lt;Answers!I26),"Outlier","Normal")</f>
        <v>Outlier</v>
      </c>
      <c r="M10" s="18">
        <v>46</v>
      </c>
    </row>
    <row r="11" spans="1:13" ht="20" customHeight="1" x14ac:dyDescent="0.35">
      <c r="A11" s="17">
        <v>7615</v>
      </c>
      <c r="B11" s="18">
        <v>566</v>
      </c>
      <c r="C11" s="23" t="s">
        <v>99</v>
      </c>
      <c r="D11" s="24">
        <v>45233.990277777775</v>
      </c>
      <c r="E11" s="18" t="s">
        <v>133</v>
      </c>
      <c r="F11" s="18" t="s">
        <v>13</v>
      </c>
      <c r="G11" s="18">
        <v>8303</v>
      </c>
      <c r="H11" s="25">
        <f t="shared" si="0"/>
        <v>45233</v>
      </c>
      <c r="I11" s="26">
        <f t="shared" si="1"/>
        <v>0.99027777777519077</v>
      </c>
      <c r="J11" s="18" t="str">
        <f t="shared" si="2"/>
        <v>November</v>
      </c>
      <c r="K11" s="56" t="str">
        <f t="shared" si="3"/>
        <v>Friday</v>
      </c>
      <c r="L11" s="18" t="str">
        <f>IF(OR(G11&gt;Answers!I26,G11&lt;Answers!I27),"Outlier","Normal")</f>
        <v>Outlier</v>
      </c>
      <c r="M11" s="18">
        <v>74</v>
      </c>
    </row>
    <row r="12" spans="1:13" ht="20" customHeight="1" x14ac:dyDescent="0.35">
      <c r="A12" s="17">
        <v>8568</v>
      </c>
      <c r="B12" s="18">
        <v>1414</v>
      </c>
      <c r="C12" s="23" t="s">
        <v>99</v>
      </c>
      <c r="D12" s="24">
        <v>45133.007638888892</v>
      </c>
      <c r="E12" s="18" t="s">
        <v>97</v>
      </c>
      <c r="F12" s="18" t="s">
        <v>14</v>
      </c>
      <c r="G12" s="18">
        <v>8969</v>
      </c>
      <c r="H12" s="25">
        <f t="shared" si="0"/>
        <v>45133</v>
      </c>
      <c r="I12" s="26">
        <f t="shared" si="1"/>
        <v>7.6388888919609599E-3</v>
      </c>
      <c r="J12" s="18" t="str">
        <f t="shared" si="2"/>
        <v>July</v>
      </c>
      <c r="K12" s="56" t="str">
        <f t="shared" si="3"/>
        <v>Wednesday</v>
      </c>
      <c r="L12" s="18" t="str">
        <f>IF(OR(G12&gt;Answers!I27,G12&lt;Answers!I28),"Outlier","Normal")</f>
        <v>Outlier</v>
      </c>
      <c r="M12" s="18">
        <v>28</v>
      </c>
    </row>
    <row r="13" spans="1:13" ht="20" customHeight="1" x14ac:dyDescent="0.35">
      <c r="A13" s="17">
        <v>9339</v>
      </c>
      <c r="B13" s="18">
        <v>1681</v>
      </c>
      <c r="C13" s="23" t="s">
        <v>105</v>
      </c>
      <c r="D13" s="24">
        <v>45278.027083333334</v>
      </c>
      <c r="E13" s="18" t="s">
        <v>97</v>
      </c>
      <c r="F13" s="18" t="s">
        <v>15</v>
      </c>
      <c r="G13" s="18">
        <v>2782</v>
      </c>
      <c r="H13" s="25">
        <f t="shared" si="0"/>
        <v>45278</v>
      </c>
      <c r="I13" s="26">
        <f t="shared" si="1"/>
        <v>2.7083333334303461E-2</v>
      </c>
      <c r="J13" s="18" t="str">
        <f t="shared" si="2"/>
        <v>December</v>
      </c>
      <c r="K13" s="56" t="str">
        <f t="shared" si="3"/>
        <v>Monday</v>
      </c>
      <c r="L13" s="18" t="str">
        <f>IF(OR(G13&gt;Answers!I28,G13&lt;Answers!I29),"Outlier","Normal")</f>
        <v>Outlier</v>
      </c>
      <c r="M13" s="18">
        <v>38</v>
      </c>
    </row>
    <row r="14" spans="1:13" ht="20" customHeight="1" x14ac:dyDescent="0.35">
      <c r="A14" s="17">
        <v>9839</v>
      </c>
      <c r="B14" s="18">
        <v>223</v>
      </c>
      <c r="C14" s="23" t="s">
        <v>113</v>
      </c>
      <c r="D14" s="24">
        <v>45082.045138888891</v>
      </c>
      <c r="E14" s="18" t="s">
        <v>96</v>
      </c>
      <c r="F14" s="18" t="s">
        <v>16</v>
      </c>
      <c r="G14" s="18">
        <v>7215</v>
      </c>
      <c r="H14" s="25">
        <f t="shared" si="0"/>
        <v>45082</v>
      </c>
      <c r="I14" s="26">
        <f t="shared" si="1"/>
        <v>4.5138888890505768E-2</v>
      </c>
      <c r="J14" s="18" t="str">
        <f t="shared" si="2"/>
        <v>June</v>
      </c>
      <c r="K14" s="56" t="str">
        <f t="shared" si="3"/>
        <v>Monday</v>
      </c>
      <c r="L14" s="18" t="str">
        <f>IF(OR(G14&gt;Answers!I29,G14&lt;Answers!I30),"Outlier","Normal")</f>
        <v>Outlier</v>
      </c>
      <c r="M14" s="18">
        <v>41</v>
      </c>
    </row>
    <row r="15" spans="1:13" ht="20" customHeight="1" x14ac:dyDescent="0.35">
      <c r="A15" s="17">
        <v>10101</v>
      </c>
      <c r="B15" s="18">
        <v>276</v>
      </c>
      <c r="C15" s="23" t="s">
        <v>113</v>
      </c>
      <c r="D15" s="24">
        <v>45257.936805555553</v>
      </c>
      <c r="E15" s="18" t="s">
        <v>97</v>
      </c>
      <c r="F15" s="18" t="s">
        <v>17</v>
      </c>
      <c r="G15" s="18">
        <v>6947</v>
      </c>
      <c r="H15" s="25">
        <f t="shared" si="0"/>
        <v>45257</v>
      </c>
      <c r="I15" s="26">
        <f t="shared" si="1"/>
        <v>0.93680555555329192</v>
      </c>
      <c r="J15" s="18" t="str">
        <f t="shared" si="2"/>
        <v>November</v>
      </c>
      <c r="K15" s="56" t="str">
        <f t="shared" si="3"/>
        <v>Monday</v>
      </c>
      <c r="L15" s="18" t="str">
        <f>IF(OR(G15&gt;Answers!I30,G15&lt;Answers!I31),"Outlier","Normal")</f>
        <v>Outlier</v>
      </c>
      <c r="M15" s="18">
        <v>59</v>
      </c>
    </row>
    <row r="16" spans="1:13" ht="20" customHeight="1" x14ac:dyDescent="0.35">
      <c r="A16" s="17">
        <v>10208</v>
      </c>
      <c r="B16" s="18">
        <v>1219</v>
      </c>
      <c r="C16" s="23" t="s">
        <v>99</v>
      </c>
      <c r="D16" s="24">
        <v>45203.070833333331</v>
      </c>
      <c r="E16" s="18" t="s">
        <v>98</v>
      </c>
      <c r="F16" s="18" t="s">
        <v>18</v>
      </c>
      <c r="G16" s="18">
        <v>3866</v>
      </c>
      <c r="H16" s="25">
        <f t="shared" si="0"/>
        <v>45203</v>
      </c>
      <c r="I16" s="26">
        <f t="shared" si="1"/>
        <v>7.0833333331393078E-2</v>
      </c>
      <c r="J16" s="18" t="str">
        <f t="shared" si="2"/>
        <v>October</v>
      </c>
      <c r="K16" s="56" t="str">
        <f t="shared" si="3"/>
        <v>Wednesday</v>
      </c>
      <c r="L16" s="18" t="str">
        <f>IF(OR(G16&gt;Answers!I31,G16&lt;Answers!I32),"Outlier","Normal")</f>
        <v>Outlier</v>
      </c>
      <c r="M16" s="18">
        <v>19</v>
      </c>
    </row>
    <row r="17" spans="1:13" ht="20" customHeight="1" x14ac:dyDescent="0.35">
      <c r="A17" s="17">
        <v>10508</v>
      </c>
      <c r="B17" s="18">
        <v>1016</v>
      </c>
      <c r="C17" s="23" t="s">
        <v>113</v>
      </c>
      <c r="D17" s="24">
        <v>45162.967361111114</v>
      </c>
      <c r="E17" s="18" t="s">
        <v>133</v>
      </c>
      <c r="F17" s="18" t="s">
        <v>19</v>
      </c>
      <c r="G17" s="18">
        <v>4247</v>
      </c>
      <c r="H17" s="25">
        <f t="shared" si="0"/>
        <v>45162</v>
      </c>
      <c r="I17" s="26">
        <f t="shared" si="1"/>
        <v>0.96736111111385981</v>
      </c>
      <c r="J17" s="18" t="str">
        <f t="shared" si="2"/>
        <v>August</v>
      </c>
      <c r="K17" s="56" t="str">
        <f t="shared" si="3"/>
        <v>Thursday</v>
      </c>
      <c r="L17" s="18" t="str">
        <f>IF(OR(G17&gt;Answers!I32,G17&lt;Answers!I33),"Outlier","Normal")</f>
        <v>Outlier</v>
      </c>
      <c r="M17" s="18">
        <v>23</v>
      </c>
    </row>
    <row r="18" spans="1:13" ht="20" customHeight="1" x14ac:dyDescent="0.35">
      <c r="A18" s="17">
        <v>10526</v>
      </c>
      <c r="B18" s="18">
        <v>241</v>
      </c>
      <c r="C18" s="23" t="s">
        <v>99</v>
      </c>
      <c r="D18" s="24">
        <v>45218.952777777777</v>
      </c>
      <c r="E18" s="18" t="s">
        <v>98</v>
      </c>
      <c r="F18" s="18" t="s">
        <v>20</v>
      </c>
      <c r="G18" s="18">
        <v>6627</v>
      </c>
      <c r="H18" s="25">
        <f t="shared" si="0"/>
        <v>45218</v>
      </c>
      <c r="I18" s="26">
        <f t="shared" si="1"/>
        <v>0.95277777777664596</v>
      </c>
      <c r="J18" s="18" t="str">
        <f t="shared" si="2"/>
        <v>October</v>
      </c>
      <c r="K18" s="56" t="str">
        <f t="shared" si="3"/>
        <v>Thursday</v>
      </c>
      <c r="L18" s="18" t="str">
        <f>IF(OR(G18&gt;Answers!I33,G18&lt;Answers!I34),"Outlier","Normal")</f>
        <v>Outlier</v>
      </c>
      <c r="M18" s="18">
        <v>22</v>
      </c>
    </row>
    <row r="19" spans="1:13" ht="20" customHeight="1" x14ac:dyDescent="0.35">
      <c r="A19" s="17">
        <v>10667</v>
      </c>
      <c r="B19" s="18">
        <v>467</v>
      </c>
      <c r="C19" s="23" t="s">
        <v>100</v>
      </c>
      <c r="D19" s="24">
        <v>45212.042361111111</v>
      </c>
      <c r="E19" s="18" t="s">
        <v>133</v>
      </c>
      <c r="F19" s="18" t="s">
        <v>21</v>
      </c>
      <c r="G19" s="18">
        <v>840</v>
      </c>
      <c r="H19" s="25">
        <f t="shared" si="0"/>
        <v>45212</v>
      </c>
      <c r="I19" s="26">
        <f t="shared" si="1"/>
        <v>4.2361111110949423E-2</v>
      </c>
      <c r="J19" s="18" t="str">
        <f t="shared" si="2"/>
        <v>October</v>
      </c>
      <c r="K19" s="56" t="str">
        <f t="shared" si="3"/>
        <v>Friday</v>
      </c>
      <c r="L19" s="18" t="str">
        <f>IF(OR(G19&gt;Answers!I34,G19&lt;Answers!I35),"Outlier","Normal")</f>
        <v>Outlier</v>
      </c>
      <c r="M19" s="18">
        <v>62</v>
      </c>
    </row>
    <row r="20" spans="1:13" ht="20" customHeight="1" x14ac:dyDescent="0.35">
      <c r="A20" s="17">
        <v>10922</v>
      </c>
      <c r="B20" s="18">
        <v>7</v>
      </c>
      <c r="C20" s="23" t="s">
        <v>106</v>
      </c>
      <c r="D20" s="24">
        <v>44945.939583333333</v>
      </c>
      <c r="E20" s="18" t="s">
        <v>97</v>
      </c>
      <c r="F20" s="18" t="s">
        <v>22</v>
      </c>
      <c r="G20" s="18">
        <v>3157</v>
      </c>
      <c r="H20" s="25">
        <f t="shared" si="0"/>
        <v>44945</v>
      </c>
      <c r="I20" s="26">
        <f t="shared" si="1"/>
        <v>0.93958333333284827</v>
      </c>
      <c r="J20" s="18" t="str">
        <f t="shared" si="2"/>
        <v>January</v>
      </c>
      <c r="K20" s="56" t="str">
        <f t="shared" si="3"/>
        <v>Thursday</v>
      </c>
      <c r="L20" s="18" t="str">
        <f>IF(OR(G20&gt;Answers!I35,G20&lt;Answers!I36),"Outlier","Normal")</f>
        <v>Outlier</v>
      </c>
      <c r="M20" s="18">
        <v>76</v>
      </c>
    </row>
    <row r="21" spans="1:13" ht="20" customHeight="1" x14ac:dyDescent="0.35">
      <c r="A21" s="17">
        <v>11114</v>
      </c>
      <c r="B21" s="18">
        <v>563</v>
      </c>
      <c r="C21" s="23" t="s">
        <v>100</v>
      </c>
      <c r="D21" s="24">
        <v>45002.969444444447</v>
      </c>
      <c r="E21" s="18" t="s">
        <v>98</v>
      </c>
      <c r="F21" s="18" t="s">
        <v>4</v>
      </c>
      <c r="G21" s="18">
        <v>6371</v>
      </c>
      <c r="H21" s="25">
        <f t="shared" si="0"/>
        <v>45002</v>
      </c>
      <c r="I21" s="26">
        <f t="shared" si="1"/>
        <v>0.96944444444670808</v>
      </c>
      <c r="J21" s="18" t="str">
        <f t="shared" si="2"/>
        <v>March</v>
      </c>
      <c r="K21" s="56" t="str">
        <f t="shared" si="3"/>
        <v>Friday</v>
      </c>
      <c r="L21" s="18" t="str">
        <f>IF(OR(G21&gt;Answers!I36,G21&lt;Answers!I37),"Outlier","Normal")</f>
        <v>Outlier</v>
      </c>
      <c r="M21" s="18">
        <v>80</v>
      </c>
    </row>
    <row r="22" spans="1:13" ht="20" customHeight="1" x14ac:dyDescent="0.35">
      <c r="A22" s="17">
        <v>12200</v>
      </c>
      <c r="B22" s="18">
        <v>1218</v>
      </c>
      <c r="C22" s="23" t="s">
        <v>99</v>
      </c>
      <c r="D22" s="24">
        <v>45088.008333333331</v>
      </c>
      <c r="E22" s="18" t="s">
        <v>133</v>
      </c>
      <c r="F22" s="18" t="s">
        <v>23</v>
      </c>
      <c r="G22" s="18">
        <v>1774</v>
      </c>
      <c r="H22" s="25">
        <f t="shared" si="0"/>
        <v>45088</v>
      </c>
      <c r="I22" s="26">
        <f t="shared" si="1"/>
        <v>8.333333331393078E-3</v>
      </c>
      <c r="J22" s="18" t="str">
        <f t="shared" si="2"/>
        <v>June</v>
      </c>
      <c r="K22" s="56" t="str">
        <f t="shared" si="3"/>
        <v>Sunday</v>
      </c>
      <c r="L22" s="18" t="str">
        <f>IF(OR(G22&gt;Answers!I37,G22&lt;Answers!I38),"Outlier","Normal")</f>
        <v>Outlier</v>
      </c>
      <c r="M22" s="18">
        <v>68</v>
      </c>
    </row>
    <row r="23" spans="1:13" ht="20" customHeight="1" x14ac:dyDescent="0.35">
      <c r="A23" s="17">
        <v>13586</v>
      </c>
      <c r="B23" s="18">
        <v>26</v>
      </c>
      <c r="C23" s="23" t="s">
        <v>100</v>
      </c>
      <c r="D23" s="24">
        <v>44949.011805555558</v>
      </c>
      <c r="E23" s="18" t="s">
        <v>97</v>
      </c>
      <c r="F23" s="18" t="s">
        <v>24</v>
      </c>
      <c r="G23" s="18">
        <v>321</v>
      </c>
      <c r="H23" s="25">
        <f t="shared" si="0"/>
        <v>44949</v>
      </c>
      <c r="I23" s="26">
        <f t="shared" si="1"/>
        <v>1.1805555557657499E-2</v>
      </c>
      <c r="J23" s="18" t="str">
        <f t="shared" si="2"/>
        <v>January</v>
      </c>
      <c r="K23" s="56" t="str">
        <f t="shared" si="3"/>
        <v>Monday</v>
      </c>
      <c r="L23" s="18" t="str">
        <f>IF(OR(G23&gt;Answers!I38,G23&lt;Answers!I39),"Outlier","Normal")</f>
        <v>Outlier</v>
      </c>
      <c r="M23" s="18">
        <v>27</v>
      </c>
    </row>
    <row r="24" spans="1:13" ht="20" customHeight="1" x14ac:dyDescent="0.35">
      <c r="A24" s="17">
        <v>14287</v>
      </c>
      <c r="B24" s="18">
        <v>1552</v>
      </c>
      <c r="C24" s="23" t="s">
        <v>107</v>
      </c>
      <c r="D24" s="24">
        <v>44975.023611111108</v>
      </c>
      <c r="E24" s="18" t="s">
        <v>96</v>
      </c>
      <c r="F24" s="18" t="s">
        <v>18</v>
      </c>
      <c r="G24" s="18">
        <v>1628</v>
      </c>
      <c r="H24" s="25">
        <f t="shared" si="0"/>
        <v>44975</v>
      </c>
      <c r="I24" s="26">
        <f t="shared" si="1"/>
        <v>2.361111110803904E-2</v>
      </c>
      <c r="J24" s="18" t="str">
        <f t="shared" si="2"/>
        <v>February</v>
      </c>
      <c r="K24" s="56" t="str">
        <f t="shared" si="3"/>
        <v>Saturday</v>
      </c>
      <c r="L24" s="18" t="str">
        <f>IF(OR(G24&gt;Answers!I39,G24&lt;Answers!I40),"Outlier","Normal")</f>
        <v>Outlier</v>
      </c>
      <c r="M24" s="18">
        <v>37</v>
      </c>
    </row>
    <row r="25" spans="1:13" ht="20" customHeight="1" x14ac:dyDescent="0.35">
      <c r="A25" s="17">
        <v>14971</v>
      </c>
      <c r="B25" s="18">
        <v>148</v>
      </c>
      <c r="C25" s="23" t="s">
        <v>105</v>
      </c>
      <c r="D25" s="24">
        <v>45179.004166666666</v>
      </c>
      <c r="E25" s="18" t="s">
        <v>96</v>
      </c>
      <c r="F25" s="18" t="s">
        <v>25</v>
      </c>
      <c r="G25" s="18">
        <v>7545</v>
      </c>
      <c r="H25" s="25">
        <f t="shared" si="0"/>
        <v>45179</v>
      </c>
      <c r="I25" s="26">
        <f t="shared" si="1"/>
        <v>4.166666665696539E-3</v>
      </c>
      <c r="J25" s="18" t="str">
        <f t="shared" si="2"/>
        <v>September</v>
      </c>
      <c r="K25" s="56" t="str">
        <f t="shared" si="3"/>
        <v>Sunday</v>
      </c>
      <c r="L25" s="18" t="str">
        <f>IF(OR(G25&gt;Answers!I40,G25&lt;Answers!I41),"Outlier","Normal")</f>
        <v>Outlier</v>
      </c>
      <c r="M25" s="18">
        <v>33</v>
      </c>
    </row>
    <row r="26" spans="1:13" ht="20" customHeight="1" x14ac:dyDescent="0.35">
      <c r="A26" s="17">
        <v>15113</v>
      </c>
      <c r="B26" s="18">
        <v>252</v>
      </c>
      <c r="C26" s="23" t="s">
        <v>99</v>
      </c>
      <c r="D26" s="24">
        <v>45003.083333333336</v>
      </c>
      <c r="E26" s="18" t="s">
        <v>97</v>
      </c>
      <c r="F26" s="18" t="s">
        <v>26</v>
      </c>
      <c r="G26" s="18">
        <v>2730</v>
      </c>
      <c r="H26" s="25">
        <f t="shared" si="0"/>
        <v>45003</v>
      </c>
      <c r="I26" s="26">
        <f t="shared" si="1"/>
        <v>8.3333333335758653E-2</v>
      </c>
      <c r="J26" s="18" t="str">
        <f t="shared" si="2"/>
        <v>March</v>
      </c>
      <c r="K26" s="56" t="str">
        <f t="shared" si="3"/>
        <v>Saturday</v>
      </c>
      <c r="L26" s="18" t="str">
        <f>IF(OR(G26&gt;Answers!I41,G26&lt;Answers!I42),"Outlier","Normal")</f>
        <v>Outlier</v>
      </c>
      <c r="M26" s="18">
        <v>89</v>
      </c>
    </row>
    <row r="27" spans="1:13" ht="20" customHeight="1" x14ac:dyDescent="0.35">
      <c r="A27" s="17">
        <v>15878</v>
      </c>
      <c r="B27" s="18">
        <v>1524</v>
      </c>
      <c r="C27" s="23" t="s">
        <v>100</v>
      </c>
      <c r="D27" s="24">
        <v>45080.042361111111</v>
      </c>
      <c r="E27" s="18" t="s">
        <v>133</v>
      </c>
      <c r="F27" s="18" t="s">
        <v>27</v>
      </c>
      <c r="G27" s="18">
        <v>2717</v>
      </c>
      <c r="H27" s="25">
        <f t="shared" si="0"/>
        <v>45080</v>
      </c>
      <c r="I27" s="26">
        <f t="shared" si="1"/>
        <v>4.2361111110949423E-2</v>
      </c>
      <c r="J27" s="18" t="str">
        <f t="shared" si="2"/>
        <v>June</v>
      </c>
      <c r="K27" s="56" t="str">
        <f t="shared" si="3"/>
        <v>Saturday</v>
      </c>
      <c r="L27" s="18" t="str">
        <f>IF(OR(G27&gt;Answers!I42,G27&lt;Answers!I43),"Outlier","Normal")</f>
        <v>Outlier</v>
      </c>
      <c r="M27" s="18">
        <v>75</v>
      </c>
    </row>
    <row r="28" spans="1:13" ht="20" customHeight="1" x14ac:dyDescent="0.35">
      <c r="A28" s="17">
        <v>16243</v>
      </c>
      <c r="B28" s="18">
        <v>1812</v>
      </c>
      <c r="C28" s="23" t="s">
        <v>105</v>
      </c>
      <c r="D28" s="24">
        <v>45138.97152777778</v>
      </c>
      <c r="E28" s="18" t="s">
        <v>98</v>
      </c>
      <c r="F28" s="18" t="s">
        <v>21</v>
      </c>
      <c r="G28" s="18">
        <v>9723</v>
      </c>
      <c r="H28" s="25">
        <f t="shared" si="0"/>
        <v>45138</v>
      </c>
      <c r="I28" s="26">
        <f t="shared" si="1"/>
        <v>0.97152777777955635</v>
      </c>
      <c r="J28" s="18" t="str">
        <f t="shared" si="2"/>
        <v>July</v>
      </c>
      <c r="K28" s="56" t="str">
        <f t="shared" si="3"/>
        <v>Monday</v>
      </c>
      <c r="L28" s="18" t="str">
        <f>IF(OR(G28&gt;Answers!I43,G28&lt;Answers!I44),"Outlier","Normal")</f>
        <v>Outlier</v>
      </c>
      <c r="M28" s="18">
        <v>49</v>
      </c>
    </row>
    <row r="29" spans="1:13" ht="20" customHeight="1" x14ac:dyDescent="0.35">
      <c r="A29" s="17">
        <v>16263</v>
      </c>
      <c r="B29" s="18">
        <v>311</v>
      </c>
      <c r="C29" s="23" t="s">
        <v>101</v>
      </c>
      <c r="D29" s="24">
        <v>45260.957638888889</v>
      </c>
      <c r="E29" s="18" t="s">
        <v>98</v>
      </c>
      <c r="F29" s="18" t="s">
        <v>28</v>
      </c>
      <c r="G29" s="18">
        <v>6673</v>
      </c>
      <c r="H29" s="25">
        <f t="shared" si="0"/>
        <v>45260</v>
      </c>
      <c r="I29" s="26">
        <f t="shared" si="1"/>
        <v>0.95763888888905058</v>
      </c>
      <c r="J29" s="18" t="str">
        <f t="shared" si="2"/>
        <v>November</v>
      </c>
      <c r="K29" s="56" t="str">
        <f t="shared" si="3"/>
        <v>Thursday</v>
      </c>
      <c r="L29" s="18" t="str">
        <f>IF(OR(G29&gt;Answers!I44,G29&lt;Answers!I45),"Outlier","Normal")</f>
        <v>Outlier</v>
      </c>
      <c r="M29" s="18">
        <v>45</v>
      </c>
    </row>
    <row r="30" spans="1:13" ht="20" customHeight="1" x14ac:dyDescent="0.35">
      <c r="A30" s="17">
        <v>16847</v>
      </c>
      <c r="B30" s="18">
        <v>406</v>
      </c>
      <c r="C30" s="23" t="s">
        <v>113</v>
      </c>
      <c r="D30" s="24">
        <v>45238.011805555558</v>
      </c>
      <c r="E30" s="18" t="s">
        <v>96</v>
      </c>
      <c r="F30" s="18" t="s">
        <v>29</v>
      </c>
      <c r="G30" s="18">
        <v>1802</v>
      </c>
      <c r="H30" s="25">
        <f t="shared" si="0"/>
        <v>45238</v>
      </c>
      <c r="I30" s="26">
        <f t="shared" si="1"/>
        <v>1.1805555557657499E-2</v>
      </c>
      <c r="J30" s="18" t="str">
        <f t="shared" si="2"/>
        <v>November</v>
      </c>
      <c r="K30" s="56" t="str">
        <f t="shared" si="3"/>
        <v>Wednesday</v>
      </c>
      <c r="L30" s="18" t="str">
        <f>IF(OR(G30&gt;Answers!I45,G30&lt;Answers!I46),"Outlier","Normal")</f>
        <v>Outlier</v>
      </c>
      <c r="M30" s="18">
        <v>34</v>
      </c>
    </row>
    <row r="31" spans="1:13" ht="20" customHeight="1" x14ac:dyDescent="0.35">
      <c r="A31" s="17">
        <v>17912</v>
      </c>
      <c r="B31" s="18">
        <v>498</v>
      </c>
      <c r="C31" s="23" t="s">
        <v>109</v>
      </c>
      <c r="D31" s="24">
        <v>45006.955555555556</v>
      </c>
      <c r="E31" s="18" t="s">
        <v>96</v>
      </c>
      <c r="F31" s="18" t="s">
        <v>9</v>
      </c>
      <c r="G31" s="18">
        <v>9179</v>
      </c>
      <c r="H31" s="25">
        <f t="shared" si="0"/>
        <v>45006</v>
      </c>
      <c r="I31" s="26">
        <f t="shared" si="1"/>
        <v>0.95555555555620231</v>
      </c>
      <c r="J31" s="18" t="str">
        <f t="shared" si="2"/>
        <v>March</v>
      </c>
      <c r="K31" s="56" t="str">
        <f t="shared" si="3"/>
        <v>Tuesday</v>
      </c>
      <c r="L31" s="18" t="str">
        <f>IF(OR(G31&gt;Answers!I46,G31&lt;Answers!I47),"Outlier","Normal")</f>
        <v>Outlier</v>
      </c>
      <c r="M31" s="18">
        <v>32</v>
      </c>
    </row>
    <row r="32" spans="1:13" ht="20" customHeight="1" x14ac:dyDescent="0.35">
      <c r="A32" s="17">
        <v>20076</v>
      </c>
      <c r="B32" s="18">
        <v>446</v>
      </c>
      <c r="C32" s="23" t="s">
        <v>99</v>
      </c>
      <c r="D32" s="24">
        <v>45001.972222222219</v>
      </c>
      <c r="E32" s="18" t="s">
        <v>98</v>
      </c>
      <c r="F32" s="18" t="s">
        <v>30</v>
      </c>
      <c r="G32" s="18">
        <v>2311</v>
      </c>
      <c r="H32" s="25">
        <f t="shared" si="0"/>
        <v>45001</v>
      </c>
      <c r="I32" s="26">
        <f t="shared" si="1"/>
        <v>0.97222222221898846</v>
      </c>
      <c r="J32" s="18" t="str">
        <f t="shared" si="2"/>
        <v>March</v>
      </c>
      <c r="K32" s="56" t="str">
        <f t="shared" si="3"/>
        <v>Thursday</v>
      </c>
      <c r="L32" s="18" t="str">
        <f>IF(OR(G32&gt;Answers!I47,G32&lt;Answers!I48),"Outlier","Normal")</f>
        <v>Outlier</v>
      </c>
      <c r="M32" s="18">
        <v>67</v>
      </c>
    </row>
    <row r="33" spans="1:13" ht="20" customHeight="1" x14ac:dyDescent="0.35">
      <c r="A33" s="17">
        <v>20342</v>
      </c>
      <c r="B33" s="18">
        <v>451</v>
      </c>
      <c r="C33" s="23" t="s">
        <v>103</v>
      </c>
      <c r="D33" s="24">
        <v>44988.040277777778</v>
      </c>
      <c r="E33" s="18" t="s">
        <v>96</v>
      </c>
      <c r="F33" s="18" t="s">
        <v>31</v>
      </c>
      <c r="G33" s="18">
        <v>3940</v>
      </c>
      <c r="H33" s="25">
        <f t="shared" si="0"/>
        <v>44988</v>
      </c>
      <c r="I33" s="26">
        <f t="shared" si="1"/>
        <v>4.0277777778101154E-2</v>
      </c>
      <c r="J33" s="18" t="str">
        <f t="shared" si="2"/>
        <v>March</v>
      </c>
      <c r="K33" s="56" t="str">
        <f t="shared" si="3"/>
        <v>Friday</v>
      </c>
      <c r="L33" s="18" t="str">
        <f>IF(OR(G33&gt;Answers!I48,G33&lt;Answers!I49),"Outlier","Normal")</f>
        <v>Outlier</v>
      </c>
      <c r="M33" s="18">
        <v>74</v>
      </c>
    </row>
    <row r="34" spans="1:13" ht="20" customHeight="1" x14ac:dyDescent="0.35">
      <c r="A34" s="17">
        <v>21461</v>
      </c>
      <c r="B34" s="18">
        <v>975</v>
      </c>
      <c r="C34" s="23" t="s">
        <v>100</v>
      </c>
      <c r="D34" s="24">
        <v>44977.986111111109</v>
      </c>
      <c r="E34" s="18" t="s">
        <v>98</v>
      </c>
      <c r="F34" s="18" t="s">
        <v>32</v>
      </c>
      <c r="G34" s="18">
        <v>5888</v>
      </c>
      <c r="H34" s="25">
        <f t="shared" si="0"/>
        <v>44977</v>
      </c>
      <c r="I34" s="26">
        <f t="shared" si="1"/>
        <v>0.98611111110949423</v>
      </c>
      <c r="J34" s="18" t="str">
        <f t="shared" si="2"/>
        <v>February</v>
      </c>
      <c r="K34" s="56" t="str">
        <f t="shared" si="3"/>
        <v>Monday</v>
      </c>
      <c r="L34" s="18" t="str">
        <f>IF(OR(G34&gt;Answers!I49,G34&lt;Answers!I50),"Outlier","Normal")</f>
        <v>Outlier</v>
      </c>
      <c r="M34" s="18">
        <v>45</v>
      </c>
    </row>
    <row r="35" spans="1:13" ht="20" customHeight="1" x14ac:dyDescent="0.35">
      <c r="A35" s="17">
        <v>22486</v>
      </c>
      <c r="B35" s="18">
        <v>1315</v>
      </c>
      <c r="C35" s="23" t="s">
        <v>99</v>
      </c>
      <c r="D35" s="24">
        <v>45110.03125</v>
      </c>
      <c r="E35" s="18" t="s">
        <v>97</v>
      </c>
      <c r="F35" s="18" t="s">
        <v>33</v>
      </c>
      <c r="G35" s="18">
        <v>2819</v>
      </c>
      <c r="H35" s="25">
        <f t="shared" si="0"/>
        <v>45110</v>
      </c>
      <c r="I35" s="26">
        <f t="shared" si="1"/>
        <v>3.125E-2</v>
      </c>
      <c r="J35" s="18" t="str">
        <f t="shared" si="2"/>
        <v>July</v>
      </c>
      <c r="K35" s="56" t="str">
        <f t="shared" si="3"/>
        <v>Monday</v>
      </c>
      <c r="L35" s="18" t="str">
        <f>IF(OR(G35&gt;Answers!I50,G35&lt;Answers!I51),"Outlier","Normal")</f>
        <v>Outlier</v>
      </c>
      <c r="M35" s="18">
        <v>76</v>
      </c>
    </row>
    <row r="36" spans="1:13" ht="20" customHeight="1" x14ac:dyDescent="0.35">
      <c r="A36" s="17">
        <v>23598</v>
      </c>
      <c r="B36" s="18">
        <v>1017</v>
      </c>
      <c r="C36" s="23" t="s">
        <v>113</v>
      </c>
      <c r="D36" s="24">
        <v>45209.036111111112</v>
      </c>
      <c r="E36" s="18" t="s">
        <v>97</v>
      </c>
      <c r="F36" s="18" t="s">
        <v>34</v>
      </c>
      <c r="G36" s="18">
        <v>3015</v>
      </c>
      <c r="H36" s="25">
        <f t="shared" si="0"/>
        <v>45209</v>
      </c>
      <c r="I36" s="26">
        <f t="shared" si="1"/>
        <v>3.6111111112404615E-2</v>
      </c>
      <c r="J36" s="18" t="str">
        <f t="shared" si="2"/>
        <v>October</v>
      </c>
      <c r="K36" s="56" t="str">
        <f t="shared" si="3"/>
        <v>Tuesday</v>
      </c>
      <c r="L36" s="18" t="str">
        <f>IF(OR(G36&gt;Answers!I51,G36&lt;Answers!I52),"Outlier","Normal")</f>
        <v>Outlier</v>
      </c>
      <c r="M36" s="18">
        <v>38</v>
      </c>
    </row>
    <row r="37" spans="1:13" ht="20" customHeight="1" x14ac:dyDescent="0.35">
      <c r="A37" s="17">
        <v>25923</v>
      </c>
      <c r="B37" s="18">
        <v>875</v>
      </c>
      <c r="C37" s="23" t="s">
        <v>99</v>
      </c>
      <c r="D37" s="24">
        <v>45226.046527777777</v>
      </c>
      <c r="E37" s="18" t="s">
        <v>97</v>
      </c>
      <c r="F37" s="18" t="s">
        <v>35</v>
      </c>
      <c r="G37" s="18">
        <v>8826</v>
      </c>
      <c r="H37" s="25">
        <f t="shared" si="0"/>
        <v>45226</v>
      </c>
      <c r="I37" s="26">
        <f t="shared" si="1"/>
        <v>4.6527777776645962E-2</v>
      </c>
      <c r="J37" s="18" t="str">
        <f t="shared" si="2"/>
        <v>October</v>
      </c>
      <c r="K37" s="56" t="str">
        <f t="shared" si="3"/>
        <v>Friday</v>
      </c>
      <c r="L37" s="18" t="str">
        <f>IF(OR(G37&gt;Answers!I52,G37&lt;Answers!I53),"Outlier","Normal")</f>
        <v>Outlier</v>
      </c>
      <c r="M37" s="18">
        <v>54</v>
      </c>
    </row>
    <row r="38" spans="1:13" ht="20" customHeight="1" x14ac:dyDescent="0.35">
      <c r="A38" s="17">
        <v>27076</v>
      </c>
      <c r="B38" s="18">
        <v>242</v>
      </c>
      <c r="C38" s="23" t="s">
        <v>99</v>
      </c>
      <c r="D38" s="24">
        <v>45107.050694444442</v>
      </c>
      <c r="E38" s="18" t="s">
        <v>96</v>
      </c>
      <c r="F38" s="18" t="s">
        <v>36</v>
      </c>
      <c r="G38" s="18">
        <v>4466</v>
      </c>
      <c r="H38" s="25">
        <f t="shared" si="0"/>
        <v>45107</v>
      </c>
      <c r="I38" s="26">
        <f t="shared" si="1"/>
        <v>5.0694444442342501E-2</v>
      </c>
      <c r="J38" s="18" t="str">
        <f t="shared" si="2"/>
        <v>June</v>
      </c>
      <c r="K38" s="56" t="str">
        <f t="shared" si="3"/>
        <v>Friday</v>
      </c>
      <c r="L38" s="18" t="str">
        <f>IF(OR(G38&gt;Answers!I53,G38&lt;Answers!I54),"Outlier","Normal")</f>
        <v>Outlier</v>
      </c>
      <c r="M38" s="18">
        <v>87</v>
      </c>
    </row>
    <row r="39" spans="1:13" ht="20" customHeight="1" x14ac:dyDescent="0.35">
      <c r="A39" s="17">
        <v>27115</v>
      </c>
      <c r="B39" s="18">
        <v>276</v>
      </c>
      <c r="C39" s="23" t="s">
        <v>113</v>
      </c>
      <c r="D39" s="24">
        <v>45235.075694444444</v>
      </c>
      <c r="E39" s="18" t="s">
        <v>98</v>
      </c>
      <c r="F39" s="18" t="s">
        <v>37</v>
      </c>
      <c r="G39" s="18">
        <v>9943</v>
      </c>
      <c r="H39" s="25">
        <f t="shared" si="0"/>
        <v>45235</v>
      </c>
      <c r="I39" s="26">
        <f t="shared" si="1"/>
        <v>7.5694444443797693E-2</v>
      </c>
      <c r="J39" s="18" t="str">
        <f t="shared" si="2"/>
        <v>November</v>
      </c>
      <c r="K39" s="56" t="str">
        <f t="shared" si="3"/>
        <v>Sunday</v>
      </c>
      <c r="L39" s="18" t="str">
        <f>IF(OR(G39&gt;Answers!I54,G39&lt;Answers!I55),"Outlier","Normal")</f>
        <v>Outlier</v>
      </c>
      <c r="M39" s="18">
        <v>59</v>
      </c>
    </row>
    <row r="40" spans="1:13" ht="20" customHeight="1" x14ac:dyDescent="0.35">
      <c r="A40" s="17">
        <v>27493</v>
      </c>
      <c r="B40" s="18">
        <v>827</v>
      </c>
      <c r="C40" s="23" t="s">
        <v>106</v>
      </c>
      <c r="D40" s="24">
        <v>45225.008333333331</v>
      </c>
      <c r="E40" s="18" t="s">
        <v>133</v>
      </c>
      <c r="F40" s="18" t="s">
        <v>38</v>
      </c>
      <c r="G40" s="18">
        <v>2811</v>
      </c>
      <c r="H40" s="25">
        <f t="shared" si="0"/>
        <v>45225</v>
      </c>
      <c r="I40" s="26">
        <f t="shared" si="1"/>
        <v>8.333333331393078E-3</v>
      </c>
      <c r="J40" s="18" t="str">
        <f t="shared" si="2"/>
        <v>October</v>
      </c>
      <c r="K40" s="56" t="str">
        <f t="shared" si="3"/>
        <v>Thursday</v>
      </c>
      <c r="L40" s="18" t="str">
        <f>IF(OR(G40&gt;Answers!I55,G40&lt;Answers!I56),"Outlier","Normal")</f>
        <v>Outlier</v>
      </c>
      <c r="M40" s="18">
        <v>40</v>
      </c>
    </row>
    <row r="41" spans="1:13" ht="20" customHeight="1" x14ac:dyDescent="0.35">
      <c r="A41" s="17">
        <v>28066</v>
      </c>
      <c r="B41" s="18">
        <v>1986</v>
      </c>
      <c r="C41" s="23" t="s">
        <v>100</v>
      </c>
      <c r="D41" s="24">
        <v>45053.004861111112</v>
      </c>
      <c r="E41" s="18" t="s">
        <v>97</v>
      </c>
      <c r="F41" s="18" t="s">
        <v>39</v>
      </c>
      <c r="G41" s="18">
        <v>7129</v>
      </c>
      <c r="H41" s="25">
        <f t="shared" si="0"/>
        <v>45053</v>
      </c>
      <c r="I41" s="26">
        <f t="shared" si="1"/>
        <v>4.8611111124046147E-3</v>
      </c>
      <c r="J41" s="18" t="str">
        <f t="shared" si="2"/>
        <v>May</v>
      </c>
      <c r="K41" s="56" t="str">
        <f t="shared" si="3"/>
        <v>Sunday</v>
      </c>
      <c r="L41" s="18" t="str">
        <f>IF(OR(G41&gt;Answers!I56,G41&lt;Answers!I57),"Outlier","Normal")</f>
        <v>Outlier</v>
      </c>
      <c r="M41" s="18">
        <v>21</v>
      </c>
    </row>
    <row r="42" spans="1:13" ht="20" customHeight="1" x14ac:dyDescent="0.35">
      <c r="A42" s="17">
        <v>28318</v>
      </c>
      <c r="B42" s="18">
        <v>983</v>
      </c>
      <c r="C42" s="23" t="s">
        <v>99</v>
      </c>
      <c r="D42" s="24">
        <v>44974.03402777778</v>
      </c>
      <c r="E42" s="18" t="s">
        <v>98</v>
      </c>
      <c r="F42" s="18" t="s">
        <v>24</v>
      </c>
      <c r="G42" s="18">
        <v>5284</v>
      </c>
      <c r="H42" s="25">
        <f t="shared" si="0"/>
        <v>44974</v>
      </c>
      <c r="I42" s="26">
        <f t="shared" si="1"/>
        <v>3.4027777779556345E-2</v>
      </c>
      <c r="J42" s="18" t="str">
        <f t="shared" si="2"/>
        <v>February</v>
      </c>
      <c r="K42" s="56" t="str">
        <f t="shared" si="3"/>
        <v>Friday</v>
      </c>
      <c r="L42" s="18" t="str">
        <f>IF(OR(G42&gt;Answers!I57,G42&lt;Answers!I58),"Outlier","Normal")</f>
        <v>Outlier</v>
      </c>
      <c r="M42" s="18">
        <v>58</v>
      </c>
    </row>
    <row r="43" spans="1:13" ht="20" customHeight="1" x14ac:dyDescent="0.35">
      <c r="A43" s="17">
        <v>28720</v>
      </c>
      <c r="B43" s="18">
        <v>725</v>
      </c>
      <c r="C43" s="23" t="s">
        <v>99</v>
      </c>
      <c r="D43" s="24">
        <v>44980.036805555559</v>
      </c>
      <c r="E43" s="18" t="s">
        <v>133</v>
      </c>
      <c r="F43" s="18" t="s">
        <v>40</v>
      </c>
      <c r="G43" s="18">
        <v>405</v>
      </c>
      <c r="H43" s="25">
        <f t="shared" si="0"/>
        <v>44980</v>
      </c>
      <c r="I43" s="26">
        <f t="shared" si="1"/>
        <v>3.680555555911269E-2</v>
      </c>
      <c r="J43" s="18" t="str">
        <f t="shared" si="2"/>
        <v>February</v>
      </c>
      <c r="K43" s="56" t="str">
        <f t="shared" si="3"/>
        <v>Thursday</v>
      </c>
      <c r="L43" s="18" t="str">
        <f>IF(OR(G43&gt;Answers!I58,G43&lt;Answers!I59),"Outlier","Normal")</f>
        <v>Outlier</v>
      </c>
      <c r="M43" s="18">
        <v>22</v>
      </c>
    </row>
    <row r="44" spans="1:13" ht="20" customHeight="1" x14ac:dyDescent="0.35">
      <c r="A44" s="17">
        <v>28841</v>
      </c>
      <c r="B44" s="18">
        <v>954</v>
      </c>
      <c r="C44" s="23" t="s">
        <v>113</v>
      </c>
      <c r="D44" s="24">
        <v>44945.047222222223</v>
      </c>
      <c r="E44" s="18" t="s">
        <v>97</v>
      </c>
      <c r="F44" s="18" t="s">
        <v>41</v>
      </c>
      <c r="G44" s="18">
        <v>8558</v>
      </c>
      <c r="H44" s="25">
        <f t="shared" si="0"/>
        <v>44945</v>
      </c>
      <c r="I44" s="26">
        <f t="shared" si="1"/>
        <v>4.7222222223354038E-2</v>
      </c>
      <c r="J44" s="18" t="str">
        <f t="shared" si="2"/>
        <v>January</v>
      </c>
      <c r="K44" s="56" t="str">
        <f t="shared" si="3"/>
        <v>Thursday</v>
      </c>
      <c r="L44" s="18" t="str">
        <f>IF(OR(G44&gt;Answers!I59,G44&lt;Answers!I60),"Outlier","Normal")</f>
        <v>Outlier</v>
      </c>
      <c r="M44" s="18">
        <v>35</v>
      </c>
    </row>
    <row r="45" spans="1:13" ht="20" customHeight="1" x14ac:dyDescent="0.35">
      <c r="A45" s="17">
        <v>28901</v>
      </c>
      <c r="B45" s="18">
        <v>1093</v>
      </c>
      <c r="C45" s="23" t="s">
        <v>113</v>
      </c>
      <c r="D45" s="24">
        <v>45246.990277777775</v>
      </c>
      <c r="E45" s="18" t="s">
        <v>97</v>
      </c>
      <c r="F45" s="18" t="s">
        <v>42</v>
      </c>
      <c r="G45" s="18">
        <v>5536</v>
      </c>
      <c r="H45" s="25">
        <f t="shared" si="0"/>
        <v>45246</v>
      </c>
      <c r="I45" s="26">
        <f t="shared" si="1"/>
        <v>0.99027777777519077</v>
      </c>
      <c r="J45" s="18" t="str">
        <f t="shared" si="2"/>
        <v>November</v>
      </c>
      <c r="K45" s="56" t="str">
        <f t="shared" si="3"/>
        <v>Thursday</v>
      </c>
      <c r="L45" s="18" t="str">
        <f>IF(OR(G45&gt;Answers!I60,G45&lt;Answers!I61),"Outlier","Normal")</f>
        <v>Outlier</v>
      </c>
      <c r="M45" s="18">
        <v>34</v>
      </c>
    </row>
    <row r="46" spans="1:13" ht="20" customHeight="1" x14ac:dyDescent="0.35">
      <c r="A46" s="17">
        <v>30449</v>
      </c>
      <c r="B46" s="18">
        <v>962</v>
      </c>
      <c r="C46" s="23" t="s">
        <v>99</v>
      </c>
      <c r="D46" s="24">
        <v>45108.987500000003</v>
      </c>
      <c r="E46" s="18" t="s">
        <v>97</v>
      </c>
      <c r="F46" s="18" t="s">
        <v>43</v>
      </c>
      <c r="G46" s="18">
        <v>660</v>
      </c>
      <c r="H46" s="25">
        <f t="shared" si="0"/>
        <v>45108</v>
      </c>
      <c r="I46" s="26">
        <f t="shared" si="1"/>
        <v>0.98750000000291038</v>
      </c>
      <c r="J46" s="18" t="str">
        <f t="shared" si="2"/>
        <v>July</v>
      </c>
      <c r="K46" s="56" t="str">
        <f t="shared" si="3"/>
        <v>Saturday</v>
      </c>
      <c r="L46" s="18" t="str">
        <f>IF(OR(G46&gt;Answers!I61,G46&lt;Answers!I62),"Outlier","Normal")</f>
        <v>Outlier</v>
      </c>
      <c r="M46" s="18">
        <v>75</v>
      </c>
    </row>
    <row r="47" spans="1:13" ht="20" customHeight="1" x14ac:dyDescent="0.35">
      <c r="A47" s="17">
        <v>30739</v>
      </c>
      <c r="B47" s="18">
        <v>1771</v>
      </c>
      <c r="C47" s="23" t="s">
        <v>107</v>
      </c>
      <c r="D47" s="24">
        <v>45075.019444444442</v>
      </c>
      <c r="E47" s="18" t="s">
        <v>96</v>
      </c>
      <c r="F47" s="18" t="s">
        <v>44</v>
      </c>
      <c r="G47" s="18">
        <v>5684</v>
      </c>
      <c r="H47" s="25">
        <f t="shared" si="0"/>
        <v>45075</v>
      </c>
      <c r="I47" s="26">
        <f t="shared" si="1"/>
        <v>1.9444444442342501E-2</v>
      </c>
      <c r="J47" s="18" t="str">
        <f t="shared" si="2"/>
        <v>May</v>
      </c>
      <c r="K47" s="56" t="str">
        <f t="shared" si="3"/>
        <v>Monday</v>
      </c>
      <c r="L47" s="18" t="str">
        <f>IF(OR(G47&gt;Answers!I62,G47&lt;Answers!I63),"Outlier","Normal")</f>
        <v>Outlier</v>
      </c>
      <c r="M47" s="18">
        <v>80</v>
      </c>
    </row>
    <row r="48" spans="1:13" ht="20" customHeight="1" x14ac:dyDescent="0.35">
      <c r="A48" s="17">
        <v>31216</v>
      </c>
      <c r="B48" s="18">
        <v>1240</v>
      </c>
      <c r="C48" s="23" t="s">
        <v>109</v>
      </c>
      <c r="D48" s="24">
        <v>45194.990277777775</v>
      </c>
      <c r="E48" s="18" t="s">
        <v>98</v>
      </c>
      <c r="F48" s="18" t="s">
        <v>12</v>
      </c>
      <c r="G48" s="18">
        <v>8294</v>
      </c>
      <c r="H48" s="25">
        <f t="shared" si="0"/>
        <v>45194</v>
      </c>
      <c r="I48" s="26">
        <f t="shared" si="1"/>
        <v>0.99027777777519077</v>
      </c>
      <c r="J48" s="18" t="str">
        <f t="shared" si="2"/>
        <v>September</v>
      </c>
      <c r="K48" s="56" t="str">
        <f t="shared" si="3"/>
        <v>Monday</v>
      </c>
      <c r="L48" s="18" t="str">
        <f>IF(OR(G48&gt;Answers!I63,G48&lt;Answers!I64),"Outlier","Normal")</f>
        <v>Outlier</v>
      </c>
      <c r="M48" s="18">
        <v>24</v>
      </c>
    </row>
    <row r="49" spans="1:13" ht="20" customHeight="1" x14ac:dyDescent="0.35">
      <c r="A49" s="17">
        <v>31707</v>
      </c>
      <c r="B49" s="18">
        <v>652</v>
      </c>
      <c r="C49" s="23" t="s">
        <v>99</v>
      </c>
      <c r="D49" s="24">
        <v>45057.021527777775</v>
      </c>
      <c r="E49" s="18" t="s">
        <v>96</v>
      </c>
      <c r="F49" s="18" t="s">
        <v>14</v>
      </c>
      <c r="G49" s="18">
        <v>8379</v>
      </c>
      <c r="H49" s="25">
        <f t="shared" si="0"/>
        <v>45057</v>
      </c>
      <c r="I49" s="26">
        <f t="shared" si="1"/>
        <v>2.1527777775190771E-2</v>
      </c>
      <c r="J49" s="18" t="str">
        <f t="shared" si="2"/>
        <v>May</v>
      </c>
      <c r="K49" s="56" t="str">
        <f t="shared" si="3"/>
        <v>Thursday</v>
      </c>
      <c r="L49" s="18" t="str">
        <f>IF(OR(G49&gt;Answers!I64,G49&lt;Answers!I65),"Outlier","Normal")</f>
        <v>Outlier</v>
      </c>
      <c r="M49" s="18">
        <v>79</v>
      </c>
    </row>
    <row r="50" spans="1:13" ht="20" customHeight="1" x14ac:dyDescent="0.35">
      <c r="A50" s="17">
        <v>33662</v>
      </c>
      <c r="B50" s="18">
        <v>1381</v>
      </c>
      <c r="C50" s="23" t="s">
        <v>99</v>
      </c>
      <c r="D50" s="24">
        <v>44945.963194444441</v>
      </c>
      <c r="E50" s="18" t="s">
        <v>98</v>
      </c>
      <c r="F50" s="18" t="s">
        <v>43</v>
      </c>
      <c r="G50" s="18">
        <v>8214</v>
      </c>
      <c r="H50" s="25">
        <f t="shared" si="0"/>
        <v>44945</v>
      </c>
      <c r="I50" s="26">
        <f t="shared" si="1"/>
        <v>0.96319444444088731</v>
      </c>
      <c r="J50" s="18" t="str">
        <f t="shared" si="2"/>
        <v>January</v>
      </c>
      <c r="K50" s="56" t="str">
        <f t="shared" si="3"/>
        <v>Thursday</v>
      </c>
      <c r="L50" s="18" t="str">
        <f>IF(OR(G50&gt;Answers!I65,G50&lt;Answers!I66),"Outlier","Normal")</f>
        <v>Outlier</v>
      </c>
      <c r="M50" s="18">
        <v>28</v>
      </c>
    </row>
    <row r="51" spans="1:13" ht="20" customHeight="1" x14ac:dyDescent="0.35">
      <c r="A51" s="17">
        <v>33963</v>
      </c>
      <c r="B51" s="18">
        <v>1251</v>
      </c>
      <c r="C51" s="23" t="s">
        <v>99</v>
      </c>
      <c r="D51" s="24">
        <v>45205.986111111109</v>
      </c>
      <c r="E51" s="18" t="s">
        <v>96</v>
      </c>
      <c r="F51" s="18" t="s">
        <v>45</v>
      </c>
      <c r="G51" s="18">
        <v>6147</v>
      </c>
      <c r="H51" s="25">
        <f t="shared" si="0"/>
        <v>45205</v>
      </c>
      <c r="I51" s="26">
        <f t="shared" si="1"/>
        <v>0.98611111110949423</v>
      </c>
      <c r="J51" s="18" t="str">
        <f t="shared" si="2"/>
        <v>October</v>
      </c>
      <c r="K51" s="56" t="str">
        <f t="shared" si="3"/>
        <v>Friday</v>
      </c>
      <c r="L51" s="18" t="str">
        <f>IF(OR(G51&gt;Answers!I66,G51&lt;Answers!I67),"Outlier","Normal")</f>
        <v>Outlier</v>
      </c>
      <c r="M51" s="18">
        <v>31</v>
      </c>
    </row>
    <row r="52" spans="1:13" ht="20" customHeight="1" x14ac:dyDescent="0.35">
      <c r="A52" s="17">
        <v>33983</v>
      </c>
      <c r="B52" s="18">
        <v>305</v>
      </c>
      <c r="C52" s="23" t="s">
        <v>101</v>
      </c>
      <c r="D52" s="24">
        <v>45063.098611111112</v>
      </c>
      <c r="E52" s="18" t="s">
        <v>97</v>
      </c>
      <c r="F52" s="18" t="s">
        <v>8</v>
      </c>
      <c r="G52" s="18">
        <v>3894</v>
      </c>
      <c r="H52" s="25">
        <f t="shared" si="0"/>
        <v>45063</v>
      </c>
      <c r="I52" s="26">
        <f t="shared" si="1"/>
        <v>9.8611111112404615E-2</v>
      </c>
      <c r="J52" s="18" t="str">
        <f t="shared" si="2"/>
        <v>May</v>
      </c>
      <c r="K52" s="56" t="str">
        <f t="shared" si="3"/>
        <v>Wednesday</v>
      </c>
      <c r="L52" s="18" t="str">
        <f>IF(OR(G52&gt;Answers!I67,G52&lt;Answers!I68),"Outlier","Normal")</f>
        <v>Outlier</v>
      </c>
      <c r="M52" s="18">
        <v>58</v>
      </c>
    </row>
    <row r="53" spans="1:13" ht="20" customHeight="1" x14ac:dyDescent="0.35">
      <c r="A53" s="17">
        <v>34125</v>
      </c>
      <c r="B53" s="18">
        <v>530</v>
      </c>
      <c r="C53" s="23" t="s">
        <v>101</v>
      </c>
      <c r="D53" s="24">
        <v>45217.039583333331</v>
      </c>
      <c r="E53" s="18" t="s">
        <v>133</v>
      </c>
      <c r="F53" s="18" t="s">
        <v>46</v>
      </c>
      <c r="G53" s="18">
        <v>4341</v>
      </c>
      <c r="H53" s="25">
        <f t="shared" si="0"/>
        <v>45217</v>
      </c>
      <c r="I53" s="26">
        <f t="shared" si="1"/>
        <v>3.9583333331393078E-2</v>
      </c>
      <c r="J53" s="18" t="str">
        <f t="shared" si="2"/>
        <v>October</v>
      </c>
      <c r="K53" s="56" t="str">
        <f t="shared" si="3"/>
        <v>Wednesday</v>
      </c>
      <c r="L53" s="18" t="str">
        <f>IF(OR(G53&gt;Answers!I68,G53&lt;Answers!I69),"Outlier","Normal")</f>
        <v>Outlier</v>
      </c>
      <c r="M53" s="18">
        <v>23</v>
      </c>
    </row>
    <row r="54" spans="1:13" ht="20" customHeight="1" x14ac:dyDescent="0.35">
      <c r="A54" s="17">
        <v>34477</v>
      </c>
      <c r="B54" s="18">
        <v>1749</v>
      </c>
      <c r="C54" s="23" t="s">
        <v>104</v>
      </c>
      <c r="D54" s="24">
        <v>45042.992361111108</v>
      </c>
      <c r="E54" s="18" t="s">
        <v>97</v>
      </c>
      <c r="F54" s="18" t="s">
        <v>47</v>
      </c>
      <c r="G54" s="18">
        <v>9140</v>
      </c>
      <c r="H54" s="25">
        <f t="shared" si="0"/>
        <v>45042</v>
      </c>
      <c r="I54" s="26">
        <f t="shared" si="1"/>
        <v>0.99236111110803904</v>
      </c>
      <c r="J54" s="18" t="str">
        <f t="shared" si="2"/>
        <v>April</v>
      </c>
      <c r="K54" s="56" t="str">
        <f t="shared" si="3"/>
        <v>Wednesday</v>
      </c>
      <c r="L54" s="18" t="str">
        <f>IF(OR(G54&gt;Answers!I69,G54&lt;Answers!I70),"Outlier","Normal")</f>
        <v>Outlier</v>
      </c>
      <c r="M54" s="18">
        <v>30</v>
      </c>
    </row>
    <row r="55" spans="1:13" ht="20" customHeight="1" x14ac:dyDescent="0.35">
      <c r="A55" s="17">
        <v>34504</v>
      </c>
      <c r="B55" s="18">
        <v>915</v>
      </c>
      <c r="C55" s="23" t="s">
        <v>100</v>
      </c>
      <c r="D55" s="24">
        <v>44963.038194444445</v>
      </c>
      <c r="E55" s="18" t="s">
        <v>96</v>
      </c>
      <c r="F55" s="18" t="s">
        <v>27</v>
      </c>
      <c r="G55" s="18">
        <v>9163</v>
      </c>
      <c r="H55" s="25">
        <f t="shared" si="0"/>
        <v>44963</v>
      </c>
      <c r="I55" s="26">
        <f t="shared" si="1"/>
        <v>3.8194444445252884E-2</v>
      </c>
      <c r="J55" s="18" t="str">
        <f t="shared" si="2"/>
        <v>February</v>
      </c>
      <c r="K55" s="56" t="str">
        <f t="shared" si="3"/>
        <v>Monday</v>
      </c>
      <c r="L55" s="18" t="str">
        <f>IF(OR(G55&gt;Answers!I70,G55&lt;Answers!I71),"Outlier","Normal")</f>
        <v>Outlier</v>
      </c>
      <c r="M55" s="18">
        <v>39</v>
      </c>
    </row>
    <row r="56" spans="1:13" ht="20" customHeight="1" x14ac:dyDescent="0.35">
      <c r="A56" s="17">
        <v>34978</v>
      </c>
      <c r="B56" s="18">
        <v>492</v>
      </c>
      <c r="C56" s="23" t="s">
        <v>105</v>
      </c>
      <c r="D56" s="24">
        <v>45120.076388888891</v>
      </c>
      <c r="E56" s="18" t="s">
        <v>97</v>
      </c>
      <c r="F56" s="18" t="s">
        <v>4</v>
      </c>
      <c r="G56" s="18">
        <v>1494</v>
      </c>
      <c r="H56" s="25">
        <f t="shared" si="0"/>
        <v>45120</v>
      </c>
      <c r="I56" s="26">
        <f t="shared" si="1"/>
        <v>7.6388888890505768E-2</v>
      </c>
      <c r="J56" s="18" t="str">
        <f t="shared" si="2"/>
        <v>July</v>
      </c>
      <c r="K56" s="56" t="str">
        <f t="shared" si="3"/>
        <v>Thursday</v>
      </c>
      <c r="L56" s="18" t="str">
        <f>IF(OR(G56&gt;Answers!I71,G56&lt;Answers!I72),"Outlier","Normal")</f>
        <v>Outlier</v>
      </c>
      <c r="M56" s="18">
        <v>32</v>
      </c>
    </row>
    <row r="57" spans="1:13" ht="20" customHeight="1" x14ac:dyDescent="0.35">
      <c r="A57" s="17">
        <v>35391</v>
      </c>
      <c r="B57" s="18">
        <v>1057</v>
      </c>
      <c r="C57" s="23" t="s">
        <v>105</v>
      </c>
      <c r="D57" s="24">
        <v>45056.074999999997</v>
      </c>
      <c r="E57" s="18" t="s">
        <v>98</v>
      </c>
      <c r="F57" s="18" t="s">
        <v>14</v>
      </c>
      <c r="G57" s="18">
        <v>6287</v>
      </c>
      <c r="H57" s="25">
        <f t="shared" si="0"/>
        <v>45056</v>
      </c>
      <c r="I57" s="26">
        <f t="shared" si="1"/>
        <v>7.4999999997089617E-2</v>
      </c>
      <c r="J57" s="18" t="str">
        <f t="shared" si="2"/>
        <v>May</v>
      </c>
      <c r="K57" s="56" t="str">
        <f t="shared" si="3"/>
        <v>Wednesday</v>
      </c>
      <c r="L57" s="18" t="str">
        <f>IF(OR(G57&gt;Answers!I72,G57&lt;Answers!I73),"Outlier","Normal")</f>
        <v>Outlier</v>
      </c>
      <c r="M57" s="18">
        <v>71</v>
      </c>
    </row>
    <row r="58" spans="1:13" ht="20" customHeight="1" x14ac:dyDescent="0.35">
      <c r="A58" s="17">
        <v>36759</v>
      </c>
      <c r="B58" s="18">
        <v>1667</v>
      </c>
      <c r="C58" s="23" t="s">
        <v>100</v>
      </c>
      <c r="D58" s="24">
        <v>44949.064583333333</v>
      </c>
      <c r="E58" s="18" t="s">
        <v>133</v>
      </c>
      <c r="F58" s="18" t="s">
        <v>6</v>
      </c>
      <c r="G58" s="18">
        <v>6587</v>
      </c>
      <c r="H58" s="25">
        <f t="shared" si="0"/>
        <v>44949</v>
      </c>
      <c r="I58" s="26">
        <f t="shared" si="1"/>
        <v>6.4583333332848269E-2</v>
      </c>
      <c r="J58" s="18" t="str">
        <f t="shared" si="2"/>
        <v>January</v>
      </c>
      <c r="K58" s="56" t="str">
        <f t="shared" si="3"/>
        <v>Monday</v>
      </c>
      <c r="L58" s="18" t="str">
        <f>IF(OR(G58&gt;Answers!I73,G58&lt;Answers!I74),"Outlier","Normal")</f>
        <v>Outlier</v>
      </c>
      <c r="M58" s="18">
        <v>73</v>
      </c>
    </row>
    <row r="59" spans="1:13" ht="20" customHeight="1" x14ac:dyDescent="0.35">
      <c r="A59" s="17">
        <v>37737</v>
      </c>
      <c r="B59" s="18">
        <v>744</v>
      </c>
      <c r="C59" s="23" t="s">
        <v>102</v>
      </c>
      <c r="D59" s="24">
        <v>45223.003472222219</v>
      </c>
      <c r="E59" s="18" t="s">
        <v>98</v>
      </c>
      <c r="F59" s="18" t="s">
        <v>7</v>
      </c>
      <c r="G59" s="18">
        <v>9738</v>
      </c>
      <c r="H59" s="25">
        <f t="shared" si="0"/>
        <v>45223</v>
      </c>
      <c r="I59" s="26">
        <f t="shared" si="1"/>
        <v>3.4722222189884633E-3</v>
      </c>
      <c r="J59" s="18" t="str">
        <f t="shared" si="2"/>
        <v>October</v>
      </c>
      <c r="K59" s="56" t="str">
        <f t="shared" si="3"/>
        <v>Tuesday</v>
      </c>
      <c r="L59" s="18" t="str">
        <f>IF(OR(G59&gt;Answers!I74,G59&lt;Answers!I75),"Outlier","Normal")</f>
        <v>Outlier</v>
      </c>
      <c r="M59" s="18">
        <v>33</v>
      </c>
    </row>
    <row r="60" spans="1:13" ht="20" customHeight="1" x14ac:dyDescent="0.35">
      <c r="A60" s="17">
        <v>37971</v>
      </c>
      <c r="B60" s="18">
        <v>433</v>
      </c>
      <c r="C60" s="23" t="s">
        <v>113</v>
      </c>
      <c r="D60" s="24">
        <v>45101.061111111114</v>
      </c>
      <c r="E60" s="18" t="s">
        <v>133</v>
      </c>
      <c r="F60" s="18" t="s">
        <v>8</v>
      </c>
      <c r="G60" s="18">
        <v>7884</v>
      </c>
      <c r="H60" s="25">
        <f t="shared" si="0"/>
        <v>45101</v>
      </c>
      <c r="I60" s="26">
        <f t="shared" si="1"/>
        <v>6.1111111113859806E-2</v>
      </c>
      <c r="J60" s="18" t="str">
        <f t="shared" si="2"/>
        <v>June</v>
      </c>
      <c r="K60" s="56" t="str">
        <f t="shared" si="3"/>
        <v>Saturday</v>
      </c>
      <c r="L60" s="18" t="str">
        <f>IF(OR(G60&gt;Answers!I75,G60&lt;Answers!I76),"Outlier","Normal")</f>
        <v>Outlier</v>
      </c>
      <c r="M60" s="18">
        <v>55</v>
      </c>
    </row>
    <row r="61" spans="1:13" ht="20" customHeight="1" x14ac:dyDescent="0.35">
      <c r="A61" s="17">
        <v>38242</v>
      </c>
      <c r="B61" s="18">
        <v>1131</v>
      </c>
      <c r="C61" s="23" t="s">
        <v>101</v>
      </c>
      <c r="D61" s="24">
        <v>44929.020138888889</v>
      </c>
      <c r="E61" s="18" t="s">
        <v>133</v>
      </c>
      <c r="F61" s="18" t="s">
        <v>9</v>
      </c>
      <c r="G61" s="18">
        <v>9299</v>
      </c>
      <c r="H61" s="25">
        <f t="shared" si="0"/>
        <v>44929</v>
      </c>
      <c r="I61" s="26">
        <f t="shared" si="1"/>
        <v>2.0138888889050577E-2</v>
      </c>
      <c r="J61" s="18" t="str">
        <f t="shared" si="2"/>
        <v>January</v>
      </c>
      <c r="K61" s="56" t="str">
        <f t="shared" si="3"/>
        <v>Tuesday</v>
      </c>
      <c r="L61" s="18" t="str">
        <f>IF(OR(G61&gt;Answers!I76,G61&lt;Answers!I77),"Outlier","Normal")</f>
        <v>Outlier</v>
      </c>
      <c r="M61" s="18">
        <v>38</v>
      </c>
    </row>
    <row r="62" spans="1:13" ht="20" customHeight="1" x14ac:dyDescent="0.35">
      <c r="A62" s="17">
        <v>38528</v>
      </c>
      <c r="B62" s="18">
        <v>551</v>
      </c>
      <c r="C62" s="23" t="s">
        <v>110</v>
      </c>
      <c r="D62" s="24">
        <v>45219.027777777781</v>
      </c>
      <c r="E62" s="18" t="s">
        <v>96</v>
      </c>
      <c r="F62" s="18" t="s">
        <v>10</v>
      </c>
      <c r="G62" s="18">
        <v>7036</v>
      </c>
      <c r="H62" s="25">
        <f t="shared" si="0"/>
        <v>45219</v>
      </c>
      <c r="I62" s="26">
        <f t="shared" si="1"/>
        <v>2.7777777781011537E-2</v>
      </c>
      <c r="J62" s="18" t="str">
        <f t="shared" si="2"/>
        <v>October</v>
      </c>
      <c r="K62" s="56" t="str">
        <f t="shared" si="3"/>
        <v>Friday</v>
      </c>
      <c r="L62" s="18" t="str">
        <f>IF(OR(G62&gt;Answers!I77,G62&lt;Answers!I78),"Outlier","Normal")</f>
        <v>Outlier</v>
      </c>
      <c r="M62" s="18">
        <v>20</v>
      </c>
    </row>
    <row r="63" spans="1:13" ht="20" customHeight="1" x14ac:dyDescent="0.35">
      <c r="A63" s="17">
        <v>40114</v>
      </c>
      <c r="B63" s="18">
        <v>172</v>
      </c>
      <c r="C63" s="23" t="s">
        <v>99</v>
      </c>
      <c r="D63" s="24">
        <v>45193.05</v>
      </c>
      <c r="E63" s="18" t="s">
        <v>97</v>
      </c>
      <c r="F63" s="18" t="s">
        <v>11</v>
      </c>
      <c r="G63" s="18">
        <v>1841</v>
      </c>
      <c r="H63" s="25">
        <f t="shared" si="0"/>
        <v>45193</v>
      </c>
      <c r="I63" s="26">
        <f t="shared" si="1"/>
        <v>5.0000000002910383E-2</v>
      </c>
      <c r="J63" s="18" t="str">
        <f t="shared" si="2"/>
        <v>September</v>
      </c>
      <c r="K63" s="56" t="str">
        <f t="shared" si="3"/>
        <v>Sunday</v>
      </c>
      <c r="L63" s="18" t="str">
        <f>IF(OR(G63&gt;Answers!I78,G63&lt;Answers!I79),"Outlier","Normal")</f>
        <v>Outlier</v>
      </c>
      <c r="M63" s="18">
        <v>36</v>
      </c>
    </row>
    <row r="64" spans="1:13" ht="20" customHeight="1" x14ac:dyDescent="0.35">
      <c r="A64" s="17">
        <v>41110</v>
      </c>
      <c r="B64" s="18">
        <v>1858</v>
      </c>
      <c r="C64" s="23" t="s">
        <v>99</v>
      </c>
      <c r="D64" s="24">
        <v>45080.022916666669</v>
      </c>
      <c r="E64" s="18" t="s">
        <v>98</v>
      </c>
      <c r="F64" s="18" t="s">
        <v>12</v>
      </c>
      <c r="G64" s="18">
        <v>9844</v>
      </c>
      <c r="H64" s="25">
        <f t="shared" si="0"/>
        <v>45080</v>
      </c>
      <c r="I64" s="26">
        <f t="shared" si="1"/>
        <v>2.2916666668606922E-2</v>
      </c>
      <c r="J64" s="18" t="str">
        <f t="shared" si="2"/>
        <v>June</v>
      </c>
      <c r="K64" s="56" t="str">
        <f t="shared" si="3"/>
        <v>Saturday</v>
      </c>
      <c r="L64" s="18" t="str">
        <f>IF(OR(G64&gt;Answers!I79,G64&lt;Answers!I80),"Outlier","Normal")</f>
        <v>Outlier</v>
      </c>
      <c r="M64" s="18">
        <v>59</v>
      </c>
    </row>
    <row r="65" spans="1:13" ht="20" customHeight="1" x14ac:dyDescent="0.35">
      <c r="A65" s="17">
        <v>41478</v>
      </c>
      <c r="B65" s="18">
        <v>871</v>
      </c>
      <c r="C65" s="23" t="s">
        <v>107</v>
      </c>
      <c r="D65" s="24">
        <v>45058.015277777777</v>
      </c>
      <c r="E65" s="18" t="s">
        <v>98</v>
      </c>
      <c r="F65" s="18" t="s">
        <v>48</v>
      </c>
      <c r="G65" s="18">
        <v>2454</v>
      </c>
      <c r="H65" s="25">
        <f t="shared" si="0"/>
        <v>45058</v>
      </c>
      <c r="I65" s="26">
        <f t="shared" si="1"/>
        <v>1.5277777776645962E-2</v>
      </c>
      <c r="J65" s="18" t="str">
        <f t="shared" si="2"/>
        <v>May</v>
      </c>
      <c r="K65" s="56" t="str">
        <f t="shared" si="3"/>
        <v>Friday</v>
      </c>
      <c r="L65" s="18" t="str">
        <f>IF(OR(G65&gt;Answers!I80,G65&lt;Answers!I81),"Outlier","Normal")</f>
        <v>Outlier</v>
      </c>
      <c r="M65" s="18">
        <v>76</v>
      </c>
    </row>
    <row r="66" spans="1:13" ht="20" customHeight="1" x14ac:dyDescent="0.35">
      <c r="A66" s="17">
        <v>42094</v>
      </c>
      <c r="B66" s="18">
        <v>987</v>
      </c>
      <c r="C66" s="23" t="s">
        <v>99</v>
      </c>
      <c r="D66" s="24">
        <v>45093.940972222219</v>
      </c>
      <c r="E66" s="18" t="s">
        <v>98</v>
      </c>
      <c r="F66" s="18" t="s">
        <v>14</v>
      </c>
      <c r="G66" s="18">
        <v>4039</v>
      </c>
      <c r="H66" s="25">
        <f t="shared" si="0"/>
        <v>45093</v>
      </c>
      <c r="I66" s="26">
        <f t="shared" si="1"/>
        <v>0.94097222221898846</v>
      </c>
      <c r="J66" s="18" t="str">
        <f t="shared" si="2"/>
        <v>June</v>
      </c>
      <c r="K66" s="56" t="str">
        <f t="shared" si="3"/>
        <v>Friday</v>
      </c>
      <c r="L66" s="18" t="str">
        <f>IF(OR(G66&gt;Answers!I81,G66&lt;Answers!I82),"Outlier","Normal")</f>
        <v>Outlier</v>
      </c>
      <c r="M66" s="18">
        <v>23</v>
      </c>
    </row>
    <row r="67" spans="1:13" ht="20" customHeight="1" x14ac:dyDescent="0.35">
      <c r="A67" s="17">
        <v>43427</v>
      </c>
      <c r="B67" s="18">
        <v>1066</v>
      </c>
      <c r="C67" s="23" t="s">
        <v>113</v>
      </c>
      <c r="D67" s="24">
        <v>45003.974999999999</v>
      </c>
      <c r="E67" s="18" t="s">
        <v>133</v>
      </c>
      <c r="F67" s="18" t="s">
        <v>49</v>
      </c>
      <c r="G67" s="18">
        <v>959</v>
      </c>
      <c r="H67" s="25">
        <f t="shared" ref="H67:H130" si="4">INT(D67)</f>
        <v>45003</v>
      </c>
      <c r="I67" s="26">
        <f t="shared" ref="I67:I130" si="5">MOD(D67,1)</f>
        <v>0.97499999999854481</v>
      </c>
      <c r="J67" s="18" t="str">
        <f t="shared" ref="J67:J130" si="6">TEXT(D67,"mmmm")</f>
        <v>March</v>
      </c>
      <c r="K67" s="56" t="str">
        <f t="shared" ref="K67:K130" si="7">TEXT(D67,"dddd")</f>
        <v>Saturday</v>
      </c>
      <c r="L67" s="18" t="str">
        <f>IF(OR(G67&gt;Answers!I82,G67&lt;Answers!I83),"Outlier","Normal")</f>
        <v>Outlier</v>
      </c>
      <c r="M67" s="18">
        <v>70</v>
      </c>
    </row>
    <row r="68" spans="1:13" ht="20" customHeight="1" x14ac:dyDescent="0.35">
      <c r="A68" s="17">
        <v>43722</v>
      </c>
      <c r="B68" s="18">
        <v>1223</v>
      </c>
      <c r="C68" s="23" t="s">
        <v>99</v>
      </c>
      <c r="D68" s="24">
        <v>45233.979861111111</v>
      </c>
      <c r="E68" s="18" t="s">
        <v>96</v>
      </c>
      <c r="F68" s="18" t="s">
        <v>16</v>
      </c>
      <c r="G68" s="18">
        <v>6074</v>
      </c>
      <c r="H68" s="25">
        <f t="shared" si="4"/>
        <v>45233</v>
      </c>
      <c r="I68" s="26">
        <f t="shared" si="5"/>
        <v>0.97986111111094942</v>
      </c>
      <c r="J68" s="18" t="str">
        <f t="shared" si="6"/>
        <v>November</v>
      </c>
      <c r="K68" s="56" t="str">
        <f t="shared" si="7"/>
        <v>Friday</v>
      </c>
      <c r="L68" s="18" t="str">
        <f>IF(OR(G68&gt;Answers!I83,G68&lt;Answers!I84),"Outlier","Normal")</f>
        <v>Outlier</v>
      </c>
      <c r="M68" s="18">
        <v>63</v>
      </c>
    </row>
    <row r="69" spans="1:13" ht="20" customHeight="1" x14ac:dyDescent="0.35">
      <c r="A69" s="17">
        <v>44241</v>
      </c>
      <c r="B69" s="18">
        <v>800</v>
      </c>
      <c r="C69" s="23" t="s">
        <v>111</v>
      </c>
      <c r="D69" s="24">
        <v>45214.022222222222</v>
      </c>
      <c r="E69" s="18" t="s">
        <v>133</v>
      </c>
      <c r="F69" s="18" t="s">
        <v>17</v>
      </c>
      <c r="G69" s="18">
        <v>3306</v>
      </c>
      <c r="H69" s="25">
        <f t="shared" si="4"/>
        <v>45214</v>
      </c>
      <c r="I69" s="26">
        <f t="shared" si="5"/>
        <v>2.2222222221898846E-2</v>
      </c>
      <c r="J69" s="18" t="str">
        <f t="shared" si="6"/>
        <v>October</v>
      </c>
      <c r="K69" s="56" t="str">
        <f t="shared" si="7"/>
        <v>Sunday</v>
      </c>
      <c r="L69" s="18" t="str">
        <f>IF(OR(G69&gt;Answers!I84,G69&lt;Answers!I85),"Outlier","Normal")</f>
        <v>Outlier</v>
      </c>
      <c r="M69" s="18">
        <v>87</v>
      </c>
    </row>
    <row r="70" spans="1:13" ht="20" customHeight="1" x14ac:dyDescent="0.35">
      <c r="A70" s="17">
        <v>44275</v>
      </c>
      <c r="B70" s="18">
        <v>423</v>
      </c>
      <c r="C70" s="23" t="s">
        <v>106</v>
      </c>
      <c r="D70" s="24">
        <v>45016.072916666664</v>
      </c>
      <c r="E70" s="18" t="s">
        <v>97</v>
      </c>
      <c r="F70" s="18" t="s">
        <v>18</v>
      </c>
      <c r="G70" s="18">
        <v>7290</v>
      </c>
      <c r="H70" s="25">
        <f t="shared" si="4"/>
        <v>45016</v>
      </c>
      <c r="I70" s="26">
        <f t="shared" si="5"/>
        <v>7.2916666664241347E-2</v>
      </c>
      <c r="J70" s="18" t="str">
        <f t="shared" si="6"/>
        <v>March</v>
      </c>
      <c r="K70" s="56" t="str">
        <f t="shared" si="7"/>
        <v>Friday</v>
      </c>
      <c r="L70" s="18" t="str">
        <f>IF(OR(G70&gt;Answers!I85,G70&lt;Answers!I86),"Outlier","Normal")</f>
        <v>Outlier</v>
      </c>
      <c r="M70" s="18">
        <v>27</v>
      </c>
    </row>
    <row r="71" spans="1:13" ht="20" customHeight="1" x14ac:dyDescent="0.35">
      <c r="A71" s="17">
        <v>44486</v>
      </c>
      <c r="B71" s="18">
        <v>905</v>
      </c>
      <c r="C71" s="23" t="s">
        <v>99</v>
      </c>
      <c r="D71" s="24">
        <v>45086.02847222222</v>
      </c>
      <c r="E71" s="18" t="s">
        <v>98</v>
      </c>
      <c r="F71" s="18" t="s">
        <v>19</v>
      </c>
      <c r="G71" s="18">
        <v>8730</v>
      </c>
      <c r="H71" s="25">
        <f t="shared" si="4"/>
        <v>45086</v>
      </c>
      <c r="I71" s="26">
        <f t="shared" si="5"/>
        <v>2.8472222220443655E-2</v>
      </c>
      <c r="J71" s="18" t="str">
        <f t="shared" si="6"/>
        <v>June</v>
      </c>
      <c r="K71" s="56" t="str">
        <f t="shared" si="7"/>
        <v>Friday</v>
      </c>
      <c r="L71" s="18" t="str">
        <f>IF(OR(G71&gt;Answers!I86,G71&lt;Answers!I87),"Outlier","Normal")</f>
        <v>Outlier</v>
      </c>
      <c r="M71" s="18">
        <v>25</v>
      </c>
    </row>
    <row r="72" spans="1:13" ht="20" customHeight="1" x14ac:dyDescent="0.35">
      <c r="A72" s="17">
        <v>47050</v>
      </c>
      <c r="B72" s="18">
        <v>1466</v>
      </c>
      <c r="C72" s="23" t="s">
        <v>111</v>
      </c>
      <c r="D72" s="24">
        <v>45248.011111111111</v>
      </c>
      <c r="E72" s="18" t="s">
        <v>98</v>
      </c>
      <c r="F72" s="18" t="s">
        <v>50</v>
      </c>
      <c r="G72" s="18">
        <v>6692</v>
      </c>
      <c r="H72" s="25">
        <f t="shared" si="4"/>
        <v>45248</v>
      </c>
      <c r="I72" s="26">
        <f t="shared" si="5"/>
        <v>1.1111111110949423E-2</v>
      </c>
      <c r="J72" s="18" t="str">
        <f t="shared" si="6"/>
        <v>November</v>
      </c>
      <c r="K72" s="56" t="str">
        <f t="shared" si="7"/>
        <v>Saturday</v>
      </c>
      <c r="L72" s="18" t="str">
        <f>IF(OR(G72&gt;Answers!I87,G72&lt;Answers!I88),"Outlier","Normal")</f>
        <v>Outlier</v>
      </c>
      <c r="M72" s="18">
        <v>39</v>
      </c>
    </row>
    <row r="73" spans="1:13" ht="20" customHeight="1" x14ac:dyDescent="0.35">
      <c r="A73" s="17">
        <v>47212</v>
      </c>
      <c r="B73" s="18">
        <v>1083</v>
      </c>
      <c r="C73" s="23" t="s">
        <v>105</v>
      </c>
      <c r="D73" s="24">
        <v>45116.981249999997</v>
      </c>
      <c r="E73" s="18" t="s">
        <v>96</v>
      </c>
      <c r="F73" s="18" t="s">
        <v>51</v>
      </c>
      <c r="G73" s="18">
        <v>1067</v>
      </c>
      <c r="H73" s="25">
        <f t="shared" si="4"/>
        <v>45116</v>
      </c>
      <c r="I73" s="26">
        <f t="shared" si="5"/>
        <v>0.98124999999708962</v>
      </c>
      <c r="J73" s="18" t="str">
        <f t="shared" si="6"/>
        <v>July</v>
      </c>
      <c r="K73" s="56" t="str">
        <f t="shared" si="7"/>
        <v>Sunday</v>
      </c>
      <c r="L73" s="18" t="str">
        <f>IF(OR(G73&gt;Answers!I88,G73&lt;Answers!I89),"Outlier","Normal")</f>
        <v>Outlier</v>
      </c>
      <c r="M73" s="18">
        <v>25</v>
      </c>
    </row>
    <row r="74" spans="1:13" ht="20" customHeight="1" x14ac:dyDescent="0.35">
      <c r="A74" s="17">
        <v>49060</v>
      </c>
      <c r="B74" s="18">
        <v>430</v>
      </c>
      <c r="C74" s="23" t="s">
        <v>113</v>
      </c>
      <c r="D74" s="24">
        <v>45191.022916666669</v>
      </c>
      <c r="E74" s="18" t="s">
        <v>96</v>
      </c>
      <c r="F74" s="18" t="s">
        <v>22</v>
      </c>
      <c r="G74" s="18">
        <v>5513</v>
      </c>
      <c r="H74" s="25">
        <f t="shared" si="4"/>
        <v>45191</v>
      </c>
      <c r="I74" s="26">
        <f t="shared" si="5"/>
        <v>2.2916666668606922E-2</v>
      </c>
      <c r="J74" s="18" t="str">
        <f t="shared" si="6"/>
        <v>September</v>
      </c>
      <c r="K74" s="56" t="str">
        <f t="shared" si="7"/>
        <v>Friday</v>
      </c>
      <c r="L74" s="18" t="str">
        <f>IF(OR(G74&gt;Answers!I89,G74&lt;Answers!I90),"Outlier","Normal")</f>
        <v>Outlier</v>
      </c>
      <c r="M74" s="18">
        <v>82</v>
      </c>
    </row>
    <row r="75" spans="1:13" ht="20" customHeight="1" x14ac:dyDescent="0.35">
      <c r="A75" s="17">
        <v>49520</v>
      </c>
      <c r="B75" s="18">
        <v>1670</v>
      </c>
      <c r="C75" s="23" t="s">
        <v>99</v>
      </c>
      <c r="D75" s="24">
        <v>45110.000694444447</v>
      </c>
      <c r="E75" s="18" t="s">
        <v>133</v>
      </c>
      <c r="F75" s="18" t="s">
        <v>4</v>
      </c>
      <c r="G75" s="18">
        <v>6214</v>
      </c>
      <c r="H75" s="25">
        <f t="shared" si="4"/>
        <v>45110</v>
      </c>
      <c r="I75" s="26">
        <f t="shared" si="5"/>
        <v>6.944444467080757E-4</v>
      </c>
      <c r="J75" s="18" t="str">
        <f t="shared" si="6"/>
        <v>July</v>
      </c>
      <c r="K75" s="56" t="str">
        <f t="shared" si="7"/>
        <v>Monday</v>
      </c>
      <c r="L75" s="18" t="str">
        <f>IF(OR(G75&gt;Answers!I90,G75&lt;Answers!I91),"Outlier","Normal")</f>
        <v>Outlier</v>
      </c>
      <c r="M75" s="18">
        <v>80</v>
      </c>
    </row>
    <row r="76" spans="1:13" ht="20" customHeight="1" x14ac:dyDescent="0.35">
      <c r="A76" s="17">
        <v>49544</v>
      </c>
      <c r="B76" s="18">
        <v>526</v>
      </c>
      <c r="C76" s="23" t="s">
        <v>99</v>
      </c>
      <c r="D76" s="24">
        <v>45227.00277777778</v>
      </c>
      <c r="E76" s="18" t="s">
        <v>98</v>
      </c>
      <c r="F76" s="18" t="s">
        <v>39</v>
      </c>
      <c r="G76" s="18">
        <v>7802</v>
      </c>
      <c r="H76" s="25">
        <f t="shared" si="4"/>
        <v>45227</v>
      </c>
      <c r="I76" s="26">
        <f t="shared" si="5"/>
        <v>2.7777777795563452E-3</v>
      </c>
      <c r="J76" s="18" t="str">
        <f t="shared" si="6"/>
        <v>October</v>
      </c>
      <c r="K76" s="56" t="str">
        <f t="shared" si="7"/>
        <v>Saturday</v>
      </c>
      <c r="L76" s="18" t="str">
        <f>IF(OR(G76&gt;Answers!I91,G76&lt;Answers!I92),"Outlier","Normal")</f>
        <v>Outlier</v>
      </c>
      <c r="M76" s="18">
        <v>49</v>
      </c>
    </row>
    <row r="77" spans="1:13" ht="20" customHeight="1" x14ac:dyDescent="0.35">
      <c r="A77" s="17">
        <v>50199</v>
      </c>
      <c r="B77" s="18">
        <v>105</v>
      </c>
      <c r="C77" s="23" t="s">
        <v>99</v>
      </c>
      <c r="D77" s="24">
        <v>44955.05972222222</v>
      </c>
      <c r="E77" s="18" t="s">
        <v>133</v>
      </c>
      <c r="F77" s="18" t="s">
        <v>24</v>
      </c>
      <c r="G77" s="18">
        <v>8898</v>
      </c>
      <c r="H77" s="25">
        <f t="shared" si="4"/>
        <v>44955</v>
      </c>
      <c r="I77" s="26">
        <f t="shared" si="5"/>
        <v>5.9722222220443655E-2</v>
      </c>
      <c r="J77" s="18" t="str">
        <f t="shared" si="6"/>
        <v>January</v>
      </c>
      <c r="K77" s="56" t="str">
        <f t="shared" si="7"/>
        <v>Sunday</v>
      </c>
      <c r="L77" s="18" t="str">
        <f>IF(OR(G77&gt;Answers!I92,G77&lt;Answers!I93),"Outlier","Normal")</f>
        <v>Outlier</v>
      </c>
      <c r="M77" s="18">
        <v>80</v>
      </c>
    </row>
    <row r="78" spans="1:13" ht="20" customHeight="1" x14ac:dyDescent="0.35">
      <c r="A78" s="17">
        <v>50499</v>
      </c>
      <c r="B78" s="18">
        <v>639</v>
      </c>
      <c r="C78" s="23" t="s">
        <v>99</v>
      </c>
      <c r="D78" s="24">
        <v>45018.963888888888</v>
      </c>
      <c r="E78" s="18" t="s">
        <v>98</v>
      </c>
      <c r="F78" s="18" t="s">
        <v>32</v>
      </c>
      <c r="G78" s="18">
        <v>3514</v>
      </c>
      <c r="H78" s="25">
        <f t="shared" si="4"/>
        <v>45018</v>
      </c>
      <c r="I78" s="26">
        <f t="shared" si="5"/>
        <v>0.96388888888759539</v>
      </c>
      <c r="J78" s="18" t="str">
        <f t="shared" si="6"/>
        <v>April</v>
      </c>
      <c r="K78" s="56" t="str">
        <f t="shared" si="7"/>
        <v>Sunday</v>
      </c>
      <c r="L78" s="18" t="str">
        <f>IF(OR(G78&gt;Answers!I93,G78&lt;Answers!I94),"Outlier","Normal")</f>
        <v>Outlier</v>
      </c>
      <c r="M78" s="18">
        <v>59</v>
      </c>
    </row>
    <row r="79" spans="1:13" ht="20" customHeight="1" x14ac:dyDescent="0.35">
      <c r="A79" s="17">
        <v>51688</v>
      </c>
      <c r="B79" s="18">
        <v>453</v>
      </c>
      <c r="C79" s="23" t="s">
        <v>100</v>
      </c>
      <c r="D79" s="24">
        <v>45278.024305555555</v>
      </c>
      <c r="E79" s="18" t="s">
        <v>96</v>
      </c>
      <c r="F79" s="18" t="s">
        <v>25</v>
      </c>
      <c r="G79" s="18">
        <v>4365</v>
      </c>
      <c r="H79" s="25">
        <f t="shared" si="4"/>
        <v>45278</v>
      </c>
      <c r="I79" s="26">
        <f t="shared" si="5"/>
        <v>2.4305555554747116E-2</v>
      </c>
      <c r="J79" s="18" t="str">
        <f t="shared" si="6"/>
        <v>December</v>
      </c>
      <c r="K79" s="56" t="str">
        <f t="shared" si="7"/>
        <v>Monday</v>
      </c>
      <c r="L79" s="18" t="str">
        <f>IF(OR(G79&gt;Answers!I94,G79&lt;Answers!I95),"Outlier","Normal")</f>
        <v>Outlier</v>
      </c>
      <c r="M79" s="18">
        <v>52</v>
      </c>
    </row>
    <row r="80" spans="1:13" ht="20" customHeight="1" x14ac:dyDescent="0.35">
      <c r="A80" s="17">
        <v>51913</v>
      </c>
      <c r="B80" s="18">
        <v>1208</v>
      </c>
      <c r="C80" s="23" t="s">
        <v>99</v>
      </c>
      <c r="D80" s="24">
        <v>45241.013888888891</v>
      </c>
      <c r="E80" s="18" t="s">
        <v>98</v>
      </c>
      <c r="F80" s="18" t="s">
        <v>13</v>
      </c>
      <c r="G80" s="18">
        <v>1733</v>
      </c>
      <c r="H80" s="25">
        <f t="shared" si="4"/>
        <v>45241</v>
      </c>
      <c r="I80" s="26">
        <f t="shared" si="5"/>
        <v>1.3888888890505768E-2</v>
      </c>
      <c r="J80" s="18" t="str">
        <f t="shared" si="6"/>
        <v>November</v>
      </c>
      <c r="K80" s="56" t="str">
        <f t="shared" si="7"/>
        <v>Saturday</v>
      </c>
      <c r="L80" s="18" t="str">
        <f>IF(OR(G80&gt;Answers!I95,G80&lt;Answers!I96),"Outlier","Normal")</f>
        <v>Outlier</v>
      </c>
      <c r="M80" s="18">
        <v>73</v>
      </c>
    </row>
    <row r="81" spans="1:13" ht="20" customHeight="1" x14ac:dyDescent="0.35">
      <c r="A81" s="17">
        <v>52659</v>
      </c>
      <c r="B81" s="18">
        <v>1282</v>
      </c>
      <c r="C81" s="23" t="s">
        <v>100</v>
      </c>
      <c r="D81" s="24">
        <v>45084.038194444445</v>
      </c>
      <c r="E81" s="18" t="s">
        <v>133</v>
      </c>
      <c r="F81" s="18" t="s">
        <v>27</v>
      </c>
      <c r="G81" s="18">
        <v>3865</v>
      </c>
      <c r="H81" s="25">
        <f t="shared" si="4"/>
        <v>45084</v>
      </c>
      <c r="I81" s="26">
        <f t="shared" si="5"/>
        <v>3.8194444445252884E-2</v>
      </c>
      <c r="J81" s="18" t="str">
        <f t="shared" si="6"/>
        <v>June</v>
      </c>
      <c r="K81" s="56" t="str">
        <f t="shared" si="7"/>
        <v>Wednesday</v>
      </c>
      <c r="L81" s="18" t="str">
        <f>IF(OR(G81&gt;Answers!I96,G81&lt;Answers!I97),"Outlier","Normal")</f>
        <v>Outlier</v>
      </c>
      <c r="M81" s="18">
        <v>35</v>
      </c>
    </row>
    <row r="82" spans="1:13" ht="20" customHeight="1" x14ac:dyDescent="0.35">
      <c r="A82" s="17">
        <v>53119</v>
      </c>
      <c r="B82" s="18">
        <v>1257</v>
      </c>
      <c r="C82" s="23" t="s">
        <v>99</v>
      </c>
      <c r="D82" s="24">
        <v>45030.061111111114</v>
      </c>
      <c r="E82" s="18" t="s">
        <v>97</v>
      </c>
      <c r="F82" s="18" t="s">
        <v>4</v>
      </c>
      <c r="G82" s="18">
        <v>6403</v>
      </c>
      <c r="H82" s="25">
        <f t="shared" si="4"/>
        <v>45030</v>
      </c>
      <c r="I82" s="26">
        <f t="shared" si="5"/>
        <v>6.1111111113859806E-2</v>
      </c>
      <c r="J82" s="18" t="str">
        <f t="shared" si="6"/>
        <v>April</v>
      </c>
      <c r="K82" s="56" t="str">
        <f t="shared" si="7"/>
        <v>Friday</v>
      </c>
      <c r="L82" s="18" t="str">
        <f>IF(OR(G82&gt;Answers!I97,G82&lt;Answers!I98),"Outlier","Normal")</f>
        <v>Outlier</v>
      </c>
      <c r="M82" s="18">
        <v>69</v>
      </c>
    </row>
    <row r="83" spans="1:13" ht="20" customHeight="1" x14ac:dyDescent="0.35">
      <c r="A83" s="17">
        <v>53899</v>
      </c>
      <c r="B83" s="18">
        <v>392</v>
      </c>
      <c r="C83" s="23" t="s">
        <v>113</v>
      </c>
      <c r="D83" s="24">
        <v>45192.036805555559</v>
      </c>
      <c r="E83" s="18" t="s">
        <v>133</v>
      </c>
      <c r="F83" s="18" t="s">
        <v>14</v>
      </c>
      <c r="G83" s="18">
        <v>8165</v>
      </c>
      <c r="H83" s="25">
        <f t="shared" si="4"/>
        <v>45192</v>
      </c>
      <c r="I83" s="26">
        <f t="shared" si="5"/>
        <v>3.680555555911269E-2</v>
      </c>
      <c r="J83" s="18" t="str">
        <f t="shared" si="6"/>
        <v>September</v>
      </c>
      <c r="K83" s="56" t="str">
        <f t="shared" si="7"/>
        <v>Saturday</v>
      </c>
      <c r="L83" s="18" t="str">
        <f>IF(OR(G83&gt;Answers!I98,G83&lt;Answers!I99),"Outlier","Normal")</f>
        <v>Outlier</v>
      </c>
      <c r="M83" s="18">
        <v>79</v>
      </c>
    </row>
    <row r="84" spans="1:13" ht="20" customHeight="1" x14ac:dyDescent="0.35">
      <c r="A84" s="17">
        <v>54569</v>
      </c>
      <c r="B84" s="18">
        <v>147</v>
      </c>
      <c r="C84" s="23" t="s">
        <v>99</v>
      </c>
      <c r="D84" s="24">
        <v>45277.972916666666</v>
      </c>
      <c r="E84" s="18" t="s">
        <v>97</v>
      </c>
      <c r="F84" s="18" t="s">
        <v>6</v>
      </c>
      <c r="G84" s="18">
        <v>6561</v>
      </c>
      <c r="H84" s="25">
        <f t="shared" si="4"/>
        <v>45277</v>
      </c>
      <c r="I84" s="26">
        <f t="shared" si="5"/>
        <v>0.97291666666569654</v>
      </c>
      <c r="J84" s="18" t="str">
        <f t="shared" si="6"/>
        <v>December</v>
      </c>
      <c r="K84" s="56" t="str">
        <f t="shared" si="7"/>
        <v>Sunday</v>
      </c>
      <c r="L84" s="18" t="str">
        <f>IF(OR(G84&gt;Answers!I99,G84&lt;Answers!I100),"Outlier","Normal")</f>
        <v>Outlier</v>
      </c>
      <c r="M84" s="18">
        <v>29</v>
      </c>
    </row>
    <row r="85" spans="1:13" ht="20" customHeight="1" x14ac:dyDescent="0.35">
      <c r="A85" s="17">
        <v>55920</v>
      </c>
      <c r="B85" s="18">
        <v>769</v>
      </c>
      <c r="C85" s="23" t="s">
        <v>100</v>
      </c>
      <c r="D85" s="24">
        <v>44964.968055555553</v>
      </c>
      <c r="E85" s="18" t="s">
        <v>96</v>
      </c>
      <c r="F85" s="18" t="s">
        <v>7</v>
      </c>
      <c r="G85" s="18">
        <v>9946</v>
      </c>
      <c r="H85" s="25">
        <f t="shared" si="4"/>
        <v>44964</v>
      </c>
      <c r="I85" s="26">
        <f t="shared" si="5"/>
        <v>0.96805555555329192</v>
      </c>
      <c r="J85" s="18" t="str">
        <f t="shared" si="6"/>
        <v>February</v>
      </c>
      <c r="K85" s="56" t="str">
        <f t="shared" si="7"/>
        <v>Tuesday</v>
      </c>
      <c r="L85" s="18" t="str">
        <f>IF(OR(G85&gt;Answers!I100,G85&lt;Answers!I101),"Outlier","Normal")</f>
        <v>Outlier</v>
      </c>
      <c r="M85" s="18">
        <v>22</v>
      </c>
    </row>
    <row r="86" spans="1:13" ht="20" customHeight="1" x14ac:dyDescent="0.35">
      <c r="A86" s="17">
        <v>56130</v>
      </c>
      <c r="B86" s="18">
        <v>1446</v>
      </c>
      <c r="C86" s="23" t="s">
        <v>109</v>
      </c>
      <c r="D86" s="24">
        <v>45168.978472222225</v>
      </c>
      <c r="E86" s="18" t="s">
        <v>98</v>
      </c>
      <c r="F86" s="18" t="s">
        <v>8</v>
      </c>
      <c r="G86" s="18">
        <v>9631</v>
      </c>
      <c r="H86" s="25">
        <f t="shared" si="4"/>
        <v>45168</v>
      </c>
      <c r="I86" s="26">
        <f t="shared" si="5"/>
        <v>0.97847222222480923</v>
      </c>
      <c r="J86" s="18" t="str">
        <f t="shared" si="6"/>
        <v>August</v>
      </c>
      <c r="K86" s="56" t="str">
        <f t="shared" si="7"/>
        <v>Wednesday</v>
      </c>
      <c r="L86" s="18" t="str">
        <f>IF(OR(G86&gt;Answers!I101,G86&lt;Answers!I102),"Outlier","Normal")</f>
        <v>Outlier</v>
      </c>
      <c r="M86" s="18">
        <v>52</v>
      </c>
    </row>
    <row r="87" spans="1:13" ht="20" customHeight="1" x14ac:dyDescent="0.35">
      <c r="A87" s="17">
        <v>56703</v>
      </c>
      <c r="B87" s="18">
        <v>381</v>
      </c>
      <c r="C87" s="23" t="s">
        <v>107</v>
      </c>
      <c r="D87" s="24">
        <v>45204.015277777777</v>
      </c>
      <c r="E87" s="18" t="s">
        <v>133</v>
      </c>
      <c r="F87" s="18" t="s">
        <v>9</v>
      </c>
      <c r="G87" s="18">
        <v>3490</v>
      </c>
      <c r="H87" s="25">
        <f t="shared" si="4"/>
        <v>45204</v>
      </c>
      <c r="I87" s="26">
        <f t="shared" si="5"/>
        <v>1.5277777776645962E-2</v>
      </c>
      <c r="J87" s="18" t="str">
        <f t="shared" si="6"/>
        <v>October</v>
      </c>
      <c r="K87" s="56" t="str">
        <f t="shared" si="7"/>
        <v>Thursday</v>
      </c>
      <c r="L87" s="18" t="str">
        <f>IF(OR(G87&gt;Answers!I102,G87&lt;Answers!I103),"Outlier","Normal")</f>
        <v>Outlier</v>
      </c>
      <c r="M87" s="18">
        <v>86</v>
      </c>
    </row>
    <row r="88" spans="1:13" ht="20" customHeight="1" x14ac:dyDescent="0.35">
      <c r="A88" s="17">
        <v>57478</v>
      </c>
      <c r="B88" s="18">
        <v>1004</v>
      </c>
      <c r="C88" s="23" t="s">
        <v>99</v>
      </c>
      <c r="D88" s="24">
        <v>44963.002083333333</v>
      </c>
      <c r="E88" s="18" t="s">
        <v>96</v>
      </c>
      <c r="F88" s="18" t="s">
        <v>10</v>
      </c>
      <c r="G88" s="18">
        <v>7689</v>
      </c>
      <c r="H88" s="25">
        <f t="shared" si="4"/>
        <v>44963</v>
      </c>
      <c r="I88" s="26">
        <f t="shared" si="5"/>
        <v>2.0833333328482695E-3</v>
      </c>
      <c r="J88" s="18" t="str">
        <f t="shared" si="6"/>
        <v>February</v>
      </c>
      <c r="K88" s="56" t="str">
        <f t="shared" si="7"/>
        <v>Monday</v>
      </c>
      <c r="L88" s="18" t="str">
        <f>IF(OR(G88&gt;Answers!I103,G88&lt;Answers!I104),"Outlier","Normal")</f>
        <v>Outlier</v>
      </c>
      <c r="M88" s="18">
        <v>55</v>
      </c>
    </row>
    <row r="89" spans="1:13" ht="20" customHeight="1" x14ac:dyDescent="0.35">
      <c r="A89" s="17">
        <v>57568</v>
      </c>
      <c r="B89" s="18">
        <v>464</v>
      </c>
      <c r="C89" s="23" t="s">
        <v>107</v>
      </c>
      <c r="D89" s="24">
        <v>45006.037499999999</v>
      </c>
      <c r="E89" s="18" t="s">
        <v>98</v>
      </c>
      <c r="F89" s="18" t="s">
        <v>11</v>
      </c>
      <c r="G89" s="18">
        <v>5877</v>
      </c>
      <c r="H89" s="25">
        <f t="shared" si="4"/>
        <v>45006</v>
      </c>
      <c r="I89" s="26">
        <f t="shared" si="5"/>
        <v>3.7499999998544808E-2</v>
      </c>
      <c r="J89" s="18" t="str">
        <f t="shared" si="6"/>
        <v>March</v>
      </c>
      <c r="K89" s="56" t="str">
        <f t="shared" si="7"/>
        <v>Tuesday</v>
      </c>
      <c r="L89" s="18" t="str">
        <f>IF(OR(G89&gt;Answers!I104,G89&lt;Answers!I105),"Outlier","Normal")</f>
        <v>Outlier</v>
      </c>
      <c r="M89" s="18">
        <v>26</v>
      </c>
    </row>
    <row r="90" spans="1:13" ht="20" customHeight="1" x14ac:dyDescent="0.35">
      <c r="A90" s="17">
        <v>57650</v>
      </c>
      <c r="B90" s="18">
        <v>1542</v>
      </c>
      <c r="C90" s="23" t="s">
        <v>100</v>
      </c>
      <c r="D90" s="24">
        <v>45227.00277777778</v>
      </c>
      <c r="E90" s="18" t="s">
        <v>133</v>
      </c>
      <c r="F90" s="18" t="s">
        <v>12</v>
      </c>
      <c r="G90" s="18">
        <v>1231</v>
      </c>
      <c r="H90" s="25">
        <f t="shared" si="4"/>
        <v>45227</v>
      </c>
      <c r="I90" s="26">
        <f t="shared" si="5"/>
        <v>2.7777777795563452E-3</v>
      </c>
      <c r="J90" s="18" t="str">
        <f t="shared" si="6"/>
        <v>October</v>
      </c>
      <c r="K90" s="56" t="str">
        <f t="shared" si="7"/>
        <v>Saturday</v>
      </c>
      <c r="L90" s="18" t="str">
        <f>IF(OR(G90&gt;Answers!I105,G90&lt;Answers!I106),"Outlier","Normal")</f>
        <v>Outlier</v>
      </c>
      <c r="M90" s="18">
        <v>65</v>
      </c>
    </row>
    <row r="91" spans="1:13" ht="20" customHeight="1" x14ac:dyDescent="0.35">
      <c r="A91" s="17">
        <v>58309</v>
      </c>
      <c r="B91" s="18">
        <v>479</v>
      </c>
      <c r="C91" s="23" t="s">
        <v>102</v>
      </c>
      <c r="D91" s="24">
        <v>44938.982638888891</v>
      </c>
      <c r="E91" s="18" t="s">
        <v>98</v>
      </c>
      <c r="F91" s="18" t="s">
        <v>48</v>
      </c>
      <c r="G91" s="18">
        <v>9668</v>
      </c>
      <c r="H91" s="25">
        <f t="shared" si="4"/>
        <v>44938</v>
      </c>
      <c r="I91" s="26">
        <f t="shared" si="5"/>
        <v>0.98263888889050577</v>
      </c>
      <c r="J91" s="18" t="str">
        <f t="shared" si="6"/>
        <v>January</v>
      </c>
      <c r="K91" s="56" t="str">
        <f t="shared" si="7"/>
        <v>Thursday</v>
      </c>
      <c r="L91" s="18" t="str">
        <f>IF(OR(G91&gt;Answers!I106,G91&lt;Answers!I107),"Outlier","Normal")</f>
        <v>Outlier</v>
      </c>
      <c r="M91" s="18">
        <v>81</v>
      </c>
    </row>
    <row r="92" spans="1:13" ht="20" customHeight="1" x14ac:dyDescent="0.35">
      <c r="A92" s="17">
        <v>58546</v>
      </c>
      <c r="B92" s="18">
        <v>1218</v>
      </c>
      <c r="C92" s="23" t="s">
        <v>99</v>
      </c>
      <c r="D92" s="24">
        <v>45128.007638888892</v>
      </c>
      <c r="E92" s="18" t="s">
        <v>96</v>
      </c>
      <c r="F92" s="18" t="s">
        <v>14</v>
      </c>
      <c r="G92" s="18">
        <v>736</v>
      </c>
      <c r="H92" s="25">
        <f t="shared" si="4"/>
        <v>45128</v>
      </c>
      <c r="I92" s="26">
        <f t="shared" si="5"/>
        <v>7.6388888919609599E-3</v>
      </c>
      <c r="J92" s="18" t="str">
        <f t="shared" si="6"/>
        <v>July</v>
      </c>
      <c r="K92" s="56" t="str">
        <f t="shared" si="7"/>
        <v>Friday</v>
      </c>
      <c r="L92" s="18" t="str">
        <f>IF(OR(G92&gt;Answers!I107,G92&lt;Answers!I108),"Outlier","Normal")</f>
        <v>Outlier</v>
      </c>
      <c r="M92" s="18">
        <v>68</v>
      </c>
    </row>
    <row r="93" spans="1:13" ht="20" customHeight="1" x14ac:dyDescent="0.35">
      <c r="A93" s="17">
        <v>59723</v>
      </c>
      <c r="B93" s="18">
        <v>1606</v>
      </c>
      <c r="C93" s="23" t="s">
        <v>100</v>
      </c>
      <c r="D93" s="24">
        <v>45235.045138888891</v>
      </c>
      <c r="E93" s="18" t="s">
        <v>96</v>
      </c>
      <c r="F93" s="18" t="s">
        <v>15</v>
      </c>
      <c r="G93" s="18">
        <v>3606</v>
      </c>
      <c r="H93" s="25">
        <f t="shared" si="4"/>
        <v>45235</v>
      </c>
      <c r="I93" s="26">
        <f t="shared" si="5"/>
        <v>4.5138888890505768E-2</v>
      </c>
      <c r="J93" s="18" t="str">
        <f t="shared" si="6"/>
        <v>November</v>
      </c>
      <c r="K93" s="56" t="str">
        <f t="shared" si="7"/>
        <v>Sunday</v>
      </c>
      <c r="L93" s="18" t="str">
        <f>IF(OR(G93&gt;Answers!I108,G93&lt;Answers!I109),"Outlier","Normal")</f>
        <v>Outlier</v>
      </c>
      <c r="M93" s="18">
        <v>23</v>
      </c>
    </row>
    <row r="94" spans="1:13" ht="20" customHeight="1" x14ac:dyDescent="0.35">
      <c r="A94" s="17">
        <v>60635</v>
      </c>
      <c r="B94" s="18">
        <v>723</v>
      </c>
      <c r="C94" s="23" t="s">
        <v>108</v>
      </c>
      <c r="D94" s="24">
        <v>44939.004861111112</v>
      </c>
      <c r="E94" s="18" t="s">
        <v>96</v>
      </c>
      <c r="F94" s="18" t="s">
        <v>16</v>
      </c>
      <c r="G94" s="18">
        <v>2575</v>
      </c>
      <c r="H94" s="25">
        <f t="shared" si="4"/>
        <v>44939</v>
      </c>
      <c r="I94" s="26">
        <f t="shared" si="5"/>
        <v>4.8611111124046147E-3</v>
      </c>
      <c r="J94" s="18" t="str">
        <f t="shared" si="6"/>
        <v>January</v>
      </c>
      <c r="K94" s="56" t="str">
        <f t="shared" si="7"/>
        <v>Friday</v>
      </c>
      <c r="L94" s="18" t="str">
        <f>IF(OR(G94&gt;Answers!I109,G94&lt;Answers!I110),"Outlier","Normal")</f>
        <v>Outlier</v>
      </c>
      <c r="M94" s="18">
        <v>80</v>
      </c>
    </row>
    <row r="95" spans="1:13" ht="20" customHeight="1" x14ac:dyDescent="0.35">
      <c r="A95" s="17">
        <v>60770</v>
      </c>
      <c r="B95" s="18">
        <v>1934</v>
      </c>
      <c r="C95" s="23" t="s">
        <v>105</v>
      </c>
      <c r="D95" s="24">
        <v>44932.032638888886</v>
      </c>
      <c r="E95" s="18" t="s">
        <v>97</v>
      </c>
      <c r="F95" s="18" t="s">
        <v>17</v>
      </c>
      <c r="G95" s="18">
        <v>7606</v>
      </c>
      <c r="H95" s="25">
        <f t="shared" si="4"/>
        <v>44932</v>
      </c>
      <c r="I95" s="26">
        <f t="shared" si="5"/>
        <v>3.2638888886140194E-2</v>
      </c>
      <c r="J95" s="18" t="str">
        <f t="shared" si="6"/>
        <v>January</v>
      </c>
      <c r="K95" s="56" t="str">
        <f t="shared" si="7"/>
        <v>Friday</v>
      </c>
      <c r="L95" s="18" t="str">
        <f>IF(OR(G95&gt;Answers!I110,G95&lt;Answers!I111),"Outlier","Normal")</f>
        <v>Outlier</v>
      </c>
      <c r="M95" s="18">
        <v>25</v>
      </c>
    </row>
    <row r="96" spans="1:13" ht="20" customHeight="1" x14ac:dyDescent="0.35">
      <c r="A96" s="17">
        <v>60781</v>
      </c>
      <c r="B96" s="18">
        <v>353</v>
      </c>
      <c r="C96" s="23" t="s">
        <v>100</v>
      </c>
      <c r="D96" s="24">
        <v>45225.069444444445</v>
      </c>
      <c r="E96" s="18" t="s">
        <v>97</v>
      </c>
      <c r="F96" s="18" t="s">
        <v>18</v>
      </c>
      <c r="G96" s="18">
        <v>936</v>
      </c>
      <c r="H96" s="25">
        <f t="shared" si="4"/>
        <v>45225</v>
      </c>
      <c r="I96" s="26">
        <f t="shared" si="5"/>
        <v>6.9444444445252884E-2</v>
      </c>
      <c r="J96" s="18" t="str">
        <f t="shared" si="6"/>
        <v>October</v>
      </c>
      <c r="K96" s="56" t="str">
        <f t="shared" si="7"/>
        <v>Thursday</v>
      </c>
      <c r="L96" s="18" t="str">
        <f>IF(OR(G96&gt;Answers!I111,G96&lt;Answers!I112),"Outlier","Normal")</f>
        <v>Outlier</v>
      </c>
      <c r="M96" s="18">
        <v>66</v>
      </c>
    </row>
    <row r="97" spans="1:13" ht="20" customHeight="1" x14ac:dyDescent="0.35">
      <c r="A97" s="17">
        <v>61005</v>
      </c>
      <c r="B97" s="18">
        <v>480</v>
      </c>
      <c r="C97" s="23" t="s">
        <v>102</v>
      </c>
      <c r="D97" s="24">
        <v>44928.031944444447</v>
      </c>
      <c r="E97" s="18" t="s">
        <v>96</v>
      </c>
      <c r="F97" s="18" t="s">
        <v>19</v>
      </c>
      <c r="G97" s="18">
        <v>7727</v>
      </c>
      <c r="H97" s="25">
        <f t="shared" si="4"/>
        <v>44928</v>
      </c>
      <c r="I97" s="26">
        <f t="shared" si="5"/>
        <v>3.1944444446708076E-2</v>
      </c>
      <c r="J97" s="18" t="str">
        <f t="shared" si="6"/>
        <v>January</v>
      </c>
      <c r="K97" s="56" t="str">
        <f t="shared" si="7"/>
        <v>Monday</v>
      </c>
      <c r="L97" s="18" t="str">
        <f>IF(OR(G97&gt;Answers!I112,G97&lt;Answers!I113),"Outlier","Normal")</f>
        <v>Outlier</v>
      </c>
      <c r="M97" s="18">
        <v>46</v>
      </c>
    </row>
    <row r="98" spans="1:13" ht="20" customHeight="1" x14ac:dyDescent="0.35">
      <c r="A98" s="17">
        <v>61504</v>
      </c>
      <c r="B98" s="18">
        <v>260</v>
      </c>
      <c r="C98" s="23" t="s">
        <v>99</v>
      </c>
      <c r="D98" s="24">
        <v>45286.022222222222</v>
      </c>
      <c r="E98" s="18" t="s">
        <v>97</v>
      </c>
      <c r="F98" s="18" t="s">
        <v>20</v>
      </c>
      <c r="G98" s="18">
        <v>7129</v>
      </c>
      <c r="H98" s="25">
        <f t="shared" si="4"/>
        <v>45286</v>
      </c>
      <c r="I98" s="26">
        <f t="shared" si="5"/>
        <v>2.2222222221898846E-2</v>
      </c>
      <c r="J98" s="18" t="str">
        <f t="shared" si="6"/>
        <v>December</v>
      </c>
      <c r="K98" s="56" t="str">
        <f t="shared" si="7"/>
        <v>Tuesday</v>
      </c>
      <c r="L98" s="18" t="str">
        <f>IF(OR(G98&gt;Answers!I113,G98&lt;Answers!I114),"Outlier","Normal")</f>
        <v>Outlier</v>
      </c>
      <c r="M98" s="18">
        <v>88</v>
      </c>
    </row>
    <row r="99" spans="1:13" ht="20" customHeight="1" x14ac:dyDescent="0.35">
      <c r="A99" s="17">
        <v>61520</v>
      </c>
      <c r="B99" s="18">
        <v>1870</v>
      </c>
      <c r="C99" s="23" t="s">
        <v>99</v>
      </c>
      <c r="D99" s="24">
        <v>45099.984027777777</v>
      </c>
      <c r="E99" s="18" t="s">
        <v>133</v>
      </c>
      <c r="F99" s="18" t="s">
        <v>51</v>
      </c>
      <c r="G99" s="18">
        <v>3077</v>
      </c>
      <c r="H99" s="25">
        <f t="shared" si="4"/>
        <v>45099</v>
      </c>
      <c r="I99" s="26">
        <f t="shared" si="5"/>
        <v>0.98402777777664596</v>
      </c>
      <c r="J99" s="18" t="str">
        <f t="shared" si="6"/>
        <v>June</v>
      </c>
      <c r="K99" s="56" t="str">
        <f t="shared" si="7"/>
        <v>Thursday</v>
      </c>
      <c r="L99" s="18" t="str">
        <f>IF(OR(G99&gt;Answers!I114,G99&lt;Answers!I115),"Outlier","Normal")</f>
        <v>Outlier</v>
      </c>
      <c r="M99" s="18">
        <v>39</v>
      </c>
    </row>
    <row r="100" spans="1:13" ht="20" customHeight="1" x14ac:dyDescent="0.35">
      <c r="A100" s="17">
        <v>63153</v>
      </c>
      <c r="B100" s="18">
        <v>765</v>
      </c>
      <c r="C100" s="23" t="s">
        <v>103</v>
      </c>
      <c r="D100" s="24">
        <v>45013.977083333331</v>
      </c>
      <c r="E100" s="18" t="s">
        <v>133</v>
      </c>
      <c r="F100" s="18" t="s">
        <v>22</v>
      </c>
      <c r="G100" s="18">
        <v>5427</v>
      </c>
      <c r="H100" s="25">
        <f t="shared" si="4"/>
        <v>45013</v>
      </c>
      <c r="I100" s="26">
        <f t="shared" si="5"/>
        <v>0.97708333333139308</v>
      </c>
      <c r="J100" s="18" t="str">
        <f t="shared" si="6"/>
        <v>March</v>
      </c>
      <c r="K100" s="56" t="str">
        <f t="shared" si="7"/>
        <v>Tuesday</v>
      </c>
      <c r="L100" s="18" t="str">
        <f>IF(OR(G100&gt;Answers!I115,G100&lt;Answers!I116),"Outlier","Normal")</f>
        <v>Outlier</v>
      </c>
      <c r="M100" s="18">
        <v>46</v>
      </c>
    </row>
    <row r="101" spans="1:13" ht="20" customHeight="1" x14ac:dyDescent="0.35">
      <c r="A101" s="17">
        <v>64461</v>
      </c>
      <c r="B101" s="18">
        <v>1755</v>
      </c>
      <c r="C101" s="23" t="s">
        <v>105</v>
      </c>
      <c r="D101" s="24">
        <v>45006.984722222223</v>
      </c>
      <c r="E101" s="18" t="s">
        <v>133</v>
      </c>
      <c r="F101" s="18" t="s">
        <v>4</v>
      </c>
      <c r="G101" s="18">
        <v>7725</v>
      </c>
      <c r="H101" s="25">
        <f t="shared" si="4"/>
        <v>45006</v>
      </c>
      <c r="I101" s="26">
        <f t="shared" si="5"/>
        <v>0.98472222222335404</v>
      </c>
      <c r="J101" s="18" t="str">
        <f t="shared" si="6"/>
        <v>March</v>
      </c>
      <c r="K101" s="56" t="str">
        <f t="shared" si="7"/>
        <v>Tuesday</v>
      </c>
      <c r="L101" s="18" t="str">
        <f>IF(OR(G101&gt;Answers!I116,G101&lt;Answers!I117),"Outlier","Normal")</f>
        <v>Outlier</v>
      </c>
      <c r="M101" s="18">
        <v>66</v>
      </c>
    </row>
    <row r="102" spans="1:13" ht="20" customHeight="1" x14ac:dyDescent="0.35">
      <c r="A102" s="17">
        <v>66118</v>
      </c>
      <c r="B102" s="18">
        <v>1425</v>
      </c>
      <c r="C102" s="23" t="s">
        <v>101</v>
      </c>
      <c r="D102" s="24">
        <v>44982.007638888892</v>
      </c>
      <c r="E102" s="18" t="s">
        <v>96</v>
      </c>
      <c r="F102" s="18" t="s">
        <v>39</v>
      </c>
      <c r="G102" s="18">
        <v>1282</v>
      </c>
      <c r="H102" s="25">
        <f t="shared" si="4"/>
        <v>44982</v>
      </c>
      <c r="I102" s="26">
        <f t="shared" si="5"/>
        <v>7.6388888919609599E-3</v>
      </c>
      <c r="J102" s="18" t="str">
        <f t="shared" si="6"/>
        <v>February</v>
      </c>
      <c r="K102" s="56" t="str">
        <f t="shared" si="7"/>
        <v>Saturday</v>
      </c>
      <c r="L102" s="18" t="str">
        <f>IF(OR(G102&gt;Answers!I117,G102&lt;Answers!I118),"Outlier","Normal")</f>
        <v>Outlier</v>
      </c>
      <c r="M102" s="18">
        <v>79</v>
      </c>
    </row>
    <row r="103" spans="1:13" ht="20" customHeight="1" x14ac:dyDescent="0.35">
      <c r="A103" s="17">
        <v>66951</v>
      </c>
      <c r="B103" s="18">
        <v>342</v>
      </c>
      <c r="C103" s="23" t="s">
        <v>113</v>
      </c>
      <c r="D103" s="24">
        <v>45134.00277777778</v>
      </c>
      <c r="E103" s="18" t="s">
        <v>133</v>
      </c>
      <c r="F103" s="18" t="s">
        <v>9</v>
      </c>
      <c r="G103" s="18">
        <v>7338</v>
      </c>
      <c r="H103" s="25">
        <f t="shared" si="4"/>
        <v>45134</v>
      </c>
      <c r="I103" s="26">
        <f t="shared" si="5"/>
        <v>2.7777777795563452E-3</v>
      </c>
      <c r="J103" s="18" t="str">
        <f t="shared" si="6"/>
        <v>July</v>
      </c>
      <c r="K103" s="56" t="str">
        <f t="shared" si="7"/>
        <v>Thursday</v>
      </c>
      <c r="L103" s="18" t="str">
        <f>IF(OR(G103&gt;Answers!I118,G103&lt;Answers!I119),"Outlier","Normal")</f>
        <v>Outlier</v>
      </c>
      <c r="M103" s="18">
        <v>65</v>
      </c>
    </row>
    <row r="104" spans="1:13" ht="20" customHeight="1" x14ac:dyDescent="0.35">
      <c r="A104" s="17">
        <v>69722</v>
      </c>
      <c r="B104" s="18">
        <v>571</v>
      </c>
      <c r="C104" s="23" t="s">
        <v>102</v>
      </c>
      <c r="D104" s="24">
        <v>45174.040277777778</v>
      </c>
      <c r="E104" s="18" t="s">
        <v>98</v>
      </c>
      <c r="F104" s="18" t="s">
        <v>32</v>
      </c>
      <c r="G104" s="18">
        <v>1269</v>
      </c>
      <c r="H104" s="25">
        <f t="shared" si="4"/>
        <v>45174</v>
      </c>
      <c r="I104" s="26">
        <f t="shared" si="5"/>
        <v>4.0277777778101154E-2</v>
      </c>
      <c r="J104" s="18" t="str">
        <f t="shared" si="6"/>
        <v>September</v>
      </c>
      <c r="K104" s="56" t="str">
        <f t="shared" si="7"/>
        <v>Tuesday</v>
      </c>
      <c r="L104" s="18" t="str">
        <f>IF(OR(G104&gt;Answers!I119,G104&lt;Answers!I120),"Outlier","Normal")</f>
        <v>Outlier</v>
      </c>
      <c r="M104" s="18">
        <v>88</v>
      </c>
    </row>
    <row r="105" spans="1:13" ht="20" customHeight="1" x14ac:dyDescent="0.35">
      <c r="A105" s="17">
        <v>69918</v>
      </c>
      <c r="B105" s="18">
        <v>1378</v>
      </c>
      <c r="C105" s="23" t="s">
        <v>105</v>
      </c>
      <c r="D105" s="24">
        <v>44992.006249999999</v>
      </c>
      <c r="E105" s="18" t="s">
        <v>97</v>
      </c>
      <c r="F105" s="18" t="s">
        <v>25</v>
      </c>
      <c r="G105" s="18">
        <v>8657</v>
      </c>
      <c r="H105" s="25">
        <f t="shared" si="4"/>
        <v>44992</v>
      </c>
      <c r="I105" s="26">
        <f t="shared" si="5"/>
        <v>6.2499999985448085E-3</v>
      </c>
      <c r="J105" s="18" t="str">
        <f t="shared" si="6"/>
        <v>March</v>
      </c>
      <c r="K105" s="56" t="str">
        <f t="shared" si="7"/>
        <v>Tuesday</v>
      </c>
      <c r="L105" s="18" t="str">
        <f>IF(OR(G105&gt;Answers!I120,G105&lt;Answers!I121),"Outlier","Normal")</f>
        <v>Outlier</v>
      </c>
      <c r="M105" s="18">
        <v>31</v>
      </c>
    </row>
    <row r="106" spans="1:13" ht="20" customHeight="1" x14ac:dyDescent="0.35">
      <c r="A106" s="17">
        <v>69942</v>
      </c>
      <c r="B106" s="18">
        <v>1070</v>
      </c>
      <c r="C106" s="23" t="s">
        <v>106</v>
      </c>
      <c r="D106" s="24">
        <v>45273.957638888889</v>
      </c>
      <c r="E106" s="18" t="s">
        <v>98</v>
      </c>
      <c r="F106" s="18" t="s">
        <v>26</v>
      </c>
      <c r="G106" s="18">
        <v>3418</v>
      </c>
      <c r="H106" s="25">
        <f t="shared" si="4"/>
        <v>45273</v>
      </c>
      <c r="I106" s="26">
        <f t="shared" si="5"/>
        <v>0.95763888888905058</v>
      </c>
      <c r="J106" s="18" t="str">
        <f t="shared" si="6"/>
        <v>December</v>
      </c>
      <c r="K106" s="56" t="str">
        <f t="shared" si="7"/>
        <v>Wednesday</v>
      </c>
      <c r="L106" s="18" t="str">
        <f>IF(OR(G106&gt;Answers!I121,G106&lt;Answers!I122),"Outlier","Normal")</f>
        <v>Outlier</v>
      </c>
      <c r="M106" s="18">
        <v>60</v>
      </c>
    </row>
    <row r="107" spans="1:13" ht="20" customHeight="1" x14ac:dyDescent="0.35">
      <c r="A107" s="17">
        <v>70005</v>
      </c>
      <c r="B107" s="18">
        <v>1014</v>
      </c>
      <c r="C107" s="23" t="s">
        <v>113</v>
      </c>
      <c r="D107" s="24">
        <v>45086.003472222219</v>
      </c>
      <c r="E107" s="18" t="s">
        <v>97</v>
      </c>
      <c r="F107" s="18" t="s">
        <v>27</v>
      </c>
      <c r="G107" s="18">
        <v>3582</v>
      </c>
      <c r="H107" s="25">
        <f t="shared" si="4"/>
        <v>45086</v>
      </c>
      <c r="I107" s="26">
        <f t="shared" si="5"/>
        <v>3.4722222189884633E-3</v>
      </c>
      <c r="J107" s="18" t="str">
        <f t="shared" si="6"/>
        <v>June</v>
      </c>
      <c r="K107" s="56" t="str">
        <f t="shared" si="7"/>
        <v>Friday</v>
      </c>
      <c r="L107" s="18" t="str">
        <f>IF(OR(G107&gt;Answers!I122,G107&lt;Answers!I123),"Outlier","Normal")</f>
        <v>Outlier</v>
      </c>
      <c r="M107" s="18">
        <v>69</v>
      </c>
    </row>
    <row r="108" spans="1:13" ht="20" customHeight="1" x14ac:dyDescent="0.35">
      <c r="A108" s="17">
        <v>70020</v>
      </c>
      <c r="B108" s="18">
        <v>1811</v>
      </c>
      <c r="C108" s="23" t="s">
        <v>99</v>
      </c>
      <c r="D108" s="24">
        <v>44943.004861111112</v>
      </c>
      <c r="E108" s="18" t="s">
        <v>97</v>
      </c>
      <c r="F108" s="18" t="s">
        <v>52</v>
      </c>
      <c r="G108" s="18">
        <v>7484</v>
      </c>
      <c r="H108" s="25">
        <f t="shared" si="4"/>
        <v>44943</v>
      </c>
      <c r="I108" s="26">
        <f t="shared" si="5"/>
        <v>4.8611111124046147E-3</v>
      </c>
      <c r="J108" s="18" t="str">
        <f t="shared" si="6"/>
        <v>January</v>
      </c>
      <c r="K108" s="56" t="str">
        <f t="shared" si="7"/>
        <v>Tuesday</v>
      </c>
      <c r="L108" s="18" t="str">
        <f>IF(OR(G108&gt;Answers!I123,G108&lt;Answers!I124),"Outlier","Normal")</f>
        <v>Outlier</v>
      </c>
      <c r="M108" s="18">
        <v>79</v>
      </c>
    </row>
    <row r="109" spans="1:13" ht="20" customHeight="1" x14ac:dyDescent="0.35">
      <c r="A109" s="17">
        <v>71722</v>
      </c>
      <c r="B109" s="18">
        <v>1420</v>
      </c>
      <c r="C109" s="23" t="s">
        <v>99</v>
      </c>
      <c r="D109" s="24">
        <v>45184.023611111108</v>
      </c>
      <c r="E109" s="18" t="s">
        <v>97</v>
      </c>
      <c r="F109" s="18" t="s">
        <v>23</v>
      </c>
      <c r="G109" s="18">
        <v>8556</v>
      </c>
      <c r="H109" s="25">
        <f t="shared" si="4"/>
        <v>45184</v>
      </c>
      <c r="I109" s="26">
        <f t="shared" si="5"/>
        <v>2.361111110803904E-2</v>
      </c>
      <c r="J109" s="18" t="str">
        <f t="shared" si="6"/>
        <v>September</v>
      </c>
      <c r="K109" s="56" t="str">
        <f t="shared" si="7"/>
        <v>Friday</v>
      </c>
      <c r="L109" s="18" t="str">
        <f>IF(OR(G109&gt;Answers!I124,G109&lt;Answers!I125),"Outlier","Normal")</f>
        <v>Outlier</v>
      </c>
      <c r="M109" s="18">
        <v>28</v>
      </c>
    </row>
    <row r="110" spans="1:13" ht="20" customHeight="1" x14ac:dyDescent="0.35">
      <c r="A110" s="17">
        <v>72556</v>
      </c>
      <c r="B110" s="18">
        <v>89</v>
      </c>
      <c r="C110" s="23" t="s">
        <v>107</v>
      </c>
      <c r="D110" s="24">
        <v>45120.091666666667</v>
      </c>
      <c r="E110" s="18" t="s">
        <v>98</v>
      </c>
      <c r="F110" s="18" t="s">
        <v>53</v>
      </c>
      <c r="G110" s="18">
        <v>427</v>
      </c>
      <c r="H110" s="25">
        <f t="shared" si="4"/>
        <v>45120</v>
      </c>
      <c r="I110" s="26">
        <f t="shared" si="5"/>
        <v>9.1666666667151731E-2</v>
      </c>
      <c r="J110" s="18" t="str">
        <f t="shared" si="6"/>
        <v>July</v>
      </c>
      <c r="K110" s="56" t="str">
        <f t="shared" si="7"/>
        <v>Thursday</v>
      </c>
      <c r="L110" s="18" t="str">
        <f>IF(OR(G110&gt;Answers!I125,G110&lt;Answers!I126),"Outlier","Normal")</f>
        <v>Outlier</v>
      </c>
      <c r="M110" s="18">
        <v>33</v>
      </c>
    </row>
    <row r="111" spans="1:13" ht="20" customHeight="1" x14ac:dyDescent="0.35">
      <c r="A111" s="17">
        <v>73057</v>
      </c>
      <c r="B111" s="18">
        <v>306</v>
      </c>
      <c r="C111" s="23" t="s">
        <v>113</v>
      </c>
      <c r="D111" s="24">
        <v>45237.038194444445</v>
      </c>
      <c r="E111" s="18" t="s">
        <v>97</v>
      </c>
      <c r="F111" s="18" t="s">
        <v>54</v>
      </c>
      <c r="G111" s="18">
        <v>7936</v>
      </c>
      <c r="H111" s="25">
        <f t="shared" si="4"/>
        <v>45237</v>
      </c>
      <c r="I111" s="26">
        <f t="shared" si="5"/>
        <v>3.8194444445252884E-2</v>
      </c>
      <c r="J111" s="18" t="str">
        <f t="shared" si="6"/>
        <v>November</v>
      </c>
      <c r="K111" s="56" t="str">
        <f t="shared" si="7"/>
        <v>Tuesday</v>
      </c>
      <c r="L111" s="18" t="str">
        <f>IF(OR(G111&gt;Answers!I126,G111&lt;Answers!I127),"Outlier","Normal")</f>
        <v>Outlier</v>
      </c>
      <c r="M111" s="18">
        <v>20</v>
      </c>
    </row>
    <row r="112" spans="1:13" ht="20" customHeight="1" x14ac:dyDescent="0.35">
      <c r="A112" s="17">
        <v>73293</v>
      </c>
      <c r="B112" s="18">
        <v>128</v>
      </c>
      <c r="C112" s="23" t="s">
        <v>99</v>
      </c>
      <c r="D112" s="24">
        <v>45272.057638888888</v>
      </c>
      <c r="E112" s="18" t="s">
        <v>97</v>
      </c>
      <c r="F112" s="18" t="s">
        <v>20</v>
      </c>
      <c r="G112" s="18">
        <v>7868</v>
      </c>
      <c r="H112" s="25">
        <f t="shared" si="4"/>
        <v>45272</v>
      </c>
      <c r="I112" s="26">
        <f t="shared" si="5"/>
        <v>5.7638888887595385E-2</v>
      </c>
      <c r="J112" s="18" t="str">
        <f t="shared" si="6"/>
        <v>December</v>
      </c>
      <c r="K112" s="56" t="str">
        <f t="shared" si="7"/>
        <v>Tuesday</v>
      </c>
      <c r="L112" s="18" t="str">
        <f>IF(OR(G112&gt;Answers!I127,G112&lt;Answers!I128),"Outlier","Normal")</f>
        <v>Outlier</v>
      </c>
      <c r="M112" s="18">
        <v>55</v>
      </c>
    </row>
    <row r="113" spans="1:13" ht="20" customHeight="1" x14ac:dyDescent="0.35">
      <c r="A113" s="17">
        <v>73642</v>
      </c>
      <c r="B113" s="18">
        <v>1519</v>
      </c>
      <c r="C113" s="23" t="s">
        <v>105</v>
      </c>
      <c r="D113" s="24">
        <v>45194.052777777775</v>
      </c>
      <c r="E113" s="18" t="s">
        <v>133</v>
      </c>
      <c r="F113" s="18" t="s">
        <v>41</v>
      </c>
      <c r="G113" s="18">
        <v>3758</v>
      </c>
      <c r="H113" s="25">
        <f t="shared" si="4"/>
        <v>45194</v>
      </c>
      <c r="I113" s="26">
        <f t="shared" si="5"/>
        <v>5.2777777775190771E-2</v>
      </c>
      <c r="J113" s="18" t="str">
        <f t="shared" si="6"/>
        <v>September</v>
      </c>
      <c r="K113" s="56" t="str">
        <f t="shared" si="7"/>
        <v>Monday</v>
      </c>
      <c r="L113" s="18" t="str">
        <f>IF(OR(G113&gt;Answers!I128,G113&lt;Answers!I129),"Outlier","Normal")</f>
        <v>Outlier</v>
      </c>
      <c r="M113" s="18">
        <v>20</v>
      </c>
    </row>
    <row r="114" spans="1:13" ht="20" customHeight="1" x14ac:dyDescent="0.35">
      <c r="A114" s="17">
        <v>73914</v>
      </c>
      <c r="B114" s="18">
        <v>1772</v>
      </c>
      <c r="C114" s="23" t="s">
        <v>99</v>
      </c>
      <c r="D114" s="24">
        <v>45100.030555555553</v>
      </c>
      <c r="E114" s="18" t="s">
        <v>96</v>
      </c>
      <c r="F114" s="18" t="s">
        <v>55</v>
      </c>
      <c r="G114" s="18">
        <v>8306</v>
      </c>
      <c r="H114" s="25">
        <f t="shared" si="4"/>
        <v>45100</v>
      </c>
      <c r="I114" s="26">
        <f t="shared" si="5"/>
        <v>3.0555555553291924E-2</v>
      </c>
      <c r="J114" s="18" t="str">
        <f t="shared" si="6"/>
        <v>June</v>
      </c>
      <c r="K114" s="56" t="str">
        <f t="shared" si="7"/>
        <v>Friday</v>
      </c>
      <c r="L114" s="18" t="str">
        <f>IF(OR(G114&gt;Answers!I129,G114&lt;Answers!I130),"Outlier","Normal")</f>
        <v>Outlier</v>
      </c>
      <c r="M114" s="18">
        <v>42</v>
      </c>
    </row>
    <row r="115" spans="1:13" ht="20" customHeight="1" x14ac:dyDescent="0.35">
      <c r="A115" s="17">
        <v>74485</v>
      </c>
      <c r="B115" s="18">
        <v>1247</v>
      </c>
      <c r="C115" s="23" t="s">
        <v>99</v>
      </c>
      <c r="D115" s="24">
        <v>45274.013888888891</v>
      </c>
      <c r="E115" s="18" t="s">
        <v>97</v>
      </c>
      <c r="F115" s="18" t="s">
        <v>56</v>
      </c>
      <c r="G115" s="18">
        <v>4523</v>
      </c>
      <c r="H115" s="25">
        <f t="shared" si="4"/>
        <v>45274</v>
      </c>
      <c r="I115" s="26">
        <f t="shared" si="5"/>
        <v>1.3888888890505768E-2</v>
      </c>
      <c r="J115" s="18" t="str">
        <f t="shared" si="6"/>
        <v>December</v>
      </c>
      <c r="K115" s="56" t="str">
        <f t="shared" si="7"/>
        <v>Thursday</v>
      </c>
      <c r="L115" s="18" t="str">
        <f>IF(OR(G115&gt;Answers!I130,G115&lt;Answers!I131),"Outlier","Normal")</f>
        <v>Outlier</v>
      </c>
      <c r="M115" s="18">
        <v>24</v>
      </c>
    </row>
    <row r="116" spans="1:13" ht="20" customHeight="1" x14ac:dyDescent="0.35">
      <c r="A116" s="17">
        <v>74526</v>
      </c>
      <c r="B116" s="18">
        <v>1489</v>
      </c>
      <c r="C116" s="23" t="s">
        <v>105</v>
      </c>
      <c r="D116" s="24">
        <v>45273.070138888892</v>
      </c>
      <c r="E116" s="18" t="s">
        <v>98</v>
      </c>
      <c r="F116" s="18" t="s">
        <v>57</v>
      </c>
      <c r="G116" s="18">
        <v>1132</v>
      </c>
      <c r="H116" s="25">
        <f t="shared" si="4"/>
        <v>45273</v>
      </c>
      <c r="I116" s="26">
        <f t="shared" si="5"/>
        <v>7.013888889196096E-2</v>
      </c>
      <c r="J116" s="18" t="str">
        <f t="shared" si="6"/>
        <v>December</v>
      </c>
      <c r="K116" s="56" t="str">
        <f t="shared" si="7"/>
        <v>Wednesday</v>
      </c>
      <c r="L116" s="18" t="str">
        <f>IF(OR(G116&gt;Answers!I131,G116&lt;Answers!I132),"Outlier","Normal")</f>
        <v>Outlier</v>
      </c>
      <c r="M116" s="18">
        <v>46</v>
      </c>
    </row>
    <row r="117" spans="1:13" ht="20" customHeight="1" x14ac:dyDescent="0.35">
      <c r="A117" s="17">
        <v>75315</v>
      </c>
      <c r="B117" s="18">
        <v>1291</v>
      </c>
      <c r="C117" s="23" t="s">
        <v>99</v>
      </c>
      <c r="D117" s="24">
        <v>45138.032638888886</v>
      </c>
      <c r="E117" s="18" t="s">
        <v>98</v>
      </c>
      <c r="F117" s="18" t="s">
        <v>58</v>
      </c>
      <c r="G117" s="18">
        <v>7931</v>
      </c>
      <c r="H117" s="25">
        <f t="shared" si="4"/>
        <v>45138</v>
      </c>
      <c r="I117" s="26">
        <f t="shared" si="5"/>
        <v>3.2638888886140194E-2</v>
      </c>
      <c r="J117" s="18" t="str">
        <f t="shared" si="6"/>
        <v>July</v>
      </c>
      <c r="K117" s="56" t="str">
        <f t="shared" si="7"/>
        <v>Monday</v>
      </c>
      <c r="L117" s="18" t="str">
        <f>IF(OR(G117&gt;Answers!I132,G117&lt;Answers!I133),"Outlier","Normal")</f>
        <v>Outlier</v>
      </c>
      <c r="M117" s="18">
        <v>72</v>
      </c>
    </row>
    <row r="118" spans="1:13" ht="20" customHeight="1" x14ac:dyDescent="0.35">
      <c r="A118" s="17">
        <v>75706</v>
      </c>
      <c r="B118" s="18">
        <v>737</v>
      </c>
      <c r="C118" s="23" t="s">
        <v>113</v>
      </c>
      <c r="D118" s="24">
        <v>45021.993750000001</v>
      </c>
      <c r="E118" s="18" t="s">
        <v>98</v>
      </c>
      <c r="F118" s="18" t="s">
        <v>59</v>
      </c>
      <c r="G118" s="18">
        <v>989</v>
      </c>
      <c r="H118" s="25">
        <f t="shared" si="4"/>
        <v>45021</v>
      </c>
      <c r="I118" s="26">
        <f t="shared" si="5"/>
        <v>0.99375000000145519</v>
      </c>
      <c r="J118" s="18" t="str">
        <f t="shared" si="6"/>
        <v>April</v>
      </c>
      <c r="K118" s="56" t="str">
        <f t="shared" si="7"/>
        <v>Wednesday</v>
      </c>
      <c r="L118" s="18" t="str">
        <f>IF(OR(G118&gt;Answers!I133,G118&lt;Answers!I134),"Outlier","Normal")</f>
        <v>Outlier</v>
      </c>
      <c r="M118" s="18">
        <v>42</v>
      </c>
    </row>
    <row r="119" spans="1:13" ht="20" customHeight="1" x14ac:dyDescent="0.35">
      <c r="A119" s="17">
        <v>76181</v>
      </c>
      <c r="B119" s="18">
        <v>773</v>
      </c>
      <c r="C119" s="23" t="s">
        <v>99</v>
      </c>
      <c r="D119" s="24">
        <v>45220.033333333333</v>
      </c>
      <c r="E119" s="18" t="s">
        <v>133</v>
      </c>
      <c r="F119" s="18" t="s">
        <v>4</v>
      </c>
      <c r="G119" s="18">
        <v>2221</v>
      </c>
      <c r="H119" s="25">
        <f t="shared" si="4"/>
        <v>45220</v>
      </c>
      <c r="I119" s="26">
        <f t="shared" si="5"/>
        <v>3.3333333332848269E-2</v>
      </c>
      <c r="J119" s="18" t="str">
        <f t="shared" si="6"/>
        <v>October</v>
      </c>
      <c r="K119" s="56" t="str">
        <f t="shared" si="7"/>
        <v>Saturday</v>
      </c>
      <c r="L119" s="18" t="str">
        <f>IF(OR(G119&gt;Answers!I134,G119&lt;Answers!I135),"Outlier","Normal")</f>
        <v>Outlier</v>
      </c>
      <c r="M119" s="18">
        <v>77</v>
      </c>
    </row>
    <row r="120" spans="1:13" ht="20" customHeight="1" x14ac:dyDescent="0.35">
      <c r="A120" s="17">
        <v>78613</v>
      </c>
      <c r="B120" s="18">
        <v>784</v>
      </c>
      <c r="C120" s="23" t="s">
        <v>99</v>
      </c>
      <c r="D120" s="24">
        <v>44999.001388888886</v>
      </c>
      <c r="E120" s="18" t="s">
        <v>133</v>
      </c>
      <c r="F120" s="18" t="s">
        <v>47</v>
      </c>
      <c r="G120" s="18">
        <v>6104</v>
      </c>
      <c r="H120" s="25">
        <f t="shared" si="4"/>
        <v>44999</v>
      </c>
      <c r="I120" s="26">
        <f t="shared" si="5"/>
        <v>1.3888888861401938E-3</v>
      </c>
      <c r="J120" s="18" t="str">
        <f t="shared" si="6"/>
        <v>March</v>
      </c>
      <c r="K120" s="56" t="str">
        <f t="shared" si="7"/>
        <v>Tuesday</v>
      </c>
      <c r="L120" s="18" t="str">
        <f>IF(OR(G120&gt;Answers!I135,G120&lt;Answers!I136),"Outlier","Normal")</f>
        <v>Outlier</v>
      </c>
      <c r="M120" s="18">
        <v>38</v>
      </c>
    </row>
    <row r="121" spans="1:13" ht="20" customHeight="1" x14ac:dyDescent="0.35">
      <c r="A121" s="17">
        <v>79407</v>
      </c>
      <c r="B121" s="18">
        <v>1784</v>
      </c>
      <c r="C121" s="23" t="s">
        <v>99</v>
      </c>
      <c r="D121" s="24">
        <v>45146.943749999999</v>
      </c>
      <c r="E121" s="18" t="s">
        <v>133</v>
      </c>
      <c r="F121" s="18" t="s">
        <v>60</v>
      </c>
      <c r="G121" s="18">
        <v>8067</v>
      </c>
      <c r="H121" s="25">
        <f t="shared" si="4"/>
        <v>45146</v>
      </c>
      <c r="I121" s="26">
        <f t="shared" si="5"/>
        <v>0.94374999999854481</v>
      </c>
      <c r="J121" s="18" t="str">
        <f t="shared" si="6"/>
        <v>August</v>
      </c>
      <c r="K121" s="56" t="str">
        <f t="shared" si="7"/>
        <v>Tuesday</v>
      </c>
      <c r="L121" s="18" t="str">
        <f>IF(OR(G121&gt;Answers!I136,G121&lt;Answers!I137),"Outlier","Normal")</f>
        <v>Outlier</v>
      </c>
      <c r="M121" s="18">
        <v>57</v>
      </c>
    </row>
    <row r="122" spans="1:13" ht="20" customHeight="1" x14ac:dyDescent="0.35">
      <c r="A122" s="17">
        <v>80630</v>
      </c>
      <c r="B122" s="18">
        <v>748</v>
      </c>
      <c r="C122" s="23" t="s">
        <v>99</v>
      </c>
      <c r="D122" s="24">
        <v>45059.980555555558</v>
      </c>
      <c r="E122" s="18" t="s">
        <v>133</v>
      </c>
      <c r="F122" s="18" t="s">
        <v>61</v>
      </c>
      <c r="G122" s="18">
        <v>62</v>
      </c>
      <c r="H122" s="25">
        <f t="shared" si="4"/>
        <v>45059</v>
      </c>
      <c r="I122" s="26">
        <f t="shared" si="5"/>
        <v>0.9805555555576575</v>
      </c>
      <c r="J122" s="18" t="str">
        <f t="shared" si="6"/>
        <v>May</v>
      </c>
      <c r="K122" s="56" t="str">
        <f t="shared" si="7"/>
        <v>Saturday</v>
      </c>
      <c r="L122" s="18" t="str">
        <f>IF(OR(G122&gt;Answers!I137,G122&lt;Answers!I138),"Outlier","Normal")</f>
        <v>Outlier</v>
      </c>
      <c r="M122" s="18">
        <v>40</v>
      </c>
    </row>
    <row r="123" spans="1:13" ht="20" customHeight="1" x14ac:dyDescent="0.35">
      <c r="A123" s="17">
        <v>80707</v>
      </c>
      <c r="B123" s="18">
        <v>1993</v>
      </c>
      <c r="C123" s="23" t="s">
        <v>99</v>
      </c>
      <c r="D123" s="24">
        <v>45269.04791666667</v>
      </c>
      <c r="E123" s="18" t="s">
        <v>97</v>
      </c>
      <c r="F123" s="18" t="s">
        <v>62</v>
      </c>
      <c r="G123" s="18">
        <v>2966</v>
      </c>
      <c r="H123" s="25">
        <f t="shared" si="4"/>
        <v>45269</v>
      </c>
      <c r="I123" s="26">
        <f t="shared" si="5"/>
        <v>4.7916666670062114E-2</v>
      </c>
      <c r="J123" s="18" t="str">
        <f t="shared" si="6"/>
        <v>December</v>
      </c>
      <c r="K123" s="56" t="str">
        <f t="shared" si="7"/>
        <v>Saturday</v>
      </c>
      <c r="L123" s="18" t="str">
        <f>IF(OR(G123&gt;Answers!I138,G123&lt;Answers!I139),"Outlier","Normal")</f>
        <v>Outlier</v>
      </c>
      <c r="M123" s="18">
        <v>61</v>
      </c>
    </row>
    <row r="124" spans="1:13" ht="20" customHeight="1" x14ac:dyDescent="0.35">
      <c r="A124" s="17">
        <v>81061</v>
      </c>
      <c r="B124" s="18">
        <v>676</v>
      </c>
      <c r="C124" s="23" t="s">
        <v>113</v>
      </c>
      <c r="D124" s="24">
        <v>45015.019444444442</v>
      </c>
      <c r="E124" s="18" t="s">
        <v>98</v>
      </c>
      <c r="F124" s="18" t="s">
        <v>33</v>
      </c>
      <c r="G124" s="18">
        <v>4219</v>
      </c>
      <c r="H124" s="25">
        <f t="shared" si="4"/>
        <v>45015</v>
      </c>
      <c r="I124" s="26">
        <f t="shared" si="5"/>
        <v>1.9444444442342501E-2</v>
      </c>
      <c r="J124" s="18" t="str">
        <f t="shared" si="6"/>
        <v>March</v>
      </c>
      <c r="K124" s="56" t="str">
        <f t="shared" si="7"/>
        <v>Thursday</v>
      </c>
      <c r="L124" s="18" t="str">
        <f>IF(OR(G124&gt;Answers!I139,G124&lt;Answers!I140),"Outlier","Normal")</f>
        <v>Outlier</v>
      </c>
      <c r="M124" s="18">
        <v>74</v>
      </c>
    </row>
    <row r="125" spans="1:13" ht="20" customHeight="1" x14ac:dyDescent="0.35">
      <c r="A125" s="17">
        <v>81431</v>
      </c>
      <c r="B125" s="18">
        <v>508</v>
      </c>
      <c r="C125" s="23" t="s">
        <v>110</v>
      </c>
      <c r="D125" s="24">
        <v>45122.027083333334</v>
      </c>
      <c r="E125" s="18" t="s">
        <v>97</v>
      </c>
      <c r="F125" s="18" t="s">
        <v>63</v>
      </c>
      <c r="G125" s="18">
        <v>9101</v>
      </c>
      <c r="H125" s="25">
        <f t="shared" si="4"/>
        <v>45122</v>
      </c>
      <c r="I125" s="26">
        <f t="shared" si="5"/>
        <v>2.7083333334303461E-2</v>
      </c>
      <c r="J125" s="18" t="str">
        <f t="shared" si="6"/>
        <v>July</v>
      </c>
      <c r="K125" s="56" t="str">
        <f t="shared" si="7"/>
        <v>Saturday</v>
      </c>
      <c r="L125" s="18" t="str">
        <f>IF(OR(G125&gt;Answers!I140,G125&lt;Answers!I141),"Outlier","Normal")</f>
        <v>Outlier</v>
      </c>
      <c r="M125" s="18">
        <v>65</v>
      </c>
    </row>
    <row r="126" spans="1:13" ht="20" customHeight="1" x14ac:dyDescent="0.35">
      <c r="A126" s="17">
        <v>82314</v>
      </c>
      <c r="B126" s="18">
        <v>1242</v>
      </c>
      <c r="C126" s="23" t="s">
        <v>105</v>
      </c>
      <c r="D126" s="24">
        <v>45281.035416666666</v>
      </c>
      <c r="E126" s="18" t="s">
        <v>97</v>
      </c>
      <c r="F126" s="18" t="s">
        <v>21</v>
      </c>
      <c r="G126" s="18">
        <v>9870</v>
      </c>
      <c r="H126" s="25">
        <f t="shared" si="4"/>
        <v>45281</v>
      </c>
      <c r="I126" s="26">
        <f t="shared" si="5"/>
        <v>3.5416666665696539E-2</v>
      </c>
      <c r="J126" s="18" t="str">
        <f t="shared" si="6"/>
        <v>December</v>
      </c>
      <c r="K126" s="56" t="str">
        <f t="shared" si="7"/>
        <v>Thursday</v>
      </c>
      <c r="L126" s="18" t="str">
        <f>IF(OR(G126&gt;Answers!I141,G126&lt;Answers!I142),"Outlier","Normal")</f>
        <v>Outlier</v>
      </c>
      <c r="M126" s="18">
        <v>55</v>
      </c>
    </row>
    <row r="127" spans="1:13" ht="20" customHeight="1" x14ac:dyDescent="0.35">
      <c r="A127" s="17">
        <v>82480</v>
      </c>
      <c r="B127" s="18">
        <v>1899</v>
      </c>
      <c r="C127" s="23" t="s">
        <v>99</v>
      </c>
      <c r="D127" s="24">
        <v>44968.994444444441</v>
      </c>
      <c r="E127" s="18" t="s">
        <v>98</v>
      </c>
      <c r="F127" s="18" t="s">
        <v>31</v>
      </c>
      <c r="G127" s="18">
        <v>3220</v>
      </c>
      <c r="H127" s="25">
        <f t="shared" si="4"/>
        <v>44968</v>
      </c>
      <c r="I127" s="26">
        <f t="shared" si="5"/>
        <v>0.99444444444088731</v>
      </c>
      <c r="J127" s="18" t="str">
        <f t="shared" si="6"/>
        <v>February</v>
      </c>
      <c r="K127" s="56" t="str">
        <f t="shared" si="7"/>
        <v>Saturday</v>
      </c>
      <c r="L127" s="18" t="str">
        <f>IF(OR(G127&gt;Answers!I142,G127&lt;Answers!I143),"Outlier","Normal")</f>
        <v>Outlier</v>
      </c>
      <c r="M127" s="18">
        <v>63</v>
      </c>
    </row>
    <row r="128" spans="1:13" ht="20" customHeight="1" x14ac:dyDescent="0.35">
      <c r="A128" s="17">
        <v>82755</v>
      </c>
      <c r="B128" s="18">
        <v>689</v>
      </c>
      <c r="C128" s="23" t="s">
        <v>100</v>
      </c>
      <c r="D128" s="24">
        <v>45232.054861111108</v>
      </c>
      <c r="E128" s="18" t="s">
        <v>97</v>
      </c>
      <c r="F128" s="18" t="s">
        <v>27</v>
      </c>
      <c r="G128" s="18">
        <v>5551</v>
      </c>
      <c r="H128" s="25">
        <f t="shared" si="4"/>
        <v>45232</v>
      </c>
      <c r="I128" s="26">
        <f t="shared" si="5"/>
        <v>5.486111110803904E-2</v>
      </c>
      <c r="J128" s="18" t="str">
        <f t="shared" si="6"/>
        <v>November</v>
      </c>
      <c r="K128" s="56" t="str">
        <f t="shared" si="7"/>
        <v>Thursday</v>
      </c>
      <c r="L128" s="18" t="str">
        <f>IF(OR(G128&gt;Answers!I143,G128&lt;Answers!I144),"Outlier","Normal")</f>
        <v>Outlier</v>
      </c>
      <c r="M128" s="18">
        <v>41</v>
      </c>
    </row>
    <row r="129" spans="1:13" ht="20" customHeight="1" x14ac:dyDescent="0.35">
      <c r="A129" s="17">
        <v>83365</v>
      </c>
      <c r="B129" s="18">
        <v>829</v>
      </c>
      <c r="C129" s="23" t="s">
        <v>99</v>
      </c>
      <c r="D129" s="24">
        <v>45051.998611111114</v>
      </c>
      <c r="E129" s="18" t="s">
        <v>133</v>
      </c>
      <c r="F129" s="18" t="s">
        <v>5</v>
      </c>
      <c r="G129" s="18">
        <v>7937</v>
      </c>
      <c r="H129" s="25">
        <f t="shared" si="4"/>
        <v>45051</v>
      </c>
      <c r="I129" s="26">
        <f t="shared" si="5"/>
        <v>0.99861111111385981</v>
      </c>
      <c r="J129" s="18" t="str">
        <f t="shared" si="6"/>
        <v>May</v>
      </c>
      <c r="K129" s="56" t="str">
        <f t="shared" si="7"/>
        <v>Friday</v>
      </c>
      <c r="L129" s="18" t="str">
        <f>IF(OR(G129&gt;Answers!I144,G129&lt;Answers!I145),"Outlier","Normal")</f>
        <v>Outlier</v>
      </c>
      <c r="M129" s="18">
        <v>65</v>
      </c>
    </row>
    <row r="130" spans="1:13" ht="20" customHeight="1" x14ac:dyDescent="0.35">
      <c r="A130" s="17">
        <v>83818</v>
      </c>
      <c r="B130" s="18">
        <v>827</v>
      </c>
      <c r="C130" s="23" t="s">
        <v>106</v>
      </c>
      <c r="D130" s="24">
        <v>45033.027777777781</v>
      </c>
      <c r="E130" s="18" t="s">
        <v>97</v>
      </c>
      <c r="F130" s="18" t="s">
        <v>64</v>
      </c>
      <c r="G130" s="18">
        <v>7643</v>
      </c>
      <c r="H130" s="25">
        <f t="shared" si="4"/>
        <v>45033</v>
      </c>
      <c r="I130" s="26">
        <f t="shared" si="5"/>
        <v>2.7777777781011537E-2</v>
      </c>
      <c r="J130" s="18" t="str">
        <f t="shared" si="6"/>
        <v>April</v>
      </c>
      <c r="K130" s="56" t="str">
        <f t="shared" si="7"/>
        <v>Monday</v>
      </c>
      <c r="L130" s="18" t="str">
        <f>IF(OR(G130&gt;Answers!I145,G130&lt;Answers!I146),"Outlier","Normal")</f>
        <v>Outlier</v>
      </c>
      <c r="M130" s="18">
        <v>40</v>
      </c>
    </row>
    <row r="131" spans="1:13" ht="20" customHeight="1" x14ac:dyDescent="0.35">
      <c r="A131" s="17">
        <v>84351</v>
      </c>
      <c r="B131" s="18">
        <v>1331</v>
      </c>
      <c r="C131" s="23" t="s">
        <v>99</v>
      </c>
      <c r="D131" s="24">
        <v>45035.009027777778</v>
      </c>
      <c r="E131" s="18" t="s">
        <v>133</v>
      </c>
      <c r="F131" s="18" t="s">
        <v>8</v>
      </c>
      <c r="G131" s="18">
        <v>4824</v>
      </c>
      <c r="H131" s="25">
        <f t="shared" ref="H131:H194" si="8">INT(D131)</f>
        <v>45035</v>
      </c>
      <c r="I131" s="26">
        <f t="shared" ref="I131:I194" si="9">MOD(D131,1)</f>
        <v>9.0277777781011537E-3</v>
      </c>
      <c r="J131" s="18" t="str">
        <f t="shared" ref="J131:J194" si="10">TEXT(D131,"mmmm")</f>
        <v>April</v>
      </c>
      <c r="K131" s="56" t="str">
        <f t="shared" ref="K131:K194" si="11">TEXT(D131,"dddd")</f>
        <v>Wednesday</v>
      </c>
      <c r="L131" s="18" t="str">
        <f>IF(OR(G131&gt;Answers!I146,G131&lt;Answers!I147),"Outlier","Normal")</f>
        <v>Outlier</v>
      </c>
      <c r="M131" s="18">
        <v>84</v>
      </c>
    </row>
    <row r="132" spans="1:13" ht="20" customHeight="1" x14ac:dyDescent="0.35">
      <c r="A132" s="17">
        <v>85001</v>
      </c>
      <c r="B132" s="18">
        <v>266</v>
      </c>
      <c r="C132" s="23" t="s">
        <v>99</v>
      </c>
      <c r="D132" s="24">
        <v>45242.047222222223</v>
      </c>
      <c r="E132" s="18" t="s">
        <v>133</v>
      </c>
      <c r="F132" s="18" t="s">
        <v>6</v>
      </c>
      <c r="G132" s="18">
        <v>9796</v>
      </c>
      <c r="H132" s="25">
        <f t="shared" si="8"/>
        <v>45242</v>
      </c>
      <c r="I132" s="26">
        <f t="shared" si="9"/>
        <v>4.7222222223354038E-2</v>
      </c>
      <c r="J132" s="18" t="str">
        <f t="shared" si="10"/>
        <v>November</v>
      </c>
      <c r="K132" s="56" t="str">
        <f t="shared" si="11"/>
        <v>Sunday</v>
      </c>
      <c r="L132" s="18" t="str">
        <f>IF(OR(G132&gt;Answers!I147,G132&lt;Answers!I148),"Outlier","Normal")</f>
        <v>Outlier</v>
      </c>
      <c r="M132" s="18">
        <v>37</v>
      </c>
    </row>
    <row r="133" spans="1:13" ht="20" customHeight="1" x14ac:dyDescent="0.35">
      <c r="A133" s="17">
        <v>85142</v>
      </c>
      <c r="B133" s="18">
        <v>1794</v>
      </c>
      <c r="C133" s="23" t="s">
        <v>101</v>
      </c>
      <c r="D133" s="24">
        <v>44976.094444444447</v>
      </c>
      <c r="E133" s="18" t="s">
        <v>98</v>
      </c>
      <c r="F133" s="18" t="s">
        <v>65</v>
      </c>
      <c r="G133" s="18">
        <v>1569</v>
      </c>
      <c r="H133" s="25">
        <f t="shared" si="8"/>
        <v>44976</v>
      </c>
      <c r="I133" s="26">
        <f t="shared" si="9"/>
        <v>9.4444444446708076E-2</v>
      </c>
      <c r="J133" s="18" t="str">
        <f t="shared" si="10"/>
        <v>February</v>
      </c>
      <c r="K133" s="56" t="str">
        <f t="shared" si="11"/>
        <v>Sunday</v>
      </c>
      <c r="L133" s="18" t="str">
        <f>IF(OR(G133&gt;Answers!I148,G133&lt;Answers!I149),"Outlier","Normal")</f>
        <v>Outlier</v>
      </c>
      <c r="M133" s="18">
        <v>41</v>
      </c>
    </row>
    <row r="134" spans="1:13" ht="20" customHeight="1" x14ac:dyDescent="0.35">
      <c r="A134" s="17">
        <v>85195</v>
      </c>
      <c r="B134" s="18">
        <v>1954</v>
      </c>
      <c r="C134" s="23" t="s">
        <v>102</v>
      </c>
      <c r="D134" s="24">
        <v>45226.981944444444</v>
      </c>
      <c r="E134" s="18" t="s">
        <v>133</v>
      </c>
      <c r="F134" s="18" t="s">
        <v>62</v>
      </c>
      <c r="G134" s="18">
        <v>1860</v>
      </c>
      <c r="H134" s="25">
        <f t="shared" si="8"/>
        <v>45226</v>
      </c>
      <c r="I134" s="26">
        <f t="shared" si="9"/>
        <v>0.98194444444379769</v>
      </c>
      <c r="J134" s="18" t="str">
        <f t="shared" si="10"/>
        <v>October</v>
      </c>
      <c r="K134" s="56" t="str">
        <f t="shared" si="11"/>
        <v>Friday</v>
      </c>
      <c r="L134" s="18" t="str">
        <f>IF(OR(G134&gt;Answers!I149,G134&lt;Answers!I150),"Outlier","Normal")</f>
        <v>Outlier</v>
      </c>
      <c r="M134" s="18">
        <v>55</v>
      </c>
    </row>
    <row r="135" spans="1:13" ht="20" customHeight="1" x14ac:dyDescent="0.35">
      <c r="A135" s="17">
        <v>85703</v>
      </c>
      <c r="B135" s="18">
        <v>142</v>
      </c>
      <c r="C135" s="23" t="s">
        <v>113</v>
      </c>
      <c r="D135" s="24">
        <v>44931.990972222222</v>
      </c>
      <c r="E135" s="18" t="s">
        <v>97</v>
      </c>
      <c r="F135" s="18" t="s">
        <v>21</v>
      </c>
      <c r="G135" s="18">
        <v>3427</v>
      </c>
      <c r="H135" s="25">
        <f t="shared" si="8"/>
        <v>44931</v>
      </c>
      <c r="I135" s="26">
        <f t="shared" si="9"/>
        <v>0.99097222222189885</v>
      </c>
      <c r="J135" s="18" t="str">
        <f t="shared" si="10"/>
        <v>January</v>
      </c>
      <c r="K135" s="56" t="str">
        <f t="shared" si="11"/>
        <v>Thursday</v>
      </c>
      <c r="L135" s="18" t="str">
        <f>IF(OR(G135&gt;Answers!I150,G135&lt;Answers!I151),"Outlier","Normal")</f>
        <v>Outlier</v>
      </c>
      <c r="M135" s="18">
        <v>77</v>
      </c>
    </row>
    <row r="136" spans="1:13" ht="20" customHeight="1" x14ac:dyDescent="0.35">
      <c r="A136" s="17">
        <v>85897</v>
      </c>
      <c r="B136" s="18">
        <v>948</v>
      </c>
      <c r="C136" s="23" t="s">
        <v>102</v>
      </c>
      <c r="D136" s="24">
        <v>44955.98541666667</v>
      </c>
      <c r="E136" s="18" t="s">
        <v>98</v>
      </c>
      <c r="F136" s="18" t="s">
        <v>66</v>
      </c>
      <c r="G136" s="18">
        <v>4650</v>
      </c>
      <c r="H136" s="25">
        <f t="shared" si="8"/>
        <v>44955</v>
      </c>
      <c r="I136" s="26">
        <f t="shared" si="9"/>
        <v>0.98541666667006211</v>
      </c>
      <c r="J136" s="18" t="str">
        <f t="shared" si="10"/>
        <v>January</v>
      </c>
      <c r="K136" s="56" t="str">
        <f t="shared" si="11"/>
        <v>Sunday</v>
      </c>
      <c r="L136" s="18" t="str">
        <f>IF(OR(G136&gt;Answers!I151,G136&lt;Answers!I152),"Outlier","Normal")</f>
        <v>Outlier</v>
      </c>
      <c r="M136" s="18">
        <v>27</v>
      </c>
    </row>
    <row r="137" spans="1:13" ht="20" customHeight="1" x14ac:dyDescent="0.35">
      <c r="A137" s="17">
        <v>86258</v>
      </c>
      <c r="B137" s="18">
        <v>726</v>
      </c>
      <c r="C137" s="23" t="s">
        <v>99</v>
      </c>
      <c r="D137" s="24">
        <v>45253.078472222223</v>
      </c>
      <c r="E137" s="18" t="s">
        <v>97</v>
      </c>
      <c r="F137" s="18" t="s">
        <v>29</v>
      </c>
      <c r="G137" s="18">
        <v>6129</v>
      </c>
      <c r="H137" s="25">
        <f t="shared" si="8"/>
        <v>45253</v>
      </c>
      <c r="I137" s="26">
        <f t="shared" si="9"/>
        <v>7.8472222223354038E-2</v>
      </c>
      <c r="J137" s="18" t="str">
        <f t="shared" si="10"/>
        <v>November</v>
      </c>
      <c r="K137" s="56" t="str">
        <f t="shared" si="11"/>
        <v>Thursday</v>
      </c>
      <c r="L137" s="18" t="str">
        <f>IF(OR(G137&gt;Answers!I152,G137&lt;Answers!I153),"Outlier","Normal")</f>
        <v>Outlier</v>
      </c>
      <c r="M137" s="18">
        <v>73</v>
      </c>
    </row>
    <row r="138" spans="1:13" ht="20" customHeight="1" x14ac:dyDescent="0.35">
      <c r="A138" s="17">
        <v>88069</v>
      </c>
      <c r="B138" s="18">
        <v>61</v>
      </c>
      <c r="C138" s="23" t="s">
        <v>105</v>
      </c>
      <c r="D138" s="24">
        <v>44952.061805555553</v>
      </c>
      <c r="E138" s="18" t="s">
        <v>96</v>
      </c>
      <c r="F138" s="18" t="s">
        <v>9</v>
      </c>
      <c r="G138" s="18">
        <v>8410</v>
      </c>
      <c r="H138" s="25">
        <f t="shared" si="8"/>
        <v>44952</v>
      </c>
      <c r="I138" s="26">
        <f t="shared" si="9"/>
        <v>6.1805555553291924E-2</v>
      </c>
      <c r="J138" s="18" t="str">
        <f t="shared" si="10"/>
        <v>January</v>
      </c>
      <c r="K138" s="56" t="str">
        <f t="shared" si="11"/>
        <v>Thursday</v>
      </c>
      <c r="L138" s="18" t="str">
        <f>IF(OR(G138&gt;Answers!I153,G138&lt;Answers!I154),"Outlier","Normal")</f>
        <v>Outlier</v>
      </c>
      <c r="M138" s="18">
        <v>47</v>
      </c>
    </row>
    <row r="139" spans="1:13" ht="20" customHeight="1" x14ac:dyDescent="0.35">
      <c r="A139" s="17">
        <v>88156</v>
      </c>
      <c r="B139" s="18">
        <v>719</v>
      </c>
      <c r="C139" s="23" t="s">
        <v>103</v>
      </c>
      <c r="D139" s="24">
        <v>45274.046527777777</v>
      </c>
      <c r="E139" s="18" t="s">
        <v>96</v>
      </c>
      <c r="F139" s="18" t="s">
        <v>30</v>
      </c>
      <c r="G139" s="18">
        <v>9836</v>
      </c>
      <c r="H139" s="25">
        <f t="shared" si="8"/>
        <v>45274</v>
      </c>
      <c r="I139" s="26">
        <f t="shared" si="9"/>
        <v>4.6527777776645962E-2</v>
      </c>
      <c r="J139" s="18" t="str">
        <f t="shared" si="10"/>
        <v>December</v>
      </c>
      <c r="K139" s="56" t="str">
        <f t="shared" si="11"/>
        <v>Thursday</v>
      </c>
      <c r="L139" s="18" t="str">
        <f>IF(OR(G139&gt;Answers!I154,G139&lt;Answers!I155),"Outlier","Normal")</f>
        <v>Outlier</v>
      </c>
      <c r="M139" s="18">
        <v>29</v>
      </c>
    </row>
    <row r="140" spans="1:13" ht="20" customHeight="1" x14ac:dyDescent="0.35">
      <c r="A140" s="17">
        <v>89811</v>
      </c>
      <c r="B140" s="18">
        <v>1007</v>
      </c>
      <c r="C140" s="23" t="s">
        <v>99</v>
      </c>
      <c r="D140" s="24">
        <v>45137.986111111109</v>
      </c>
      <c r="E140" s="18" t="s">
        <v>98</v>
      </c>
      <c r="F140" s="18" t="s">
        <v>67</v>
      </c>
      <c r="G140" s="18">
        <v>3761</v>
      </c>
      <c r="H140" s="25">
        <f t="shared" si="8"/>
        <v>45137</v>
      </c>
      <c r="I140" s="26">
        <f t="shared" si="9"/>
        <v>0.98611111110949423</v>
      </c>
      <c r="J140" s="18" t="str">
        <f t="shared" si="10"/>
        <v>July</v>
      </c>
      <c r="K140" s="56" t="str">
        <f t="shared" si="11"/>
        <v>Sunday</v>
      </c>
      <c r="L140" s="18" t="str">
        <f>IF(OR(G140&gt;Answers!I155,G140&lt;Answers!I156),"Outlier","Normal")</f>
        <v>Outlier</v>
      </c>
      <c r="M140" s="18">
        <v>62</v>
      </c>
    </row>
    <row r="141" spans="1:13" ht="20" customHeight="1" x14ac:dyDescent="0.35">
      <c r="A141" s="17">
        <v>89864</v>
      </c>
      <c r="B141" s="18">
        <v>1150</v>
      </c>
      <c r="C141" s="23" t="s">
        <v>99</v>
      </c>
      <c r="D141" s="24">
        <v>45215.07708333333</v>
      </c>
      <c r="E141" s="18" t="s">
        <v>96</v>
      </c>
      <c r="F141" s="18" t="s">
        <v>53</v>
      </c>
      <c r="G141" s="18">
        <v>8022</v>
      </c>
      <c r="H141" s="25">
        <f t="shared" si="8"/>
        <v>45215</v>
      </c>
      <c r="I141" s="26">
        <f t="shared" si="9"/>
        <v>7.7083333329937886E-2</v>
      </c>
      <c r="J141" s="18" t="str">
        <f t="shared" si="10"/>
        <v>October</v>
      </c>
      <c r="K141" s="56" t="str">
        <f t="shared" si="11"/>
        <v>Monday</v>
      </c>
      <c r="L141" s="18" t="str">
        <f>IF(OR(G141&gt;Answers!I156,G141&lt;Answers!I157),"Outlier","Normal")</f>
        <v>Outlier</v>
      </c>
      <c r="M141" s="18">
        <v>77</v>
      </c>
    </row>
    <row r="142" spans="1:13" ht="20" customHeight="1" x14ac:dyDescent="0.35">
      <c r="A142" s="17">
        <v>92317</v>
      </c>
      <c r="B142" s="18">
        <v>820</v>
      </c>
      <c r="C142" s="23" t="s">
        <v>107</v>
      </c>
      <c r="D142" s="24">
        <v>44967.05972222222</v>
      </c>
      <c r="E142" s="18" t="s">
        <v>98</v>
      </c>
      <c r="F142" s="18" t="s">
        <v>33</v>
      </c>
      <c r="G142" s="18">
        <v>6790</v>
      </c>
      <c r="H142" s="25">
        <f t="shared" si="8"/>
        <v>44967</v>
      </c>
      <c r="I142" s="26">
        <f t="shared" si="9"/>
        <v>5.9722222220443655E-2</v>
      </c>
      <c r="J142" s="18" t="str">
        <f t="shared" si="10"/>
        <v>February</v>
      </c>
      <c r="K142" s="56" t="str">
        <f t="shared" si="11"/>
        <v>Friday</v>
      </c>
      <c r="L142" s="18" t="str">
        <f>IF(OR(G142&gt;Answers!I157,G142&lt;Answers!I158),"Outlier","Normal")</f>
        <v>Outlier</v>
      </c>
      <c r="M142" s="18">
        <v>29</v>
      </c>
    </row>
    <row r="143" spans="1:13" ht="20" customHeight="1" x14ac:dyDescent="0.35">
      <c r="A143" s="17">
        <v>93408</v>
      </c>
      <c r="B143" s="18">
        <v>1804</v>
      </c>
      <c r="C143" s="23" t="s">
        <v>101</v>
      </c>
      <c r="D143" s="24">
        <v>45235.95416666667</v>
      </c>
      <c r="E143" s="18" t="s">
        <v>97</v>
      </c>
      <c r="F143" s="18" t="s">
        <v>34</v>
      </c>
      <c r="G143" s="18">
        <v>6323</v>
      </c>
      <c r="H143" s="25">
        <f t="shared" si="8"/>
        <v>45235</v>
      </c>
      <c r="I143" s="26">
        <f t="shared" si="9"/>
        <v>0.95416666667006211</v>
      </c>
      <c r="J143" s="18" t="str">
        <f t="shared" si="10"/>
        <v>November</v>
      </c>
      <c r="K143" s="56" t="str">
        <f t="shared" si="11"/>
        <v>Sunday</v>
      </c>
      <c r="L143" s="18" t="str">
        <f>IF(OR(G143&gt;Answers!I158,G143&lt;Answers!I159),"Outlier","Normal")</f>
        <v>Outlier</v>
      </c>
      <c r="M143" s="18">
        <v>81</v>
      </c>
    </row>
    <row r="144" spans="1:13" ht="20" customHeight="1" x14ac:dyDescent="0.35">
      <c r="A144" s="17">
        <v>94344</v>
      </c>
      <c r="B144" s="18">
        <v>1122</v>
      </c>
      <c r="C144" s="23" t="s">
        <v>109</v>
      </c>
      <c r="D144" s="24">
        <v>44999.03402777778</v>
      </c>
      <c r="E144" s="18" t="s">
        <v>133</v>
      </c>
      <c r="F144" s="18" t="s">
        <v>68</v>
      </c>
      <c r="G144" s="18">
        <v>5649</v>
      </c>
      <c r="H144" s="25">
        <f t="shared" si="8"/>
        <v>44999</v>
      </c>
      <c r="I144" s="26">
        <f t="shared" si="9"/>
        <v>3.4027777779556345E-2</v>
      </c>
      <c r="J144" s="18" t="str">
        <f t="shared" si="10"/>
        <v>March</v>
      </c>
      <c r="K144" s="56" t="str">
        <f t="shared" si="11"/>
        <v>Tuesday</v>
      </c>
      <c r="L144" s="18" t="str">
        <f>IF(OR(G144&gt;Answers!I159,G144&lt;Answers!I160),"Outlier","Normal")</f>
        <v>Outlier</v>
      </c>
      <c r="M144" s="18">
        <v>33</v>
      </c>
    </row>
    <row r="145" spans="1:13" ht="20" customHeight="1" x14ac:dyDescent="0.35">
      <c r="A145" s="17">
        <v>94709</v>
      </c>
      <c r="B145" s="18">
        <v>991</v>
      </c>
      <c r="C145" s="23" t="s">
        <v>99</v>
      </c>
      <c r="D145" s="24">
        <v>45061.941666666666</v>
      </c>
      <c r="E145" s="18" t="s">
        <v>98</v>
      </c>
      <c r="F145" s="18" t="s">
        <v>69</v>
      </c>
      <c r="G145" s="18">
        <v>1850</v>
      </c>
      <c r="H145" s="25">
        <f t="shared" si="8"/>
        <v>45061</v>
      </c>
      <c r="I145" s="26">
        <f t="shared" si="9"/>
        <v>0.94166666666569654</v>
      </c>
      <c r="J145" s="18" t="str">
        <f t="shared" si="10"/>
        <v>May</v>
      </c>
      <c r="K145" s="56" t="str">
        <f t="shared" si="11"/>
        <v>Monday</v>
      </c>
      <c r="L145" s="18" t="str">
        <f>IF(OR(G145&gt;Answers!I160,G145&lt;Answers!I161),"Outlier","Normal")</f>
        <v>Outlier</v>
      </c>
      <c r="M145" s="18">
        <v>55</v>
      </c>
    </row>
    <row r="146" spans="1:13" ht="20" customHeight="1" x14ac:dyDescent="0.35">
      <c r="A146" s="17">
        <v>95054</v>
      </c>
      <c r="B146" s="18">
        <v>1666</v>
      </c>
      <c r="C146" s="23" t="s">
        <v>105</v>
      </c>
      <c r="D146" s="24">
        <v>45087.027777777781</v>
      </c>
      <c r="E146" s="18" t="s">
        <v>96</v>
      </c>
      <c r="F146" s="18" t="s">
        <v>43</v>
      </c>
      <c r="G146" s="18">
        <v>2320</v>
      </c>
      <c r="H146" s="25">
        <f t="shared" si="8"/>
        <v>45087</v>
      </c>
      <c r="I146" s="26">
        <f t="shared" si="9"/>
        <v>2.7777777781011537E-2</v>
      </c>
      <c r="J146" s="18" t="str">
        <f t="shared" si="10"/>
        <v>June</v>
      </c>
      <c r="K146" s="56" t="str">
        <f t="shared" si="11"/>
        <v>Saturday</v>
      </c>
      <c r="L146" s="18" t="str">
        <f>IF(OR(G146&gt;Answers!I161,G146&lt;Answers!I162),"Outlier","Normal")</f>
        <v>Outlier</v>
      </c>
      <c r="M146" s="18">
        <v>21</v>
      </c>
    </row>
    <row r="147" spans="1:13" ht="20" customHeight="1" x14ac:dyDescent="0.35">
      <c r="A147" s="17">
        <v>95500</v>
      </c>
      <c r="B147" s="18">
        <v>158</v>
      </c>
      <c r="C147" s="23" t="s">
        <v>99</v>
      </c>
      <c r="D147" s="24">
        <v>45010.035416666666</v>
      </c>
      <c r="E147" s="18" t="s">
        <v>133</v>
      </c>
      <c r="F147" s="18" t="s">
        <v>38</v>
      </c>
      <c r="G147" s="18">
        <v>7674</v>
      </c>
      <c r="H147" s="25">
        <f t="shared" si="8"/>
        <v>45010</v>
      </c>
      <c r="I147" s="26">
        <f t="shared" si="9"/>
        <v>3.5416666665696539E-2</v>
      </c>
      <c r="J147" s="18" t="str">
        <f t="shared" si="10"/>
        <v>March</v>
      </c>
      <c r="K147" s="56" t="str">
        <f t="shared" si="11"/>
        <v>Saturday</v>
      </c>
      <c r="L147" s="18" t="str">
        <f>IF(OR(G147&gt;Answers!I162,G147&lt;Answers!I163),"Outlier","Normal")</f>
        <v>Outlier</v>
      </c>
      <c r="M147" s="18">
        <v>41</v>
      </c>
    </row>
    <row r="148" spans="1:13" ht="20" customHeight="1" x14ac:dyDescent="0.35">
      <c r="A148" s="17">
        <v>95657</v>
      </c>
      <c r="B148" s="18">
        <v>985</v>
      </c>
      <c r="C148" s="23" t="s">
        <v>99</v>
      </c>
      <c r="D148" s="24">
        <v>45058.986111111109</v>
      </c>
      <c r="E148" s="18" t="s">
        <v>96</v>
      </c>
      <c r="F148" s="18" t="s">
        <v>69</v>
      </c>
      <c r="G148" s="18">
        <v>8990</v>
      </c>
      <c r="H148" s="25">
        <f t="shared" si="8"/>
        <v>45058</v>
      </c>
      <c r="I148" s="26">
        <f t="shared" si="9"/>
        <v>0.98611111110949423</v>
      </c>
      <c r="J148" s="18" t="str">
        <f t="shared" si="10"/>
        <v>May</v>
      </c>
      <c r="K148" s="56" t="str">
        <f t="shared" si="11"/>
        <v>Friday</v>
      </c>
      <c r="L148" s="18" t="str">
        <f>IF(OR(G148&gt;Answers!I163,G148&lt;Answers!I164),"Outlier","Normal")</f>
        <v>Outlier</v>
      </c>
      <c r="M148" s="18">
        <v>69</v>
      </c>
    </row>
    <row r="149" spans="1:13" ht="20" customHeight="1" x14ac:dyDescent="0.35">
      <c r="A149" s="17">
        <v>98453</v>
      </c>
      <c r="B149" s="18">
        <v>1169</v>
      </c>
      <c r="C149" s="23" t="s">
        <v>100</v>
      </c>
      <c r="D149" s="24">
        <v>45045.006944444445</v>
      </c>
      <c r="E149" s="18" t="s">
        <v>133</v>
      </c>
      <c r="F149" s="18" t="s">
        <v>24</v>
      </c>
      <c r="G149" s="18">
        <v>2261</v>
      </c>
      <c r="H149" s="25">
        <f t="shared" si="8"/>
        <v>45045</v>
      </c>
      <c r="I149" s="26">
        <f t="shared" si="9"/>
        <v>6.9444444452528842E-3</v>
      </c>
      <c r="J149" s="18" t="str">
        <f t="shared" si="10"/>
        <v>April</v>
      </c>
      <c r="K149" s="56" t="str">
        <f t="shared" si="11"/>
        <v>Saturday</v>
      </c>
      <c r="L149" s="18" t="str">
        <f>IF(OR(G149&gt;Answers!I164,G149&lt;Answers!I165),"Outlier","Normal")</f>
        <v>Outlier</v>
      </c>
      <c r="M149" s="18">
        <v>26</v>
      </c>
    </row>
    <row r="150" spans="1:13" ht="20" customHeight="1" x14ac:dyDescent="0.35">
      <c r="A150" s="17">
        <v>98856</v>
      </c>
      <c r="B150" s="18">
        <v>129</v>
      </c>
      <c r="C150" s="23" t="s">
        <v>99</v>
      </c>
      <c r="D150" s="24">
        <v>45239.006944444445</v>
      </c>
      <c r="E150" s="18" t="s">
        <v>98</v>
      </c>
      <c r="F150" s="18" t="s">
        <v>22</v>
      </c>
      <c r="G150" s="18">
        <v>7750</v>
      </c>
      <c r="H150" s="25">
        <f t="shared" si="8"/>
        <v>45239</v>
      </c>
      <c r="I150" s="26">
        <f t="shared" si="9"/>
        <v>6.9444444452528842E-3</v>
      </c>
      <c r="J150" s="18" t="str">
        <f t="shared" si="10"/>
        <v>November</v>
      </c>
      <c r="K150" s="56" t="str">
        <f t="shared" si="11"/>
        <v>Thursday</v>
      </c>
      <c r="L150" s="18" t="str">
        <f>IF(OR(G150&gt;Answers!I165,G150&lt;Answers!I166),"Outlier","Normal")</f>
        <v>Outlier</v>
      </c>
      <c r="M150" s="18">
        <v>21</v>
      </c>
    </row>
    <row r="151" spans="1:13" ht="20" customHeight="1" x14ac:dyDescent="0.35">
      <c r="A151" s="17">
        <v>98968</v>
      </c>
      <c r="B151" s="18">
        <v>215</v>
      </c>
      <c r="C151" s="23" t="s">
        <v>99</v>
      </c>
      <c r="D151" s="24">
        <v>44949.009027777778</v>
      </c>
      <c r="E151" s="18" t="s">
        <v>97</v>
      </c>
      <c r="F151" s="18" t="s">
        <v>41</v>
      </c>
      <c r="G151" s="18">
        <v>2161</v>
      </c>
      <c r="H151" s="25">
        <f t="shared" si="8"/>
        <v>44949</v>
      </c>
      <c r="I151" s="26">
        <f t="shared" si="9"/>
        <v>9.0277777781011537E-3</v>
      </c>
      <c r="J151" s="18" t="str">
        <f t="shared" si="10"/>
        <v>January</v>
      </c>
      <c r="K151" s="56" t="str">
        <f t="shared" si="11"/>
        <v>Monday</v>
      </c>
      <c r="L151" s="18" t="str">
        <f>IF(OR(G151&gt;Answers!I166,G151&lt;Answers!I167),"Outlier","Normal")</f>
        <v>Outlier</v>
      </c>
      <c r="M151" s="18">
        <v>60</v>
      </c>
    </row>
    <row r="152" spans="1:13" ht="20" customHeight="1" x14ac:dyDescent="0.35">
      <c r="A152" s="17">
        <v>99495</v>
      </c>
      <c r="B152" s="18">
        <v>1957</v>
      </c>
      <c r="C152" s="23" t="s">
        <v>99</v>
      </c>
      <c r="D152" s="24">
        <v>45001.979861111111</v>
      </c>
      <c r="E152" s="18" t="s">
        <v>98</v>
      </c>
      <c r="F152" s="18" t="s">
        <v>19</v>
      </c>
      <c r="G152" s="18">
        <v>1403</v>
      </c>
      <c r="H152" s="25">
        <f t="shared" si="8"/>
        <v>45001</v>
      </c>
      <c r="I152" s="26">
        <f t="shared" si="9"/>
        <v>0.97986111111094942</v>
      </c>
      <c r="J152" s="18" t="str">
        <f t="shared" si="10"/>
        <v>March</v>
      </c>
      <c r="K152" s="56" t="str">
        <f t="shared" si="11"/>
        <v>Thursday</v>
      </c>
      <c r="L152" s="18" t="str">
        <f>IF(OR(G152&gt;Answers!I167,G152&lt;Answers!I168),"Outlier","Normal")</f>
        <v>Outlier</v>
      </c>
      <c r="M152" s="18">
        <v>42</v>
      </c>
    </row>
    <row r="153" spans="1:13" ht="20" customHeight="1" x14ac:dyDescent="0.35">
      <c r="A153" s="17">
        <v>101471</v>
      </c>
      <c r="B153" s="18">
        <v>584</v>
      </c>
      <c r="C153" s="23" t="s">
        <v>99</v>
      </c>
      <c r="D153" s="24">
        <v>45255.05</v>
      </c>
      <c r="E153" s="18" t="s">
        <v>96</v>
      </c>
      <c r="F153" s="18" t="s">
        <v>35</v>
      </c>
      <c r="G153" s="18">
        <v>9105</v>
      </c>
      <c r="H153" s="25">
        <f t="shared" si="8"/>
        <v>45255</v>
      </c>
      <c r="I153" s="26">
        <f t="shared" si="9"/>
        <v>5.0000000002910383E-2</v>
      </c>
      <c r="J153" s="18" t="str">
        <f t="shared" si="10"/>
        <v>November</v>
      </c>
      <c r="K153" s="56" t="str">
        <f t="shared" si="11"/>
        <v>Saturday</v>
      </c>
      <c r="L153" s="18" t="str">
        <f>IF(OR(G153&gt;Answers!I168,G153&lt;Answers!I169),"Outlier","Normal")</f>
        <v>Outlier</v>
      </c>
      <c r="M153" s="18">
        <v>70</v>
      </c>
    </row>
    <row r="154" spans="1:13" ht="20" customHeight="1" x14ac:dyDescent="0.35">
      <c r="A154" s="17">
        <v>101807</v>
      </c>
      <c r="B154" s="18">
        <v>1181</v>
      </c>
      <c r="C154" s="23" t="s">
        <v>106</v>
      </c>
      <c r="D154" s="24">
        <v>45232.018750000003</v>
      </c>
      <c r="E154" s="18" t="s">
        <v>133</v>
      </c>
      <c r="F154" s="18" t="s">
        <v>44</v>
      </c>
      <c r="G154" s="18">
        <v>3541</v>
      </c>
      <c r="H154" s="25">
        <f t="shared" si="8"/>
        <v>45232</v>
      </c>
      <c r="I154" s="26">
        <f t="shared" si="9"/>
        <v>1.8750000002910383E-2</v>
      </c>
      <c r="J154" s="18" t="str">
        <f t="shared" si="10"/>
        <v>November</v>
      </c>
      <c r="K154" s="56" t="str">
        <f t="shared" si="11"/>
        <v>Thursday</v>
      </c>
      <c r="L154" s="18" t="str">
        <f>IF(OR(G154&gt;Answers!I169,G154&lt;Answers!I170),"Outlier","Normal")</f>
        <v>Outlier</v>
      </c>
      <c r="M154" s="18">
        <v>68</v>
      </c>
    </row>
    <row r="155" spans="1:13" ht="20" customHeight="1" x14ac:dyDescent="0.35">
      <c r="A155" s="17">
        <v>101815</v>
      </c>
      <c r="B155" s="18">
        <v>520</v>
      </c>
      <c r="C155" s="23" t="s">
        <v>105</v>
      </c>
      <c r="D155" s="24">
        <v>45187.067361111112</v>
      </c>
      <c r="E155" s="18" t="s">
        <v>133</v>
      </c>
      <c r="F155" s="18" t="s">
        <v>28</v>
      </c>
      <c r="G155" s="18">
        <v>5420</v>
      </c>
      <c r="H155" s="25">
        <f t="shared" si="8"/>
        <v>45187</v>
      </c>
      <c r="I155" s="26">
        <f t="shared" si="9"/>
        <v>6.7361111112404615E-2</v>
      </c>
      <c r="J155" s="18" t="str">
        <f t="shared" si="10"/>
        <v>September</v>
      </c>
      <c r="K155" s="56" t="str">
        <f t="shared" si="11"/>
        <v>Monday</v>
      </c>
      <c r="L155" s="18" t="str">
        <f>IF(OR(G155&gt;Answers!I170,G155&lt;Answers!I171),"Outlier","Normal")</f>
        <v>Outlier</v>
      </c>
      <c r="M155" s="18">
        <v>81</v>
      </c>
    </row>
    <row r="156" spans="1:13" ht="20" customHeight="1" x14ac:dyDescent="0.35">
      <c r="A156" s="17">
        <v>102053</v>
      </c>
      <c r="B156" s="18">
        <v>1739</v>
      </c>
      <c r="C156" s="23" t="s">
        <v>105</v>
      </c>
      <c r="D156" s="24">
        <v>45155.97152777778</v>
      </c>
      <c r="E156" s="18" t="s">
        <v>96</v>
      </c>
      <c r="F156" s="18" t="s">
        <v>14</v>
      </c>
      <c r="G156" s="18">
        <v>3746</v>
      </c>
      <c r="H156" s="25">
        <f t="shared" si="8"/>
        <v>45155</v>
      </c>
      <c r="I156" s="26">
        <f t="shared" si="9"/>
        <v>0.97152777777955635</v>
      </c>
      <c r="J156" s="18" t="str">
        <f t="shared" si="10"/>
        <v>August</v>
      </c>
      <c r="K156" s="56" t="str">
        <f t="shared" si="11"/>
        <v>Thursday</v>
      </c>
      <c r="L156" s="18" t="str">
        <f>IF(OR(G156&gt;Answers!I171,G156&lt;Answers!I172),"Outlier","Normal")</f>
        <v>Outlier</v>
      </c>
      <c r="M156" s="18">
        <v>44</v>
      </c>
    </row>
    <row r="157" spans="1:13" ht="20" customHeight="1" x14ac:dyDescent="0.35">
      <c r="A157" s="17">
        <v>102252</v>
      </c>
      <c r="B157" s="18">
        <v>1812</v>
      </c>
      <c r="C157" s="23" t="s">
        <v>105</v>
      </c>
      <c r="D157" s="24">
        <v>45238.015972222223</v>
      </c>
      <c r="E157" s="18" t="s">
        <v>97</v>
      </c>
      <c r="F157" s="18" t="s">
        <v>43</v>
      </c>
      <c r="G157" s="18">
        <v>2944</v>
      </c>
      <c r="H157" s="25">
        <f t="shared" si="8"/>
        <v>45238</v>
      </c>
      <c r="I157" s="26">
        <f t="shared" si="9"/>
        <v>1.5972222223354038E-2</v>
      </c>
      <c r="J157" s="18" t="str">
        <f t="shared" si="10"/>
        <v>November</v>
      </c>
      <c r="K157" s="56" t="str">
        <f t="shared" si="11"/>
        <v>Wednesday</v>
      </c>
      <c r="L157" s="18" t="str">
        <f>IF(OR(G157&gt;Answers!I172,G157&lt;Answers!I173),"Outlier","Normal")</f>
        <v>Outlier</v>
      </c>
      <c r="M157" s="18">
        <v>49</v>
      </c>
    </row>
    <row r="158" spans="1:13" ht="20" customHeight="1" x14ac:dyDescent="0.35">
      <c r="A158" s="17">
        <v>102931</v>
      </c>
      <c r="B158" s="18">
        <v>1185</v>
      </c>
      <c r="C158" s="23" t="s">
        <v>101</v>
      </c>
      <c r="D158" s="24">
        <v>45092.956250000003</v>
      </c>
      <c r="E158" s="18" t="s">
        <v>133</v>
      </c>
      <c r="F158" s="18" t="s">
        <v>46</v>
      </c>
      <c r="G158" s="18">
        <v>3433</v>
      </c>
      <c r="H158" s="25">
        <f t="shared" si="8"/>
        <v>45092</v>
      </c>
      <c r="I158" s="26">
        <f t="shared" si="9"/>
        <v>0.95625000000291038</v>
      </c>
      <c r="J158" s="18" t="str">
        <f t="shared" si="10"/>
        <v>June</v>
      </c>
      <c r="K158" s="56" t="str">
        <f t="shared" si="11"/>
        <v>Thursday</v>
      </c>
      <c r="L158" s="18" t="str">
        <f>IF(OR(G158&gt;Answers!I173,G158&lt;Answers!I174),"Outlier","Normal")</f>
        <v>Outlier</v>
      </c>
      <c r="M158" s="18">
        <v>34</v>
      </c>
    </row>
    <row r="159" spans="1:13" ht="20" customHeight="1" x14ac:dyDescent="0.35">
      <c r="A159" s="17">
        <v>103462</v>
      </c>
      <c r="B159" s="18">
        <v>1280</v>
      </c>
      <c r="C159" s="23" t="s">
        <v>99</v>
      </c>
      <c r="D159" s="24">
        <v>45212.024305555555</v>
      </c>
      <c r="E159" s="18" t="s">
        <v>133</v>
      </c>
      <c r="F159" s="18" t="s">
        <v>8</v>
      </c>
      <c r="G159" s="18">
        <v>9693</v>
      </c>
      <c r="H159" s="25">
        <f t="shared" si="8"/>
        <v>45212</v>
      </c>
      <c r="I159" s="26">
        <f t="shared" si="9"/>
        <v>2.4305555554747116E-2</v>
      </c>
      <c r="J159" s="18" t="str">
        <f t="shared" si="10"/>
        <v>October</v>
      </c>
      <c r="K159" s="56" t="str">
        <f t="shared" si="11"/>
        <v>Friday</v>
      </c>
      <c r="L159" s="18" t="str">
        <f>IF(OR(G159&gt;Answers!I174,G159&lt;Answers!I175),"Outlier","Normal")</f>
        <v>Outlier</v>
      </c>
      <c r="M159" s="18">
        <v>69</v>
      </c>
    </row>
    <row r="160" spans="1:13" ht="20" customHeight="1" x14ac:dyDescent="0.35">
      <c r="A160" s="17">
        <v>103711</v>
      </c>
      <c r="B160" s="18">
        <v>1972</v>
      </c>
      <c r="C160" s="23" t="s">
        <v>99</v>
      </c>
      <c r="D160" s="24">
        <v>45091.03125</v>
      </c>
      <c r="E160" s="18" t="s">
        <v>98</v>
      </c>
      <c r="F160" s="18" t="s">
        <v>46</v>
      </c>
      <c r="G160" s="18">
        <v>9524</v>
      </c>
      <c r="H160" s="25">
        <f t="shared" si="8"/>
        <v>45091</v>
      </c>
      <c r="I160" s="26">
        <f t="shared" si="9"/>
        <v>3.125E-2</v>
      </c>
      <c r="J160" s="18" t="str">
        <f t="shared" si="10"/>
        <v>June</v>
      </c>
      <c r="K160" s="56" t="str">
        <f t="shared" si="11"/>
        <v>Wednesday</v>
      </c>
      <c r="L160" s="18" t="str">
        <f>IF(OR(G160&gt;Answers!I175,G160&lt;Answers!I176),"Outlier","Normal")</f>
        <v>Outlier</v>
      </c>
      <c r="M160" s="18">
        <v>37</v>
      </c>
    </row>
    <row r="161" spans="1:13" ht="20" customHeight="1" x14ac:dyDescent="0.35">
      <c r="A161" s="17">
        <v>103812</v>
      </c>
      <c r="B161" s="18">
        <v>1047</v>
      </c>
      <c r="C161" s="23" t="s">
        <v>107</v>
      </c>
      <c r="D161" s="24">
        <v>45273.020833333336</v>
      </c>
      <c r="E161" s="18" t="s">
        <v>98</v>
      </c>
      <c r="F161" s="18" t="s">
        <v>47</v>
      </c>
      <c r="G161" s="18">
        <v>3954</v>
      </c>
      <c r="H161" s="25">
        <f t="shared" si="8"/>
        <v>45273</v>
      </c>
      <c r="I161" s="26">
        <f t="shared" si="9"/>
        <v>2.0833333335758653E-2</v>
      </c>
      <c r="J161" s="18" t="str">
        <f t="shared" si="10"/>
        <v>December</v>
      </c>
      <c r="K161" s="56" t="str">
        <f t="shared" si="11"/>
        <v>Wednesday</v>
      </c>
      <c r="L161" s="18" t="str">
        <f>IF(OR(G161&gt;Answers!I176,G161&lt;Answers!I177),"Outlier","Normal")</f>
        <v>Outlier</v>
      </c>
      <c r="M161" s="18">
        <v>20</v>
      </c>
    </row>
    <row r="162" spans="1:13" ht="20" customHeight="1" x14ac:dyDescent="0.35">
      <c r="A162" s="17">
        <v>104755</v>
      </c>
      <c r="B162" s="18">
        <v>1663</v>
      </c>
      <c r="C162" s="23" t="s">
        <v>104</v>
      </c>
      <c r="D162" s="24">
        <v>45066.029861111114</v>
      </c>
      <c r="E162" s="18" t="s">
        <v>96</v>
      </c>
      <c r="F162" s="18" t="s">
        <v>18</v>
      </c>
      <c r="G162" s="18">
        <v>4423</v>
      </c>
      <c r="H162" s="25">
        <f t="shared" si="8"/>
        <v>45066</v>
      </c>
      <c r="I162" s="26">
        <f t="shared" si="9"/>
        <v>2.9861111113859806E-2</v>
      </c>
      <c r="J162" s="18" t="str">
        <f t="shared" si="10"/>
        <v>May</v>
      </c>
      <c r="K162" s="56" t="str">
        <f t="shared" si="11"/>
        <v>Saturday</v>
      </c>
      <c r="L162" s="18" t="str">
        <f>IF(OR(G162&gt;Answers!I177,G162&lt;Answers!I178),"Outlier","Normal")</f>
        <v>Outlier</v>
      </c>
      <c r="M162" s="18">
        <v>60</v>
      </c>
    </row>
    <row r="163" spans="1:13" ht="20" customHeight="1" x14ac:dyDescent="0.35">
      <c r="A163" s="17">
        <v>105735</v>
      </c>
      <c r="B163" s="18">
        <v>1793</v>
      </c>
      <c r="C163" s="23" t="s">
        <v>100</v>
      </c>
      <c r="D163" s="24">
        <v>45254.07708333333</v>
      </c>
      <c r="E163" s="18" t="s">
        <v>97</v>
      </c>
      <c r="F163" s="18" t="s">
        <v>70</v>
      </c>
      <c r="G163" s="18">
        <v>5861</v>
      </c>
      <c r="H163" s="25">
        <f t="shared" si="8"/>
        <v>45254</v>
      </c>
      <c r="I163" s="26">
        <f t="shared" si="9"/>
        <v>7.7083333329937886E-2</v>
      </c>
      <c r="J163" s="18" t="str">
        <f t="shared" si="10"/>
        <v>November</v>
      </c>
      <c r="K163" s="56" t="str">
        <f t="shared" si="11"/>
        <v>Friday</v>
      </c>
      <c r="L163" s="18" t="str">
        <f>IF(OR(G163&gt;Answers!I178,G163&lt;Answers!I179),"Outlier","Normal")</f>
        <v>Outlier</v>
      </c>
      <c r="M163" s="18">
        <v>66</v>
      </c>
    </row>
    <row r="164" spans="1:13" ht="20" customHeight="1" x14ac:dyDescent="0.35">
      <c r="A164" s="17">
        <v>106294</v>
      </c>
      <c r="B164" s="18">
        <v>1011</v>
      </c>
      <c r="C164" s="23" t="s">
        <v>100</v>
      </c>
      <c r="D164" s="24">
        <v>45020.957638888889</v>
      </c>
      <c r="E164" s="18" t="s">
        <v>133</v>
      </c>
      <c r="F164" s="18" t="s">
        <v>71</v>
      </c>
      <c r="G164" s="18">
        <v>4430</v>
      </c>
      <c r="H164" s="25">
        <f t="shared" si="8"/>
        <v>45020</v>
      </c>
      <c r="I164" s="26">
        <f t="shared" si="9"/>
        <v>0.95763888888905058</v>
      </c>
      <c r="J164" s="18" t="str">
        <f t="shared" si="10"/>
        <v>April</v>
      </c>
      <c r="K164" s="56" t="str">
        <f t="shared" si="11"/>
        <v>Tuesday</v>
      </c>
      <c r="L164" s="18" t="str">
        <f>IF(OR(G164&gt;Answers!I179,G164&lt;Answers!I180),"Outlier","Normal")</f>
        <v>Outlier</v>
      </c>
      <c r="M164" s="18">
        <v>20</v>
      </c>
    </row>
    <row r="165" spans="1:13" ht="20" customHeight="1" x14ac:dyDescent="0.35">
      <c r="A165" s="17">
        <v>106529</v>
      </c>
      <c r="B165" s="18">
        <v>723</v>
      </c>
      <c r="C165" s="23" t="s">
        <v>108</v>
      </c>
      <c r="D165" s="24">
        <v>44953.000694444447</v>
      </c>
      <c r="E165" s="18" t="s">
        <v>96</v>
      </c>
      <c r="F165" s="18" t="s">
        <v>43</v>
      </c>
      <c r="G165" s="18">
        <v>6130</v>
      </c>
      <c r="H165" s="25">
        <f t="shared" si="8"/>
        <v>44953</v>
      </c>
      <c r="I165" s="26">
        <f t="shared" si="9"/>
        <v>6.944444467080757E-4</v>
      </c>
      <c r="J165" s="18" t="str">
        <f t="shared" si="10"/>
        <v>January</v>
      </c>
      <c r="K165" s="56" t="str">
        <f t="shared" si="11"/>
        <v>Friday</v>
      </c>
      <c r="L165" s="18" t="str">
        <f>IF(OR(G165&gt;Answers!I180,G165&lt;Answers!I181),"Outlier","Normal")</f>
        <v>Outlier</v>
      </c>
      <c r="M165" s="18">
        <v>80</v>
      </c>
    </row>
    <row r="166" spans="1:13" ht="20" customHeight="1" x14ac:dyDescent="0.35">
      <c r="A166" s="17">
        <v>108586</v>
      </c>
      <c r="B166" s="18">
        <v>1584</v>
      </c>
      <c r="C166" s="23" t="s">
        <v>99</v>
      </c>
      <c r="D166" s="24">
        <v>45019.101388888892</v>
      </c>
      <c r="E166" s="18" t="s">
        <v>96</v>
      </c>
      <c r="F166" s="18" t="s">
        <v>45</v>
      </c>
      <c r="G166" s="18">
        <v>4335</v>
      </c>
      <c r="H166" s="25">
        <f t="shared" si="8"/>
        <v>45019</v>
      </c>
      <c r="I166" s="26">
        <f t="shared" si="9"/>
        <v>0.10138888889196096</v>
      </c>
      <c r="J166" s="18" t="str">
        <f t="shared" si="10"/>
        <v>April</v>
      </c>
      <c r="K166" s="56" t="str">
        <f t="shared" si="11"/>
        <v>Monday</v>
      </c>
      <c r="L166" s="18" t="str">
        <f>IF(OR(G166&gt;Answers!I181,G166&lt;Answers!I182),"Outlier","Normal")</f>
        <v>Outlier</v>
      </c>
      <c r="M166" s="18">
        <v>30</v>
      </c>
    </row>
    <row r="167" spans="1:13" ht="20" customHeight="1" x14ac:dyDescent="0.35">
      <c r="A167" s="17">
        <v>109103</v>
      </c>
      <c r="B167" s="18">
        <v>856</v>
      </c>
      <c r="C167" s="23" t="s">
        <v>99</v>
      </c>
      <c r="D167" s="24">
        <v>44986.978472222225</v>
      </c>
      <c r="E167" s="18" t="s">
        <v>97</v>
      </c>
      <c r="F167" s="18" t="s">
        <v>8</v>
      </c>
      <c r="G167" s="18">
        <v>936</v>
      </c>
      <c r="H167" s="25">
        <f t="shared" si="8"/>
        <v>44986</v>
      </c>
      <c r="I167" s="26">
        <f t="shared" si="9"/>
        <v>0.97847222222480923</v>
      </c>
      <c r="J167" s="18" t="str">
        <f t="shared" si="10"/>
        <v>March</v>
      </c>
      <c r="K167" s="56" t="str">
        <f t="shared" si="11"/>
        <v>Wednesday</v>
      </c>
      <c r="L167" s="18" t="str">
        <f>IF(OR(G167&gt;Answers!I182,G167&lt;Answers!I183),"Outlier","Normal")</f>
        <v>Outlier</v>
      </c>
      <c r="M167" s="18">
        <v>59</v>
      </c>
    </row>
    <row r="168" spans="1:13" ht="20" customHeight="1" x14ac:dyDescent="0.35">
      <c r="A168" s="17">
        <v>109547</v>
      </c>
      <c r="B168" s="18">
        <v>1223</v>
      </c>
      <c r="C168" s="23" t="s">
        <v>99</v>
      </c>
      <c r="D168" s="24">
        <v>44965.006944444445</v>
      </c>
      <c r="E168" s="18" t="s">
        <v>97</v>
      </c>
      <c r="F168" s="18" t="s">
        <v>46</v>
      </c>
      <c r="G168" s="18">
        <v>719</v>
      </c>
      <c r="H168" s="25">
        <f t="shared" si="8"/>
        <v>44965</v>
      </c>
      <c r="I168" s="26">
        <f t="shared" si="9"/>
        <v>6.9444444452528842E-3</v>
      </c>
      <c r="J168" s="18" t="str">
        <f t="shared" si="10"/>
        <v>February</v>
      </c>
      <c r="K168" s="56" t="str">
        <f t="shared" si="11"/>
        <v>Wednesday</v>
      </c>
      <c r="L168" s="18" t="str">
        <f>IF(OR(G168&gt;Answers!I183,G168&lt;Answers!I184),"Outlier","Normal")</f>
        <v>Outlier</v>
      </c>
      <c r="M168" s="18">
        <v>63</v>
      </c>
    </row>
    <row r="169" spans="1:13" ht="20" customHeight="1" x14ac:dyDescent="0.35">
      <c r="A169" s="17">
        <v>110341</v>
      </c>
      <c r="B169" s="18">
        <v>1628</v>
      </c>
      <c r="C169" s="23" t="s">
        <v>99</v>
      </c>
      <c r="D169" s="24">
        <v>45045.038194444445</v>
      </c>
      <c r="E169" s="18" t="s">
        <v>98</v>
      </c>
      <c r="F169" s="18" t="s">
        <v>11</v>
      </c>
      <c r="G169" s="18">
        <v>1411</v>
      </c>
      <c r="H169" s="25">
        <f t="shared" si="8"/>
        <v>45045</v>
      </c>
      <c r="I169" s="26">
        <f t="shared" si="9"/>
        <v>3.8194444445252884E-2</v>
      </c>
      <c r="J169" s="18" t="str">
        <f t="shared" si="10"/>
        <v>April</v>
      </c>
      <c r="K169" s="56" t="str">
        <f t="shared" si="11"/>
        <v>Saturday</v>
      </c>
      <c r="L169" s="18" t="str">
        <f>IF(OR(G169&gt;Answers!I184,G169&lt;Answers!I185),"Outlier","Normal")</f>
        <v>Outlier</v>
      </c>
      <c r="M169" s="18">
        <v>79</v>
      </c>
    </row>
    <row r="170" spans="1:13" ht="20" customHeight="1" x14ac:dyDescent="0.35">
      <c r="A170" s="17">
        <v>111992</v>
      </c>
      <c r="B170" s="18">
        <v>1515</v>
      </c>
      <c r="C170" s="23" t="s">
        <v>99</v>
      </c>
      <c r="D170" s="24">
        <v>45011.959722222222</v>
      </c>
      <c r="E170" s="18" t="s">
        <v>97</v>
      </c>
      <c r="F170" s="18" t="s">
        <v>72</v>
      </c>
      <c r="G170" s="18">
        <v>9312</v>
      </c>
      <c r="H170" s="25">
        <f t="shared" si="8"/>
        <v>45011</v>
      </c>
      <c r="I170" s="26">
        <f t="shared" si="9"/>
        <v>0.95972222222189885</v>
      </c>
      <c r="J170" s="18" t="str">
        <f t="shared" si="10"/>
        <v>March</v>
      </c>
      <c r="K170" s="56" t="str">
        <f t="shared" si="11"/>
        <v>Sunday</v>
      </c>
      <c r="L170" s="18" t="str">
        <f>IF(OR(G170&gt;Answers!I185,G170&lt;Answers!I186),"Outlier","Normal")</f>
        <v>Outlier</v>
      </c>
      <c r="M170" s="18">
        <v>54</v>
      </c>
    </row>
    <row r="171" spans="1:13" ht="20" customHeight="1" x14ac:dyDescent="0.35">
      <c r="A171" s="17">
        <v>112219</v>
      </c>
      <c r="B171" s="18">
        <v>1857</v>
      </c>
      <c r="C171" s="23" t="s">
        <v>100</v>
      </c>
      <c r="D171" s="24">
        <v>45065.963194444441</v>
      </c>
      <c r="E171" s="18" t="s">
        <v>133</v>
      </c>
      <c r="F171" s="18" t="s">
        <v>27</v>
      </c>
      <c r="G171" s="18">
        <v>7425</v>
      </c>
      <c r="H171" s="25">
        <f t="shared" si="8"/>
        <v>45065</v>
      </c>
      <c r="I171" s="26">
        <f t="shared" si="9"/>
        <v>0.96319444444088731</v>
      </c>
      <c r="J171" s="18" t="str">
        <f t="shared" si="10"/>
        <v>May</v>
      </c>
      <c r="K171" s="56" t="str">
        <f t="shared" si="11"/>
        <v>Friday</v>
      </c>
      <c r="L171" s="18" t="str">
        <f>IF(OR(G171&gt;Answers!I186,G171&lt;Answers!I187),"Outlier","Normal")</f>
        <v>Outlier</v>
      </c>
      <c r="M171" s="18">
        <v>75</v>
      </c>
    </row>
    <row r="172" spans="1:13" ht="20" customHeight="1" x14ac:dyDescent="0.35">
      <c r="A172" s="17">
        <v>112565</v>
      </c>
      <c r="B172" s="18">
        <v>1485</v>
      </c>
      <c r="C172" s="23" t="s">
        <v>105</v>
      </c>
      <c r="D172" s="24">
        <v>45041.01666666667</v>
      </c>
      <c r="E172" s="18" t="s">
        <v>98</v>
      </c>
      <c r="F172" s="18" t="s">
        <v>13</v>
      </c>
      <c r="G172" s="18">
        <v>6159</v>
      </c>
      <c r="H172" s="25">
        <f t="shared" si="8"/>
        <v>45041</v>
      </c>
      <c r="I172" s="26">
        <f t="shared" si="9"/>
        <v>1.6666666670062114E-2</v>
      </c>
      <c r="J172" s="18" t="str">
        <f t="shared" si="10"/>
        <v>April</v>
      </c>
      <c r="K172" s="56" t="str">
        <f t="shared" si="11"/>
        <v>Tuesday</v>
      </c>
      <c r="L172" s="18" t="str">
        <f>IF(OR(G172&gt;Answers!I187,G172&lt;Answers!I188),"Outlier","Normal")</f>
        <v>Outlier</v>
      </c>
      <c r="M172" s="18">
        <v>38</v>
      </c>
    </row>
    <row r="173" spans="1:13" ht="20" customHeight="1" x14ac:dyDescent="0.35">
      <c r="A173" s="17">
        <v>112919</v>
      </c>
      <c r="B173" s="18">
        <v>1262</v>
      </c>
      <c r="C173" s="23" t="s">
        <v>99</v>
      </c>
      <c r="D173" s="24">
        <v>45141.006249999999</v>
      </c>
      <c r="E173" s="18" t="s">
        <v>96</v>
      </c>
      <c r="F173" s="18" t="s">
        <v>73</v>
      </c>
      <c r="G173" s="18">
        <v>3155</v>
      </c>
      <c r="H173" s="25">
        <f t="shared" si="8"/>
        <v>45141</v>
      </c>
      <c r="I173" s="26">
        <f t="shared" si="9"/>
        <v>6.2499999985448085E-3</v>
      </c>
      <c r="J173" s="18" t="str">
        <f t="shared" si="10"/>
        <v>August</v>
      </c>
      <c r="K173" s="56" t="str">
        <f t="shared" si="11"/>
        <v>Thursday</v>
      </c>
      <c r="L173" s="18" t="str">
        <f>IF(OR(G173&gt;Answers!I188,G173&lt;Answers!I189),"Outlier","Normal")</f>
        <v>Outlier</v>
      </c>
      <c r="M173" s="18">
        <v>41</v>
      </c>
    </row>
    <row r="174" spans="1:13" ht="20" customHeight="1" x14ac:dyDescent="0.35">
      <c r="A174" s="17">
        <v>113132</v>
      </c>
      <c r="B174" s="18">
        <v>211</v>
      </c>
      <c r="C174" s="23" t="s">
        <v>100</v>
      </c>
      <c r="D174" s="24">
        <v>45266.997916666667</v>
      </c>
      <c r="E174" s="18" t="s">
        <v>133</v>
      </c>
      <c r="F174" s="18" t="s">
        <v>52</v>
      </c>
      <c r="G174" s="18">
        <v>2270</v>
      </c>
      <c r="H174" s="25">
        <f t="shared" si="8"/>
        <v>45266</v>
      </c>
      <c r="I174" s="26">
        <f t="shared" si="9"/>
        <v>0.99791666666715173</v>
      </c>
      <c r="J174" s="18" t="str">
        <f t="shared" si="10"/>
        <v>December</v>
      </c>
      <c r="K174" s="56" t="str">
        <f t="shared" si="11"/>
        <v>Wednesday</v>
      </c>
      <c r="L174" s="18" t="str">
        <f>IF(OR(G174&gt;Answers!I189,G174&lt;Answers!I190),"Outlier","Normal")</f>
        <v>Outlier</v>
      </c>
      <c r="M174" s="18">
        <v>79</v>
      </c>
    </row>
    <row r="175" spans="1:13" ht="20" customHeight="1" x14ac:dyDescent="0.35">
      <c r="A175" s="17">
        <v>113406</v>
      </c>
      <c r="B175" s="18">
        <v>1911</v>
      </c>
      <c r="C175" s="23" t="s">
        <v>101</v>
      </c>
      <c r="D175" s="24">
        <v>44987.074999999997</v>
      </c>
      <c r="E175" s="18" t="s">
        <v>96</v>
      </c>
      <c r="F175" s="18" t="s">
        <v>26</v>
      </c>
      <c r="G175" s="18">
        <v>2500</v>
      </c>
      <c r="H175" s="25">
        <f t="shared" si="8"/>
        <v>44987</v>
      </c>
      <c r="I175" s="26">
        <f t="shared" si="9"/>
        <v>7.4999999997089617E-2</v>
      </c>
      <c r="J175" s="18" t="str">
        <f t="shared" si="10"/>
        <v>March</v>
      </c>
      <c r="K175" s="56" t="str">
        <f t="shared" si="11"/>
        <v>Thursday</v>
      </c>
      <c r="L175" s="18" t="str">
        <f>IF(OR(G175&gt;Answers!I190,G175&lt;Answers!I191),"Outlier","Normal")</f>
        <v>Outlier</v>
      </c>
      <c r="M175" s="18">
        <v>78</v>
      </c>
    </row>
    <row r="176" spans="1:13" ht="20" customHeight="1" x14ac:dyDescent="0.35">
      <c r="A176" s="17">
        <v>114309</v>
      </c>
      <c r="B176" s="18">
        <v>139</v>
      </c>
      <c r="C176" s="23" t="s">
        <v>99</v>
      </c>
      <c r="D176" s="24">
        <v>45102.070833333331</v>
      </c>
      <c r="E176" s="18" t="s">
        <v>96</v>
      </c>
      <c r="F176" s="18" t="s">
        <v>74</v>
      </c>
      <c r="G176" s="18">
        <v>5868</v>
      </c>
      <c r="H176" s="25">
        <f t="shared" si="8"/>
        <v>45102</v>
      </c>
      <c r="I176" s="26">
        <f t="shared" si="9"/>
        <v>7.0833333331393078E-2</v>
      </c>
      <c r="J176" s="18" t="str">
        <f t="shared" si="10"/>
        <v>June</v>
      </c>
      <c r="K176" s="56" t="str">
        <f t="shared" si="11"/>
        <v>Sunday</v>
      </c>
      <c r="L176" s="18" t="str">
        <f>IF(OR(G176&gt;Answers!I191,G176&lt;Answers!I192),"Outlier","Normal")</f>
        <v>Outlier</v>
      </c>
      <c r="M176" s="18">
        <v>75</v>
      </c>
    </row>
    <row r="177" spans="1:13" ht="20" customHeight="1" x14ac:dyDescent="0.35">
      <c r="A177" s="17">
        <v>114621</v>
      </c>
      <c r="B177" s="18">
        <v>501</v>
      </c>
      <c r="C177" s="23" t="s">
        <v>105</v>
      </c>
      <c r="D177" s="24">
        <v>45283.993750000001</v>
      </c>
      <c r="E177" s="18" t="s">
        <v>133</v>
      </c>
      <c r="F177" s="18" t="s">
        <v>75</v>
      </c>
      <c r="G177" s="18">
        <v>3842</v>
      </c>
      <c r="H177" s="25">
        <f t="shared" si="8"/>
        <v>45283</v>
      </c>
      <c r="I177" s="26">
        <f t="shared" si="9"/>
        <v>0.99375000000145519</v>
      </c>
      <c r="J177" s="18" t="str">
        <f t="shared" si="10"/>
        <v>December</v>
      </c>
      <c r="K177" s="56" t="str">
        <f t="shared" si="11"/>
        <v>Saturday</v>
      </c>
      <c r="L177" s="18" t="str">
        <f>IF(OR(G177&gt;Answers!I192,G177&lt;Answers!I193),"Outlier","Normal")</f>
        <v>Outlier</v>
      </c>
      <c r="M177" s="18">
        <v>45</v>
      </c>
    </row>
    <row r="178" spans="1:13" ht="20" customHeight="1" x14ac:dyDescent="0.35">
      <c r="A178" s="17">
        <v>115590</v>
      </c>
      <c r="B178" s="18">
        <v>517</v>
      </c>
      <c r="C178" s="23" t="s">
        <v>101</v>
      </c>
      <c r="D178" s="24">
        <v>44959.994444444441</v>
      </c>
      <c r="E178" s="18" t="s">
        <v>96</v>
      </c>
      <c r="F178" s="18" t="s">
        <v>73</v>
      </c>
      <c r="G178" s="18">
        <v>9953</v>
      </c>
      <c r="H178" s="25">
        <f t="shared" si="8"/>
        <v>44959</v>
      </c>
      <c r="I178" s="26">
        <f t="shared" si="9"/>
        <v>0.99444444444088731</v>
      </c>
      <c r="J178" s="18" t="str">
        <f t="shared" si="10"/>
        <v>February</v>
      </c>
      <c r="K178" s="56" t="str">
        <f t="shared" si="11"/>
        <v>Thursday</v>
      </c>
      <c r="L178" s="18" t="str">
        <f>IF(OR(G178&gt;Answers!I193,G178&lt;Answers!I194),"Outlier","Normal")</f>
        <v>Outlier</v>
      </c>
      <c r="M178" s="18">
        <v>77</v>
      </c>
    </row>
    <row r="179" spans="1:13" ht="20" customHeight="1" x14ac:dyDescent="0.35">
      <c r="A179" s="17">
        <v>116342</v>
      </c>
      <c r="B179" s="18">
        <v>1210</v>
      </c>
      <c r="C179" s="23" t="s">
        <v>105</v>
      </c>
      <c r="D179" s="24">
        <v>45277.040277777778</v>
      </c>
      <c r="E179" s="18" t="s">
        <v>96</v>
      </c>
      <c r="F179" s="18" t="s">
        <v>76</v>
      </c>
      <c r="G179" s="18">
        <v>2323</v>
      </c>
      <c r="H179" s="25">
        <f t="shared" si="8"/>
        <v>45277</v>
      </c>
      <c r="I179" s="26">
        <f t="shared" si="9"/>
        <v>4.0277777778101154E-2</v>
      </c>
      <c r="J179" s="18" t="str">
        <f t="shared" si="10"/>
        <v>December</v>
      </c>
      <c r="K179" s="56" t="str">
        <f t="shared" si="11"/>
        <v>Sunday</v>
      </c>
      <c r="L179" s="18" t="str">
        <f>IF(OR(G179&gt;Answers!I194,G179&lt;Answers!I195),"Outlier","Normal")</f>
        <v>Outlier</v>
      </c>
      <c r="M179" s="18">
        <v>88</v>
      </c>
    </row>
    <row r="180" spans="1:13" ht="20" customHeight="1" x14ac:dyDescent="0.35">
      <c r="A180" s="17">
        <v>118335</v>
      </c>
      <c r="B180" s="18">
        <v>1715</v>
      </c>
      <c r="C180" s="23" t="s">
        <v>99</v>
      </c>
      <c r="D180" s="24">
        <v>45194.007638888892</v>
      </c>
      <c r="E180" s="18" t="s">
        <v>96</v>
      </c>
      <c r="F180" s="18" t="s">
        <v>72</v>
      </c>
      <c r="G180" s="18">
        <v>477</v>
      </c>
      <c r="H180" s="25">
        <f t="shared" si="8"/>
        <v>45194</v>
      </c>
      <c r="I180" s="26">
        <f t="shared" si="9"/>
        <v>7.6388888919609599E-3</v>
      </c>
      <c r="J180" s="18" t="str">
        <f t="shared" si="10"/>
        <v>September</v>
      </c>
      <c r="K180" s="56" t="str">
        <f t="shared" si="11"/>
        <v>Monday</v>
      </c>
      <c r="L180" s="18" t="str">
        <f>IF(OR(G180&gt;Answers!I195,G180&lt;Answers!I196),"Outlier","Normal")</f>
        <v>Outlier</v>
      </c>
      <c r="M180" s="18">
        <v>41</v>
      </c>
    </row>
    <row r="181" spans="1:13" ht="20" customHeight="1" x14ac:dyDescent="0.35">
      <c r="A181" s="17">
        <v>118716</v>
      </c>
      <c r="B181" s="18">
        <v>1599</v>
      </c>
      <c r="C181" s="23" t="s">
        <v>99</v>
      </c>
      <c r="D181" s="24">
        <v>45275.006944444445</v>
      </c>
      <c r="E181" s="18" t="s">
        <v>96</v>
      </c>
      <c r="F181" s="18" t="s">
        <v>28</v>
      </c>
      <c r="G181" s="18">
        <v>4765</v>
      </c>
      <c r="H181" s="25">
        <f t="shared" si="8"/>
        <v>45275</v>
      </c>
      <c r="I181" s="26">
        <f t="shared" si="9"/>
        <v>6.9444444452528842E-3</v>
      </c>
      <c r="J181" s="18" t="str">
        <f t="shared" si="10"/>
        <v>December</v>
      </c>
      <c r="K181" s="56" t="str">
        <f t="shared" si="11"/>
        <v>Friday</v>
      </c>
      <c r="L181" s="18" t="str">
        <f>IF(OR(G181&gt;Answers!I196,G181&lt;Answers!I197),"Outlier","Normal")</f>
        <v>Outlier</v>
      </c>
      <c r="M181" s="18">
        <v>81</v>
      </c>
    </row>
    <row r="182" spans="1:13" ht="20" customHeight="1" x14ac:dyDescent="0.35">
      <c r="A182" s="17">
        <v>118960</v>
      </c>
      <c r="B182" s="18">
        <v>1265</v>
      </c>
      <c r="C182" s="23" t="s">
        <v>99</v>
      </c>
      <c r="D182" s="24">
        <v>45004.018750000003</v>
      </c>
      <c r="E182" s="18" t="s">
        <v>98</v>
      </c>
      <c r="F182" s="18" t="s">
        <v>4</v>
      </c>
      <c r="G182" s="18">
        <v>3942</v>
      </c>
      <c r="H182" s="25">
        <f t="shared" si="8"/>
        <v>45004</v>
      </c>
      <c r="I182" s="26">
        <f t="shared" si="9"/>
        <v>1.8750000002910383E-2</v>
      </c>
      <c r="J182" s="18" t="str">
        <f t="shared" si="10"/>
        <v>March</v>
      </c>
      <c r="K182" s="56" t="str">
        <f t="shared" si="11"/>
        <v>Sunday</v>
      </c>
      <c r="L182" s="18" t="str">
        <f>IF(OR(G182&gt;Answers!I197,G182&lt;Answers!I198),"Outlier","Normal")</f>
        <v>Outlier</v>
      </c>
      <c r="M182" s="18">
        <v>72</v>
      </c>
    </row>
    <row r="183" spans="1:13" ht="20" customHeight="1" x14ac:dyDescent="0.35">
      <c r="A183" s="17">
        <v>120228</v>
      </c>
      <c r="B183" s="18">
        <v>1795</v>
      </c>
      <c r="C183" s="23" t="s">
        <v>100</v>
      </c>
      <c r="D183" s="24">
        <v>45049.063888888886</v>
      </c>
      <c r="E183" s="18" t="s">
        <v>133</v>
      </c>
      <c r="F183" s="18" t="s">
        <v>23</v>
      </c>
      <c r="G183" s="18">
        <v>5864</v>
      </c>
      <c r="H183" s="25">
        <f t="shared" si="8"/>
        <v>45049</v>
      </c>
      <c r="I183" s="26">
        <f t="shared" si="9"/>
        <v>6.3888888886140194E-2</v>
      </c>
      <c r="J183" s="18" t="str">
        <f t="shared" si="10"/>
        <v>May</v>
      </c>
      <c r="K183" s="56" t="str">
        <f t="shared" si="11"/>
        <v>Wednesday</v>
      </c>
      <c r="L183" s="18" t="str">
        <f>IF(OR(G183&gt;Answers!I198,G183&lt;Answers!I199),"Outlier","Normal")</f>
        <v>Outlier</v>
      </c>
      <c r="M183" s="18">
        <v>53</v>
      </c>
    </row>
    <row r="184" spans="1:13" ht="20" customHeight="1" x14ac:dyDescent="0.35">
      <c r="A184" s="17">
        <v>120567</v>
      </c>
      <c r="B184" s="18">
        <v>1523</v>
      </c>
      <c r="C184" s="23" t="s">
        <v>105</v>
      </c>
      <c r="D184" s="24">
        <v>45107.981249999997</v>
      </c>
      <c r="E184" s="18" t="s">
        <v>133</v>
      </c>
      <c r="F184" s="18" t="s">
        <v>77</v>
      </c>
      <c r="G184" s="18">
        <v>1876</v>
      </c>
      <c r="H184" s="25">
        <f t="shared" si="8"/>
        <v>45107</v>
      </c>
      <c r="I184" s="26">
        <f t="shared" si="9"/>
        <v>0.98124999999708962</v>
      </c>
      <c r="J184" s="18" t="str">
        <f t="shared" si="10"/>
        <v>June</v>
      </c>
      <c r="K184" s="56" t="str">
        <f t="shared" si="11"/>
        <v>Friday</v>
      </c>
      <c r="L184" s="18" t="str">
        <f>IF(OR(G184&gt;Answers!I199,G184&lt;Answers!I200),"Outlier","Normal")</f>
        <v>Outlier</v>
      </c>
      <c r="M184" s="18">
        <v>50</v>
      </c>
    </row>
    <row r="185" spans="1:13" ht="20" customHeight="1" x14ac:dyDescent="0.35">
      <c r="A185" s="17">
        <v>122068</v>
      </c>
      <c r="B185" s="18">
        <v>624</v>
      </c>
      <c r="C185" s="23" t="s">
        <v>101</v>
      </c>
      <c r="D185" s="24">
        <v>45200.071527777778</v>
      </c>
      <c r="E185" s="18" t="s">
        <v>96</v>
      </c>
      <c r="F185" s="18" t="s">
        <v>18</v>
      </c>
      <c r="G185" s="18">
        <v>3030</v>
      </c>
      <c r="H185" s="25">
        <f t="shared" si="8"/>
        <v>45200</v>
      </c>
      <c r="I185" s="26">
        <f t="shared" si="9"/>
        <v>7.1527777778101154E-2</v>
      </c>
      <c r="J185" s="18" t="str">
        <f t="shared" si="10"/>
        <v>October</v>
      </c>
      <c r="K185" s="56" t="str">
        <f t="shared" si="11"/>
        <v>Sunday</v>
      </c>
      <c r="L185" s="18" t="str">
        <f>IF(OR(G185&gt;Answers!I200,G185&lt;Answers!I201),"Outlier","Normal")</f>
        <v>Outlier</v>
      </c>
      <c r="M185" s="18">
        <v>43</v>
      </c>
    </row>
    <row r="186" spans="1:13" ht="20" customHeight="1" x14ac:dyDescent="0.35">
      <c r="A186" s="17">
        <v>122492</v>
      </c>
      <c r="B186" s="18">
        <v>147</v>
      </c>
      <c r="C186" s="23" t="s">
        <v>99</v>
      </c>
      <c r="D186" s="24">
        <v>45109.945138888892</v>
      </c>
      <c r="E186" s="18" t="s">
        <v>97</v>
      </c>
      <c r="F186" s="18" t="s">
        <v>41</v>
      </c>
      <c r="G186" s="18">
        <v>1788</v>
      </c>
      <c r="H186" s="25">
        <f t="shared" si="8"/>
        <v>45109</v>
      </c>
      <c r="I186" s="26">
        <f t="shared" si="9"/>
        <v>0.94513888889196096</v>
      </c>
      <c r="J186" s="18" t="str">
        <f t="shared" si="10"/>
        <v>July</v>
      </c>
      <c r="K186" s="56" t="str">
        <f t="shared" si="11"/>
        <v>Sunday</v>
      </c>
      <c r="L186" s="18" t="str">
        <f>IF(OR(G186&gt;Answers!I201,G186&lt;Answers!I202),"Outlier","Normal")</f>
        <v>Outlier</v>
      </c>
      <c r="M186" s="18">
        <v>29</v>
      </c>
    </row>
    <row r="187" spans="1:13" ht="20" customHeight="1" x14ac:dyDescent="0.35">
      <c r="A187" s="17">
        <v>123546</v>
      </c>
      <c r="B187" s="18">
        <v>990</v>
      </c>
      <c r="C187" s="23" t="s">
        <v>109</v>
      </c>
      <c r="D187" s="24">
        <v>45062.030555555553</v>
      </c>
      <c r="E187" s="18" t="s">
        <v>97</v>
      </c>
      <c r="F187" s="18" t="s">
        <v>23</v>
      </c>
      <c r="G187" s="18">
        <v>9475</v>
      </c>
      <c r="H187" s="25">
        <f t="shared" si="8"/>
        <v>45062</v>
      </c>
      <c r="I187" s="26">
        <f t="shared" si="9"/>
        <v>3.0555555553291924E-2</v>
      </c>
      <c r="J187" s="18" t="str">
        <f t="shared" si="10"/>
        <v>May</v>
      </c>
      <c r="K187" s="56" t="str">
        <f t="shared" si="11"/>
        <v>Tuesday</v>
      </c>
      <c r="L187" s="18" t="str">
        <f>IF(OR(G187&gt;Answers!I202,G187&lt;Answers!I203),"Outlier","Normal")</f>
        <v>Outlier</v>
      </c>
      <c r="M187" s="18">
        <v>37</v>
      </c>
    </row>
    <row r="188" spans="1:13" ht="20" customHeight="1" x14ac:dyDescent="0.35">
      <c r="A188" s="17">
        <v>125939</v>
      </c>
      <c r="B188" s="18">
        <v>213</v>
      </c>
      <c r="C188" s="23" t="s">
        <v>99</v>
      </c>
      <c r="D188" s="24">
        <v>44985.036805555559</v>
      </c>
      <c r="E188" s="18" t="s">
        <v>133</v>
      </c>
      <c r="F188" s="18" t="s">
        <v>52</v>
      </c>
      <c r="G188" s="18">
        <v>6023</v>
      </c>
      <c r="H188" s="25">
        <f t="shared" si="8"/>
        <v>44985</v>
      </c>
      <c r="I188" s="26">
        <f t="shared" si="9"/>
        <v>3.680555555911269E-2</v>
      </c>
      <c r="J188" s="18" t="str">
        <f t="shared" si="10"/>
        <v>February</v>
      </c>
      <c r="K188" s="56" t="str">
        <f t="shared" si="11"/>
        <v>Tuesday</v>
      </c>
      <c r="L188" s="18" t="str">
        <f>IF(OR(G188&gt;Answers!I203,G188&lt;Answers!I204),"Outlier","Normal")</f>
        <v>Outlier</v>
      </c>
      <c r="M188" s="18">
        <v>52</v>
      </c>
    </row>
    <row r="189" spans="1:13" ht="20" customHeight="1" x14ac:dyDescent="0.35">
      <c r="A189" s="17">
        <v>127157</v>
      </c>
      <c r="B189" s="18">
        <v>532</v>
      </c>
      <c r="C189" s="23" t="s">
        <v>99</v>
      </c>
      <c r="D189" s="24">
        <v>44972.997916666667</v>
      </c>
      <c r="E189" s="18" t="s">
        <v>97</v>
      </c>
      <c r="F189" s="18" t="s">
        <v>30</v>
      </c>
      <c r="G189" s="18">
        <v>2367</v>
      </c>
      <c r="H189" s="25">
        <f t="shared" si="8"/>
        <v>44972</v>
      </c>
      <c r="I189" s="26">
        <f t="shared" si="9"/>
        <v>0.99791666666715173</v>
      </c>
      <c r="J189" s="18" t="str">
        <f t="shared" si="10"/>
        <v>February</v>
      </c>
      <c r="K189" s="56" t="str">
        <f t="shared" si="11"/>
        <v>Wednesday</v>
      </c>
      <c r="L189" s="18" t="str">
        <f>IF(OR(G189&gt;Answers!I204,G189&lt;Answers!I205),"Outlier","Normal")</f>
        <v>Outlier</v>
      </c>
      <c r="M189" s="18">
        <v>84</v>
      </c>
    </row>
    <row r="190" spans="1:13" ht="20" customHeight="1" x14ac:dyDescent="0.35">
      <c r="A190" s="17">
        <v>127349</v>
      </c>
      <c r="B190" s="18">
        <v>620</v>
      </c>
      <c r="C190" s="23" t="s">
        <v>106</v>
      </c>
      <c r="D190" s="24">
        <v>45027.025000000001</v>
      </c>
      <c r="E190" s="18" t="s">
        <v>133</v>
      </c>
      <c r="F190" s="18" t="s">
        <v>78</v>
      </c>
      <c r="G190" s="18">
        <v>4477</v>
      </c>
      <c r="H190" s="25">
        <f t="shared" si="8"/>
        <v>45027</v>
      </c>
      <c r="I190" s="26">
        <f t="shared" si="9"/>
        <v>2.5000000001455192E-2</v>
      </c>
      <c r="J190" s="18" t="str">
        <f t="shared" si="10"/>
        <v>April</v>
      </c>
      <c r="K190" s="56" t="str">
        <f t="shared" si="11"/>
        <v>Tuesday</v>
      </c>
      <c r="L190" s="18" t="str">
        <f>IF(OR(G190&gt;Answers!I205,G190&lt;Answers!I206),"Outlier","Normal")</f>
        <v>Outlier</v>
      </c>
      <c r="M190" s="18">
        <v>41</v>
      </c>
    </row>
    <row r="191" spans="1:13" ht="20" customHeight="1" x14ac:dyDescent="0.35">
      <c r="A191" s="17">
        <v>127352</v>
      </c>
      <c r="B191" s="18">
        <v>1534</v>
      </c>
      <c r="C191" s="23" t="s">
        <v>99</v>
      </c>
      <c r="D191" s="24">
        <v>45181.008333333331</v>
      </c>
      <c r="E191" s="18" t="s">
        <v>97</v>
      </c>
      <c r="F191" s="18" t="s">
        <v>43</v>
      </c>
      <c r="G191" s="18">
        <v>8980</v>
      </c>
      <c r="H191" s="25">
        <f t="shared" si="8"/>
        <v>45181</v>
      </c>
      <c r="I191" s="26">
        <f t="shared" si="9"/>
        <v>8.333333331393078E-3</v>
      </c>
      <c r="J191" s="18" t="str">
        <f t="shared" si="10"/>
        <v>September</v>
      </c>
      <c r="K191" s="56" t="str">
        <f t="shared" si="11"/>
        <v>Tuesday</v>
      </c>
      <c r="L191" s="18" t="str">
        <f>IF(OR(G191&gt;Answers!I206,G191&lt;Answers!I207),"Outlier","Normal")</f>
        <v>Outlier</v>
      </c>
      <c r="M191" s="18">
        <v>18</v>
      </c>
    </row>
    <row r="192" spans="1:13" ht="20" customHeight="1" x14ac:dyDescent="0.35">
      <c r="A192" s="17">
        <v>128831</v>
      </c>
      <c r="B192" s="18">
        <v>816</v>
      </c>
      <c r="C192" s="23" t="s">
        <v>113</v>
      </c>
      <c r="D192" s="24">
        <v>45255.044444444444</v>
      </c>
      <c r="E192" s="18" t="s">
        <v>133</v>
      </c>
      <c r="F192" s="18" t="s">
        <v>27</v>
      </c>
      <c r="G192" s="18">
        <v>483</v>
      </c>
      <c r="H192" s="25">
        <f t="shared" si="8"/>
        <v>45255</v>
      </c>
      <c r="I192" s="26">
        <f t="shared" si="9"/>
        <v>4.4444444443797693E-2</v>
      </c>
      <c r="J192" s="18" t="str">
        <f t="shared" si="10"/>
        <v>November</v>
      </c>
      <c r="K192" s="56" t="str">
        <f t="shared" si="11"/>
        <v>Saturday</v>
      </c>
      <c r="L192" s="18" t="str">
        <f>IF(OR(G192&gt;Answers!I207,G192&lt;Answers!I208),"Outlier","Normal")</f>
        <v>Outlier</v>
      </c>
      <c r="M192" s="18">
        <v>46</v>
      </c>
    </row>
    <row r="193" spans="1:13" ht="20" customHeight="1" x14ac:dyDescent="0.35">
      <c r="A193" s="17">
        <v>130037</v>
      </c>
      <c r="B193" s="18">
        <v>765</v>
      </c>
      <c r="C193" s="23" t="s">
        <v>103</v>
      </c>
      <c r="D193" s="24">
        <v>45062.049305555556</v>
      </c>
      <c r="E193" s="18" t="s">
        <v>97</v>
      </c>
      <c r="F193" s="18" t="s">
        <v>30</v>
      </c>
      <c r="G193" s="18">
        <v>7380</v>
      </c>
      <c r="H193" s="25">
        <f t="shared" si="8"/>
        <v>45062</v>
      </c>
      <c r="I193" s="26">
        <f t="shared" si="9"/>
        <v>4.9305555556202307E-2</v>
      </c>
      <c r="J193" s="18" t="str">
        <f t="shared" si="10"/>
        <v>May</v>
      </c>
      <c r="K193" s="56" t="str">
        <f t="shared" si="11"/>
        <v>Tuesday</v>
      </c>
      <c r="L193" s="18" t="str">
        <f>IF(OR(G193&gt;Answers!I208,G193&lt;Answers!I209),"Outlier","Normal")</f>
        <v>Outlier</v>
      </c>
      <c r="M193" s="18">
        <v>46</v>
      </c>
    </row>
    <row r="194" spans="1:13" ht="20" customHeight="1" x14ac:dyDescent="0.35">
      <c r="A194" s="17">
        <v>130805</v>
      </c>
      <c r="B194" s="18">
        <v>207</v>
      </c>
      <c r="C194" s="23" t="s">
        <v>108</v>
      </c>
      <c r="D194" s="24">
        <v>45118.010416666664</v>
      </c>
      <c r="E194" s="18" t="s">
        <v>97</v>
      </c>
      <c r="F194" s="18" t="s">
        <v>74</v>
      </c>
      <c r="G194" s="18">
        <v>9542</v>
      </c>
      <c r="H194" s="25">
        <f t="shared" si="8"/>
        <v>45118</v>
      </c>
      <c r="I194" s="26">
        <f t="shared" si="9"/>
        <v>1.0416666664241347E-2</v>
      </c>
      <c r="J194" s="18" t="str">
        <f t="shared" si="10"/>
        <v>July</v>
      </c>
      <c r="K194" s="56" t="str">
        <f t="shared" si="11"/>
        <v>Tuesday</v>
      </c>
      <c r="L194" s="18" t="str">
        <f>IF(OR(G194&gt;Answers!I209,G194&lt;Answers!I210),"Outlier","Normal")</f>
        <v>Outlier</v>
      </c>
      <c r="M194" s="18">
        <v>76</v>
      </c>
    </row>
    <row r="195" spans="1:13" ht="20" customHeight="1" x14ac:dyDescent="0.35">
      <c r="A195" s="17">
        <v>130920</v>
      </c>
      <c r="B195" s="18">
        <v>1099</v>
      </c>
      <c r="C195" s="23" t="s">
        <v>100</v>
      </c>
      <c r="D195" s="24">
        <v>45035.990972222222</v>
      </c>
      <c r="E195" s="18" t="s">
        <v>97</v>
      </c>
      <c r="F195" s="18" t="s">
        <v>54</v>
      </c>
      <c r="G195" s="18">
        <v>5261</v>
      </c>
      <c r="H195" s="25">
        <f t="shared" ref="H195:H258" si="12">INT(D195)</f>
        <v>45035</v>
      </c>
      <c r="I195" s="26">
        <f t="shared" ref="I195:I258" si="13">MOD(D195,1)</f>
        <v>0.99097222222189885</v>
      </c>
      <c r="J195" s="18" t="str">
        <f t="shared" ref="J195:J258" si="14">TEXT(D195,"mmmm")</f>
        <v>April</v>
      </c>
      <c r="K195" s="56" t="str">
        <f t="shared" ref="K195:K258" si="15">TEXT(D195,"dddd")</f>
        <v>Wednesday</v>
      </c>
      <c r="L195" s="18" t="str">
        <f>IF(OR(G195&gt;Answers!I210,G195&lt;Answers!I211),"Outlier","Normal")</f>
        <v>Outlier</v>
      </c>
      <c r="M195" s="18">
        <v>76</v>
      </c>
    </row>
    <row r="196" spans="1:13" ht="20" customHeight="1" x14ac:dyDescent="0.35">
      <c r="A196" s="17">
        <v>131508</v>
      </c>
      <c r="B196" s="18">
        <v>140</v>
      </c>
      <c r="C196" s="23" t="s">
        <v>99</v>
      </c>
      <c r="D196" s="24">
        <v>44968.034722222219</v>
      </c>
      <c r="E196" s="18" t="s">
        <v>98</v>
      </c>
      <c r="F196" s="18" t="s">
        <v>38</v>
      </c>
      <c r="G196" s="18">
        <v>2656</v>
      </c>
      <c r="H196" s="25">
        <f t="shared" si="12"/>
        <v>44968</v>
      </c>
      <c r="I196" s="26">
        <f t="shared" si="13"/>
        <v>3.4722222218988463E-2</v>
      </c>
      <c r="J196" s="18" t="str">
        <f t="shared" si="14"/>
        <v>February</v>
      </c>
      <c r="K196" s="56" t="str">
        <f t="shared" si="15"/>
        <v>Saturday</v>
      </c>
      <c r="L196" s="18" t="str">
        <f>IF(OR(G196&gt;Answers!I211,G196&lt;Answers!I212),"Outlier","Normal")</f>
        <v>Outlier</v>
      </c>
      <c r="M196" s="18">
        <v>58</v>
      </c>
    </row>
    <row r="197" spans="1:13" ht="20" customHeight="1" x14ac:dyDescent="0.35">
      <c r="A197" s="17">
        <v>133285</v>
      </c>
      <c r="B197" s="18">
        <v>516</v>
      </c>
      <c r="C197" s="23" t="s">
        <v>100</v>
      </c>
      <c r="D197" s="24">
        <v>44968.058333333334</v>
      </c>
      <c r="E197" s="18" t="s">
        <v>96</v>
      </c>
      <c r="F197" s="18" t="s">
        <v>34</v>
      </c>
      <c r="G197" s="18">
        <v>7837</v>
      </c>
      <c r="H197" s="25">
        <f t="shared" si="12"/>
        <v>44968</v>
      </c>
      <c r="I197" s="26">
        <f t="shared" si="13"/>
        <v>5.8333333334303461E-2</v>
      </c>
      <c r="J197" s="18" t="str">
        <f t="shared" si="14"/>
        <v>February</v>
      </c>
      <c r="K197" s="56" t="str">
        <f t="shared" si="15"/>
        <v>Saturday</v>
      </c>
      <c r="L197" s="18" t="str">
        <f>IF(OR(G197&gt;Answers!I212,G197&lt;Answers!I213),"Outlier","Normal")</f>
        <v>Outlier</v>
      </c>
      <c r="M197" s="18">
        <v>51</v>
      </c>
    </row>
    <row r="198" spans="1:13" ht="20" customHeight="1" x14ac:dyDescent="0.35">
      <c r="A198" s="17">
        <v>133922</v>
      </c>
      <c r="B198" s="18">
        <v>1441</v>
      </c>
      <c r="C198" s="23" t="s">
        <v>101</v>
      </c>
      <c r="D198" s="24">
        <v>45156.006249999999</v>
      </c>
      <c r="E198" s="18" t="s">
        <v>96</v>
      </c>
      <c r="F198" s="18" t="s">
        <v>79</v>
      </c>
      <c r="G198" s="18">
        <v>4932</v>
      </c>
      <c r="H198" s="25">
        <f t="shared" si="12"/>
        <v>45156</v>
      </c>
      <c r="I198" s="26">
        <f t="shared" si="13"/>
        <v>6.2499999985448085E-3</v>
      </c>
      <c r="J198" s="18" t="str">
        <f t="shared" si="14"/>
        <v>August</v>
      </c>
      <c r="K198" s="56" t="str">
        <f t="shared" si="15"/>
        <v>Friday</v>
      </c>
      <c r="L198" s="18" t="str">
        <f>IF(OR(G198&gt;Answers!I213,G198&lt;Answers!I214),"Outlier","Normal")</f>
        <v>Outlier</v>
      </c>
      <c r="M198" s="18">
        <v>65</v>
      </c>
    </row>
    <row r="199" spans="1:13" ht="20" customHeight="1" x14ac:dyDescent="0.35">
      <c r="A199" s="17">
        <v>134419</v>
      </c>
      <c r="B199" s="18">
        <v>628</v>
      </c>
      <c r="C199" s="23" t="s">
        <v>100</v>
      </c>
      <c r="D199" s="24">
        <v>44960.954861111109</v>
      </c>
      <c r="E199" s="18" t="s">
        <v>98</v>
      </c>
      <c r="F199" s="18" t="s">
        <v>80</v>
      </c>
      <c r="G199" s="18">
        <v>2768</v>
      </c>
      <c r="H199" s="25">
        <f t="shared" si="12"/>
        <v>44960</v>
      </c>
      <c r="I199" s="26">
        <f t="shared" si="13"/>
        <v>0.95486111110949423</v>
      </c>
      <c r="J199" s="18" t="str">
        <f t="shared" si="14"/>
        <v>February</v>
      </c>
      <c r="K199" s="56" t="str">
        <f t="shared" si="15"/>
        <v>Friday</v>
      </c>
      <c r="L199" s="18" t="str">
        <f>IF(OR(G199&gt;Answers!I214,G199&lt;Answers!I215),"Outlier","Normal")</f>
        <v>Outlier</v>
      </c>
      <c r="M199" s="18">
        <v>85</v>
      </c>
    </row>
    <row r="200" spans="1:13" ht="20" customHeight="1" x14ac:dyDescent="0.35">
      <c r="A200" s="17">
        <v>137231</v>
      </c>
      <c r="B200" s="18">
        <v>1344</v>
      </c>
      <c r="C200" s="23" t="s">
        <v>105</v>
      </c>
      <c r="D200" s="24">
        <v>45216</v>
      </c>
      <c r="E200" s="18" t="s">
        <v>133</v>
      </c>
      <c r="F200" s="18" t="s">
        <v>77</v>
      </c>
      <c r="G200" s="18">
        <v>6898</v>
      </c>
      <c r="H200" s="25">
        <f t="shared" si="12"/>
        <v>45216</v>
      </c>
      <c r="I200" s="26">
        <f t="shared" si="13"/>
        <v>0</v>
      </c>
      <c r="J200" s="18" t="str">
        <f t="shared" si="14"/>
        <v>October</v>
      </c>
      <c r="K200" s="56" t="str">
        <f t="shared" si="15"/>
        <v>Tuesday</v>
      </c>
      <c r="L200" s="18" t="str">
        <f>IF(OR(G200&gt;Answers!I215,G200&lt;Answers!I216),"Outlier","Normal")</f>
        <v>Outlier</v>
      </c>
      <c r="M200" s="18">
        <v>40</v>
      </c>
    </row>
    <row r="201" spans="1:13" ht="20" customHeight="1" x14ac:dyDescent="0.35">
      <c r="A201" s="17">
        <v>138329</v>
      </c>
      <c r="B201" s="18">
        <v>1108</v>
      </c>
      <c r="C201" s="23" t="s">
        <v>113</v>
      </c>
      <c r="D201" s="24">
        <v>45138.048611111109</v>
      </c>
      <c r="E201" s="18" t="s">
        <v>97</v>
      </c>
      <c r="F201" s="18" t="s">
        <v>22</v>
      </c>
      <c r="G201" s="18">
        <v>7219</v>
      </c>
      <c r="H201" s="25">
        <f t="shared" si="12"/>
        <v>45138</v>
      </c>
      <c r="I201" s="26">
        <f t="shared" si="13"/>
        <v>4.8611111109494232E-2</v>
      </c>
      <c r="J201" s="18" t="str">
        <f t="shared" si="14"/>
        <v>July</v>
      </c>
      <c r="K201" s="56" t="str">
        <f t="shared" si="15"/>
        <v>Monday</v>
      </c>
      <c r="L201" s="18" t="str">
        <f>IF(OR(G201&gt;Answers!I216,G201&lt;Answers!I217),"Outlier","Normal")</f>
        <v>Outlier</v>
      </c>
      <c r="M201" s="18">
        <v>47</v>
      </c>
    </row>
    <row r="202" spans="1:13" ht="20" customHeight="1" x14ac:dyDescent="0.35">
      <c r="A202" s="17">
        <v>139357</v>
      </c>
      <c r="B202" s="18">
        <v>423</v>
      </c>
      <c r="C202" s="23" t="s">
        <v>106</v>
      </c>
      <c r="D202" s="24">
        <v>45064.984722222223</v>
      </c>
      <c r="E202" s="18" t="s">
        <v>96</v>
      </c>
      <c r="F202" s="18" t="s">
        <v>43</v>
      </c>
      <c r="G202" s="18">
        <v>5563</v>
      </c>
      <c r="H202" s="25">
        <f t="shared" si="12"/>
        <v>45064</v>
      </c>
      <c r="I202" s="26">
        <f t="shared" si="13"/>
        <v>0.98472222222335404</v>
      </c>
      <c r="J202" s="18" t="str">
        <f t="shared" si="14"/>
        <v>May</v>
      </c>
      <c r="K202" s="56" t="str">
        <f t="shared" si="15"/>
        <v>Thursday</v>
      </c>
      <c r="L202" s="18" t="str">
        <f>IF(OR(G202&gt;Answers!I217,G202&lt;Answers!I218),"Outlier","Normal")</f>
        <v>Outlier</v>
      </c>
      <c r="M202" s="18">
        <v>27</v>
      </c>
    </row>
    <row r="203" spans="1:13" ht="20" customHeight="1" x14ac:dyDescent="0.35">
      <c r="A203" s="17">
        <v>139611</v>
      </c>
      <c r="B203" s="18">
        <v>444</v>
      </c>
      <c r="C203" s="23" t="s">
        <v>105</v>
      </c>
      <c r="D203" s="24">
        <v>45220.052083333336</v>
      </c>
      <c r="E203" s="18" t="s">
        <v>97</v>
      </c>
      <c r="F203" s="18" t="s">
        <v>40</v>
      </c>
      <c r="G203" s="18">
        <v>6827</v>
      </c>
      <c r="H203" s="25">
        <f t="shared" si="12"/>
        <v>45220</v>
      </c>
      <c r="I203" s="26">
        <f t="shared" si="13"/>
        <v>5.2083333335758653E-2</v>
      </c>
      <c r="J203" s="18" t="str">
        <f t="shared" si="14"/>
        <v>October</v>
      </c>
      <c r="K203" s="56" t="str">
        <f t="shared" si="15"/>
        <v>Saturday</v>
      </c>
      <c r="L203" s="18" t="str">
        <f>IF(OR(G203&gt;Answers!I218,G203&lt;Answers!I219),"Outlier","Normal")</f>
        <v>Outlier</v>
      </c>
      <c r="M203" s="18">
        <v>23</v>
      </c>
    </row>
    <row r="204" spans="1:13" ht="20" customHeight="1" x14ac:dyDescent="0.35">
      <c r="A204" s="17">
        <v>139755</v>
      </c>
      <c r="B204" s="18">
        <v>813</v>
      </c>
      <c r="C204" s="23" t="s">
        <v>106</v>
      </c>
      <c r="D204" s="24">
        <v>45136.979861111111</v>
      </c>
      <c r="E204" s="18" t="s">
        <v>96</v>
      </c>
      <c r="F204" s="18" t="s">
        <v>81</v>
      </c>
      <c r="G204" s="18">
        <v>7305</v>
      </c>
      <c r="H204" s="25">
        <f t="shared" si="12"/>
        <v>45136</v>
      </c>
      <c r="I204" s="26">
        <f t="shared" si="13"/>
        <v>0.97986111111094942</v>
      </c>
      <c r="J204" s="18" t="str">
        <f t="shared" si="14"/>
        <v>July</v>
      </c>
      <c r="K204" s="56" t="str">
        <f t="shared" si="15"/>
        <v>Saturday</v>
      </c>
      <c r="L204" s="18" t="str">
        <f>IF(OR(G204&gt;Answers!I219,G204&lt;Answers!I220),"Outlier","Normal")</f>
        <v>Outlier</v>
      </c>
      <c r="M204" s="18">
        <v>51</v>
      </c>
    </row>
    <row r="205" spans="1:13" ht="20" customHeight="1" x14ac:dyDescent="0.35">
      <c r="A205" s="17">
        <v>140002</v>
      </c>
      <c r="B205" s="18">
        <v>1848</v>
      </c>
      <c r="C205" s="23" t="s">
        <v>99</v>
      </c>
      <c r="D205" s="24">
        <v>45201.03402777778</v>
      </c>
      <c r="E205" s="18" t="s">
        <v>133</v>
      </c>
      <c r="F205" s="18" t="s">
        <v>82</v>
      </c>
      <c r="G205" s="18">
        <v>3536</v>
      </c>
      <c r="H205" s="25">
        <f t="shared" si="12"/>
        <v>45201</v>
      </c>
      <c r="I205" s="26">
        <f t="shared" si="13"/>
        <v>3.4027777779556345E-2</v>
      </c>
      <c r="J205" s="18" t="str">
        <f t="shared" si="14"/>
        <v>October</v>
      </c>
      <c r="K205" s="56" t="str">
        <f t="shared" si="15"/>
        <v>Monday</v>
      </c>
      <c r="L205" s="18" t="str">
        <f>IF(OR(G205&gt;Answers!I220,G205&lt;Answers!I221),"Outlier","Normal")</f>
        <v>Outlier</v>
      </c>
      <c r="M205" s="18">
        <v>63</v>
      </c>
    </row>
    <row r="206" spans="1:13" ht="20" customHeight="1" x14ac:dyDescent="0.35">
      <c r="A206" s="17">
        <v>141004</v>
      </c>
      <c r="B206" s="18">
        <v>1499</v>
      </c>
      <c r="C206" s="23" t="s">
        <v>99</v>
      </c>
      <c r="D206" s="24">
        <v>45063.056250000001</v>
      </c>
      <c r="E206" s="18" t="s">
        <v>133</v>
      </c>
      <c r="F206" s="18" t="s">
        <v>21</v>
      </c>
      <c r="G206" s="18">
        <v>9940</v>
      </c>
      <c r="H206" s="25">
        <f t="shared" si="12"/>
        <v>45063</v>
      </c>
      <c r="I206" s="26">
        <f t="shared" si="13"/>
        <v>5.6250000001455192E-2</v>
      </c>
      <c r="J206" s="18" t="str">
        <f t="shared" si="14"/>
        <v>May</v>
      </c>
      <c r="K206" s="56" t="str">
        <f t="shared" si="15"/>
        <v>Wednesday</v>
      </c>
      <c r="L206" s="18" t="str">
        <f>IF(OR(G206&gt;Answers!I221,G206&lt;Answers!I222),"Outlier","Normal")</f>
        <v>Outlier</v>
      </c>
      <c r="M206" s="18">
        <v>48</v>
      </c>
    </row>
    <row r="207" spans="1:13" ht="20" customHeight="1" x14ac:dyDescent="0.35">
      <c r="A207" s="17">
        <v>141024</v>
      </c>
      <c r="B207" s="18">
        <v>1436</v>
      </c>
      <c r="C207" s="23" t="s">
        <v>105</v>
      </c>
      <c r="D207" s="24">
        <v>44993.083333333336</v>
      </c>
      <c r="E207" s="18" t="s">
        <v>96</v>
      </c>
      <c r="F207" s="18" t="s">
        <v>66</v>
      </c>
      <c r="G207" s="18">
        <v>9491</v>
      </c>
      <c r="H207" s="25">
        <f t="shared" si="12"/>
        <v>44993</v>
      </c>
      <c r="I207" s="26">
        <f t="shared" si="13"/>
        <v>8.3333333335758653E-2</v>
      </c>
      <c r="J207" s="18" t="str">
        <f t="shared" si="14"/>
        <v>March</v>
      </c>
      <c r="K207" s="56" t="str">
        <f t="shared" si="15"/>
        <v>Wednesday</v>
      </c>
      <c r="L207" s="18" t="str">
        <f>IF(OR(G207&gt;Answers!I222,G207&lt;Answers!I223),"Outlier","Normal")</f>
        <v>Outlier</v>
      </c>
      <c r="M207" s="18">
        <v>40</v>
      </c>
    </row>
    <row r="208" spans="1:13" ht="20" customHeight="1" x14ac:dyDescent="0.35">
      <c r="A208" s="17">
        <v>141306</v>
      </c>
      <c r="B208" s="18">
        <v>249</v>
      </c>
      <c r="C208" s="23" t="s">
        <v>99</v>
      </c>
      <c r="D208" s="24">
        <v>44937.073611111111</v>
      </c>
      <c r="E208" s="18" t="s">
        <v>133</v>
      </c>
      <c r="F208" s="18" t="s">
        <v>29</v>
      </c>
      <c r="G208" s="18">
        <v>9751</v>
      </c>
      <c r="H208" s="25">
        <f t="shared" si="12"/>
        <v>44937</v>
      </c>
      <c r="I208" s="26">
        <f t="shared" si="13"/>
        <v>7.3611111110949423E-2</v>
      </c>
      <c r="J208" s="18" t="str">
        <f t="shared" si="14"/>
        <v>January</v>
      </c>
      <c r="K208" s="56" t="str">
        <f t="shared" si="15"/>
        <v>Wednesday</v>
      </c>
      <c r="L208" s="18" t="str">
        <f>IF(OR(G208&gt;Answers!I223,G208&lt;Answers!I224),"Outlier","Normal")</f>
        <v>Outlier</v>
      </c>
      <c r="M208" s="18">
        <v>58</v>
      </c>
    </row>
    <row r="209" spans="1:13" ht="20" customHeight="1" x14ac:dyDescent="0.35">
      <c r="A209" s="17">
        <v>142160</v>
      </c>
      <c r="B209" s="18">
        <v>1976</v>
      </c>
      <c r="C209" s="23" t="s">
        <v>105</v>
      </c>
      <c r="D209" s="24">
        <v>44971.043749999997</v>
      </c>
      <c r="E209" s="18" t="s">
        <v>98</v>
      </c>
      <c r="F209" s="18" t="s">
        <v>5</v>
      </c>
      <c r="G209" s="18">
        <v>7114</v>
      </c>
      <c r="H209" s="25">
        <f t="shared" si="12"/>
        <v>44971</v>
      </c>
      <c r="I209" s="26">
        <f t="shared" si="13"/>
        <v>4.3749999997089617E-2</v>
      </c>
      <c r="J209" s="18" t="str">
        <f t="shared" si="14"/>
        <v>February</v>
      </c>
      <c r="K209" s="56" t="str">
        <f t="shared" si="15"/>
        <v>Tuesday</v>
      </c>
      <c r="L209" s="18" t="str">
        <f>IF(OR(G209&gt;Answers!I224,G209&lt;Answers!I225),"Outlier","Normal")</f>
        <v>Outlier</v>
      </c>
      <c r="M209" s="18">
        <v>73</v>
      </c>
    </row>
    <row r="210" spans="1:13" ht="20" customHeight="1" x14ac:dyDescent="0.35">
      <c r="A210" s="17">
        <v>145440</v>
      </c>
      <c r="B210" s="18">
        <v>948</v>
      </c>
      <c r="C210" s="23" t="s">
        <v>102</v>
      </c>
      <c r="D210" s="24">
        <v>45157.054861111108</v>
      </c>
      <c r="E210" s="18" t="s">
        <v>133</v>
      </c>
      <c r="F210" s="18" t="s">
        <v>43</v>
      </c>
      <c r="G210" s="18">
        <v>140</v>
      </c>
      <c r="H210" s="25">
        <f t="shared" si="12"/>
        <v>45157</v>
      </c>
      <c r="I210" s="26">
        <f t="shared" si="13"/>
        <v>5.486111110803904E-2</v>
      </c>
      <c r="J210" s="18" t="str">
        <f t="shared" si="14"/>
        <v>August</v>
      </c>
      <c r="K210" s="56" t="str">
        <f t="shared" si="15"/>
        <v>Saturday</v>
      </c>
      <c r="L210" s="18" t="str">
        <f>IF(OR(G210&gt;Answers!I225,G210&lt;Answers!I226),"Outlier","Normal")</f>
        <v>Outlier</v>
      </c>
      <c r="M210" s="18">
        <v>27</v>
      </c>
    </row>
    <row r="211" spans="1:13" ht="20" customHeight="1" x14ac:dyDescent="0.35">
      <c r="A211" s="17">
        <v>145667</v>
      </c>
      <c r="B211" s="18">
        <v>813</v>
      </c>
      <c r="C211" s="23" t="s">
        <v>106</v>
      </c>
      <c r="D211" s="24">
        <v>45140.009027777778</v>
      </c>
      <c r="E211" s="18" t="s">
        <v>96</v>
      </c>
      <c r="F211" s="18" t="s">
        <v>43</v>
      </c>
      <c r="G211" s="18">
        <v>8841</v>
      </c>
      <c r="H211" s="25">
        <f t="shared" si="12"/>
        <v>45140</v>
      </c>
      <c r="I211" s="26">
        <f t="shared" si="13"/>
        <v>9.0277777781011537E-3</v>
      </c>
      <c r="J211" s="18" t="str">
        <f t="shared" si="14"/>
        <v>August</v>
      </c>
      <c r="K211" s="56" t="str">
        <f t="shared" si="15"/>
        <v>Wednesday</v>
      </c>
      <c r="L211" s="18" t="str">
        <f>IF(OR(G211&gt;Answers!I226,G211&lt;Answers!I227),"Outlier","Normal")</f>
        <v>Outlier</v>
      </c>
      <c r="M211" s="18">
        <v>51</v>
      </c>
    </row>
    <row r="212" spans="1:13" ht="20" customHeight="1" x14ac:dyDescent="0.35">
      <c r="A212" s="17">
        <v>146599</v>
      </c>
      <c r="B212" s="18">
        <v>393</v>
      </c>
      <c r="C212" s="23" t="s">
        <v>113</v>
      </c>
      <c r="D212" s="24">
        <v>45061.088194444441</v>
      </c>
      <c r="E212" s="18" t="s">
        <v>133</v>
      </c>
      <c r="F212" s="18" t="s">
        <v>6</v>
      </c>
      <c r="G212" s="18">
        <v>7712</v>
      </c>
      <c r="H212" s="25">
        <f t="shared" si="12"/>
        <v>45061</v>
      </c>
      <c r="I212" s="26">
        <f t="shared" si="13"/>
        <v>8.819444444088731E-2</v>
      </c>
      <c r="J212" s="18" t="str">
        <f t="shared" si="14"/>
        <v>May</v>
      </c>
      <c r="K212" s="56" t="str">
        <f t="shared" si="15"/>
        <v>Monday</v>
      </c>
      <c r="L212" s="18" t="str">
        <f>IF(OR(G212&gt;Answers!I227,G212&lt;Answers!I228),"Outlier","Normal")</f>
        <v>Outlier</v>
      </c>
      <c r="M212" s="18">
        <v>19</v>
      </c>
    </row>
    <row r="213" spans="1:13" ht="20" customHeight="1" x14ac:dyDescent="0.35">
      <c r="A213" s="17">
        <v>146917</v>
      </c>
      <c r="B213" s="18">
        <v>183</v>
      </c>
      <c r="C213" s="23" t="s">
        <v>113</v>
      </c>
      <c r="D213" s="24">
        <v>44981.073611111111</v>
      </c>
      <c r="E213" s="18" t="s">
        <v>96</v>
      </c>
      <c r="F213" s="18" t="s">
        <v>17</v>
      </c>
      <c r="G213" s="18">
        <v>2595</v>
      </c>
      <c r="H213" s="25">
        <f t="shared" si="12"/>
        <v>44981</v>
      </c>
      <c r="I213" s="26">
        <f t="shared" si="13"/>
        <v>7.3611111110949423E-2</v>
      </c>
      <c r="J213" s="18" t="str">
        <f t="shared" si="14"/>
        <v>February</v>
      </c>
      <c r="K213" s="56" t="str">
        <f t="shared" si="15"/>
        <v>Friday</v>
      </c>
      <c r="L213" s="18" t="str">
        <f>IF(OR(G213&gt;Answers!I228,G213&lt;Answers!I229),"Outlier","Normal")</f>
        <v>Outlier</v>
      </c>
      <c r="M213" s="18">
        <v>66</v>
      </c>
    </row>
    <row r="214" spans="1:13" ht="20" customHeight="1" x14ac:dyDescent="0.35">
      <c r="A214" s="17">
        <v>148310</v>
      </c>
      <c r="B214" s="18">
        <v>625</v>
      </c>
      <c r="C214" s="23" t="s">
        <v>113</v>
      </c>
      <c r="D214" s="24">
        <v>45049.015277777777</v>
      </c>
      <c r="E214" s="18" t="s">
        <v>96</v>
      </c>
      <c r="F214" s="18" t="s">
        <v>21</v>
      </c>
      <c r="G214" s="18">
        <v>2291</v>
      </c>
      <c r="H214" s="25">
        <f t="shared" si="12"/>
        <v>45049</v>
      </c>
      <c r="I214" s="26">
        <f t="shared" si="13"/>
        <v>1.5277777776645962E-2</v>
      </c>
      <c r="J214" s="18" t="str">
        <f t="shared" si="14"/>
        <v>May</v>
      </c>
      <c r="K214" s="56" t="str">
        <f t="shared" si="15"/>
        <v>Wednesday</v>
      </c>
      <c r="L214" s="18" t="str">
        <f>IF(OR(G214&gt;Answers!I229,G214&lt;Answers!I230),"Outlier","Normal")</f>
        <v>Outlier</v>
      </c>
      <c r="M214" s="18">
        <v>54</v>
      </c>
    </row>
    <row r="215" spans="1:13" ht="20" customHeight="1" x14ac:dyDescent="0.35">
      <c r="A215" s="17">
        <v>148706</v>
      </c>
      <c r="B215" s="18">
        <v>188</v>
      </c>
      <c r="C215" s="23" t="s">
        <v>113</v>
      </c>
      <c r="D215" s="24">
        <v>45269.972222222219</v>
      </c>
      <c r="E215" s="18" t="s">
        <v>97</v>
      </c>
      <c r="F215" s="18" t="s">
        <v>43</v>
      </c>
      <c r="G215" s="18">
        <v>4301</v>
      </c>
      <c r="H215" s="25">
        <f t="shared" si="12"/>
        <v>45269</v>
      </c>
      <c r="I215" s="26">
        <f t="shared" si="13"/>
        <v>0.97222222221898846</v>
      </c>
      <c r="J215" s="18" t="str">
        <f t="shared" si="14"/>
        <v>December</v>
      </c>
      <c r="K215" s="56" t="str">
        <f t="shared" si="15"/>
        <v>Saturday</v>
      </c>
      <c r="L215" s="18" t="str">
        <f>IF(OR(G215&gt;Answers!I230,G215&lt;Answers!I231),"Outlier","Normal")</f>
        <v>Outlier</v>
      </c>
      <c r="M215" s="18">
        <v>72</v>
      </c>
    </row>
    <row r="216" spans="1:13" ht="20" customHeight="1" x14ac:dyDescent="0.35">
      <c r="A216" s="17">
        <v>149310</v>
      </c>
      <c r="B216" s="18">
        <v>1734</v>
      </c>
      <c r="C216" s="23" t="s">
        <v>99</v>
      </c>
      <c r="D216" s="24">
        <v>44941.067361111112</v>
      </c>
      <c r="E216" s="18" t="s">
        <v>96</v>
      </c>
      <c r="F216" s="18" t="s">
        <v>29</v>
      </c>
      <c r="G216" s="18">
        <v>1340</v>
      </c>
      <c r="H216" s="25">
        <f t="shared" si="12"/>
        <v>44941</v>
      </c>
      <c r="I216" s="26">
        <f t="shared" si="13"/>
        <v>6.7361111112404615E-2</v>
      </c>
      <c r="J216" s="18" t="str">
        <f t="shared" si="14"/>
        <v>January</v>
      </c>
      <c r="K216" s="56" t="str">
        <f t="shared" si="15"/>
        <v>Sunday</v>
      </c>
      <c r="L216" s="18" t="str">
        <f>IF(OR(G216&gt;Answers!I231,G216&lt;Answers!I232),"Outlier","Normal")</f>
        <v>Outlier</v>
      </c>
      <c r="M216" s="18">
        <v>62</v>
      </c>
    </row>
    <row r="217" spans="1:13" ht="20" customHeight="1" x14ac:dyDescent="0.35">
      <c r="A217" s="17">
        <v>149497</v>
      </c>
      <c r="B217" s="18">
        <v>931</v>
      </c>
      <c r="C217" s="23" t="s">
        <v>99</v>
      </c>
      <c r="D217" s="24">
        <v>45026.98541666667</v>
      </c>
      <c r="E217" s="18" t="s">
        <v>96</v>
      </c>
      <c r="F217" s="18" t="s">
        <v>9</v>
      </c>
      <c r="G217" s="18">
        <v>7840</v>
      </c>
      <c r="H217" s="25">
        <f t="shared" si="12"/>
        <v>45026</v>
      </c>
      <c r="I217" s="26">
        <f t="shared" si="13"/>
        <v>0.98541666667006211</v>
      </c>
      <c r="J217" s="18" t="str">
        <f t="shared" si="14"/>
        <v>April</v>
      </c>
      <c r="K217" s="56" t="str">
        <f t="shared" si="15"/>
        <v>Monday</v>
      </c>
      <c r="L217" s="18" t="str">
        <f>IF(OR(G217&gt;Answers!I232,G217&lt;Answers!I233),"Outlier","Normal")</f>
        <v>Outlier</v>
      </c>
      <c r="M217" s="18">
        <v>58</v>
      </c>
    </row>
    <row r="218" spans="1:13" ht="20" customHeight="1" x14ac:dyDescent="0.35">
      <c r="A218" s="17">
        <v>149877</v>
      </c>
      <c r="B218" s="18">
        <v>978</v>
      </c>
      <c r="C218" s="23" t="s">
        <v>99</v>
      </c>
      <c r="D218" s="24">
        <v>44946.978472222225</v>
      </c>
      <c r="E218" s="18" t="s">
        <v>96</v>
      </c>
      <c r="F218" s="18" t="s">
        <v>30</v>
      </c>
      <c r="G218" s="18">
        <v>5106</v>
      </c>
      <c r="H218" s="25">
        <f t="shared" si="12"/>
        <v>44946</v>
      </c>
      <c r="I218" s="26">
        <f t="shared" si="13"/>
        <v>0.97847222222480923</v>
      </c>
      <c r="J218" s="18" t="str">
        <f t="shared" si="14"/>
        <v>January</v>
      </c>
      <c r="K218" s="56" t="str">
        <f t="shared" si="15"/>
        <v>Friday</v>
      </c>
      <c r="L218" s="18" t="str">
        <f>IF(OR(G218&gt;Answers!I233,G218&lt;Answers!I234),"Outlier","Normal")</f>
        <v>Outlier</v>
      </c>
      <c r="M218" s="18">
        <v>80</v>
      </c>
    </row>
    <row r="219" spans="1:13" ht="20" customHeight="1" x14ac:dyDescent="0.35">
      <c r="A219" s="17">
        <v>151746</v>
      </c>
      <c r="B219" s="18">
        <v>718</v>
      </c>
      <c r="C219" s="23" t="s">
        <v>103</v>
      </c>
      <c r="D219" s="24">
        <v>45070.082638888889</v>
      </c>
      <c r="E219" s="18" t="s">
        <v>97</v>
      </c>
      <c r="F219" s="18" t="s">
        <v>67</v>
      </c>
      <c r="G219" s="18">
        <v>7817</v>
      </c>
      <c r="H219" s="25">
        <f t="shared" si="12"/>
        <v>45070</v>
      </c>
      <c r="I219" s="26">
        <f t="shared" si="13"/>
        <v>8.2638888889050577E-2</v>
      </c>
      <c r="J219" s="18" t="str">
        <f t="shared" si="14"/>
        <v>May</v>
      </c>
      <c r="K219" s="56" t="str">
        <f t="shared" si="15"/>
        <v>Wednesday</v>
      </c>
      <c r="L219" s="18" t="str">
        <f>IF(OR(G219&gt;Answers!I234,G219&lt;Answers!I235),"Outlier","Normal")</f>
        <v>Outlier</v>
      </c>
      <c r="M219" s="18">
        <v>77</v>
      </c>
    </row>
    <row r="220" spans="1:13" ht="20" customHeight="1" x14ac:dyDescent="0.35">
      <c r="A220" s="17">
        <v>151991</v>
      </c>
      <c r="B220" s="18">
        <v>1361</v>
      </c>
      <c r="C220" s="23" t="s">
        <v>105</v>
      </c>
      <c r="D220" s="24">
        <v>44949.974999999999</v>
      </c>
      <c r="E220" s="18" t="s">
        <v>133</v>
      </c>
      <c r="F220" s="18" t="s">
        <v>32</v>
      </c>
      <c r="G220" s="18">
        <v>1045</v>
      </c>
      <c r="H220" s="25">
        <f t="shared" si="12"/>
        <v>44949</v>
      </c>
      <c r="I220" s="26">
        <f t="shared" si="13"/>
        <v>0.97499999999854481</v>
      </c>
      <c r="J220" s="18" t="str">
        <f t="shared" si="14"/>
        <v>January</v>
      </c>
      <c r="K220" s="56" t="str">
        <f t="shared" si="15"/>
        <v>Monday</v>
      </c>
      <c r="L220" s="18" t="str">
        <f>IF(OR(G220&gt;Answers!I235,G220&lt;Answers!I236),"Outlier","Normal")</f>
        <v>Outlier</v>
      </c>
      <c r="M220" s="18">
        <v>50</v>
      </c>
    </row>
    <row r="221" spans="1:13" ht="20" customHeight="1" x14ac:dyDescent="0.35">
      <c r="A221" s="17">
        <v>152504</v>
      </c>
      <c r="B221" s="18">
        <v>280</v>
      </c>
      <c r="C221" s="23" t="s">
        <v>99</v>
      </c>
      <c r="D221" s="24">
        <v>45036.043749999997</v>
      </c>
      <c r="E221" s="18" t="s">
        <v>133</v>
      </c>
      <c r="F221" s="18" t="s">
        <v>33</v>
      </c>
      <c r="G221" s="18">
        <v>6681</v>
      </c>
      <c r="H221" s="25">
        <f t="shared" si="12"/>
        <v>45036</v>
      </c>
      <c r="I221" s="26">
        <f t="shared" si="13"/>
        <v>4.3749999997089617E-2</v>
      </c>
      <c r="J221" s="18" t="str">
        <f t="shared" si="14"/>
        <v>April</v>
      </c>
      <c r="K221" s="56" t="str">
        <f t="shared" si="15"/>
        <v>Thursday</v>
      </c>
      <c r="L221" s="18" t="str">
        <f>IF(OR(G221&gt;Answers!I236,G221&lt;Answers!I237),"Outlier","Normal")</f>
        <v>Outlier</v>
      </c>
      <c r="M221" s="18">
        <v>51</v>
      </c>
    </row>
    <row r="222" spans="1:13" ht="20" customHeight="1" x14ac:dyDescent="0.35">
      <c r="A222" s="17">
        <v>152609</v>
      </c>
      <c r="B222" s="18">
        <v>991</v>
      </c>
      <c r="C222" s="23" t="s">
        <v>99</v>
      </c>
      <c r="D222" s="24">
        <v>45150.061805555553</v>
      </c>
      <c r="E222" s="18" t="s">
        <v>133</v>
      </c>
      <c r="F222" s="18" t="s">
        <v>34</v>
      </c>
      <c r="G222" s="18">
        <v>7294</v>
      </c>
      <c r="H222" s="25">
        <f t="shared" si="12"/>
        <v>45150</v>
      </c>
      <c r="I222" s="26">
        <f t="shared" si="13"/>
        <v>6.1805555553291924E-2</v>
      </c>
      <c r="J222" s="18" t="str">
        <f t="shared" si="14"/>
        <v>August</v>
      </c>
      <c r="K222" s="56" t="str">
        <f t="shared" si="15"/>
        <v>Saturday</v>
      </c>
      <c r="L222" s="18" t="str">
        <f>IF(OR(G222&gt;Answers!I237,G222&lt;Answers!I238),"Outlier","Normal")</f>
        <v>Outlier</v>
      </c>
      <c r="M222" s="18">
        <v>55</v>
      </c>
    </row>
    <row r="223" spans="1:13" ht="20" customHeight="1" x14ac:dyDescent="0.35">
      <c r="A223" s="17">
        <v>152738</v>
      </c>
      <c r="B223" s="18">
        <v>1099</v>
      </c>
      <c r="C223" s="23" t="s">
        <v>100</v>
      </c>
      <c r="D223" s="24">
        <v>45111.007638888892</v>
      </c>
      <c r="E223" s="18" t="s">
        <v>98</v>
      </c>
      <c r="F223" s="18" t="s">
        <v>35</v>
      </c>
      <c r="G223" s="18">
        <v>177</v>
      </c>
      <c r="H223" s="25">
        <f t="shared" si="12"/>
        <v>45111</v>
      </c>
      <c r="I223" s="26">
        <f t="shared" si="13"/>
        <v>7.6388888919609599E-3</v>
      </c>
      <c r="J223" s="18" t="str">
        <f t="shared" si="14"/>
        <v>July</v>
      </c>
      <c r="K223" s="56" t="str">
        <f t="shared" si="15"/>
        <v>Tuesday</v>
      </c>
      <c r="L223" s="18" t="str">
        <f>IF(OR(G223&gt;Answers!I238,G223&lt;Answers!I239),"Outlier","Normal")</f>
        <v>Outlier</v>
      </c>
      <c r="M223" s="18">
        <v>76</v>
      </c>
    </row>
    <row r="224" spans="1:13" ht="20" customHeight="1" x14ac:dyDescent="0.35">
      <c r="A224" s="17">
        <v>152762</v>
      </c>
      <c r="B224" s="18">
        <v>1015</v>
      </c>
      <c r="C224" s="23" t="s">
        <v>107</v>
      </c>
      <c r="D224" s="24">
        <v>45097.945138888892</v>
      </c>
      <c r="E224" s="18" t="s">
        <v>98</v>
      </c>
      <c r="F224" s="18" t="s">
        <v>42</v>
      </c>
      <c r="G224" s="18">
        <v>9099</v>
      </c>
      <c r="H224" s="25">
        <f t="shared" si="12"/>
        <v>45097</v>
      </c>
      <c r="I224" s="26">
        <f t="shared" si="13"/>
        <v>0.94513888889196096</v>
      </c>
      <c r="J224" s="18" t="str">
        <f t="shared" si="14"/>
        <v>June</v>
      </c>
      <c r="K224" s="56" t="str">
        <f t="shared" si="15"/>
        <v>Tuesday</v>
      </c>
      <c r="L224" s="18" t="str">
        <f>IF(OR(G224&gt;Answers!I239,G224&lt;Answers!I240),"Outlier","Normal")</f>
        <v>Outlier</v>
      </c>
      <c r="M224" s="18">
        <v>50</v>
      </c>
    </row>
    <row r="225" spans="1:13" ht="20" customHeight="1" x14ac:dyDescent="0.35">
      <c r="A225" s="17">
        <v>153389</v>
      </c>
      <c r="B225" s="18">
        <v>1715</v>
      </c>
      <c r="C225" s="23" t="s">
        <v>99</v>
      </c>
      <c r="D225" s="24">
        <v>45227.972916666666</v>
      </c>
      <c r="E225" s="18" t="s">
        <v>97</v>
      </c>
      <c r="F225" s="18" t="s">
        <v>43</v>
      </c>
      <c r="G225" s="18">
        <v>2257</v>
      </c>
      <c r="H225" s="25">
        <f t="shared" si="12"/>
        <v>45227</v>
      </c>
      <c r="I225" s="26">
        <f t="shared" si="13"/>
        <v>0.97291666666569654</v>
      </c>
      <c r="J225" s="18" t="str">
        <f t="shared" si="14"/>
        <v>October</v>
      </c>
      <c r="K225" s="56" t="str">
        <f t="shared" si="15"/>
        <v>Saturday</v>
      </c>
      <c r="L225" s="18" t="str">
        <f>IF(OR(G225&gt;Answers!I240,G225&lt;Answers!I241),"Outlier","Normal")</f>
        <v>Outlier</v>
      </c>
      <c r="M225" s="18">
        <v>41</v>
      </c>
    </row>
    <row r="226" spans="1:13" ht="20" customHeight="1" x14ac:dyDescent="0.35">
      <c r="A226" s="17">
        <v>153440</v>
      </c>
      <c r="B226" s="18">
        <v>1070</v>
      </c>
      <c r="C226" s="23" t="s">
        <v>106</v>
      </c>
      <c r="D226" s="24">
        <v>45247.951388888891</v>
      </c>
      <c r="E226" s="18" t="s">
        <v>97</v>
      </c>
      <c r="F226" s="18" t="s">
        <v>38</v>
      </c>
      <c r="G226" s="18">
        <v>5399</v>
      </c>
      <c r="H226" s="25">
        <f t="shared" si="12"/>
        <v>45247</v>
      </c>
      <c r="I226" s="26">
        <f t="shared" si="13"/>
        <v>0.95138888889050577</v>
      </c>
      <c r="J226" s="18" t="str">
        <f t="shared" si="14"/>
        <v>November</v>
      </c>
      <c r="K226" s="56" t="str">
        <f t="shared" si="15"/>
        <v>Friday</v>
      </c>
      <c r="L226" s="18" t="str">
        <f>IF(OR(G226&gt;Answers!I241,G226&lt;Answers!I242),"Outlier","Normal")</f>
        <v>Outlier</v>
      </c>
      <c r="M226" s="18">
        <v>60</v>
      </c>
    </row>
    <row r="227" spans="1:13" ht="20" customHeight="1" x14ac:dyDescent="0.35">
      <c r="A227" s="17">
        <v>153648</v>
      </c>
      <c r="B227" s="18">
        <v>1459</v>
      </c>
      <c r="C227" s="23" t="s">
        <v>100</v>
      </c>
      <c r="D227" s="24">
        <v>45209.038194444445</v>
      </c>
      <c r="E227" s="18" t="s">
        <v>98</v>
      </c>
      <c r="F227" s="18" t="s">
        <v>39</v>
      </c>
      <c r="G227" s="18">
        <v>7435</v>
      </c>
      <c r="H227" s="25">
        <f t="shared" si="12"/>
        <v>45209</v>
      </c>
      <c r="I227" s="26">
        <f t="shared" si="13"/>
        <v>3.8194444445252884E-2</v>
      </c>
      <c r="J227" s="18" t="str">
        <f t="shared" si="14"/>
        <v>October</v>
      </c>
      <c r="K227" s="56" t="str">
        <f t="shared" si="15"/>
        <v>Tuesday</v>
      </c>
      <c r="L227" s="18" t="str">
        <f>IF(OR(G227&gt;Answers!I242,G227&lt;Answers!I243),"Outlier","Normal")</f>
        <v>Outlier</v>
      </c>
      <c r="M227" s="18">
        <v>59</v>
      </c>
    </row>
    <row r="228" spans="1:13" ht="20" customHeight="1" x14ac:dyDescent="0.35">
      <c r="A228" s="17">
        <v>153794</v>
      </c>
      <c r="B228" s="18">
        <v>887</v>
      </c>
      <c r="C228" s="23" t="s">
        <v>99</v>
      </c>
      <c r="D228" s="24">
        <v>44940.018750000003</v>
      </c>
      <c r="E228" s="18" t="s">
        <v>96</v>
      </c>
      <c r="F228" s="18" t="s">
        <v>24</v>
      </c>
      <c r="G228" s="18">
        <v>3781</v>
      </c>
      <c r="H228" s="25">
        <f t="shared" si="12"/>
        <v>44940</v>
      </c>
      <c r="I228" s="26">
        <f t="shared" si="13"/>
        <v>1.8750000002910383E-2</v>
      </c>
      <c r="J228" s="18" t="str">
        <f t="shared" si="14"/>
        <v>January</v>
      </c>
      <c r="K228" s="56" t="str">
        <f t="shared" si="15"/>
        <v>Saturday</v>
      </c>
      <c r="L228" s="18" t="str">
        <f>IF(OR(G228&gt;Answers!I243,G228&lt;Answers!I244),"Outlier","Normal")</f>
        <v>Outlier</v>
      </c>
      <c r="M228" s="18">
        <v>28</v>
      </c>
    </row>
    <row r="229" spans="1:13" ht="20" customHeight="1" x14ac:dyDescent="0.35">
      <c r="A229" s="17">
        <v>155501</v>
      </c>
      <c r="B229" s="18">
        <v>1703</v>
      </c>
      <c r="C229" s="23" t="s">
        <v>100</v>
      </c>
      <c r="D229" s="24">
        <v>45005.977777777778</v>
      </c>
      <c r="E229" s="18" t="s">
        <v>133</v>
      </c>
      <c r="F229" s="18" t="s">
        <v>22</v>
      </c>
      <c r="G229" s="18">
        <v>2102</v>
      </c>
      <c r="H229" s="25">
        <f t="shared" si="12"/>
        <v>45005</v>
      </c>
      <c r="I229" s="26">
        <f t="shared" si="13"/>
        <v>0.97777777777810115</v>
      </c>
      <c r="J229" s="18" t="str">
        <f t="shared" si="14"/>
        <v>March</v>
      </c>
      <c r="K229" s="56" t="str">
        <f t="shared" si="15"/>
        <v>Monday</v>
      </c>
      <c r="L229" s="18" t="str">
        <f>IF(OR(G229&gt;Answers!I244,G229&lt;Answers!I245),"Outlier","Normal")</f>
        <v>Outlier</v>
      </c>
      <c r="M229" s="18">
        <v>85</v>
      </c>
    </row>
    <row r="230" spans="1:13" ht="20" customHeight="1" x14ac:dyDescent="0.35">
      <c r="A230" s="17">
        <v>155731</v>
      </c>
      <c r="B230" s="18">
        <v>1212</v>
      </c>
      <c r="C230" s="23" t="s">
        <v>106</v>
      </c>
      <c r="D230" s="24">
        <v>45231.98333333333</v>
      </c>
      <c r="E230" s="18" t="s">
        <v>133</v>
      </c>
      <c r="F230" s="18" t="s">
        <v>41</v>
      </c>
      <c r="G230" s="18">
        <v>8205</v>
      </c>
      <c r="H230" s="25">
        <f t="shared" si="12"/>
        <v>45231</v>
      </c>
      <c r="I230" s="26">
        <f t="shared" si="13"/>
        <v>0.98333333332993789</v>
      </c>
      <c r="J230" s="18" t="str">
        <f t="shared" si="14"/>
        <v>November</v>
      </c>
      <c r="K230" s="56" t="str">
        <f t="shared" si="15"/>
        <v>Wednesday</v>
      </c>
      <c r="L230" s="18" t="str">
        <f>IF(OR(G230&gt;Answers!I245,G230&lt;Answers!I246),"Outlier","Normal")</f>
        <v>Outlier</v>
      </c>
      <c r="M230" s="18">
        <v>43</v>
      </c>
    </row>
    <row r="231" spans="1:13" ht="20" customHeight="1" x14ac:dyDescent="0.35">
      <c r="A231" s="17">
        <v>157238</v>
      </c>
      <c r="B231" s="18">
        <v>1100</v>
      </c>
      <c r="C231" s="23" t="s">
        <v>105</v>
      </c>
      <c r="D231" s="24">
        <v>45011.023611111108</v>
      </c>
      <c r="E231" s="18" t="s">
        <v>96</v>
      </c>
      <c r="F231" s="18" t="s">
        <v>42</v>
      </c>
      <c r="G231" s="18">
        <v>5281</v>
      </c>
      <c r="H231" s="25">
        <f t="shared" si="12"/>
        <v>45011</v>
      </c>
      <c r="I231" s="26">
        <f t="shared" si="13"/>
        <v>2.361111110803904E-2</v>
      </c>
      <c r="J231" s="18" t="str">
        <f t="shared" si="14"/>
        <v>March</v>
      </c>
      <c r="K231" s="56" t="str">
        <f t="shared" si="15"/>
        <v>Sunday</v>
      </c>
      <c r="L231" s="18" t="str">
        <f>IF(OR(G231&gt;Answers!I246,G231&lt;Answers!I247),"Outlier","Normal")</f>
        <v>Outlier</v>
      </c>
      <c r="M231" s="18">
        <v>30</v>
      </c>
    </row>
    <row r="232" spans="1:13" ht="20" customHeight="1" x14ac:dyDescent="0.35">
      <c r="A232" s="17">
        <v>157882</v>
      </c>
      <c r="B232" s="18">
        <v>72</v>
      </c>
      <c r="C232" s="23" t="s">
        <v>105</v>
      </c>
      <c r="D232" s="24">
        <v>45254.037499999999</v>
      </c>
      <c r="E232" s="18" t="s">
        <v>98</v>
      </c>
      <c r="F232" s="18" t="s">
        <v>35</v>
      </c>
      <c r="G232" s="18">
        <v>8982</v>
      </c>
      <c r="H232" s="25">
        <f t="shared" si="12"/>
        <v>45254</v>
      </c>
      <c r="I232" s="26">
        <f t="shared" si="13"/>
        <v>3.7499999998544808E-2</v>
      </c>
      <c r="J232" s="18" t="str">
        <f t="shared" si="14"/>
        <v>November</v>
      </c>
      <c r="K232" s="56" t="str">
        <f t="shared" si="15"/>
        <v>Friday</v>
      </c>
      <c r="L232" s="18" t="str">
        <f>IF(OR(G232&gt;Answers!I247,G232&lt;Answers!I248),"Outlier","Normal")</f>
        <v>Outlier</v>
      </c>
      <c r="M232" s="18">
        <v>18</v>
      </c>
    </row>
    <row r="233" spans="1:13" ht="20" customHeight="1" x14ac:dyDescent="0.35">
      <c r="A233" s="17">
        <v>158217</v>
      </c>
      <c r="B233" s="18">
        <v>698</v>
      </c>
      <c r="C233" s="23" t="s">
        <v>101</v>
      </c>
      <c r="D233" s="24">
        <v>45075.083333333336</v>
      </c>
      <c r="E233" s="18" t="s">
        <v>133</v>
      </c>
      <c r="F233" s="18" t="s">
        <v>44</v>
      </c>
      <c r="G233" s="18">
        <v>424</v>
      </c>
      <c r="H233" s="25">
        <f t="shared" si="12"/>
        <v>45075</v>
      </c>
      <c r="I233" s="26">
        <f t="shared" si="13"/>
        <v>8.3333333335758653E-2</v>
      </c>
      <c r="J233" s="18" t="str">
        <f t="shared" si="14"/>
        <v>May</v>
      </c>
      <c r="K233" s="56" t="str">
        <f t="shared" si="15"/>
        <v>Monday</v>
      </c>
      <c r="L233" s="18" t="str">
        <f>IF(OR(G233&gt;Answers!I248,G233&lt;Answers!I249),"Outlier","Normal")</f>
        <v>Outlier</v>
      </c>
      <c r="M233" s="18">
        <v>61</v>
      </c>
    </row>
    <row r="234" spans="1:13" ht="20" customHeight="1" x14ac:dyDescent="0.35">
      <c r="A234" s="17">
        <v>159503</v>
      </c>
      <c r="B234" s="18">
        <v>333</v>
      </c>
      <c r="C234" s="23" t="s">
        <v>109</v>
      </c>
      <c r="D234" s="24">
        <v>45060.020138888889</v>
      </c>
      <c r="E234" s="18" t="s">
        <v>97</v>
      </c>
      <c r="F234" s="18" t="s">
        <v>12</v>
      </c>
      <c r="G234" s="18">
        <v>5295</v>
      </c>
      <c r="H234" s="25">
        <f t="shared" si="12"/>
        <v>45060</v>
      </c>
      <c r="I234" s="26">
        <f t="shared" si="13"/>
        <v>2.0138888889050577E-2</v>
      </c>
      <c r="J234" s="18" t="str">
        <f t="shared" si="14"/>
        <v>May</v>
      </c>
      <c r="K234" s="56" t="str">
        <f t="shared" si="15"/>
        <v>Sunday</v>
      </c>
      <c r="L234" s="18" t="str">
        <f>IF(OR(G234&gt;Answers!I249,G234&lt;Answers!I250),"Outlier","Normal")</f>
        <v>Outlier</v>
      </c>
      <c r="M234" s="18">
        <v>43</v>
      </c>
    </row>
    <row r="235" spans="1:13" ht="20" customHeight="1" x14ac:dyDescent="0.35">
      <c r="A235" s="17">
        <v>160435</v>
      </c>
      <c r="B235" s="18">
        <v>737</v>
      </c>
      <c r="C235" s="23" t="s">
        <v>113</v>
      </c>
      <c r="D235" s="24">
        <v>45083.96875</v>
      </c>
      <c r="E235" s="18" t="s">
        <v>96</v>
      </c>
      <c r="F235" s="18" t="s">
        <v>14</v>
      </c>
      <c r="G235" s="18">
        <v>2127</v>
      </c>
      <c r="H235" s="25">
        <f t="shared" si="12"/>
        <v>45083</v>
      </c>
      <c r="I235" s="26">
        <f t="shared" si="13"/>
        <v>0.96875</v>
      </c>
      <c r="J235" s="18" t="str">
        <f t="shared" si="14"/>
        <v>June</v>
      </c>
      <c r="K235" s="56" t="str">
        <f t="shared" si="15"/>
        <v>Tuesday</v>
      </c>
      <c r="L235" s="18" t="str">
        <f>IF(OR(G235&gt;Answers!I250,G235&lt;Answers!I251),"Outlier","Normal")</f>
        <v>Outlier</v>
      </c>
      <c r="M235" s="18">
        <v>42</v>
      </c>
    </row>
    <row r="236" spans="1:13" ht="20" customHeight="1" x14ac:dyDescent="0.35">
      <c r="A236" s="17">
        <v>160692</v>
      </c>
      <c r="B236" s="18">
        <v>532</v>
      </c>
      <c r="C236" s="23" t="s">
        <v>99</v>
      </c>
      <c r="D236" s="24">
        <v>45236.044444444444</v>
      </c>
      <c r="E236" s="18" t="s">
        <v>133</v>
      </c>
      <c r="F236" s="18" t="s">
        <v>43</v>
      </c>
      <c r="G236" s="18">
        <v>679</v>
      </c>
      <c r="H236" s="25">
        <f t="shared" si="12"/>
        <v>45236</v>
      </c>
      <c r="I236" s="26">
        <f t="shared" si="13"/>
        <v>4.4444444443797693E-2</v>
      </c>
      <c r="J236" s="18" t="str">
        <f t="shared" si="14"/>
        <v>November</v>
      </c>
      <c r="K236" s="56" t="str">
        <f t="shared" si="15"/>
        <v>Monday</v>
      </c>
      <c r="L236" s="18" t="str">
        <f>IF(OR(G236&gt;Answers!I251,G236&lt;Answers!I252),"Outlier","Normal")</f>
        <v>Outlier</v>
      </c>
      <c r="M236" s="18">
        <v>84</v>
      </c>
    </row>
    <row r="237" spans="1:13" ht="20" customHeight="1" x14ac:dyDescent="0.35">
      <c r="A237" s="17">
        <v>162458</v>
      </c>
      <c r="B237" s="18">
        <v>1515</v>
      </c>
      <c r="C237" s="23" t="s">
        <v>99</v>
      </c>
      <c r="D237" s="24">
        <v>45266.040277777778</v>
      </c>
      <c r="E237" s="18" t="s">
        <v>98</v>
      </c>
      <c r="F237" s="18" t="s">
        <v>46</v>
      </c>
      <c r="G237" s="18">
        <v>3793</v>
      </c>
      <c r="H237" s="25">
        <f t="shared" si="12"/>
        <v>45266</v>
      </c>
      <c r="I237" s="26">
        <f t="shared" si="13"/>
        <v>4.0277777778101154E-2</v>
      </c>
      <c r="J237" s="18" t="str">
        <f t="shared" si="14"/>
        <v>December</v>
      </c>
      <c r="K237" s="56" t="str">
        <f t="shared" si="15"/>
        <v>Wednesday</v>
      </c>
      <c r="L237" s="18" t="str">
        <f>IF(OR(G237&gt;Answers!I252,G237&lt;Answers!I253),"Outlier","Normal")</f>
        <v>Outlier</v>
      </c>
      <c r="M237" s="18">
        <v>54</v>
      </c>
    </row>
    <row r="238" spans="1:13" ht="20" customHeight="1" x14ac:dyDescent="0.35">
      <c r="A238" s="17">
        <v>163919</v>
      </c>
      <c r="B238" s="18">
        <v>1635</v>
      </c>
      <c r="C238" s="23" t="s">
        <v>99</v>
      </c>
      <c r="D238" s="24">
        <v>45099.033333333333</v>
      </c>
      <c r="E238" s="18" t="s">
        <v>98</v>
      </c>
      <c r="F238" s="18" t="s">
        <v>8</v>
      </c>
      <c r="G238" s="18">
        <v>4116</v>
      </c>
      <c r="H238" s="25">
        <f t="shared" si="12"/>
        <v>45099</v>
      </c>
      <c r="I238" s="26">
        <f t="shared" si="13"/>
        <v>3.3333333332848269E-2</v>
      </c>
      <c r="J238" s="18" t="str">
        <f t="shared" si="14"/>
        <v>June</v>
      </c>
      <c r="K238" s="56" t="str">
        <f t="shared" si="15"/>
        <v>Thursday</v>
      </c>
      <c r="L238" s="18" t="str">
        <f>IF(OR(G238&gt;Answers!I253,G238&lt;Answers!I254),"Outlier","Normal")</f>
        <v>Outlier</v>
      </c>
      <c r="M238" s="18">
        <v>41</v>
      </c>
    </row>
    <row r="239" spans="1:13" ht="20" customHeight="1" x14ac:dyDescent="0.35">
      <c r="A239" s="17">
        <v>164155</v>
      </c>
      <c r="B239" s="18">
        <v>820</v>
      </c>
      <c r="C239" s="23" t="s">
        <v>107</v>
      </c>
      <c r="D239" s="24">
        <v>45067.03402777778</v>
      </c>
      <c r="E239" s="18" t="s">
        <v>96</v>
      </c>
      <c r="F239" s="18" t="s">
        <v>46</v>
      </c>
      <c r="G239" s="18">
        <v>6498</v>
      </c>
      <c r="H239" s="25">
        <f t="shared" si="12"/>
        <v>45067</v>
      </c>
      <c r="I239" s="26">
        <f t="shared" si="13"/>
        <v>3.4027777779556345E-2</v>
      </c>
      <c r="J239" s="18" t="str">
        <f t="shared" si="14"/>
        <v>May</v>
      </c>
      <c r="K239" s="56" t="str">
        <f t="shared" si="15"/>
        <v>Sunday</v>
      </c>
      <c r="L239" s="18" t="str">
        <f>IF(OR(G239&gt;Answers!I254,G239&lt;Answers!I255),"Outlier","Normal")</f>
        <v>Outlier</v>
      </c>
      <c r="M239" s="18">
        <v>29</v>
      </c>
    </row>
    <row r="240" spans="1:13" ht="20" customHeight="1" x14ac:dyDescent="0.35">
      <c r="A240" s="17">
        <v>165080</v>
      </c>
      <c r="B240" s="18">
        <v>715</v>
      </c>
      <c r="C240" s="23" t="s">
        <v>99</v>
      </c>
      <c r="D240" s="24">
        <v>45283.973611111112</v>
      </c>
      <c r="E240" s="18" t="s">
        <v>98</v>
      </c>
      <c r="F240" s="18" t="s">
        <v>47</v>
      </c>
      <c r="G240" s="18">
        <v>3378</v>
      </c>
      <c r="H240" s="25">
        <f t="shared" si="12"/>
        <v>45283</v>
      </c>
      <c r="I240" s="26">
        <f t="shared" si="13"/>
        <v>0.97361111111240461</v>
      </c>
      <c r="J240" s="18" t="str">
        <f t="shared" si="14"/>
        <v>December</v>
      </c>
      <c r="K240" s="56" t="str">
        <f t="shared" si="15"/>
        <v>Saturday</v>
      </c>
      <c r="L240" s="18" t="str">
        <f>IF(OR(G240&gt;Answers!I255,G240&lt;Answers!I256),"Outlier","Normal")</f>
        <v>Outlier</v>
      </c>
      <c r="M240" s="18">
        <v>81</v>
      </c>
    </row>
    <row r="241" spans="1:13" ht="20" customHeight="1" x14ac:dyDescent="0.35">
      <c r="A241" s="17">
        <v>165318</v>
      </c>
      <c r="B241" s="18">
        <v>1759</v>
      </c>
      <c r="C241" s="23" t="s">
        <v>105</v>
      </c>
      <c r="D241" s="24">
        <v>44966.034722222219</v>
      </c>
      <c r="E241" s="18" t="s">
        <v>98</v>
      </c>
      <c r="F241" s="18" t="s">
        <v>27</v>
      </c>
      <c r="G241" s="18">
        <v>3573</v>
      </c>
      <c r="H241" s="25">
        <f t="shared" si="12"/>
        <v>44966</v>
      </c>
      <c r="I241" s="26">
        <f t="shared" si="13"/>
        <v>3.4722222218988463E-2</v>
      </c>
      <c r="J241" s="18" t="str">
        <f t="shared" si="14"/>
        <v>February</v>
      </c>
      <c r="K241" s="56" t="str">
        <f t="shared" si="15"/>
        <v>Thursday</v>
      </c>
      <c r="L241" s="18" t="str">
        <f>IF(OR(G241&gt;Answers!I256,G241&lt;Answers!I257),"Outlier","Normal")</f>
        <v>Outlier</v>
      </c>
      <c r="M241" s="18">
        <v>22</v>
      </c>
    </row>
    <row r="242" spans="1:13" ht="20" customHeight="1" x14ac:dyDescent="0.35">
      <c r="A242" s="17">
        <v>165674</v>
      </c>
      <c r="B242" s="18">
        <v>614</v>
      </c>
      <c r="C242" s="23" t="s">
        <v>99</v>
      </c>
      <c r="D242" s="24">
        <v>45259.023611111108</v>
      </c>
      <c r="E242" s="18" t="s">
        <v>97</v>
      </c>
      <c r="F242" s="18" t="s">
        <v>4</v>
      </c>
      <c r="G242" s="18">
        <v>8831</v>
      </c>
      <c r="H242" s="25">
        <f t="shared" si="12"/>
        <v>45259</v>
      </c>
      <c r="I242" s="26">
        <f t="shared" si="13"/>
        <v>2.361111110803904E-2</v>
      </c>
      <c r="J242" s="18" t="str">
        <f t="shared" si="14"/>
        <v>November</v>
      </c>
      <c r="K242" s="56" t="str">
        <f t="shared" si="15"/>
        <v>Wednesday</v>
      </c>
      <c r="L242" s="18" t="str">
        <f>IF(OR(G242&gt;Answers!I257,G242&lt;Answers!I258),"Outlier","Normal")</f>
        <v>Outlier</v>
      </c>
      <c r="M242" s="18">
        <v>36</v>
      </c>
    </row>
    <row r="243" spans="1:13" ht="20" customHeight="1" x14ac:dyDescent="0.35">
      <c r="A243" s="17">
        <v>165835</v>
      </c>
      <c r="B243" s="18">
        <v>1191</v>
      </c>
      <c r="C243" s="23" t="s">
        <v>101</v>
      </c>
      <c r="D243" s="24">
        <v>45077.011111111111</v>
      </c>
      <c r="E243" s="18" t="s">
        <v>97</v>
      </c>
      <c r="F243" s="18" t="s">
        <v>5</v>
      </c>
      <c r="G243" s="18">
        <v>2282</v>
      </c>
      <c r="H243" s="25">
        <f t="shared" si="12"/>
        <v>45077</v>
      </c>
      <c r="I243" s="26">
        <f t="shared" si="13"/>
        <v>1.1111111110949423E-2</v>
      </c>
      <c r="J243" s="18" t="str">
        <f t="shared" si="14"/>
        <v>May</v>
      </c>
      <c r="K243" s="56" t="str">
        <f t="shared" si="15"/>
        <v>Wednesday</v>
      </c>
      <c r="L243" s="18" t="str">
        <f>IF(OR(G243&gt;Answers!I258,G243&lt;Answers!I259),"Outlier","Normal")</f>
        <v>Outlier</v>
      </c>
      <c r="M243" s="18">
        <v>48</v>
      </c>
    </row>
    <row r="244" spans="1:13" ht="20" customHeight="1" x14ac:dyDescent="0.35">
      <c r="A244" s="17">
        <v>166687</v>
      </c>
      <c r="B244" s="18">
        <v>813</v>
      </c>
      <c r="C244" s="23" t="s">
        <v>106</v>
      </c>
      <c r="D244" s="24">
        <v>45067.024305555555</v>
      </c>
      <c r="E244" s="18" t="s">
        <v>98</v>
      </c>
      <c r="F244" s="18" t="s">
        <v>6</v>
      </c>
      <c r="G244" s="18">
        <v>2254</v>
      </c>
      <c r="H244" s="25">
        <f t="shared" si="12"/>
        <v>45067</v>
      </c>
      <c r="I244" s="26">
        <f t="shared" si="13"/>
        <v>2.4305555554747116E-2</v>
      </c>
      <c r="J244" s="18" t="str">
        <f t="shared" si="14"/>
        <v>May</v>
      </c>
      <c r="K244" s="56" t="str">
        <f t="shared" si="15"/>
        <v>Sunday</v>
      </c>
      <c r="L244" s="18" t="str">
        <f>IF(OR(G244&gt;Answers!I259,G244&lt;Answers!I260),"Outlier","Normal")</f>
        <v>Outlier</v>
      </c>
      <c r="M244" s="18">
        <v>51</v>
      </c>
    </row>
    <row r="245" spans="1:13" ht="20" customHeight="1" x14ac:dyDescent="0.35">
      <c r="A245" s="17">
        <v>167720</v>
      </c>
      <c r="B245" s="18">
        <v>1887</v>
      </c>
      <c r="C245" s="23" t="s">
        <v>105</v>
      </c>
      <c r="D245" s="24">
        <v>45262.024305555555</v>
      </c>
      <c r="E245" s="18" t="s">
        <v>97</v>
      </c>
      <c r="F245" s="18" t="s">
        <v>7</v>
      </c>
      <c r="G245" s="18">
        <v>8941</v>
      </c>
      <c r="H245" s="25">
        <f t="shared" si="12"/>
        <v>45262</v>
      </c>
      <c r="I245" s="26">
        <f t="shared" si="13"/>
        <v>2.4305555554747116E-2</v>
      </c>
      <c r="J245" s="18" t="str">
        <f t="shared" si="14"/>
        <v>December</v>
      </c>
      <c r="K245" s="56" t="str">
        <f t="shared" si="15"/>
        <v>Saturday</v>
      </c>
      <c r="L245" s="18" t="str">
        <f>IF(OR(G245&gt;Answers!I260,G245&lt;Answers!I261),"Outlier","Normal")</f>
        <v>Outlier</v>
      </c>
      <c r="M245" s="18">
        <v>89</v>
      </c>
    </row>
    <row r="246" spans="1:13" ht="20" customHeight="1" x14ac:dyDescent="0.35">
      <c r="A246" s="17">
        <v>169945</v>
      </c>
      <c r="B246" s="18">
        <v>1325</v>
      </c>
      <c r="C246" s="23" t="s">
        <v>105</v>
      </c>
      <c r="D246" s="24">
        <v>45111.037499999999</v>
      </c>
      <c r="E246" s="18" t="s">
        <v>133</v>
      </c>
      <c r="F246" s="18" t="s">
        <v>8</v>
      </c>
      <c r="G246" s="18">
        <v>9136</v>
      </c>
      <c r="H246" s="25">
        <f t="shared" si="12"/>
        <v>45111</v>
      </c>
      <c r="I246" s="26">
        <f t="shared" si="13"/>
        <v>3.7499999998544808E-2</v>
      </c>
      <c r="J246" s="18" t="str">
        <f t="shared" si="14"/>
        <v>July</v>
      </c>
      <c r="K246" s="56" t="str">
        <f t="shared" si="15"/>
        <v>Tuesday</v>
      </c>
      <c r="L246" s="18" t="str">
        <f>IF(OR(G246&gt;Answers!I261,G246&lt;Answers!I262),"Outlier","Normal")</f>
        <v>Outlier</v>
      </c>
      <c r="M246" s="18">
        <v>29</v>
      </c>
    </row>
    <row r="247" spans="1:13" ht="20" customHeight="1" x14ac:dyDescent="0.35">
      <c r="A247" s="17">
        <v>170046</v>
      </c>
      <c r="B247" s="18">
        <v>242</v>
      </c>
      <c r="C247" s="23" t="s">
        <v>99</v>
      </c>
      <c r="D247" s="24">
        <v>44942.039583333331</v>
      </c>
      <c r="E247" s="18" t="s">
        <v>97</v>
      </c>
      <c r="F247" s="18" t="s">
        <v>46</v>
      </c>
      <c r="G247" s="18">
        <v>9317</v>
      </c>
      <c r="H247" s="25">
        <f t="shared" si="12"/>
        <v>44942</v>
      </c>
      <c r="I247" s="26">
        <f t="shared" si="13"/>
        <v>3.9583333331393078E-2</v>
      </c>
      <c r="J247" s="18" t="str">
        <f t="shared" si="14"/>
        <v>January</v>
      </c>
      <c r="K247" s="56" t="str">
        <f t="shared" si="15"/>
        <v>Monday</v>
      </c>
      <c r="L247" s="18" t="str">
        <f>IF(OR(G247&gt;Answers!I262,G247&lt;Answers!I263),"Outlier","Normal")</f>
        <v>Outlier</v>
      </c>
      <c r="M247" s="18">
        <v>87</v>
      </c>
    </row>
    <row r="248" spans="1:13" ht="20" customHeight="1" x14ac:dyDescent="0.35">
      <c r="A248" s="17">
        <v>170058</v>
      </c>
      <c r="B248" s="18">
        <v>446</v>
      </c>
      <c r="C248" s="23" t="s">
        <v>99</v>
      </c>
      <c r="D248" s="24">
        <v>45241.034722222219</v>
      </c>
      <c r="E248" s="18" t="s">
        <v>97</v>
      </c>
      <c r="F248" s="18" t="s">
        <v>10</v>
      </c>
      <c r="G248" s="18">
        <v>8184</v>
      </c>
      <c r="H248" s="25">
        <f t="shared" si="12"/>
        <v>45241</v>
      </c>
      <c r="I248" s="26">
        <f t="shared" si="13"/>
        <v>3.4722222218988463E-2</v>
      </c>
      <c r="J248" s="18" t="str">
        <f t="shared" si="14"/>
        <v>November</v>
      </c>
      <c r="K248" s="56" t="str">
        <f t="shared" si="15"/>
        <v>Saturday</v>
      </c>
      <c r="L248" s="18" t="str">
        <f>IF(OR(G248&gt;Answers!I263,G248&lt;Answers!I264),"Outlier","Normal")</f>
        <v>Outlier</v>
      </c>
      <c r="M248" s="18">
        <v>67</v>
      </c>
    </row>
    <row r="249" spans="1:13" ht="20" customHeight="1" x14ac:dyDescent="0.35">
      <c r="A249" s="17">
        <v>170864</v>
      </c>
      <c r="B249" s="18">
        <v>1870</v>
      </c>
      <c r="C249" s="23" t="s">
        <v>99</v>
      </c>
      <c r="D249" s="24">
        <v>45055.99722222222</v>
      </c>
      <c r="E249" s="18" t="s">
        <v>96</v>
      </c>
      <c r="F249" s="18" t="s">
        <v>7</v>
      </c>
      <c r="G249" s="18">
        <v>4281</v>
      </c>
      <c r="H249" s="25">
        <f t="shared" si="12"/>
        <v>45055</v>
      </c>
      <c r="I249" s="26">
        <f t="shared" si="13"/>
        <v>0.99722222222044365</v>
      </c>
      <c r="J249" s="18" t="str">
        <f t="shared" si="14"/>
        <v>May</v>
      </c>
      <c r="K249" s="56" t="str">
        <f t="shared" si="15"/>
        <v>Tuesday</v>
      </c>
      <c r="L249" s="18" t="str">
        <f>IF(OR(G249&gt;Answers!I264,G249&lt;Answers!I265),"Outlier","Normal")</f>
        <v>Outlier</v>
      </c>
      <c r="M249" s="18">
        <v>39</v>
      </c>
    </row>
    <row r="250" spans="1:13" ht="20" customHeight="1" x14ac:dyDescent="0.35">
      <c r="A250" s="17">
        <v>170991</v>
      </c>
      <c r="B250" s="18">
        <v>1845</v>
      </c>
      <c r="C250" s="23" t="s">
        <v>102</v>
      </c>
      <c r="D250" s="24">
        <v>45109.987500000003</v>
      </c>
      <c r="E250" s="18" t="s">
        <v>133</v>
      </c>
      <c r="F250" s="18" t="s">
        <v>12</v>
      </c>
      <c r="G250" s="18">
        <v>2460</v>
      </c>
      <c r="H250" s="25">
        <f t="shared" si="12"/>
        <v>45109</v>
      </c>
      <c r="I250" s="26">
        <f t="shared" si="13"/>
        <v>0.98750000000291038</v>
      </c>
      <c r="J250" s="18" t="str">
        <f t="shared" si="14"/>
        <v>July</v>
      </c>
      <c r="K250" s="56" t="str">
        <f t="shared" si="15"/>
        <v>Sunday</v>
      </c>
      <c r="L250" s="18" t="str">
        <f>IF(OR(G250&gt;Answers!I265,G250&lt;Answers!I266),"Outlier","Normal")</f>
        <v>Outlier</v>
      </c>
      <c r="M250" s="18">
        <v>83</v>
      </c>
    </row>
    <row r="251" spans="1:13" ht="20" customHeight="1" x14ac:dyDescent="0.35">
      <c r="A251" s="17">
        <v>171269</v>
      </c>
      <c r="B251" s="18">
        <v>516</v>
      </c>
      <c r="C251" s="23" t="s">
        <v>100</v>
      </c>
      <c r="D251" s="24">
        <v>45160.012499999997</v>
      </c>
      <c r="E251" s="18" t="s">
        <v>133</v>
      </c>
      <c r="F251" s="18" t="s">
        <v>13</v>
      </c>
      <c r="G251" s="18">
        <v>5709</v>
      </c>
      <c r="H251" s="25">
        <f t="shared" si="12"/>
        <v>45160</v>
      </c>
      <c r="I251" s="26">
        <f t="shared" si="13"/>
        <v>1.2499999997089617E-2</v>
      </c>
      <c r="J251" s="18" t="str">
        <f t="shared" si="14"/>
        <v>August</v>
      </c>
      <c r="K251" s="56" t="str">
        <f t="shared" si="15"/>
        <v>Tuesday</v>
      </c>
      <c r="L251" s="18" t="str">
        <f>IF(OR(G251&gt;Answers!I266,G251&lt;Answers!I267),"Outlier","Normal")</f>
        <v>Outlier</v>
      </c>
      <c r="M251" s="18">
        <v>51</v>
      </c>
    </row>
    <row r="252" spans="1:13" ht="20" customHeight="1" x14ac:dyDescent="0.35">
      <c r="A252" s="17">
        <v>171420</v>
      </c>
      <c r="B252" s="18">
        <v>614</v>
      </c>
      <c r="C252" s="23" t="s">
        <v>99</v>
      </c>
      <c r="D252" s="24">
        <v>44943.035416666666</v>
      </c>
      <c r="E252" s="18" t="s">
        <v>98</v>
      </c>
      <c r="F252" s="18" t="s">
        <v>10</v>
      </c>
      <c r="G252" s="18">
        <v>8738</v>
      </c>
      <c r="H252" s="25">
        <f t="shared" si="12"/>
        <v>44943</v>
      </c>
      <c r="I252" s="26">
        <f t="shared" si="13"/>
        <v>3.5416666665696539E-2</v>
      </c>
      <c r="J252" s="18" t="str">
        <f t="shared" si="14"/>
        <v>January</v>
      </c>
      <c r="K252" s="56" t="str">
        <f t="shared" si="15"/>
        <v>Tuesday</v>
      </c>
      <c r="L252" s="18" t="str">
        <f>IF(OR(G252&gt;Answers!I267,G252&lt;Answers!I268),"Outlier","Normal")</f>
        <v>Outlier</v>
      </c>
      <c r="M252" s="18">
        <v>36</v>
      </c>
    </row>
    <row r="253" spans="1:13" ht="20" customHeight="1" x14ac:dyDescent="0.35">
      <c r="A253" s="17">
        <v>172114</v>
      </c>
      <c r="B253" s="18">
        <v>264</v>
      </c>
      <c r="C253" s="23" t="s">
        <v>99</v>
      </c>
      <c r="D253" s="24">
        <v>44979.015277777777</v>
      </c>
      <c r="E253" s="18" t="s">
        <v>133</v>
      </c>
      <c r="F253" s="18" t="s">
        <v>15</v>
      </c>
      <c r="G253" s="18">
        <v>5214</v>
      </c>
      <c r="H253" s="25">
        <f t="shared" si="12"/>
        <v>44979</v>
      </c>
      <c r="I253" s="26">
        <f t="shared" si="13"/>
        <v>1.5277777776645962E-2</v>
      </c>
      <c r="J253" s="18" t="str">
        <f t="shared" si="14"/>
        <v>February</v>
      </c>
      <c r="K253" s="56" t="str">
        <f t="shared" si="15"/>
        <v>Wednesday</v>
      </c>
      <c r="L253" s="18" t="str">
        <f>IF(OR(G253&gt;Answers!I268,G253&lt;Answers!I269),"Outlier","Normal")</f>
        <v>Outlier</v>
      </c>
      <c r="M253" s="18">
        <v>46</v>
      </c>
    </row>
    <row r="254" spans="1:13" ht="20" customHeight="1" x14ac:dyDescent="0.35">
      <c r="A254" s="17">
        <v>172649</v>
      </c>
      <c r="B254" s="18">
        <v>1816</v>
      </c>
      <c r="C254" s="23" t="s">
        <v>105</v>
      </c>
      <c r="D254" s="24">
        <v>44981.038194444445</v>
      </c>
      <c r="E254" s="18" t="s">
        <v>133</v>
      </c>
      <c r="F254" s="18" t="s">
        <v>16</v>
      </c>
      <c r="G254" s="18">
        <v>6377</v>
      </c>
      <c r="H254" s="25">
        <f t="shared" si="12"/>
        <v>44981</v>
      </c>
      <c r="I254" s="26">
        <f t="shared" si="13"/>
        <v>3.8194444445252884E-2</v>
      </c>
      <c r="J254" s="18" t="str">
        <f t="shared" si="14"/>
        <v>February</v>
      </c>
      <c r="K254" s="56" t="str">
        <f t="shared" si="15"/>
        <v>Friday</v>
      </c>
      <c r="L254" s="18" t="str">
        <f>IF(OR(G254&gt;Answers!I269,G254&lt;Answers!I270),"Outlier","Normal")</f>
        <v>Outlier</v>
      </c>
      <c r="M254" s="18">
        <v>75</v>
      </c>
    </row>
    <row r="255" spans="1:13" ht="20" customHeight="1" x14ac:dyDescent="0.35">
      <c r="A255" s="17">
        <v>174652</v>
      </c>
      <c r="B255" s="18">
        <v>218</v>
      </c>
      <c r="C255" s="23" t="s">
        <v>100</v>
      </c>
      <c r="D255" s="24">
        <v>45254.977777777778</v>
      </c>
      <c r="E255" s="18" t="s">
        <v>133</v>
      </c>
      <c r="F255" s="18" t="s">
        <v>17</v>
      </c>
      <c r="G255" s="18">
        <v>9736</v>
      </c>
      <c r="H255" s="25">
        <f t="shared" si="12"/>
        <v>45254</v>
      </c>
      <c r="I255" s="26">
        <f t="shared" si="13"/>
        <v>0.97777777777810115</v>
      </c>
      <c r="J255" s="18" t="str">
        <f t="shared" si="14"/>
        <v>November</v>
      </c>
      <c r="K255" s="56" t="str">
        <f t="shared" si="15"/>
        <v>Friday</v>
      </c>
      <c r="L255" s="18" t="str">
        <f>IF(OR(G255&gt;Answers!I270,G255&lt;Answers!I271),"Outlier","Normal")</f>
        <v>Outlier</v>
      </c>
      <c r="M255" s="18">
        <v>34</v>
      </c>
    </row>
    <row r="256" spans="1:13" ht="20" customHeight="1" x14ac:dyDescent="0.35">
      <c r="A256" s="17">
        <v>174998</v>
      </c>
      <c r="B256" s="18">
        <v>1303</v>
      </c>
      <c r="C256" s="23" t="s">
        <v>105</v>
      </c>
      <c r="D256" s="24">
        <v>44986.994444444441</v>
      </c>
      <c r="E256" s="18" t="s">
        <v>133</v>
      </c>
      <c r="F256" s="18" t="s">
        <v>75</v>
      </c>
      <c r="G256" s="18">
        <v>5209</v>
      </c>
      <c r="H256" s="25">
        <f t="shared" si="12"/>
        <v>44986</v>
      </c>
      <c r="I256" s="26">
        <f t="shared" si="13"/>
        <v>0.99444444444088731</v>
      </c>
      <c r="J256" s="18" t="str">
        <f t="shared" si="14"/>
        <v>March</v>
      </c>
      <c r="K256" s="56" t="str">
        <f t="shared" si="15"/>
        <v>Wednesday</v>
      </c>
      <c r="L256" s="18" t="str">
        <f>IF(OR(G256&gt;Answers!I271,G256&lt;Answers!I272),"Outlier","Normal")</f>
        <v>Outlier</v>
      </c>
      <c r="M256" s="18">
        <v>81</v>
      </c>
    </row>
    <row r="257" spans="1:13" ht="20" customHeight="1" x14ac:dyDescent="0.35">
      <c r="A257" s="17">
        <v>175577</v>
      </c>
      <c r="B257" s="18">
        <v>515</v>
      </c>
      <c r="C257" s="23" t="s">
        <v>105</v>
      </c>
      <c r="D257" s="24">
        <v>45251.078472222223</v>
      </c>
      <c r="E257" s="18" t="s">
        <v>96</v>
      </c>
      <c r="F257" s="18" t="s">
        <v>19</v>
      </c>
      <c r="G257" s="18">
        <v>5334</v>
      </c>
      <c r="H257" s="25">
        <f t="shared" si="12"/>
        <v>45251</v>
      </c>
      <c r="I257" s="26">
        <f t="shared" si="13"/>
        <v>7.8472222223354038E-2</v>
      </c>
      <c r="J257" s="18" t="str">
        <f t="shared" si="14"/>
        <v>November</v>
      </c>
      <c r="K257" s="56" t="str">
        <f t="shared" si="15"/>
        <v>Tuesday</v>
      </c>
      <c r="L257" s="18" t="str">
        <f>IF(OR(G257&gt;Answers!I272,G257&lt;Answers!I273),"Outlier","Normal")</f>
        <v>Outlier</v>
      </c>
      <c r="M257" s="18">
        <v>37</v>
      </c>
    </row>
    <row r="258" spans="1:13" ht="20" customHeight="1" x14ac:dyDescent="0.35">
      <c r="A258" s="17">
        <v>177047</v>
      </c>
      <c r="B258" s="18">
        <v>1189</v>
      </c>
      <c r="C258" s="23" t="s">
        <v>100</v>
      </c>
      <c r="D258" s="24">
        <v>45151.970833333333</v>
      </c>
      <c r="E258" s="18" t="s">
        <v>97</v>
      </c>
      <c r="F258" s="18" t="s">
        <v>20</v>
      </c>
      <c r="G258" s="18">
        <v>2516</v>
      </c>
      <c r="H258" s="25">
        <f t="shared" si="12"/>
        <v>45151</v>
      </c>
      <c r="I258" s="26">
        <f t="shared" si="13"/>
        <v>0.97083333333284827</v>
      </c>
      <c r="J258" s="18" t="str">
        <f t="shared" si="14"/>
        <v>August</v>
      </c>
      <c r="K258" s="56" t="str">
        <f t="shared" si="15"/>
        <v>Sunday</v>
      </c>
      <c r="L258" s="18" t="str">
        <f>IF(OR(G258&gt;Answers!I273,G258&lt;Answers!I274),"Outlier","Normal")</f>
        <v>Outlier</v>
      </c>
      <c r="M258" s="18">
        <v>69</v>
      </c>
    </row>
    <row r="259" spans="1:13" ht="20" customHeight="1" x14ac:dyDescent="0.35">
      <c r="A259" s="17">
        <v>177753</v>
      </c>
      <c r="B259" s="18">
        <v>790</v>
      </c>
      <c r="C259" s="23" t="s">
        <v>113</v>
      </c>
      <c r="D259" s="24">
        <v>45144.030555555553</v>
      </c>
      <c r="E259" s="18" t="s">
        <v>97</v>
      </c>
      <c r="F259" s="18" t="s">
        <v>21</v>
      </c>
      <c r="G259" s="18">
        <v>5420</v>
      </c>
      <c r="H259" s="25">
        <f t="shared" ref="H259:H322" si="16">INT(D259)</f>
        <v>45144</v>
      </c>
      <c r="I259" s="26">
        <f t="shared" ref="I259:I322" si="17">MOD(D259,1)</f>
        <v>3.0555555553291924E-2</v>
      </c>
      <c r="J259" s="18" t="str">
        <f t="shared" ref="J259:J322" si="18">TEXT(D259,"mmmm")</f>
        <v>August</v>
      </c>
      <c r="K259" s="56" t="str">
        <f t="shared" ref="K259:K322" si="19">TEXT(D259,"dddd")</f>
        <v>Sunday</v>
      </c>
      <c r="L259" s="18" t="str">
        <f>IF(OR(G259&gt;Answers!I274,G259&lt;Answers!I275),"Outlier","Normal")</f>
        <v>Outlier</v>
      </c>
      <c r="M259" s="18">
        <v>85</v>
      </c>
    </row>
    <row r="260" spans="1:13" ht="20" customHeight="1" x14ac:dyDescent="0.35">
      <c r="A260" s="17">
        <v>177897</v>
      </c>
      <c r="B260" s="18">
        <v>1698</v>
      </c>
      <c r="C260" s="23" t="s">
        <v>100</v>
      </c>
      <c r="D260" s="24">
        <v>45143.972222222219</v>
      </c>
      <c r="E260" s="18" t="s">
        <v>97</v>
      </c>
      <c r="F260" s="18" t="s">
        <v>83</v>
      </c>
      <c r="G260" s="18">
        <v>8289</v>
      </c>
      <c r="H260" s="25">
        <f t="shared" si="16"/>
        <v>45143</v>
      </c>
      <c r="I260" s="26">
        <f t="shared" si="17"/>
        <v>0.97222222221898846</v>
      </c>
      <c r="J260" s="18" t="str">
        <f t="shared" si="18"/>
        <v>August</v>
      </c>
      <c r="K260" s="56" t="str">
        <f t="shared" si="19"/>
        <v>Saturday</v>
      </c>
      <c r="L260" s="18" t="str">
        <f>IF(OR(G260&gt;Answers!I275,G260&lt;Answers!I276),"Outlier","Normal")</f>
        <v>Outlier</v>
      </c>
      <c r="M260" s="18">
        <v>34</v>
      </c>
    </row>
    <row r="261" spans="1:13" ht="20" customHeight="1" x14ac:dyDescent="0.35">
      <c r="A261" s="17">
        <v>177908</v>
      </c>
      <c r="B261" s="18">
        <v>1848</v>
      </c>
      <c r="C261" s="23" t="s">
        <v>99</v>
      </c>
      <c r="D261" s="24">
        <v>45045.975694444445</v>
      </c>
      <c r="E261" s="18" t="s">
        <v>98</v>
      </c>
      <c r="F261" s="18" t="s">
        <v>4</v>
      </c>
      <c r="G261" s="18">
        <v>1341</v>
      </c>
      <c r="H261" s="25">
        <f t="shared" si="16"/>
        <v>45045</v>
      </c>
      <c r="I261" s="26">
        <f t="shared" si="17"/>
        <v>0.97569444444525288</v>
      </c>
      <c r="J261" s="18" t="str">
        <f t="shared" si="18"/>
        <v>April</v>
      </c>
      <c r="K261" s="56" t="str">
        <f t="shared" si="19"/>
        <v>Saturday</v>
      </c>
      <c r="L261" s="18" t="str">
        <f>IF(OR(G261&gt;Answers!I276,G261&lt;Answers!I277),"Outlier","Normal")</f>
        <v>Outlier</v>
      </c>
      <c r="M261" s="18">
        <v>63</v>
      </c>
    </row>
    <row r="262" spans="1:13" ht="20" customHeight="1" x14ac:dyDescent="0.35">
      <c r="A262" s="17">
        <v>178044</v>
      </c>
      <c r="B262" s="18">
        <v>1576</v>
      </c>
      <c r="C262" s="23" t="s">
        <v>99</v>
      </c>
      <c r="D262" s="24">
        <v>44961.056944444441</v>
      </c>
      <c r="E262" s="18" t="s">
        <v>133</v>
      </c>
      <c r="F262" s="18" t="s">
        <v>23</v>
      </c>
      <c r="G262" s="18">
        <v>8097</v>
      </c>
      <c r="H262" s="25">
        <f t="shared" si="16"/>
        <v>44961</v>
      </c>
      <c r="I262" s="26">
        <f t="shared" si="17"/>
        <v>5.694444444088731E-2</v>
      </c>
      <c r="J262" s="18" t="str">
        <f t="shared" si="18"/>
        <v>February</v>
      </c>
      <c r="K262" s="56" t="str">
        <f t="shared" si="19"/>
        <v>Saturday</v>
      </c>
      <c r="L262" s="18" t="str">
        <f>IF(OR(G262&gt;Answers!I277,G262&lt;Answers!I278),"Outlier","Normal")</f>
        <v>Outlier</v>
      </c>
      <c r="M262" s="18">
        <v>70</v>
      </c>
    </row>
    <row r="263" spans="1:13" ht="20" customHeight="1" x14ac:dyDescent="0.35">
      <c r="A263" s="17">
        <v>178761</v>
      </c>
      <c r="B263" s="18">
        <v>1021</v>
      </c>
      <c r="C263" s="23" t="s">
        <v>106</v>
      </c>
      <c r="D263" s="24">
        <v>44982.941666666666</v>
      </c>
      <c r="E263" s="18" t="s">
        <v>98</v>
      </c>
      <c r="F263" s="18" t="s">
        <v>9</v>
      </c>
      <c r="G263" s="18">
        <v>2487</v>
      </c>
      <c r="H263" s="25">
        <f t="shared" si="16"/>
        <v>44982</v>
      </c>
      <c r="I263" s="26">
        <f t="shared" si="17"/>
        <v>0.94166666666569654</v>
      </c>
      <c r="J263" s="18" t="str">
        <f t="shared" si="18"/>
        <v>February</v>
      </c>
      <c r="K263" s="56" t="str">
        <f t="shared" si="19"/>
        <v>Saturday</v>
      </c>
      <c r="L263" s="18" t="str">
        <f>IF(OR(G263&gt;Answers!I278,G263&lt;Answers!I279),"Outlier","Normal")</f>
        <v>Outlier</v>
      </c>
      <c r="M263" s="18">
        <v>49</v>
      </c>
    </row>
    <row r="264" spans="1:13" ht="20" customHeight="1" x14ac:dyDescent="0.35">
      <c r="A264" s="17">
        <v>179974</v>
      </c>
      <c r="B264" s="18">
        <v>1547</v>
      </c>
      <c r="C264" s="23" t="s">
        <v>100</v>
      </c>
      <c r="D264" s="24">
        <v>45064.027777777781</v>
      </c>
      <c r="E264" s="18" t="s">
        <v>98</v>
      </c>
      <c r="F264" s="18" t="s">
        <v>18</v>
      </c>
      <c r="G264" s="18">
        <v>5106</v>
      </c>
      <c r="H264" s="25">
        <f t="shared" si="16"/>
        <v>45064</v>
      </c>
      <c r="I264" s="26">
        <f t="shared" si="17"/>
        <v>2.7777777781011537E-2</v>
      </c>
      <c r="J264" s="18" t="str">
        <f t="shared" si="18"/>
        <v>May</v>
      </c>
      <c r="K264" s="56" t="str">
        <f t="shared" si="19"/>
        <v>Thursday</v>
      </c>
      <c r="L264" s="18" t="str">
        <f>IF(OR(G264&gt;Answers!I279,G264&lt;Answers!I280),"Outlier","Normal")</f>
        <v>Outlier</v>
      </c>
      <c r="M264" s="18">
        <v>37</v>
      </c>
    </row>
    <row r="265" spans="1:13" ht="20" customHeight="1" x14ac:dyDescent="0.35">
      <c r="A265" s="17">
        <v>180507</v>
      </c>
      <c r="B265" s="18">
        <v>1459</v>
      </c>
      <c r="C265" s="23" t="s">
        <v>100</v>
      </c>
      <c r="D265" s="24">
        <v>45061.940972222219</v>
      </c>
      <c r="E265" s="18" t="s">
        <v>98</v>
      </c>
      <c r="F265" s="18" t="s">
        <v>25</v>
      </c>
      <c r="G265" s="18">
        <v>1697</v>
      </c>
      <c r="H265" s="25">
        <f t="shared" si="16"/>
        <v>45061</v>
      </c>
      <c r="I265" s="26">
        <f t="shared" si="17"/>
        <v>0.94097222221898846</v>
      </c>
      <c r="J265" s="18" t="str">
        <f t="shared" si="18"/>
        <v>May</v>
      </c>
      <c r="K265" s="56" t="str">
        <f t="shared" si="19"/>
        <v>Monday</v>
      </c>
      <c r="L265" s="18" t="str">
        <f>IF(OR(G265&gt;Answers!I280,G265&lt;Answers!I281),"Outlier","Normal")</f>
        <v>Outlier</v>
      </c>
      <c r="M265" s="18">
        <v>59</v>
      </c>
    </row>
    <row r="266" spans="1:13" ht="20" customHeight="1" x14ac:dyDescent="0.35">
      <c r="A266" s="17">
        <v>180775</v>
      </c>
      <c r="B266" s="18">
        <v>645</v>
      </c>
      <c r="C266" s="23" t="s">
        <v>108</v>
      </c>
      <c r="D266" s="24">
        <v>45005.003472222219</v>
      </c>
      <c r="E266" s="18" t="s">
        <v>98</v>
      </c>
      <c r="F266" s="18" t="s">
        <v>26</v>
      </c>
      <c r="G266" s="18">
        <v>4981</v>
      </c>
      <c r="H266" s="25">
        <f t="shared" si="16"/>
        <v>45005</v>
      </c>
      <c r="I266" s="26">
        <f t="shared" si="17"/>
        <v>3.4722222189884633E-3</v>
      </c>
      <c r="J266" s="18" t="str">
        <f t="shared" si="18"/>
        <v>March</v>
      </c>
      <c r="K266" s="56" t="str">
        <f t="shared" si="19"/>
        <v>Monday</v>
      </c>
      <c r="L266" s="18" t="str">
        <f>IF(OR(G266&gt;Answers!I281,G266&lt;Answers!I282),"Outlier","Normal")</f>
        <v>Outlier</v>
      </c>
      <c r="M266" s="18">
        <v>40</v>
      </c>
    </row>
    <row r="267" spans="1:13" ht="20" customHeight="1" x14ac:dyDescent="0.35">
      <c r="A267" s="17">
        <v>182197</v>
      </c>
      <c r="B267" s="18">
        <v>74</v>
      </c>
      <c r="C267" s="23" t="s">
        <v>99</v>
      </c>
      <c r="D267" s="24">
        <v>45081.07916666667</v>
      </c>
      <c r="E267" s="18" t="s">
        <v>97</v>
      </c>
      <c r="F267" s="18" t="s">
        <v>27</v>
      </c>
      <c r="G267" s="18">
        <v>801</v>
      </c>
      <c r="H267" s="25">
        <f t="shared" si="16"/>
        <v>45081</v>
      </c>
      <c r="I267" s="26">
        <f t="shared" si="17"/>
        <v>7.9166666670062114E-2</v>
      </c>
      <c r="J267" s="18" t="str">
        <f t="shared" si="18"/>
        <v>June</v>
      </c>
      <c r="K267" s="56" t="str">
        <f t="shared" si="19"/>
        <v>Sunday</v>
      </c>
      <c r="L267" s="18" t="str">
        <f>IF(OR(G267&gt;Answers!I282,G267&lt;Answers!I283),"Outlier","Normal")</f>
        <v>Outlier</v>
      </c>
      <c r="M267" s="18">
        <v>28</v>
      </c>
    </row>
    <row r="268" spans="1:13" ht="20" customHeight="1" x14ac:dyDescent="0.35">
      <c r="A268" s="17">
        <v>182299</v>
      </c>
      <c r="B268" s="18">
        <v>570</v>
      </c>
      <c r="C268" s="23" t="s">
        <v>113</v>
      </c>
      <c r="D268" s="24">
        <v>45212.022916666669</v>
      </c>
      <c r="E268" s="18" t="s">
        <v>97</v>
      </c>
      <c r="F268" s="18" t="s">
        <v>27</v>
      </c>
      <c r="G268" s="18">
        <v>2238</v>
      </c>
      <c r="H268" s="25">
        <f t="shared" si="16"/>
        <v>45212</v>
      </c>
      <c r="I268" s="26">
        <f t="shared" si="17"/>
        <v>2.2916666668606922E-2</v>
      </c>
      <c r="J268" s="18" t="str">
        <f t="shared" si="18"/>
        <v>October</v>
      </c>
      <c r="K268" s="56" t="str">
        <f t="shared" si="19"/>
        <v>Friday</v>
      </c>
      <c r="L268" s="18" t="str">
        <f>IF(OR(G268&gt;Answers!I283,G268&lt;Answers!I284),"Outlier","Normal")</f>
        <v>Outlier</v>
      </c>
      <c r="M268" s="18">
        <v>66</v>
      </c>
    </row>
    <row r="269" spans="1:13" ht="20" customHeight="1" x14ac:dyDescent="0.35">
      <c r="A269" s="17">
        <v>182441</v>
      </c>
      <c r="B269" s="18">
        <v>1694</v>
      </c>
      <c r="C269" s="23" t="s">
        <v>111</v>
      </c>
      <c r="D269" s="24">
        <v>45278.959027777775</v>
      </c>
      <c r="E269" s="18" t="s">
        <v>133</v>
      </c>
      <c r="F269" s="18" t="s">
        <v>30</v>
      </c>
      <c r="G269" s="18">
        <v>1072</v>
      </c>
      <c r="H269" s="25">
        <f t="shared" si="16"/>
        <v>45278</v>
      </c>
      <c r="I269" s="26">
        <f t="shared" si="17"/>
        <v>0.95902777777519077</v>
      </c>
      <c r="J269" s="18" t="str">
        <f t="shared" si="18"/>
        <v>December</v>
      </c>
      <c r="K269" s="56" t="str">
        <f t="shared" si="19"/>
        <v>Monday</v>
      </c>
      <c r="L269" s="18" t="str">
        <f>IF(OR(G269&gt;Answers!I284,G269&lt;Answers!I285),"Outlier","Normal")</f>
        <v>Outlier</v>
      </c>
      <c r="M269" s="18">
        <v>83</v>
      </c>
    </row>
    <row r="270" spans="1:13" ht="20" customHeight="1" x14ac:dyDescent="0.35">
      <c r="A270" s="17">
        <v>183352</v>
      </c>
      <c r="B270" s="18">
        <v>1682</v>
      </c>
      <c r="C270" s="23" t="s">
        <v>100</v>
      </c>
      <c r="D270" s="24">
        <v>45215.024305555555</v>
      </c>
      <c r="E270" s="18" t="s">
        <v>133</v>
      </c>
      <c r="F270" s="18" t="s">
        <v>78</v>
      </c>
      <c r="G270" s="18">
        <v>8347</v>
      </c>
      <c r="H270" s="25">
        <f t="shared" si="16"/>
        <v>45215</v>
      </c>
      <c r="I270" s="26">
        <f t="shared" si="17"/>
        <v>2.4305555554747116E-2</v>
      </c>
      <c r="J270" s="18" t="str">
        <f t="shared" si="18"/>
        <v>October</v>
      </c>
      <c r="K270" s="56" t="str">
        <f t="shared" si="19"/>
        <v>Monday</v>
      </c>
      <c r="L270" s="18" t="str">
        <f>IF(OR(G270&gt;Answers!I285,G270&lt;Answers!I286),"Outlier","Normal")</f>
        <v>Outlier</v>
      </c>
      <c r="M270" s="18">
        <v>72</v>
      </c>
    </row>
    <row r="271" spans="1:13" ht="20" customHeight="1" x14ac:dyDescent="0.35">
      <c r="A271" s="17">
        <v>183380</v>
      </c>
      <c r="B271" s="18">
        <v>1712</v>
      </c>
      <c r="C271" s="23" t="s">
        <v>109</v>
      </c>
      <c r="D271" s="24">
        <v>45113.002083333333</v>
      </c>
      <c r="E271" s="18" t="s">
        <v>133</v>
      </c>
      <c r="F271" s="18" t="s">
        <v>43</v>
      </c>
      <c r="G271" s="18">
        <v>1046</v>
      </c>
      <c r="H271" s="25">
        <f t="shared" si="16"/>
        <v>45113</v>
      </c>
      <c r="I271" s="26">
        <f t="shared" si="17"/>
        <v>2.0833333328482695E-3</v>
      </c>
      <c r="J271" s="18" t="str">
        <f t="shared" si="18"/>
        <v>July</v>
      </c>
      <c r="K271" s="56" t="str">
        <f t="shared" si="19"/>
        <v>Thursday</v>
      </c>
      <c r="L271" s="18" t="str">
        <f>IF(OR(G271&gt;Answers!I286,G271&lt;Answers!I287),"Outlier","Normal")</f>
        <v>Outlier</v>
      </c>
      <c r="M271" s="18">
        <v>82</v>
      </c>
    </row>
    <row r="272" spans="1:13" ht="20" customHeight="1" x14ac:dyDescent="0.35">
      <c r="A272" s="17">
        <v>183654</v>
      </c>
      <c r="B272" s="18">
        <v>618</v>
      </c>
      <c r="C272" s="23" t="s">
        <v>102</v>
      </c>
      <c r="D272" s="24">
        <v>45152.959722222222</v>
      </c>
      <c r="E272" s="18" t="s">
        <v>96</v>
      </c>
      <c r="F272" s="18" t="s">
        <v>27</v>
      </c>
      <c r="G272" s="18">
        <v>1434</v>
      </c>
      <c r="H272" s="25">
        <f t="shared" si="16"/>
        <v>45152</v>
      </c>
      <c r="I272" s="26">
        <f t="shared" si="17"/>
        <v>0.95972222222189885</v>
      </c>
      <c r="J272" s="18" t="str">
        <f t="shared" si="18"/>
        <v>August</v>
      </c>
      <c r="K272" s="56" t="str">
        <f t="shared" si="19"/>
        <v>Monday</v>
      </c>
      <c r="L272" s="18" t="str">
        <f>IF(OR(G272&gt;Answers!I287,G272&lt;Answers!I288),"Outlier","Normal")</f>
        <v>Outlier</v>
      </c>
      <c r="M272" s="18">
        <v>58</v>
      </c>
    </row>
    <row r="273" spans="1:13" ht="20" customHeight="1" x14ac:dyDescent="0.35">
      <c r="A273" s="17">
        <v>184958</v>
      </c>
      <c r="B273" s="18">
        <v>1354</v>
      </c>
      <c r="C273" s="23" t="s">
        <v>106</v>
      </c>
      <c r="D273" s="24">
        <v>45150.040277777778</v>
      </c>
      <c r="E273" s="18" t="s">
        <v>96</v>
      </c>
      <c r="F273" s="18" t="s">
        <v>30</v>
      </c>
      <c r="G273" s="18">
        <v>39</v>
      </c>
      <c r="H273" s="25">
        <f t="shared" si="16"/>
        <v>45150</v>
      </c>
      <c r="I273" s="26">
        <f t="shared" si="17"/>
        <v>4.0277777778101154E-2</v>
      </c>
      <c r="J273" s="18" t="str">
        <f t="shared" si="18"/>
        <v>August</v>
      </c>
      <c r="K273" s="56" t="str">
        <f t="shared" si="19"/>
        <v>Saturday</v>
      </c>
      <c r="L273" s="18" t="str">
        <f>IF(OR(G273&gt;Answers!I288,G273&lt;Answers!I289),"Outlier","Normal")</f>
        <v>Outlier</v>
      </c>
      <c r="M273" s="18">
        <v>68</v>
      </c>
    </row>
    <row r="274" spans="1:13" ht="20" customHeight="1" x14ac:dyDescent="0.35">
      <c r="A274" s="17">
        <v>185213</v>
      </c>
      <c r="B274" s="18">
        <v>868</v>
      </c>
      <c r="C274" s="23" t="s">
        <v>110</v>
      </c>
      <c r="D274" s="24">
        <v>45032.944444444445</v>
      </c>
      <c r="E274" s="18" t="s">
        <v>97</v>
      </c>
      <c r="F274" s="18" t="s">
        <v>74</v>
      </c>
      <c r="G274" s="18">
        <v>4245</v>
      </c>
      <c r="H274" s="25">
        <f t="shared" si="16"/>
        <v>45032</v>
      </c>
      <c r="I274" s="26">
        <f t="shared" si="17"/>
        <v>0.94444444444525288</v>
      </c>
      <c r="J274" s="18" t="str">
        <f t="shared" si="18"/>
        <v>April</v>
      </c>
      <c r="K274" s="56" t="str">
        <f t="shared" si="19"/>
        <v>Sunday</v>
      </c>
      <c r="L274" s="18" t="str">
        <f>IF(OR(G274&gt;Answers!I289,G274&lt;Answers!I290),"Outlier","Normal")</f>
        <v>Outlier</v>
      </c>
      <c r="M274" s="18">
        <v>31</v>
      </c>
    </row>
    <row r="275" spans="1:13" ht="20" customHeight="1" x14ac:dyDescent="0.35">
      <c r="A275" s="17">
        <v>185809</v>
      </c>
      <c r="B275" s="18">
        <v>1830</v>
      </c>
      <c r="C275" s="23" t="s">
        <v>101</v>
      </c>
      <c r="D275" s="24">
        <v>44993.088194444441</v>
      </c>
      <c r="E275" s="18" t="s">
        <v>133</v>
      </c>
      <c r="F275" s="18" t="s">
        <v>54</v>
      </c>
      <c r="G275" s="18">
        <v>3863</v>
      </c>
      <c r="H275" s="25">
        <f t="shared" si="16"/>
        <v>44993</v>
      </c>
      <c r="I275" s="26">
        <f t="shared" si="17"/>
        <v>8.819444444088731E-2</v>
      </c>
      <c r="J275" s="18" t="str">
        <f t="shared" si="18"/>
        <v>March</v>
      </c>
      <c r="K275" s="56" t="str">
        <f t="shared" si="19"/>
        <v>Wednesday</v>
      </c>
      <c r="L275" s="18" t="str">
        <f>IF(OR(G275&gt;Answers!I290,G275&lt;Answers!I291),"Outlier","Normal")</f>
        <v>Outlier</v>
      </c>
      <c r="M275" s="18">
        <v>44</v>
      </c>
    </row>
    <row r="276" spans="1:13" ht="20" customHeight="1" x14ac:dyDescent="0.35">
      <c r="A276" s="17">
        <v>187527</v>
      </c>
      <c r="B276" s="18">
        <v>877</v>
      </c>
      <c r="C276" s="23" t="s">
        <v>113</v>
      </c>
      <c r="D276" s="24">
        <v>45023.056944444441</v>
      </c>
      <c r="E276" s="18" t="s">
        <v>133</v>
      </c>
      <c r="F276" s="18" t="s">
        <v>38</v>
      </c>
      <c r="G276" s="18">
        <v>6774</v>
      </c>
      <c r="H276" s="25">
        <f t="shared" si="16"/>
        <v>45023</v>
      </c>
      <c r="I276" s="26">
        <f t="shared" si="17"/>
        <v>5.694444444088731E-2</v>
      </c>
      <c r="J276" s="18" t="str">
        <f t="shared" si="18"/>
        <v>April</v>
      </c>
      <c r="K276" s="56" t="str">
        <f t="shared" si="19"/>
        <v>Friday</v>
      </c>
      <c r="L276" s="18" t="str">
        <f>IF(OR(G276&gt;Answers!I291,G276&lt;Answers!I292),"Outlier","Normal")</f>
        <v>Outlier</v>
      </c>
      <c r="M276" s="18">
        <v>78</v>
      </c>
    </row>
    <row r="277" spans="1:13" ht="20" customHeight="1" x14ac:dyDescent="0.35">
      <c r="A277" s="17">
        <v>187746</v>
      </c>
      <c r="B277" s="18">
        <v>500</v>
      </c>
      <c r="C277" s="23" t="s">
        <v>99</v>
      </c>
      <c r="D277" s="24">
        <v>45220.008333333331</v>
      </c>
      <c r="E277" s="18" t="s">
        <v>96</v>
      </c>
      <c r="F277" s="18" t="s">
        <v>34</v>
      </c>
      <c r="G277" s="18">
        <v>946</v>
      </c>
      <c r="H277" s="25">
        <f t="shared" si="16"/>
        <v>45220</v>
      </c>
      <c r="I277" s="26">
        <f t="shared" si="17"/>
        <v>8.333333331393078E-3</v>
      </c>
      <c r="J277" s="18" t="str">
        <f t="shared" si="18"/>
        <v>October</v>
      </c>
      <c r="K277" s="56" t="str">
        <f t="shared" si="19"/>
        <v>Saturday</v>
      </c>
      <c r="L277" s="18" t="str">
        <f>IF(OR(G277&gt;Answers!I292,G277&lt;Answers!I293),"Outlier","Normal")</f>
        <v>Outlier</v>
      </c>
      <c r="M277" s="18">
        <v>77</v>
      </c>
    </row>
    <row r="278" spans="1:13" ht="20" customHeight="1" x14ac:dyDescent="0.35">
      <c r="A278" s="17">
        <v>188610</v>
      </c>
      <c r="B278" s="18">
        <v>1057</v>
      </c>
      <c r="C278" s="23" t="s">
        <v>105</v>
      </c>
      <c r="D278" s="24">
        <v>44962.988888888889</v>
      </c>
      <c r="E278" s="18" t="s">
        <v>97</v>
      </c>
      <c r="F278" s="18" t="s">
        <v>79</v>
      </c>
      <c r="G278" s="18">
        <v>597</v>
      </c>
      <c r="H278" s="25">
        <f t="shared" si="16"/>
        <v>44962</v>
      </c>
      <c r="I278" s="26">
        <f t="shared" si="17"/>
        <v>0.98888888888905058</v>
      </c>
      <c r="J278" s="18" t="str">
        <f t="shared" si="18"/>
        <v>February</v>
      </c>
      <c r="K278" s="56" t="str">
        <f t="shared" si="19"/>
        <v>Sunday</v>
      </c>
      <c r="L278" s="18" t="str">
        <f>IF(OR(G278&gt;Answers!I293,G278&lt;Answers!I294),"Outlier","Normal")</f>
        <v>Outlier</v>
      </c>
      <c r="M278" s="18">
        <v>71</v>
      </c>
    </row>
    <row r="279" spans="1:13" ht="20" customHeight="1" x14ac:dyDescent="0.35">
      <c r="A279" s="17">
        <v>188856</v>
      </c>
      <c r="B279" s="18">
        <v>1984</v>
      </c>
      <c r="C279" s="23" t="s">
        <v>101</v>
      </c>
      <c r="D279" s="24">
        <v>45251.959027777775</v>
      </c>
      <c r="E279" s="18" t="s">
        <v>133</v>
      </c>
      <c r="F279" s="18" t="s">
        <v>76</v>
      </c>
      <c r="G279" s="18">
        <v>4243</v>
      </c>
      <c r="H279" s="25">
        <f t="shared" si="16"/>
        <v>45251</v>
      </c>
      <c r="I279" s="26">
        <f t="shared" si="17"/>
        <v>0.95902777777519077</v>
      </c>
      <c r="J279" s="18" t="str">
        <f t="shared" si="18"/>
        <v>November</v>
      </c>
      <c r="K279" s="56" t="str">
        <f t="shared" si="19"/>
        <v>Tuesday</v>
      </c>
      <c r="L279" s="18" t="str">
        <f>IF(OR(G279&gt;Answers!I294,G279&lt;Answers!I295),"Outlier","Normal")</f>
        <v>Outlier</v>
      </c>
      <c r="M279" s="18">
        <v>45</v>
      </c>
    </row>
    <row r="280" spans="1:13" ht="20" customHeight="1" x14ac:dyDescent="0.35">
      <c r="A280" s="17">
        <v>191639</v>
      </c>
      <c r="B280" s="18">
        <v>1293</v>
      </c>
      <c r="C280" s="23" t="s">
        <v>99</v>
      </c>
      <c r="D280" s="24">
        <v>45042.986111111109</v>
      </c>
      <c r="E280" s="18" t="s">
        <v>97</v>
      </c>
      <c r="F280" s="18" t="s">
        <v>77</v>
      </c>
      <c r="G280" s="18">
        <v>957</v>
      </c>
      <c r="H280" s="25">
        <f t="shared" si="16"/>
        <v>45042</v>
      </c>
      <c r="I280" s="26">
        <f t="shared" si="17"/>
        <v>0.98611111110949423</v>
      </c>
      <c r="J280" s="18" t="str">
        <f t="shared" si="18"/>
        <v>April</v>
      </c>
      <c r="K280" s="56" t="str">
        <f t="shared" si="19"/>
        <v>Wednesday</v>
      </c>
      <c r="L280" s="18" t="str">
        <f>IF(OR(G280&gt;Answers!I295,G280&lt;Answers!I296),"Outlier","Normal")</f>
        <v>Outlier</v>
      </c>
      <c r="M280" s="18">
        <v>38</v>
      </c>
    </row>
    <row r="281" spans="1:13" ht="20" customHeight="1" x14ac:dyDescent="0.35">
      <c r="A281" s="17">
        <v>193342</v>
      </c>
      <c r="B281" s="18">
        <v>1974</v>
      </c>
      <c r="C281" s="23" t="s">
        <v>99</v>
      </c>
      <c r="D281" s="24">
        <v>45002.071527777778</v>
      </c>
      <c r="E281" s="18" t="s">
        <v>96</v>
      </c>
      <c r="F281" s="18" t="s">
        <v>22</v>
      </c>
      <c r="G281" s="18">
        <v>242</v>
      </c>
      <c r="H281" s="25">
        <f t="shared" si="16"/>
        <v>45002</v>
      </c>
      <c r="I281" s="26">
        <f t="shared" si="17"/>
        <v>7.1527777778101154E-2</v>
      </c>
      <c r="J281" s="18" t="str">
        <f t="shared" si="18"/>
        <v>March</v>
      </c>
      <c r="K281" s="56" t="str">
        <f t="shared" si="19"/>
        <v>Friday</v>
      </c>
      <c r="L281" s="18" t="str">
        <f>IF(OR(G281&gt;Answers!I296,G281&lt;Answers!I297),"Outlier","Normal")</f>
        <v>Outlier</v>
      </c>
      <c r="M281" s="18">
        <v>74</v>
      </c>
    </row>
    <row r="282" spans="1:13" ht="20" customHeight="1" x14ac:dyDescent="0.35">
      <c r="A282" s="17">
        <v>194632</v>
      </c>
      <c r="B282" s="18">
        <v>1962</v>
      </c>
      <c r="C282" s="23" t="s">
        <v>99</v>
      </c>
      <c r="D282" s="24">
        <v>44928.027777777781</v>
      </c>
      <c r="E282" s="18" t="s">
        <v>97</v>
      </c>
      <c r="F282" s="18" t="s">
        <v>43</v>
      </c>
      <c r="G282" s="18">
        <v>8267</v>
      </c>
      <c r="H282" s="25">
        <f t="shared" si="16"/>
        <v>44928</v>
      </c>
      <c r="I282" s="26">
        <f t="shared" si="17"/>
        <v>2.7777777781011537E-2</v>
      </c>
      <c r="J282" s="18" t="str">
        <f t="shared" si="18"/>
        <v>January</v>
      </c>
      <c r="K282" s="56" t="str">
        <f t="shared" si="19"/>
        <v>Monday</v>
      </c>
      <c r="L282" s="18" t="str">
        <f>IF(OR(G282&gt;Answers!I297,G282&lt;Answers!I298),"Outlier","Normal")</f>
        <v>Outlier</v>
      </c>
      <c r="M282" s="18">
        <v>23</v>
      </c>
    </row>
    <row r="283" spans="1:13" ht="20" customHeight="1" x14ac:dyDescent="0.35">
      <c r="A283" s="17">
        <v>194894</v>
      </c>
      <c r="B283" s="18">
        <v>1210</v>
      </c>
      <c r="C283" s="23" t="s">
        <v>105</v>
      </c>
      <c r="D283" s="24">
        <v>45236.947222222225</v>
      </c>
      <c r="E283" s="18" t="s">
        <v>97</v>
      </c>
      <c r="F283" s="18" t="s">
        <v>40</v>
      </c>
      <c r="G283" s="18">
        <v>8013</v>
      </c>
      <c r="H283" s="25">
        <f t="shared" si="16"/>
        <v>45236</v>
      </c>
      <c r="I283" s="26">
        <f t="shared" si="17"/>
        <v>0.94722222222480923</v>
      </c>
      <c r="J283" s="18" t="str">
        <f t="shared" si="18"/>
        <v>November</v>
      </c>
      <c r="K283" s="56" t="str">
        <f t="shared" si="19"/>
        <v>Monday</v>
      </c>
      <c r="L283" s="18" t="str">
        <f>IF(OR(G283&gt;Answers!I298,G283&lt;Answers!I299),"Outlier","Normal")</f>
        <v>Outlier</v>
      </c>
      <c r="M283" s="18">
        <v>88</v>
      </c>
    </row>
    <row r="284" spans="1:13" ht="20" customHeight="1" x14ac:dyDescent="0.35">
      <c r="A284" s="17">
        <v>195686</v>
      </c>
      <c r="B284" s="18">
        <v>67</v>
      </c>
      <c r="C284" s="23" t="s">
        <v>107</v>
      </c>
      <c r="D284" s="24">
        <v>45176.044444444444</v>
      </c>
      <c r="E284" s="18" t="s">
        <v>133</v>
      </c>
      <c r="F284" s="18" t="s">
        <v>81</v>
      </c>
      <c r="G284" s="18">
        <v>2651</v>
      </c>
      <c r="H284" s="25">
        <f t="shared" si="16"/>
        <v>45176</v>
      </c>
      <c r="I284" s="26">
        <f t="shared" si="17"/>
        <v>4.4444444443797693E-2</v>
      </c>
      <c r="J284" s="18" t="str">
        <f t="shared" si="18"/>
        <v>September</v>
      </c>
      <c r="K284" s="56" t="str">
        <f t="shared" si="19"/>
        <v>Thursday</v>
      </c>
      <c r="L284" s="18" t="str">
        <f>IF(OR(G284&gt;Answers!I299,G284&lt;Answers!I300),"Outlier","Normal")</f>
        <v>Outlier</v>
      </c>
      <c r="M284" s="18">
        <v>51</v>
      </c>
    </row>
    <row r="285" spans="1:13" ht="20" customHeight="1" x14ac:dyDescent="0.35">
      <c r="A285" s="17">
        <v>195704</v>
      </c>
      <c r="B285" s="18">
        <v>1260</v>
      </c>
      <c r="C285" s="23" t="s">
        <v>100</v>
      </c>
      <c r="D285" s="24">
        <v>44973.017361111109</v>
      </c>
      <c r="E285" s="18" t="s">
        <v>133</v>
      </c>
      <c r="F285" s="18" t="s">
        <v>82</v>
      </c>
      <c r="G285" s="18">
        <v>6946</v>
      </c>
      <c r="H285" s="25">
        <f t="shared" si="16"/>
        <v>44973</v>
      </c>
      <c r="I285" s="26">
        <f t="shared" si="17"/>
        <v>1.7361111109494232E-2</v>
      </c>
      <c r="J285" s="18" t="str">
        <f t="shared" si="18"/>
        <v>February</v>
      </c>
      <c r="K285" s="56" t="str">
        <f t="shared" si="19"/>
        <v>Thursday</v>
      </c>
      <c r="L285" s="18" t="str">
        <f>IF(OR(G285&gt;Answers!I300,G285&lt;Answers!I301),"Outlier","Normal")</f>
        <v>Outlier</v>
      </c>
      <c r="M285" s="18">
        <v>67</v>
      </c>
    </row>
    <row r="286" spans="1:13" ht="20" customHeight="1" x14ac:dyDescent="0.35">
      <c r="A286" s="17">
        <v>196116</v>
      </c>
      <c r="B286" s="18">
        <v>1831</v>
      </c>
      <c r="C286" s="23" t="s">
        <v>99</v>
      </c>
      <c r="D286" s="24">
        <v>45254.005555555559</v>
      </c>
      <c r="E286" s="18" t="s">
        <v>97</v>
      </c>
      <c r="F286" s="18" t="s">
        <v>15</v>
      </c>
      <c r="G286" s="18">
        <v>7358</v>
      </c>
      <c r="H286" s="25">
        <f t="shared" si="16"/>
        <v>45254</v>
      </c>
      <c r="I286" s="26">
        <f t="shared" si="17"/>
        <v>5.5555555591126904E-3</v>
      </c>
      <c r="J286" s="18" t="str">
        <f t="shared" si="18"/>
        <v>November</v>
      </c>
      <c r="K286" s="56" t="str">
        <f t="shared" si="19"/>
        <v>Friday</v>
      </c>
      <c r="L286" s="18" t="str">
        <f>IF(OR(G286&gt;Answers!I301,G286&lt;Answers!I302),"Outlier","Normal")</f>
        <v>Outlier</v>
      </c>
      <c r="M286" s="18">
        <v>48</v>
      </c>
    </row>
    <row r="287" spans="1:13" ht="20" customHeight="1" x14ac:dyDescent="0.35">
      <c r="A287" s="17">
        <v>196148</v>
      </c>
      <c r="B287" s="18">
        <v>325</v>
      </c>
      <c r="C287" s="23" t="s">
        <v>100</v>
      </c>
      <c r="D287" s="24">
        <v>44941.04791666667</v>
      </c>
      <c r="E287" s="18" t="s">
        <v>98</v>
      </c>
      <c r="F287" s="18" t="s">
        <v>66</v>
      </c>
      <c r="G287" s="18">
        <v>8010</v>
      </c>
      <c r="H287" s="25">
        <f t="shared" si="16"/>
        <v>44941</v>
      </c>
      <c r="I287" s="26">
        <f t="shared" si="17"/>
        <v>4.7916666670062114E-2</v>
      </c>
      <c r="J287" s="18" t="str">
        <f t="shared" si="18"/>
        <v>January</v>
      </c>
      <c r="K287" s="56" t="str">
        <f t="shared" si="19"/>
        <v>Sunday</v>
      </c>
      <c r="L287" s="18" t="str">
        <f>IF(OR(G287&gt;Answers!I302,G287&lt;Answers!I303),"Outlier","Normal")</f>
        <v>Outlier</v>
      </c>
      <c r="M287" s="18">
        <v>30</v>
      </c>
    </row>
    <row r="288" spans="1:13" ht="20" customHeight="1" x14ac:dyDescent="0.35">
      <c r="A288" s="17">
        <v>196872</v>
      </c>
      <c r="B288" s="18">
        <v>1250</v>
      </c>
      <c r="C288" s="23" t="s">
        <v>99</v>
      </c>
      <c r="D288" s="24">
        <v>45194.050694444442</v>
      </c>
      <c r="E288" s="18" t="s">
        <v>97</v>
      </c>
      <c r="F288" s="18" t="s">
        <v>29</v>
      </c>
      <c r="G288" s="18">
        <v>5888</v>
      </c>
      <c r="H288" s="25">
        <f t="shared" si="16"/>
        <v>45194</v>
      </c>
      <c r="I288" s="26">
        <f t="shared" si="17"/>
        <v>5.0694444442342501E-2</v>
      </c>
      <c r="J288" s="18" t="str">
        <f t="shared" si="18"/>
        <v>September</v>
      </c>
      <c r="K288" s="56" t="str">
        <f t="shared" si="19"/>
        <v>Monday</v>
      </c>
      <c r="L288" s="18" t="str">
        <f>IF(OR(G288&gt;Answers!I303,G288&lt;Answers!I304),"Outlier","Normal")</f>
        <v>Outlier</v>
      </c>
      <c r="M288" s="18">
        <v>57</v>
      </c>
    </row>
    <row r="289" spans="1:13" ht="20" customHeight="1" x14ac:dyDescent="0.35">
      <c r="A289" s="17">
        <v>197854</v>
      </c>
      <c r="B289" s="18">
        <v>347</v>
      </c>
      <c r="C289" s="23" t="s">
        <v>108</v>
      </c>
      <c r="D289" s="24">
        <v>45169.038888888892</v>
      </c>
      <c r="E289" s="18" t="s">
        <v>97</v>
      </c>
      <c r="F289" s="18" t="s">
        <v>27</v>
      </c>
      <c r="G289" s="18">
        <v>1674</v>
      </c>
      <c r="H289" s="25">
        <f t="shared" si="16"/>
        <v>45169</v>
      </c>
      <c r="I289" s="26">
        <f t="shared" si="17"/>
        <v>3.888888889196096E-2</v>
      </c>
      <c r="J289" s="18" t="str">
        <f t="shared" si="18"/>
        <v>August</v>
      </c>
      <c r="K289" s="56" t="str">
        <f t="shared" si="19"/>
        <v>Thursday</v>
      </c>
      <c r="L289" s="18" t="str">
        <f>IF(OR(G289&gt;Answers!I304,G289&lt;Answers!I305),"Outlier","Normal")</f>
        <v>Outlier</v>
      </c>
      <c r="M289" s="18">
        <v>59</v>
      </c>
    </row>
    <row r="290" spans="1:13" ht="20" customHeight="1" x14ac:dyDescent="0.35">
      <c r="A290" s="17">
        <v>197952</v>
      </c>
      <c r="B290" s="18">
        <v>1843</v>
      </c>
      <c r="C290" s="23" t="s">
        <v>99</v>
      </c>
      <c r="D290" s="24">
        <v>44960.018055555556</v>
      </c>
      <c r="E290" s="18" t="s">
        <v>97</v>
      </c>
      <c r="F290" s="18" t="s">
        <v>39</v>
      </c>
      <c r="G290" s="18">
        <v>1453</v>
      </c>
      <c r="H290" s="25">
        <f t="shared" si="16"/>
        <v>44960</v>
      </c>
      <c r="I290" s="26">
        <f t="shared" si="17"/>
        <v>1.8055555556202307E-2</v>
      </c>
      <c r="J290" s="18" t="str">
        <f t="shared" si="18"/>
        <v>February</v>
      </c>
      <c r="K290" s="56" t="str">
        <f t="shared" si="19"/>
        <v>Friday</v>
      </c>
      <c r="L290" s="18" t="str">
        <f>IF(OR(G290&gt;Answers!I305,G290&lt;Answers!I306),"Outlier","Normal")</f>
        <v>Outlier</v>
      </c>
      <c r="M290" s="18">
        <v>20</v>
      </c>
    </row>
    <row r="291" spans="1:13" ht="20" customHeight="1" x14ac:dyDescent="0.35">
      <c r="A291" s="17">
        <v>198251</v>
      </c>
      <c r="B291" s="18">
        <v>1589</v>
      </c>
      <c r="C291" s="23" t="s">
        <v>99</v>
      </c>
      <c r="D291" s="24">
        <v>44969.030555555553</v>
      </c>
      <c r="E291" s="18" t="s">
        <v>98</v>
      </c>
      <c r="F291" s="18" t="s">
        <v>43</v>
      </c>
      <c r="G291" s="18">
        <v>8821</v>
      </c>
      <c r="H291" s="25">
        <f t="shared" si="16"/>
        <v>44969</v>
      </c>
      <c r="I291" s="26">
        <f t="shared" si="17"/>
        <v>3.0555555553291924E-2</v>
      </c>
      <c r="J291" s="18" t="str">
        <f t="shared" si="18"/>
        <v>February</v>
      </c>
      <c r="K291" s="56" t="str">
        <f t="shared" si="19"/>
        <v>Sunday</v>
      </c>
      <c r="L291" s="18" t="str">
        <f>IF(OR(G291&gt;Answers!I306,G291&lt;Answers!I307),"Outlier","Normal")</f>
        <v>Outlier</v>
      </c>
      <c r="M291" s="18">
        <v>20</v>
      </c>
    </row>
    <row r="292" spans="1:13" ht="20" customHeight="1" x14ac:dyDescent="0.35">
      <c r="A292" s="17">
        <v>198841</v>
      </c>
      <c r="B292" s="18">
        <v>1735</v>
      </c>
      <c r="C292" s="23" t="s">
        <v>102</v>
      </c>
      <c r="D292" s="24">
        <v>45131.057638888888</v>
      </c>
      <c r="E292" s="18" t="s">
        <v>96</v>
      </c>
      <c r="F292" s="18" t="s">
        <v>17</v>
      </c>
      <c r="G292" s="18">
        <v>4094</v>
      </c>
      <c r="H292" s="25">
        <f t="shared" si="16"/>
        <v>45131</v>
      </c>
      <c r="I292" s="26">
        <f t="shared" si="17"/>
        <v>5.7638888887595385E-2</v>
      </c>
      <c r="J292" s="18" t="str">
        <f t="shared" si="18"/>
        <v>July</v>
      </c>
      <c r="K292" s="56" t="str">
        <f t="shared" si="19"/>
        <v>Monday</v>
      </c>
      <c r="L292" s="18" t="str">
        <f>IF(OR(G292&gt;Answers!I307,G292&lt;Answers!I308),"Outlier","Normal")</f>
        <v>Outlier</v>
      </c>
      <c r="M292" s="18">
        <v>76</v>
      </c>
    </row>
    <row r="293" spans="1:13" ht="20" customHeight="1" x14ac:dyDescent="0.35">
      <c r="A293" s="17">
        <v>199110</v>
      </c>
      <c r="B293" s="18">
        <v>104</v>
      </c>
      <c r="C293" s="23" t="s">
        <v>101</v>
      </c>
      <c r="D293" s="24">
        <v>45067.031944444447</v>
      </c>
      <c r="E293" s="18" t="s">
        <v>133</v>
      </c>
      <c r="F293" s="18" t="s">
        <v>70</v>
      </c>
      <c r="G293" s="18">
        <v>717</v>
      </c>
      <c r="H293" s="25">
        <f t="shared" si="16"/>
        <v>45067</v>
      </c>
      <c r="I293" s="26">
        <f t="shared" si="17"/>
        <v>3.1944444446708076E-2</v>
      </c>
      <c r="J293" s="18" t="str">
        <f t="shared" si="18"/>
        <v>May</v>
      </c>
      <c r="K293" s="56" t="str">
        <f t="shared" si="19"/>
        <v>Sunday</v>
      </c>
      <c r="L293" s="18" t="str">
        <f>IF(OR(G293&gt;Answers!I308,G293&lt;Answers!I309),"Outlier","Normal")</f>
        <v>Outlier</v>
      </c>
      <c r="M293" s="18">
        <v>46</v>
      </c>
    </row>
    <row r="294" spans="1:13" ht="20" customHeight="1" x14ac:dyDescent="0.35">
      <c r="A294" s="17">
        <v>200851</v>
      </c>
      <c r="B294" s="18">
        <v>71</v>
      </c>
      <c r="C294" s="23" t="s">
        <v>113</v>
      </c>
      <c r="D294" s="24">
        <v>45263.972222222219</v>
      </c>
      <c r="E294" s="18" t="s">
        <v>97</v>
      </c>
      <c r="F294" s="18" t="s">
        <v>71</v>
      </c>
      <c r="G294" s="18">
        <v>8510</v>
      </c>
      <c r="H294" s="25">
        <f t="shared" si="16"/>
        <v>45263</v>
      </c>
      <c r="I294" s="26">
        <f t="shared" si="17"/>
        <v>0.97222222221898846</v>
      </c>
      <c r="J294" s="18" t="str">
        <f t="shared" si="18"/>
        <v>December</v>
      </c>
      <c r="K294" s="56" t="str">
        <f t="shared" si="19"/>
        <v>Sunday</v>
      </c>
      <c r="L294" s="18" t="str">
        <f>IF(OR(G294&gt;Answers!I309,G294&lt;Answers!I310),"Outlier","Normal")</f>
        <v>Outlier</v>
      </c>
      <c r="M294" s="18">
        <v>48</v>
      </c>
    </row>
    <row r="295" spans="1:13" ht="20" customHeight="1" x14ac:dyDescent="0.35">
      <c r="A295" s="17">
        <v>202059</v>
      </c>
      <c r="B295" s="18">
        <v>712</v>
      </c>
      <c r="C295" s="23" t="s">
        <v>99</v>
      </c>
      <c r="D295" s="24">
        <v>45012.058333333334</v>
      </c>
      <c r="E295" s="18" t="s">
        <v>133</v>
      </c>
      <c r="F295" s="18" t="s">
        <v>43</v>
      </c>
      <c r="G295" s="18">
        <v>7202</v>
      </c>
      <c r="H295" s="25">
        <f t="shared" si="16"/>
        <v>45012</v>
      </c>
      <c r="I295" s="26">
        <f t="shared" si="17"/>
        <v>5.8333333334303461E-2</v>
      </c>
      <c r="J295" s="18" t="str">
        <f t="shared" si="18"/>
        <v>March</v>
      </c>
      <c r="K295" s="56" t="str">
        <f t="shared" si="19"/>
        <v>Monday</v>
      </c>
      <c r="L295" s="18" t="str">
        <f>IF(OR(G295&gt;Answers!I310,G295&lt;Answers!I311),"Outlier","Normal")</f>
        <v>Outlier</v>
      </c>
      <c r="M295" s="18">
        <v>90</v>
      </c>
    </row>
    <row r="296" spans="1:13" ht="20" customHeight="1" x14ac:dyDescent="0.35">
      <c r="A296" s="17">
        <v>202315</v>
      </c>
      <c r="B296" s="18">
        <v>1518</v>
      </c>
      <c r="C296" s="23" t="s">
        <v>99</v>
      </c>
      <c r="D296" s="24">
        <v>44930.072916666664</v>
      </c>
      <c r="E296" s="18" t="s">
        <v>133</v>
      </c>
      <c r="F296" s="18" t="s">
        <v>58</v>
      </c>
      <c r="G296" s="18">
        <v>6344</v>
      </c>
      <c r="H296" s="25">
        <f t="shared" si="16"/>
        <v>44930</v>
      </c>
      <c r="I296" s="26">
        <f t="shared" si="17"/>
        <v>7.2916666664241347E-2</v>
      </c>
      <c r="J296" s="18" t="str">
        <f t="shared" si="18"/>
        <v>January</v>
      </c>
      <c r="K296" s="56" t="str">
        <f t="shared" si="19"/>
        <v>Wednesday</v>
      </c>
      <c r="L296" s="18" t="str">
        <f>IF(OR(G296&gt;Answers!I311,G296&lt;Answers!I312),"Outlier","Normal")</f>
        <v>Outlier</v>
      </c>
      <c r="M296" s="18">
        <v>66</v>
      </c>
    </row>
    <row r="297" spans="1:13" ht="20" customHeight="1" x14ac:dyDescent="0.35">
      <c r="A297" s="17">
        <v>202334</v>
      </c>
      <c r="B297" s="18">
        <v>358</v>
      </c>
      <c r="C297" s="23" t="s">
        <v>105</v>
      </c>
      <c r="D297" s="24">
        <v>45171.038194444445</v>
      </c>
      <c r="E297" s="18" t="s">
        <v>96</v>
      </c>
      <c r="F297" s="18" t="s">
        <v>45</v>
      </c>
      <c r="G297" s="18">
        <v>4560</v>
      </c>
      <c r="H297" s="25">
        <f t="shared" si="16"/>
        <v>45171</v>
      </c>
      <c r="I297" s="26">
        <f t="shared" si="17"/>
        <v>3.8194444445252884E-2</v>
      </c>
      <c r="J297" s="18" t="str">
        <f t="shared" si="18"/>
        <v>September</v>
      </c>
      <c r="K297" s="56" t="str">
        <f t="shared" si="19"/>
        <v>Saturday</v>
      </c>
      <c r="L297" s="18" t="str">
        <f>IF(OR(G297&gt;Answers!I312,G297&lt;Answers!I313),"Outlier","Normal")</f>
        <v>Outlier</v>
      </c>
      <c r="M297" s="18">
        <v>50</v>
      </c>
    </row>
    <row r="298" spans="1:13" ht="20" customHeight="1" x14ac:dyDescent="0.35">
      <c r="A298" s="17">
        <v>202389</v>
      </c>
      <c r="B298" s="18">
        <v>1641</v>
      </c>
      <c r="C298" s="23" t="s">
        <v>109</v>
      </c>
      <c r="D298" s="24">
        <v>45130.98541666667</v>
      </c>
      <c r="E298" s="18" t="s">
        <v>98</v>
      </c>
      <c r="F298" s="18" t="s">
        <v>67</v>
      </c>
      <c r="G298" s="18">
        <v>1709</v>
      </c>
      <c r="H298" s="25">
        <f t="shared" si="16"/>
        <v>45130</v>
      </c>
      <c r="I298" s="26">
        <f t="shared" si="17"/>
        <v>0.98541666667006211</v>
      </c>
      <c r="J298" s="18" t="str">
        <f t="shared" si="18"/>
        <v>July</v>
      </c>
      <c r="K298" s="56" t="str">
        <f t="shared" si="19"/>
        <v>Sunday</v>
      </c>
      <c r="L298" s="18" t="str">
        <f>IF(OR(G298&gt;Answers!I313,G298&lt;Answers!I314),"Outlier","Normal")</f>
        <v>Outlier</v>
      </c>
      <c r="M298" s="18">
        <v>85</v>
      </c>
    </row>
    <row r="299" spans="1:13" ht="20" customHeight="1" x14ac:dyDescent="0.35">
      <c r="A299" s="17">
        <v>205425</v>
      </c>
      <c r="B299" s="18">
        <v>1760</v>
      </c>
      <c r="C299" s="23" t="s">
        <v>100</v>
      </c>
      <c r="D299" s="24">
        <v>45190.050694444442</v>
      </c>
      <c r="E299" s="18" t="s">
        <v>96</v>
      </c>
      <c r="F299" s="18" t="s">
        <v>11</v>
      </c>
      <c r="G299" s="18">
        <v>9729</v>
      </c>
      <c r="H299" s="25">
        <f t="shared" si="16"/>
        <v>45190</v>
      </c>
      <c r="I299" s="26">
        <f t="shared" si="17"/>
        <v>5.0694444442342501E-2</v>
      </c>
      <c r="J299" s="18" t="str">
        <f t="shared" si="18"/>
        <v>September</v>
      </c>
      <c r="K299" s="56" t="str">
        <f t="shared" si="19"/>
        <v>Thursday</v>
      </c>
      <c r="L299" s="18" t="str">
        <f>IF(OR(G299&gt;Answers!I314,G299&lt;Answers!I315),"Outlier","Normal")</f>
        <v>Outlier</v>
      </c>
      <c r="M299" s="18">
        <v>19</v>
      </c>
    </row>
    <row r="300" spans="1:13" ht="20" customHeight="1" x14ac:dyDescent="0.35">
      <c r="A300" s="17">
        <v>208396</v>
      </c>
      <c r="B300" s="18">
        <v>186</v>
      </c>
      <c r="C300" s="23" t="s">
        <v>106</v>
      </c>
      <c r="D300" s="24">
        <v>45033.068749999999</v>
      </c>
      <c r="E300" s="18" t="s">
        <v>133</v>
      </c>
      <c r="F300" s="18" t="s">
        <v>72</v>
      </c>
      <c r="G300" s="18">
        <v>9712</v>
      </c>
      <c r="H300" s="25">
        <f t="shared" si="16"/>
        <v>45033</v>
      </c>
      <c r="I300" s="26">
        <f t="shared" si="17"/>
        <v>6.8749999998544808E-2</v>
      </c>
      <c r="J300" s="18" t="str">
        <f t="shared" si="18"/>
        <v>April</v>
      </c>
      <c r="K300" s="56" t="str">
        <f t="shared" si="19"/>
        <v>Monday</v>
      </c>
      <c r="L300" s="18" t="str">
        <f>IF(OR(G300&gt;Answers!I315,G300&lt;Answers!I316),"Outlier","Normal")</f>
        <v>Outlier</v>
      </c>
      <c r="M300" s="18">
        <v>63</v>
      </c>
    </row>
    <row r="301" spans="1:13" ht="20" customHeight="1" x14ac:dyDescent="0.35">
      <c r="A301" s="17">
        <v>209068</v>
      </c>
      <c r="B301" s="18">
        <v>1704</v>
      </c>
      <c r="C301" s="23" t="s">
        <v>99</v>
      </c>
      <c r="D301" s="24">
        <v>45019.991666666669</v>
      </c>
      <c r="E301" s="18" t="s">
        <v>133</v>
      </c>
      <c r="F301" s="18" t="s">
        <v>27</v>
      </c>
      <c r="G301" s="18">
        <v>119</v>
      </c>
      <c r="H301" s="25">
        <f t="shared" si="16"/>
        <v>45019</v>
      </c>
      <c r="I301" s="26">
        <f t="shared" si="17"/>
        <v>0.99166666666860692</v>
      </c>
      <c r="J301" s="18" t="str">
        <f t="shared" si="18"/>
        <v>April</v>
      </c>
      <c r="K301" s="56" t="str">
        <f t="shared" si="19"/>
        <v>Monday</v>
      </c>
      <c r="L301" s="18" t="str">
        <f>IF(OR(G301&gt;Answers!I316,G301&lt;Answers!I317),"Outlier","Normal")</f>
        <v>Outlier</v>
      </c>
      <c r="M301" s="18">
        <v>67</v>
      </c>
    </row>
    <row r="302" spans="1:13" ht="20" customHeight="1" x14ac:dyDescent="0.35">
      <c r="A302" s="17">
        <v>209185</v>
      </c>
      <c r="B302" s="18">
        <v>541</v>
      </c>
      <c r="C302" s="23" t="s">
        <v>99</v>
      </c>
      <c r="D302" s="24">
        <v>45166.011111111111</v>
      </c>
      <c r="E302" s="18" t="s">
        <v>97</v>
      </c>
      <c r="F302" s="18" t="s">
        <v>27</v>
      </c>
      <c r="G302" s="18">
        <v>4430</v>
      </c>
      <c r="H302" s="25">
        <f t="shared" si="16"/>
        <v>45166</v>
      </c>
      <c r="I302" s="26">
        <f t="shared" si="17"/>
        <v>1.1111111110949423E-2</v>
      </c>
      <c r="J302" s="18" t="str">
        <f t="shared" si="18"/>
        <v>August</v>
      </c>
      <c r="K302" s="56" t="str">
        <f t="shared" si="19"/>
        <v>Monday</v>
      </c>
      <c r="L302" s="18" t="str">
        <f>IF(OR(G302&gt;Answers!I317,G302&lt;Answers!I318),"Outlier","Normal")</f>
        <v>Outlier</v>
      </c>
      <c r="M302" s="18">
        <v>85</v>
      </c>
    </row>
    <row r="303" spans="1:13" ht="20" customHeight="1" x14ac:dyDescent="0.35">
      <c r="A303" s="17">
        <v>211600</v>
      </c>
      <c r="B303" s="18">
        <v>937</v>
      </c>
      <c r="C303" s="23" t="s">
        <v>109</v>
      </c>
      <c r="D303" s="24">
        <v>45143.052777777775</v>
      </c>
      <c r="E303" s="18" t="s">
        <v>96</v>
      </c>
      <c r="F303" s="18" t="s">
        <v>73</v>
      </c>
      <c r="G303" s="18">
        <v>8720</v>
      </c>
      <c r="H303" s="25">
        <f t="shared" si="16"/>
        <v>45143</v>
      </c>
      <c r="I303" s="26">
        <f t="shared" si="17"/>
        <v>5.2777777775190771E-2</v>
      </c>
      <c r="J303" s="18" t="str">
        <f t="shared" si="18"/>
        <v>August</v>
      </c>
      <c r="K303" s="56" t="str">
        <f t="shared" si="19"/>
        <v>Saturday</v>
      </c>
      <c r="L303" s="18" t="str">
        <f>IF(OR(G303&gt;Answers!I318,G303&lt;Answers!I319),"Outlier","Normal")</f>
        <v>Outlier</v>
      </c>
      <c r="M303" s="18">
        <v>21</v>
      </c>
    </row>
    <row r="304" spans="1:13" ht="20" customHeight="1" x14ac:dyDescent="0.35">
      <c r="A304" s="17">
        <v>213090</v>
      </c>
      <c r="B304" s="18">
        <v>10</v>
      </c>
      <c r="C304" s="23" t="s">
        <v>103</v>
      </c>
      <c r="D304" s="24">
        <v>45208.043749999997</v>
      </c>
      <c r="E304" s="18" t="s">
        <v>96</v>
      </c>
      <c r="F304" s="18" t="s">
        <v>52</v>
      </c>
      <c r="G304" s="18">
        <v>9353</v>
      </c>
      <c r="H304" s="25">
        <f t="shared" si="16"/>
        <v>45208</v>
      </c>
      <c r="I304" s="26">
        <f t="shared" si="17"/>
        <v>4.3749999997089617E-2</v>
      </c>
      <c r="J304" s="18" t="str">
        <f t="shared" si="18"/>
        <v>October</v>
      </c>
      <c r="K304" s="56" t="str">
        <f t="shared" si="19"/>
        <v>Monday</v>
      </c>
      <c r="L304" s="18" t="str">
        <f>IF(OR(G304&gt;Answers!I319,G304&lt;Answers!I320),"Outlier","Normal")</f>
        <v>Outlier</v>
      </c>
      <c r="M304" s="18">
        <v>32</v>
      </c>
    </row>
    <row r="305" spans="1:13" ht="20" customHeight="1" x14ac:dyDescent="0.35">
      <c r="A305" s="17">
        <v>213254</v>
      </c>
      <c r="B305" s="18">
        <v>1344</v>
      </c>
      <c r="C305" s="23" t="s">
        <v>105</v>
      </c>
      <c r="D305" s="24">
        <v>45135.024305555555</v>
      </c>
      <c r="E305" s="18" t="s">
        <v>97</v>
      </c>
      <c r="F305" s="18" t="s">
        <v>26</v>
      </c>
      <c r="G305" s="18">
        <v>3943</v>
      </c>
      <c r="H305" s="25">
        <f t="shared" si="16"/>
        <v>45135</v>
      </c>
      <c r="I305" s="26">
        <f t="shared" si="17"/>
        <v>2.4305555554747116E-2</v>
      </c>
      <c r="J305" s="18" t="str">
        <f t="shared" si="18"/>
        <v>July</v>
      </c>
      <c r="K305" s="56" t="str">
        <f t="shared" si="19"/>
        <v>Friday</v>
      </c>
      <c r="L305" s="18" t="str">
        <f>IF(OR(G305&gt;Answers!I320,G305&lt;Answers!I321),"Outlier","Normal")</f>
        <v>Outlier</v>
      </c>
      <c r="M305" s="18">
        <v>40</v>
      </c>
    </row>
    <row r="306" spans="1:13" ht="20" customHeight="1" x14ac:dyDescent="0.35">
      <c r="A306" s="17">
        <v>213804</v>
      </c>
      <c r="B306" s="18">
        <v>1473</v>
      </c>
      <c r="C306" s="23" t="s">
        <v>99</v>
      </c>
      <c r="D306" s="24">
        <v>45115.03402777778</v>
      </c>
      <c r="E306" s="18" t="s">
        <v>97</v>
      </c>
      <c r="F306" s="18" t="s">
        <v>74</v>
      </c>
      <c r="G306" s="18">
        <v>7453</v>
      </c>
      <c r="H306" s="25">
        <f t="shared" si="16"/>
        <v>45115</v>
      </c>
      <c r="I306" s="26">
        <f t="shared" si="17"/>
        <v>3.4027777779556345E-2</v>
      </c>
      <c r="J306" s="18" t="str">
        <f t="shared" si="18"/>
        <v>July</v>
      </c>
      <c r="K306" s="56" t="str">
        <f t="shared" si="19"/>
        <v>Saturday</v>
      </c>
      <c r="L306" s="18" t="str">
        <f>IF(OR(G306&gt;Answers!I321,G306&lt;Answers!I322),"Outlier","Normal")</f>
        <v>Outlier</v>
      </c>
      <c r="M306" s="18">
        <v>40</v>
      </c>
    </row>
    <row r="307" spans="1:13" ht="20" customHeight="1" x14ac:dyDescent="0.35">
      <c r="A307" s="17">
        <v>214073</v>
      </c>
      <c r="B307" s="18">
        <v>336</v>
      </c>
      <c r="C307" s="23" t="s">
        <v>105</v>
      </c>
      <c r="D307" s="24">
        <v>44942.067361111112</v>
      </c>
      <c r="E307" s="18" t="s">
        <v>133</v>
      </c>
      <c r="F307" s="18" t="s">
        <v>75</v>
      </c>
      <c r="G307" s="18">
        <v>730</v>
      </c>
      <c r="H307" s="25">
        <f t="shared" si="16"/>
        <v>44942</v>
      </c>
      <c r="I307" s="26">
        <f t="shared" si="17"/>
        <v>6.7361111112404615E-2</v>
      </c>
      <c r="J307" s="18" t="str">
        <f t="shared" si="18"/>
        <v>January</v>
      </c>
      <c r="K307" s="56" t="str">
        <f t="shared" si="19"/>
        <v>Monday</v>
      </c>
      <c r="L307" s="18" t="str">
        <f>IF(OR(G307&gt;Answers!I322,G307&lt;Answers!I323),"Outlier","Normal")</f>
        <v>Outlier</v>
      </c>
      <c r="M307" s="18">
        <v>26</v>
      </c>
    </row>
    <row r="308" spans="1:13" ht="20" customHeight="1" x14ac:dyDescent="0.35">
      <c r="A308" s="17">
        <v>214251</v>
      </c>
      <c r="B308" s="18">
        <v>1952</v>
      </c>
      <c r="C308" s="23" t="s">
        <v>99</v>
      </c>
      <c r="D308" s="24">
        <v>45033.039583333331</v>
      </c>
      <c r="E308" s="18" t="s">
        <v>133</v>
      </c>
      <c r="F308" s="18" t="s">
        <v>73</v>
      </c>
      <c r="G308" s="18">
        <v>492</v>
      </c>
      <c r="H308" s="25">
        <f t="shared" si="16"/>
        <v>45033</v>
      </c>
      <c r="I308" s="26">
        <f t="shared" si="17"/>
        <v>3.9583333331393078E-2</v>
      </c>
      <c r="J308" s="18" t="str">
        <f t="shared" si="18"/>
        <v>April</v>
      </c>
      <c r="K308" s="56" t="str">
        <f t="shared" si="19"/>
        <v>Monday</v>
      </c>
      <c r="L308" s="18" t="str">
        <f>IF(OR(G308&gt;Answers!I323,G308&lt;Answers!I324),"Outlier","Normal")</f>
        <v>Outlier</v>
      </c>
      <c r="M308" s="18">
        <v>49</v>
      </c>
    </row>
    <row r="309" spans="1:13" ht="20" customHeight="1" x14ac:dyDescent="0.35">
      <c r="A309" s="17">
        <v>214516</v>
      </c>
      <c r="B309" s="18">
        <v>1840</v>
      </c>
      <c r="C309" s="23" t="s">
        <v>99</v>
      </c>
      <c r="D309" s="24">
        <v>45134.974305555559</v>
      </c>
      <c r="E309" s="18" t="s">
        <v>97</v>
      </c>
      <c r="F309" s="18" t="s">
        <v>76</v>
      </c>
      <c r="G309" s="18">
        <v>1356</v>
      </c>
      <c r="H309" s="25">
        <f t="shared" si="16"/>
        <v>45134</v>
      </c>
      <c r="I309" s="26">
        <f t="shared" si="17"/>
        <v>0.97430555555911269</v>
      </c>
      <c r="J309" s="18" t="str">
        <f t="shared" si="18"/>
        <v>July</v>
      </c>
      <c r="K309" s="56" t="str">
        <f t="shared" si="19"/>
        <v>Thursday</v>
      </c>
      <c r="L309" s="18" t="str">
        <f>IF(OR(G309&gt;Answers!I324,G309&lt;Answers!I325),"Outlier","Normal")</f>
        <v>Outlier</v>
      </c>
      <c r="M309" s="18">
        <v>83</v>
      </c>
    </row>
    <row r="310" spans="1:13" ht="20" customHeight="1" x14ac:dyDescent="0.35">
      <c r="A310" s="17">
        <v>214557</v>
      </c>
      <c r="B310" s="18">
        <v>613</v>
      </c>
      <c r="C310" s="23" t="s">
        <v>113</v>
      </c>
      <c r="D310" s="24">
        <v>45082.019444444442</v>
      </c>
      <c r="E310" s="18" t="s">
        <v>133</v>
      </c>
      <c r="F310" s="18" t="s">
        <v>72</v>
      </c>
      <c r="G310" s="18">
        <v>5981</v>
      </c>
      <c r="H310" s="25">
        <f t="shared" si="16"/>
        <v>45082</v>
      </c>
      <c r="I310" s="26">
        <f t="shared" si="17"/>
        <v>1.9444444442342501E-2</v>
      </c>
      <c r="J310" s="18" t="str">
        <f t="shared" si="18"/>
        <v>June</v>
      </c>
      <c r="K310" s="56" t="str">
        <f t="shared" si="19"/>
        <v>Monday</v>
      </c>
      <c r="L310" s="18" t="str">
        <f>IF(OR(G310&gt;Answers!I325,G310&lt;Answers!I326),"Outlier","Normal")</f>
        <v>Outlier</v>
      </c>
      <c r="M310" s="18">
        <v>51</v>
      </c>
    </row>
    <row r="311" spans="1:13" ht="20" customHeight="1" x14ac:dyDescent="0.35">
      <c r="A311" s="17">
        <v>216256</v>
      </c>
      <c r="B311" s="18">
        <v>1521</v>
      </c>
      <c r="C311" s="23" t="s">
        <v>99</v>
      </c>
      <c r="D311" s="24">
        <v>44952.023611111108</v>
      </c>
      <c r="E311" s="18" t="s">
        <v>97</v>
      </c>
      <c r="F311" s="18" t="s">
        <v>28</v>
      </c>
      <c r="G311" s="18">
        <v>3720</v>
      </c>
      <c r="H311" s="25">
        <f t="shared" si="16"/>
        <v>44952</v>
      </c>
      <c r="I311" s="26">
        <f t="shared" si="17"/>
        <v>2.361111110803904E-2</v>
      </c>
      <c r="J311" s="18" t="str">
        <f t="shared" si="18"/>
        <v>January</v>
      </c>
      <c r="K311" s="56" t="str">
        <f t="shared" si="19"/>
        <v>Thursday</v>
      </c>
      <c r="L311" s="18" t="str">
        <f>IF(OR(G311&gt;Answers!I326,G311&lt;Answers!I327),"Outlier","Normal")</f>
        <v>Outlier</v>
      </c>
      <c r="M311" s="18">
        <v>88</v>
      </c>
    </row>
    <row r="312" spans="1:13" ht="20" customHeight="1" x14ac:dyDescent="0.35">
      <c r="A312" s="17">
        <v>217952</v>
      </c>
      <c r="B312" s="18">
        <v>1102</v>
      </c>
      <c r="C312" s="23" t="s">
        <v>113</v>
      </c>
      <c r="D312" s="24">
        <v>45193.992361111108</v>
      </c>
      <c r="E312" s="18" t="s">
        <v>133</v>
      </c>
      <c r="F312" s="18" t="s">
        <v>4</v>
      </c>
      <c r="G312" s="18">
        <v>3521</v>
      </c>
      <c r="H312" s="25">
        <f t="shared" si="16"/>
        <v>45193</v>
      </c>
      <c r="I312" s="26">
        <f t="shared" si="17"/>
        <v>0.99236111110803904</v>
      </c>
      <c r="J312" s="18" t="str">
        <f t="shared" si="18"/>
        <v>September</v>
      </c>
      <c r="K312" s="56" t="str">
        <f t="shared" si="19"/>
        <v>Sunday</v>
      </c>
      <c r="L312" s="18" t="str">
        <f>IF(OR(G312&gt;Answers!I327,G312&lt;Answers!I328),"Outlier","Normal")</f>
        <v>Outlier</v>
      </c>
      <c r="M312" s="18">
        <v>66</v>
      </c>
    </row>
    <row r="313" spans="1:13" ht="20" customHeight="1" x14ac:dyDescent="0.35">
      <c r="A313" s="17">
        <v>218379</v>
      </c>
      <c r="B313" s="18">
        <v>831</v>
      </c>
      <c r="C313" s="23" t="s">
        <v>107</v>
      </c>
      <c r="D313" s="24">
        <v>44976.970833333333</v>
      </c>
      <c r="E313" s="18" t="s">
        <v>97</v>
      </c>
      <c r="F313" s="18" t="s">
        <v>23</v>
      </c>
      <c r="G313" s="18">
        <v>8241</v>
      </c>
      <c r="H313" s="25">
        <f t="shared" si="16"/>
        <v>44976</v>
      </c>
      <c r="I313" s="26">
        <f t="shared" si="17"/>
        <v>0.97083333333284827</v>
      </c>
      <c r="J313" s="18" t="str">
        <f t="shared" si="18"/>
        <v>February</v>
      </c>
      <c r="K313" s="56" t="str">
        <f t="shared" si="19"/>
        <v>Sunday</v>
      </c>
      <c r="L313" s="18" t="str">
        <f>IF(OR(G313&gt;Answers!I328,G313&lt;Answers!I329),"Outlier","Normal")</f>
        <v>Outlier</v>
      </c>
      <c r="M313" s="18">
        <v>69</v>
      </c>
    </row>
    <row r="314" spans="1:13" ht="20" customHeight="1" x14ac:dyDescent="0.35">
      <c r="A314" s="17">
        <v>219884</v>
      </c>
      <c r="B314" s="18">
        <v>802</v>
      </c>
      <c r="C314" s="23" t="s">
        <v>100</v>
      </c>
      <c r="D314" s="24">
        <v>44945.986805555556</v>
      </c>
      <c r="E314" s="18" t="s">
        <v>133</v>
      </c>
      <c r="F314" s="18" t="s">
        <v>77</v>
      </c>
      <c r="G314" s="18">
        <v>2233</v>
      </c>
      <c r="H314" s="25">
        <f t="shared" si="16"/>
        <v>44945</v>
      </c>
      <c r="I314" s="26">
        <f t="shared" si="17"/>
        <v>0.98680555555620231</v>
      </c>
      <c r="J314" s="18" t="str">
        <f t="shared" si="18"/>
        <v>January</v>
      </c>
      <c r="K314" s="56" t="str">
        <f t="shared" si="19"/>
        <v>Thursday</v>
      </c>
      <c r="L314" s="18" t="str">
        <f>IF(OR(G314&gt;Answers!I329,G314&lt;Answers!I330),"Outlier","Normal")</f>
        <v>Outlier</v>
      </c>
      <c r="M314" s="18">
        <v>89</v>
      </c>
    </row>
    <row r="315" spans="1:13" ht="20" customHeight="1" x14ac:dyDescent="0.35">
      <c r="A315" s="17">
        <v>220292</v>
      </c>
      <c r="B315" s="18">
        <v>1785</v>
      </c>
      <c r="C315" s="23" t="s">
        <v>106</v>
      </c>
      <c r="D315" s="24">
        <v>45048.017361111109</v>
      </c>
      <c r="E315" s="18" t="s">
        <v>98</v>
      </c>
      <c r="F315" s="18" t="s">
        <v>84</v>
      </c>
      <c r="G315" s="18">
        <v>3987</v>
      </c>
      <c r="H315" s="25">
        <f t="shared" si="16"/>
        <v>45048</v>
      </c>
      <c r="I315" s="26">
        <f t="shared" si="17"/>
        <v>1.7361111109494232E-2</v>
      </c>
      <c r="J315" s="18" t="str">
        <f t="shared" si="18"/>
        <v>May</v>
      </c>
      <c r="K315" s="56" t="str">
        <f t="shared" si="19"/>
        <v>Tuesday</v>
      </c>
      <c r="L315" s="18" t="str">
        <f>IF(OR(G315&gt;Answers!I330,G315&lt;Answers!I331),"Outlier","Normal")</f>
        <v>Outlier</v>
      </c>
      <c r="M315" s="18">
        <v>42</v>
      </c>
    </row>
    <row r="316" spans="1:13" ht="20" customHeight="1" x14ac:dyDescent="0.35">
      <c r="A316" s="17">
        <v>220733</v>
      </c>
      <c r="B316" s="18">
        <v>1875</v>
      </c>
      <c r="C316" s="23" t="s">
        <v>100</v>
      </c>
      <c r="D316" s="24">
        <v>44931.007638888892</v>
      </c>
      <c r="E316" s="18" t="s">
        <v>96</v>
      </c>
      <c r="F316" s="18" t="s">
        <v>41</v>
      </c>
      <c r="G316" s="18">
        <v>6006</v>
      </c>
      <c r="H316" s="25">
        <f t="shared" si="16"/>
        <v>44931</v>
      </c>
      <c r="I316" s="26">
        <f t="shared" si="17"/>
        <v>7.6388888919609599E-3</v>
      </c>
      <c r="J316" s="18" t="str">
        <f t="shared" si="18"/>
        <v>January</v>
      </c>
      <c r="K316" s="56" t="str">
        <f t="shared" si="19"/>
        <v>Thursday</v>
      </c>
      <c r="L316" s="18" t="str">
        <f>IF(OR(G316&gt;Answers!I331,G316&lt;Answers!I332),"Outlier","Normal")</f>
        <v>Outlier</v>
      </c>
      <c r="M316" s="18">
        <v>62</v>
      </c>
    </row>
    <row r="317" spans="1:13" ht="20" customHeight="1" x14ac:dyDescent="0.35">
      <c r="A317" s="17">
        <v>221857</v>
      </c>
      <c r="B317" s="18">
        <v>1244</v>
      </c>
      <c r="C317" s="23" t="s">
        <v>105</v>
      </c>
      <c r="D317" s="24">
        <v>45124.051388888889</v>
      </c>
      <c r="E317" s="18" t="s">
        <v>96</v>
      </c>
      <c r="F317" s="18" t="s">
        <v>23</v>
      </c>
      <c r="G317" s="18">
        <v>4142</v>
      </c>
      <c r="H317" s="25">
        <f t="shared" si="16"/>
        <v>45124</v>
      </c>
      <c r="I317" s="26">
        <f t="shared" si="17"/>
        <v>5.1388888889050577E-2</v>
      </c>
      <c r="J317" s="18" t="str">
        <f t="shared" si="18"/>
        <v>July</v>
      </c>
      <c r="K317" s="56" t="str">
        <f t="shared" si="19"/>
        <v>Monday</v>
      </c>
      <c r="L317" s="18" t="str">
        <f>IF(OR(G317&gt;Answers!I332,G317&lt;Answers!I333),"Outlier","Normal")</f>
        <v>Outlier</v>
      </c>
      <c r="M317" s="18">
        <v>20</v>
      </c>
    </row>
    <row r="318" spans="1:13" ht="20" customHeight="1" x14ac:dyDescent="0.35">
      <c r="A318" s="17">
        <v>222114</v>
      </c>
      <c r="B318" s="18">
        <v>208</v>
      </c>
      <c r="C318" s="23" t="s">
        <v>99</v>
      </c>
      <c r="D318" s="24">
        <v>45120.98541666667</v>
      </c>
      <c r="E318" s="18" t="s">
        <v>98</v>
      </c>
      <c r="F318" s="18" t="s">
        <v>52</v>
      </c>
      <c r="G318" s="18">
        <v>4738</v>
      </c>
      <c r="H318" s="25">
        <f t="shared" si="16"/>
        <v>45120</v>
      </c>
      <c r="I318" s="26">
        <f t="shared" si="17"/>
        <v>0.98541666667006211</v>
      </c>
      <c r="J318" s="18" t="str">
        <f t="shared" si="18"/>
        <v>July</v>
      </c>
      <c r="K318" s="56" t="str">
        <f t="shared" si="19"/>
        <v>Thursday</v>
      </c>
      <c r="L318" s="18" t="str">
        <f>IF(OR(G318&gt;Answers!I333,G318&lt;Answers!I334),"Outlier","Normal")</f>
        <v>Outlier</v>
      </c>
      <c r="M318" s="18">
        <v>19</v>
      </c>
    </row>
    <row r="319" spans="1:13" ht="20" customHeight="1" x14ac:dyDescent="0.35">
      <c r="A319" s="17">
        <v>224155</v>
      </c>
      <c r="B319" s="18">
        <v>753</v>
      </c>
      <c r="C319" s="23" t="s">
        <v>99</v>
      </c>
      <c r="D319" s="24">
        <v>45212</v>
      </c>
      <c r="E319" s="18" t="s">
        <v>97</v>
      </c>
      <c r="F319" s="18" t="s">
        <v>30</v>
      </c>
      <c r="G319" s="18">
        <v>4988</v>
      </c>
      <c r="H319" s="25">
        <f t="shared" si="16"/>
        <v>45212</v>
      </c>
      <c r="I319" s="26">
        <f t="shared" si="17"/>
        <v>0</v>
      </c>
      <c r="J319" s="18" t="str">
        <f t="shared" si="18"/>
        <v>October</v>
      </c>
      <c r="K319" s="56" t="str">
        <f t="shared" si="19"/>
        <v>Friday</v>
      </c>
      <c r="L319" s="18" t="str">
        <f>IF(OR(G319&gt;Answers!I334,G319&lt;Answers!I335),"Outlier","Normal")</f>
        <v>Outlier</v>
      </c>
      <c r="M319" s="18">
        <v>18</v>
      </c>
    </row>
    <row r="320" spans="1:13" ht="20" customHeight="1" x14ac:dyDescent="0.35">
      <c r="A320" s="17">
        <v>225264</v>
      </c>
      <c r="B320" s="18">
        <v>1973</v>
      </c>
      <c r="C320" s="23" t="s">
        <v>99</v>
      </c>
      <c r="D320" s="24">
        <v>45186.078472222223</v>
      </c>
      <c r="E320" s="18" t="s">
        <v>98</v>
      </c>
      <c r="F320" s="18" t="s">
        <v>78</v>
      </c>
      <c r="G320" s="18">
        <v>5089</v>
      </c>
      <c r="H320" s="25">
        <f t="shared" si="16"/>
        <v>45186</v>
      </c>
      <c r="I320" s="26">
        <f t="shared" si="17"/>
        <v>7.8472222223354038E-2</v>
      </c>
      <c r="J320" s="18" t="str">
        <f t="shared" si="18"/>
        <v>September</v>
      </c>
      <c r="K320" s="56" t="str">
        <f t="shared" si="19"/>
        <v>Sunday</v>
      </c>
      <c r="L320" s="18" t="str">
        <f>IF(OR(G320&gt;Answers!I335,G320&lt;Answers!I336),"Outlier","Normal")</f>
        <v>Outlier</v>
      </c>
      <c r="M320" s="18">
        <v>64</v>
      </c>
    </row>
    <row r="321" spans="1:13" ht="20" customHeight="1" x14ac:dyDescent="0.35">
      <c r="A321" s="17">
        <v>226876</v>
      </c>
      <c r="B321" s="18">
        <v>150</v>
      </c>
      <c r="C321" s="23" t="s">
        <v>99</v>
      </c>
      <c r="D321" s="24">
        <v>44956.951388888891</v>
      </c>
      <c r="E321" s="18" t="s">
        <v>97</v>
      </c>
      <c r="F321" s="18" t="s">
        <v>43</v>
      </c>
      <c r="G321" s="18">
        <v>17</v>
      </c>
      <c r="H321" s="25">
        <f t="shared" si="16"/>
        <v>44956</v>
      </c>
      <c r="I321" s="26">
        <f t="shared" si="17"/>
        <v>0.95138888889050577</v>
      </c>
      <c r="J321" s="18" t="str">
        <f t="shared" si="18"/>
        <v>January</v>
      </c>
      <c r="K321" s="56" t="str">
        <f t="shared" si="19"/>
        <v>Monday</v>
      </c>
      <c r="L321" s="18" t="str">
        <f>IF(OR(G321&gt;Answers!I336,G321&lt;Answers!I337),"Outlier","Normal")</f>
        <v>Outlier</v>
      </c>
      <c r="M321" s="18">
        <v>31</v>
      </c>
    </row>
    <row r="322" spans="1:13" ht="20" customHeight="1" x14ac:dyDescent="0.35">
      <c r="A322" s="17">
        <v>228177</v>
      </c>
      <c r="B322" s="18">
        <v>1272</v>
      </c>
      <c r="C322" s="23" t="s">
        <v>101</v>
      </c>
      <c r="D322" s="24">
        <v>45054.036805555559</v>
      </c>
      <c r="E322" s="18" t="s">
        <v>98</v>
      </c>
      <c r="F322" s="18" t="s">
        <v>27</v>
      </c>
      <c r="G322" s="18">
        <v>8567</v>
      </c>
      <c r="H322" s="25">
        <f t="shared" si="16"/>
        <v>45054</v>
      </c>
      <c r="I322" s="26">
        <f t="shared" si="17"/>
        <v>3.680555555911269E-2</v>
      </c>
      <c r="J322" s="18" t="str">
        <f t="shared" si="18"/>
        <v>May</v>
      </c>
      <c r="K322" s="56" t="str">
        <f t="shared" si="19"/>
        <v>Monday</v>
      </c>
      <c r="L322" s="18" t="str">
        <f>IF(OR(G322&gt;Answers!I337,G322&lt;Answers!I338),"Outlier","Normal")</f>
        <v>Outlier</v>
      </c>
      <c r="M322" s="18">
        <v>39</v>
      </c>
    </row>
    <row r="323" spans="1:13" ht="20" customHeight="1" x14ac:dyDescent="0.35">
      <c r="A323" s="17">
        <v>228562</v>
      </c>
      <c r="B323" s="18">
        <v>1812</v>
      </c>
      <c r="C323" s="23" t="s">
        <v>105</v>
      </c>
      <c r="D323" s="24">
        <v>45208.061111111114</v>
      </c>
      <c r="E323" s="18" t="s">
        <v>133</v>
      </c>
      <c r="F323" s="18" t="s">
        <v>30</v>
      </c>
      <c r="G323" s="18">
        <v>1733</v>
      </c>
      <c r="H323" s="25">
        <f t="shared" ref="H323:H386" si="20">INT(D323)</f>
        <v>45208</v>
      </c>
      <c r="I323" s="26">
        <f t="shared" ref="I323:I386" si="21">MOD(D323,1)</f>
        <v>6.1111111113859806E-2</v>
      </c>
      <c r="J323" s="18" t="str">
        <f t="shared" ref="J323:J386" si="22">TEXT(D323,"mmmm")</f>
        <v>October</v>
      </c>
      <c r="K323" s="56" t="str">
        <f t="shared" ref="K323:K386" si="23">TEXT(D323,"dddd")</f>
        <v>Monday</v>
      </c>
      <c r="L323" s="18" t="str">
        <f>IF(OR(G323&gt;Answers!I338,G323&lt;Answers!I339),"Outlier","Normal")</f>
        <v>Outlier</v>
      </c>
      <c r="M323" s="18">
        <v>49</v>
      </c>
    </row>
    <row r="324" spans="1:13" ht="20" customHeight="1" x14ac:dyDescent="0.35">
      <c r="A324" s="17">
        <v>229056</v>
      </c>
      <c r="B324" s="18">
        <v>594</v>
      </c>
      <c r="C324" s="23" t="s">
        <v>99</v>
      </c>
      <c r="D324" s="24">
        <v>45083.081944444442</v>
      </c>
      <c r="E324" s="18" t="s">
        <v>96</v>
      </c>
      <c r="F324" s="18" t="s">
        <v>74</v>
      </c>
      <c r="G324" s="18">
        <v>4328</v>
      </c>
      <c r="H324" s="25">
        <f t="shared" si="20"/>
        <v>45083</v>
      </c>
      <c r="I324" s="26">
        <f t="shared" si="21"/>
        <v>8.1944444442342501E-2</v>
      </c>
      <c r="J324" s="18" t="str">
        <f t="shared" si="22"/>
        <v>June</v>
      </c>
      <c r="K324" s="56" t="str">
        <f t="shared" si="23"/>
        <v>Tuesday</v>
      </c>
      <c r="L324" s="18" t="str">
        <f>IF(OR(G324&gt;Answers!I339,G324&lt;Answers!I340),"Outlier","Normal")</f>
        <v>Outlier</v>
      </c>
      <c r="M324" s="18">
        <v>58</v>
      </c>
    </row>
    <row r="325" spans="1:13" ht="20" customHeight="1" x14ac:dyDescent="0.35">
      <c r="A325" s="17">
        <v>229843</v>
      </c>
      <c r="B325" s="18">
        <v>1527</v>
      </c>
      <c r="C325" s="23" t="s">
        <v>107</v>
      </c>
      <c r="D325" s="24">
        <v>45002.956944444442</v>
      </c>
      <c r="E325" s="18" t="s">
        <v>96</v>
      </c>
      <c r="F325" s="18" t="s">
        <v>54</v>
      </c>
      <c r="G325" s="18">
        <v>4155</v>
      </c>
      <c r="H325" s="25">
        <f t="shared" si="20"/>
        <v>45002</v>
      </c>
      <c r="I325" s="26">
        <f t="shared" si="21"/>
        <v>0.9569444444423425</v>
      </c>
      <c r="J325" s="18" t="str">
        <f t="shared" si="22"/>
        <v>March</v>
      </c>
      <c r="K325" s="56" t="str">
        <f t="shared" si="23"/>
        <v>Friday</v>
      </c>
      <c r="L325" s="18" t="str">
        <f>IF(OR(G325&gt;Answers!I340,G325&lt;Answers!I341),"Outlier","Normal")</f>
        <v>Outlier</v>
      </c>
      <c r="M325" s="18">
        <v>73</v>
      </c>
    </row>
    <row r="326" spans="1:13" ht="20" customHeight="1" x14ac:dyDescent="0.35">
      <c r="A326" s="17">
        <v>231094</v>
      </c>
      <c r="B326" s="18">
        <v>680</v>
      </c>
      <c r="C326" s="23" t="s">
        <v>99</v>
      </c>
      <c r="D326" s="24">
        <v>45259.035416666666</v>
      </c>
      <c r="E326" s="18" t="s">
        <v>96</v>
      </c>
      <c r="F326" s="18" t="s">
        <v>38</v>
      </c>
      <c r="G326" s="18">
        <v>7379</v>
      </c>
      <c r="H326" s="25">
        <f t="shared" si="20"/>
        <v>45259</v>
      </c>
      <c r="I326" s="26">
        <f t="shared" si="21"/>
        <v>3.5416666665696539E-2</v>
      </c>
      <c r="J326" s="18" t="str">
        <f t="shared" si="22"/>
        <v>November</v>
      </c>
      <c r="K326" s="56" t="str">
        <f t="shared" si="23"/>
        <v>Wednesday</v>
      </c>
      <c r="L326" s="18" t="str">
        <f>IF(OR(G326&gt;Answers!I341,G326&lt;Answers!I342),"Outlier","Normal")</f>
        <v>Outlier</v>
      </c>
      <c r="M326" s="18">
        <v>81</v>
      </c>
    </row>
    <row r="327" spans="1:13" ht="20" customHeight="1" x14ac:dyDescent="0.35">
      <c r="A327" s="17">
        <v>232129</v>
      </c>
      <c r="B327" s="18">
        <v>67</v>
      </c>
      <c r="C327" s="23" t="s">
        <v>107</v>
      </c>
      <c r="D327" s="24">
        <v>45250.986111111109</v>
      </c>
      <c r="E327" s="18" t="s">
        <v>96</v>
      </c>
      <c r="F327" s="18" t="s">
        <v>34</v>
      </c>
      <c r="G327" s="18">
        <v>6264</v>
      </c>
      <c r="H327" s="25">
        <f t="shared" si="20"/>
        <v>45250</v>
      </c>
      <c r="I327" s="26">
        <f t="shared" si="21"/>
        <v>0.98611111110949423</v>
      </c>
      <c r="J327" s="18" t="str">
        <f t="shared" si="22"/>
        <v>November</v>
      </c>
      <c r="K327" s="56" t="str">
        <f t="shared" si="23"/>
        <v>Monday</v>
      </c>
      <c r="L327" s="18" t="str">
        <f>IF(OR(G327&gt;Answers!I342,G327&lt;Answers!I343),"Outlier","Normal")</f>
        <v>Outlier</v>
      </c>
      <c r="M327" s="18">
        <v>51</v>
      </c>
    </row>
    <row r="328" spans="1:13" ht="20" customHeight="1" x14ac:dyDescent="0.35">
      <c r="A328" s="17">
        <v>232261</v>
      </c>
      <c r="B328" s="18">
        <v>1269</v>
      </c>
      <c r="C328" s="23" t="s">
        <v>110</v>
      </c>
      <c r="D328" s="24">
        <v>45169.940972222219</v>
      </c>
      <c r="E328" s="18" t="s">
        <v>133</v>
      </c>
      <c r="F328" s="18" t="s">
        <v>79</v>
      </c>
      <c r="G328" s="18">
        <v>434</v>
      </c>
      <c r="H328" s="25">
        <f t="shared" si="20"/>
        <v>45169</v>
      </c>
      <c r="I328" s="26">
        <f t="shared" si="21"/>
        <v>0.94097222221898846</v>
      </c>
      <c r="J328" s="18" t="str">
        <f t="shared" si="22"/>
        <v>August</v>
      </c>
      <c r="K328" s="56" t="str">
        <f t="shared" si="23"/>
        <v>Thursday</v>
      </c>
      <c r="L328" s="18" t="str">
        <f>IF(OR(G328&gt;Answers!I343,G328&lt;Answers!I344),"Outlier","Normal")</f>
        <v>Outlier</v>
      </c>
      <c r="M328" s="18">
        <v>48</v>
      </c>
    </row>
    <row r="329" spans="1:13" ht="20" customHeight="1" x14ac:dyDescent="0.35">
      <c r="A329" s="17">
        <v>232274</v>
      </c>
      <c r="B329" s="18">
        <v>1647</v>
      </c>
      <c r="C329" s="23" t="s">
        <v>99</v>
      </c>
      <c r="D329" s="24">
        <v>45282.058333333334</v>
      </c>
      <c r="E329" s="18" t="s">
        <v>98</v>
      </c>
      <c r="F329" s="18" t="s">
        <v>80</v>
      </c>
      <c r="G329" s="18">
        <v>8947</v>
      </c>
      <c r="H329" s="25">
        <f t="shared" si="20"/>
        <v>45282</v>
      </c>
      <c r="I329" s="26">
        <f t="shared" si="21"/>
        <v>5.8333333334303461E-2</v>
      </c>
      <c r="J329" s="18" t="str">
        <f t="shared" si="22"/>
        <v>December</v>
      </c>
      <c r="K329" s="56" t="str">
        <f t="shared" si="23"/>
        <v>Friday</v>
      </c>
      <c r="L329" s="18" t="str">
        <f>IF(OR(G329&gt;Answers!I344,G329&lt;Answers!I345),"Outlier","Normal")</f>
        <v>Outlier</v>
      </c>
      <c r="M329" s="18">
        <v>22</v>
      </c>
    </row>
    <row r="330" spans="1:13" ht="20" customHeight="1" x14ac:dyDescent="0.35">
      <c r="A330" s="17">
        <v>233409</v>
      </c>
      <c r="B330" s="18">
        <v>1393</v>
      </c>
      <c r="C330" s="23" t="s">
        <v>107</v>
      </c>
      <c r="D330" s="24">
        <v>45231.961805555555</v>
      </c>
      <c r="E330" s="18" t="s">
        <v>98</v>
      </c>
      <c r="F330" s="18" t="s">
        <v>77</v>
      </c>
      <c r="G330" s="18">
        <v>9750</v>
      </c>
      <c r="H330" s="25">
        <f t="shared" si="20"/>
        <v>45231</v>
      </c>
      <c r="I330" s="26">
        <f t="shared" si="21"/>
        <v>0.96180555555474712</v>
      </c>
      <c r="J330" s="18" t="str">
        <f t="shared" si="22"/>
        <v>November</v>
      </c>
      <c r="K330" s="56" t="str">
        <f t="shared" si="23"/>
        <v>Wednesday</v>
      </c>
      <c r="L330" s="18" t="str">
        <f>IF(OR(G330&gt;Answers!I345,G330&lt;Answers!I346),"Outlier","Normal")</f>
        <v>Outlier</v>
      </c>
      <c r="M330" s="18">
        <v>76</v>
      </c>
    </row>
    <row r="331" spans="1:13" ht="20" customHeight="1" x14ac:dyDescent="0.35">
      <c r="A331" s="17">
        <v>233843</v>
      </c>
      <c r="B331" s="18">
        <v>1577</v>
      </c>
      <c r="C331" s="23" t="s">
        <v>100</v>
      </c>
      <c r="D331" s="24">
        <v>45039.040277777778</v>
      </c>
      <c r="E331" s="18" t="s">
        <v>98</v>
      </c>
      <c r="F331" s="18" t="s">
        <v>22</v>
      </c>
      <c r="G331" s="18">
        <v>6392</v>
      </c>
      <c r="H331" s="25">
        <f t="shared" si="20"/>
        <v>45039</v>
      </c>
      <c r="I331" s="26">
        <f t="shared" si="21"/>
        <v>4.0277777778101154E-2</v>
      </c>
      <c r="J331" s="18" t="str">
        <f t="shared" si="22"/>
        <v>April</v>
      </c>
      <c r="K331" s="56" t="str">
        <f t="shared" si="23"/>
        <v>Sunday</v>
      </c>
      <c r="L331" s="18" t="str">
        <f>IF(OR(G331&gt;Answers!I346,G331&lt;Answers!I347),"Outlier","Normal")</f>
        <v>Outlier</v>
      </c>
      <c r="M331" s="18">
        <v>55</v>
      </c>
    </row>
    <row r="332" spans="1:13" ht="20" customHeight="1" x14ac:dyDescent="0.35">
      <c r="A332" s="17">
        <v>234705</v>
      </c>
      <c r="B332" s="18">
        <v>1367</v>
      </c>
      <c r="C332" s="23" t="s">
        <v>107</v>
      </c>
      <c r="D332" s="24">
        <v>45184.000694444447</v>
      </c>
      <c r="E332" s="18" t="s">
        <v>96</v>
      </c>
      <c r="F332" s="18" t="s">
        <v>43</v>
      </c>
      <c r="G332" s="18">
        <v>1662</v>
      </c>
      <c r="H332" s="25">
        <f t="shared" si="20"/>
        <v>45184</v>
      </c>
      <c r="I332" s="26">
        <f t="shared" si="21"/>
        <v>6.944444467080757E-4</v>
      </c>
      <c r="J332" s="18" t="str">
        <f t="shared" si="22"/>
        <v>September</v>
      </c>
      <c r="K332" s="56" t="str">
        <f t="shared" si="23"/>
        <v>Friday</v>
      </c>
      <c r="L332" s="18" t="str">
        <f>IF(OR(G332&gt;Answers!I347,G332&lt;Answers!I348),"Outlier","Normal")</f>
        <v>Outlier</v>
      </c>
      <c r="M332" s="18">
        <v>25</v>
      </c>
    </row>
    <row r="333" spans="1:13" ht="20" customHeight="1" x14ac:dyDescent="0.35">
      <c r="A333" s="17">
        <v>235219</v>
      </c>
      <c r="B333" s="18">
        <v>1829</v>
      </c>
      <c r="C333" s="23" t="s">
        <v>101</v>
      </c>
      <c r="D333" s="24">
        <v>45236.037499999999</v>
      </c>
      <c r="E333" s="18" t="s">
        <v>98</v>
      </c>
      <c r="F333" s="18" t="s">
        <v>40</v>
      </c>
      <c r="G333" s="18">
        <v>4965</v>
      </c>
      <c r="H333" s="25">
        <f t="shared" si="20"/>
        <v>45236</v>
      </c>
      <c r="I333" s="26">
        <f t="shared" si="21"/>
        <v>3.7499999998544808E-2</v>
      </c>
      <c r="J333" s="18" t="str">
        <f t="shared" si="22"/>
        <v>November</v>
      </c>
      <c r="K333" s="56" t="str">
        <f t="shared" si="23"/>
        <v>Monday</v>
      </c>
      <c r="L333" s="18" t="str">
        <f>IF(OR(G333&gt;Answers!I348,G333&lt;Answers!I349),"Outlier","Normal")</f>
        <v>Outlier</v>
      </c>
      <c r="M333" s="18">
        <v>82</v>
      </c>
    </row>
    <row r="334" spans="1:13" ht="20" customHeight="1" x14ac:dyDescent="0.35">
      <c r="A334" s="17">
        <v>235760</v>
      </c>
      <c r="B334" s="18">
        <v>1816</v>
      </c>
      <c r="C334" s="23" t="s">
        <v>105</v>
      </c>
      <c r="D334" s="24">
        <v>45250.039583333331</v>
      </c>
      <c r="E334" s="18" t="s">
        <v>98</v>
      </c>
      <c r="F334" s="18" t="s">
        <v>81</v>
      </c>
      <c r="G334" s="18">
        <v>4835</v>
      </c>
      <c r="H334" s="25">
        <f t="shared" si="20"/>
        <v>45250</v>
      </c>
      <c r="I334" s="26">
        <f t="shared" si="21"/>
        <v>3.9583333331393078E-2</v>
      </c>
      <c r="J334" s="18" t="str">
        <f t="shared" si="22"/>
        <v>November</v>
      </c>
      <c r="K334" s="56" t="str">
        <f t="shared" si="23"/>
        <v>Monday</v>
      </c>
      <c r="L334" s="18" t="str">
        <f>IF(OR(G334&gt;Answers!I349,G334&lt;Answers!I350),"Outlier","Normal")</f>
        <v>Outlier</v>
      </c>
      <c r="M334" s="18">
        <v>75</v>
      </c>
    </row>
    <row r="335" spans="1:13" ht="20" customHeight="1" x14ac:dyDescent="0.35">
      <c r="A335" s="17">
        <v>237369</v>
      </c>
      <c r="B335" s="18">
        <v>401</v>
      </c>
      <c r="C335" s="23" t="s">
        <v>113</v>
      </c>
      <c r="D335" s="24">
        <v>45056.015972222223</v>
      </c>
      <c r="E335" s="18" t="s">
        <v>97</v>
      </c>
      <c r="F335" s="18" t="s">
        <v>82</v>
      </c>
      <c r="G335" s="18">
        <v>2313</v>
      </c>
      <c r="H335" s="25">
        <f t="shared" si="20"/>
        <v>45056</v>
      </c>
      <c r="I335" s="26">
        <f t="shared" si="21"/>
        <v>1.5972222223354038E-2</v>
      </c>
      <c r="J335" s="18" t="str">
        <f t="shared" si="22"/>
        <v>May</v>
      </c>
      <c r="K335" s="56" t="str">
        <f t="shared" si="23"/>
        <v>Wednesday</v>
      </c>
      <c r="L335" s="18" t="str">
        <f>IF(OR(G335&gt;Answers!I350,G335&lt;Answers!I351),"Outlier","Normal")</f>
        <v>Outlier</v>
      </c>
      <c r="M335" s="18">
        <v>36</v>
      </c>
    </row>
    <row r="336" spans="1:13" ht="20" customHeight="1" x14ac:dyDescent="0.35">
      <c r="A336" s="17">
        <v>238602</v>
      </c>
      <c r="B336" s="18">
        <v>153</v>
      </c>
      <c r="C336" s="23" t="s">
        <v>99</v>
      </c>
      <c r="D336" s="24">
        <v>45017.05</v>
      </c>
      <c r="E336" s="18" t="s">
        <v>98</v>
      </c>
      <c r="F336" s="18" t="s">
        <v>21</v>
      </c>
      <c r="G336" s="18">
        <v>951</v>
      </c>
      <c r="H336" s="25">
        <f t="shared" si="20"/>
        <v>45017</v>
      </c>
      <c r="I336" s="26">
        <f t="shared" si="21"/>
        <v>5.0000000002910383E-2</v>
      </c>
      <c r="J336" s="18" t="str">
        <f t="shared" si="22"/>
        <v>April</v>
      </c>
      <c r="K336" s="56" t="str">
        <f t="shared" si="23"/>
        <v>Saturday</v>
      </c>
      <c r="L336" s="18" t="str">
        <f>IF(OR(G336&gt;Answers!I351,G336&lt;Answers!I352),"Outlier","Normal")</f>
        <v>Outlier</v>
      </c>
      <c r="M336" s="18">
        <v>19</v>
      </c>
    </row>
    <row r="337" spans="1:13" ht="20" customHeight="1" x14ac:dyDescent="0.35">
      <c r="A337" s="17">
        <v>238793</v>
      </c>
      <c r="B337" s="18">
        <v>1574</v>
      </c>
      <c r="C337" s="23" t="s">
        <v>104</v>
      </c>
      <c r="D337" s="24">
        <v>45026.086805555555</v>
      </c>
      <c r="E337" s="18" t="s">
        <v>133</v>
      </c>
      <c r="F337" s="18" t="s">
        <v>66</v>
      </c>
      <c r="G337" s="18">
        <v>3650</v>
      </c>
      <c r="H337" s="25">
        <f t="shared" si="20"/>
        <v>45026</v>
      </c>
      <c r="I337" s="26">
        <f t="shared" si="21"/>
        <v>8.6805555554747116E-2</v>
      </c>
      <c r="J337" s="18" t="str">
        <f t="shared" si="22"/>
        <v>April</v>
      </c>
      <c r="K337" s="56" t="str">
        <f t="shared" si="23"/>
        <v>Monday</v>
      </c>
      <c r="L337" s="18" t="str">
        <f>IF(OR(G337&gt;Answers!I352,G337&lt;Answers!I353),"Outlier","Normal")</f>
        <v>Outlier</v>
      </c>
      <c r="M337" s="18">
        <v>36</v>
      </c>
    </row>
    <row r="338" spans="1:13" ht="20" customHeight="1" x14ac:dyDescent="0.35">
      <c r="A338" s="17">
        <v>238839</v>
      </c>
      <c r="B338" s="18">
        <v>766</v>
      </c>
      <c r="C338" s="23" t="s">
        <v>99</v>
      </c>
      <c r="D338" s="24">
        <v>45092.036111111112</v>
      </c>
      <c r="E338" s="18" t="s">
        <v>97</v>
      </c>
      <c r="F338" s="18" t="s">
        <v>78</v>
      </c>
      <c r="G338" s="18">
        <v>1367</v>
      </c>
      <c r="H338" s="25">
        <f t="shared" si="20"/>
        <v>45092</v>
      </c>
      <c r="I338" s="26">
        <f t="shared" si="21"/>
        <v>3.6111111112404615E-2</v>
      </c>
      <c r="J338" s="18" t="str">
        <f t="shared" si="22"/>
        <v>June</v>
      </c>
      <c r="K338" s="56" t="str">
        <f t="shared" si="23"/>
        <v>Thursday</v>
      </c>
      <c r="L338" s="18" t="str">
        <f>IF(OR(G338&gt;Answers!I353,G338&lt;Answers!I354),"Outlier","Normal")</f>
        <v>Outlier</v>
      </c>
      <c r="M338" s="18">
        <v>89</v>
      </c>
    </row>
    <row r="339" spans="1:13" ht="20" customHeight="1" x14ac:dyDescent="0.35">
      <c r="A339" s="17">
        <v>241257</v>
      </c>
      <c r="B339" s="18">
        <v>1374</v>
      </c>
      <c r="C339" s="23" t="s">
        <v>100</v>
      </c>
      <c r="D339" s="24">
        <v>45027.06527777778</v>
      </c>
      <c r="E339" s="18" t="s">
        <v>96</v>
      </c>
      <c r="F339" s="18" t="s">
        <v>5</v>
      </c>
      <c r="G339" s="18">
        <v>6819</v>
      </c>
      <c r="H339" s="25">
        <f t="shared" si="20"/>
        <v>45027</v>
      </c>
      <c r="I339" s="26">
        <f t="shared" si="21"/>
        <v>6.5277777779556345E-2</v>
      </c>
      <c r="J339" s="18" t="str">
        <f t="shared" si="22"/>
        <v>April</v>
      </c>
      <c r="K339" s="56" t="str">
        <f t="shared" si="23"/>
        <v>Tuesday</v>
      </c>
      <c r="L339" s="18" t="str">
        <f>IF(OR(G339&gt;Answers!I354,G339&lt;Answers!I355),"Outlier","Normal")</f>
        <v>Outlier</v>
      </c>
      <c r="M339" s="18">
        <v>80</v>
      </c>
    </row>
    <row r="340" spans="1:13" ht="20" customHeight="1" x14ac:dyDescent="0.35">
      <c r="A340" s="17">
        <v>241334</v>
      </c>
      <c r="B340" s="18">
        <v>864</v>
      </c>
      <c r="C340" s="23" t="s">
        <v>99</v>
      </c>
      <c r="D340" s="24">
        <v>44939.027083333334</v>
      </c>
      <c r="E340" s="18" t="s">
        <v>133</v>
      </c>
      <c r="F340" s="18" t="s">
        <v>39</v>
      </c>
      <c r="G340" s="18">
        <v>3422</v>
      </c>
      <c r="H340" s="25">
        <f t="shared" si="20"/>
        <v>44939</v>
      </c>
      <c r="I340" s="26">
        <f t="shared" si="21"/>
        <v>2.7083333334303461E-2</v>
      </c>
      <c r="J340" s="18" t="str">
        <f t="shared" si="22"/>
        <v>January</v>
      </c>
      <c r="K340" s="56" t="str">
        <f t="shared" si="23"/>
        <v>Friday</v>
      </c>
      <c r="L340" s="18" t="str">
        <f>IF(OR(G340&gt;Answers!I355,G340&lt;Answers!I356),"Outlier","Normal")</f>
        <v>Outlier</v>
      </c>
      <c r="M340" s="18">
        <v>78</v>
      </c>
    </row>
    <row r="341" spans="1:13" ht="20" customHeight="1" x14ac:dyDescent="0.35">
      <c r="A341" s="17">
        <v>242256</v>
      </c>
      <c r="B341" s="18">
        <v>504</v>
      </c>
      <c r="C341" s="23" t="s">
        <v>102</v>
      </c>
      <c r="D341" s="24">
        <v>45123.07708333333</v>
      </c>
      <c r="E341" s="18" t="s">
        <v>96</v>
      </c>
      <c r="F341" s="18" t="s">
        <v>43</v>
      </c>
      <c r="G341" s="18">
        <v>3986</v>
      </c>
      <c r="H341" s="25">
        <f t="shared" si="20"/>
        <v>45123</v>
      </c>
      <c r="I341" s="26">
        <f t="shared" si="21"/>
        <v>7.7083333329937886E-2</v>
      </c>
      <c r="J341" s="18" t="str">
        <f t="shared" si="22"/>
        <v>July</v>
      </c>
      <c r="K341" s="56" t="str">
        <f t="shared" si="23"/>
        <v>Sunday</v>
      </c>
      <c r="L341" s="18" t="str">
        <f>IF(OR(G341&gt;Answers!I356,G341&lt;Answers!I357),"Outlier","Normal")</f>
        <v>Outlier</v>
      </c>
      <c r="M341" s="18">
        <v>48</v>
      </c>
    </row>
    <row r="342" spans="1:13" ht="20" customHeight="1" x14ac:dyDescent="0.35">
      <c r="A342" s="17">
        <v>243319</v>
      </c>
      <c r="B342" s="18">
        <v>818</v>
      </c>
      <c r="C342" s="23" t="s">
        <v>100</v>
      </c>
      <c r="D342" s="24">
        <v>45072.973611111112</v>
      </c>
      <c r="E342" s="18" t="s">
        <v>133</v>
      </c>
      <c r="F342" s="18" t="s">
        <v>43</v>
      </c>
      <c r="G342" s="18">
        <v>2539</v>
      </c>
      <c r="H342" s="25">
        <f t="shared" si="20"/>
        <v>45072</v>
      </c>
      <c r="I342" s="26">
        <f t="shared" si="21"/>
        <v>0.97361111111240461</v>
      </c>
      <c r="J342" s="18" t="str">
        <f t="shared" si="22"/>
        <v>May</v>
      </c>
      <c r="K342" s="56" t="str">
        <f t="shared" si="23"/>
        <v>Friday</v>
      </c>
      <c r="L342" s="18" t="str">
        <f>IF(OR(G342&gt;Answers!I357,G342&lt;Answers!I358),"Outlier","Normal")</f>
        <v>Outlier</v>
      </c>
      <c r="M342" s="18">
        <v>87</v>
      </c>
    </row>
    <row r="343" spans="1:13" ht="20" customHeight="1" x14ac:dyDescent="0.35">
      <c r="A343" s="17">
        <v>243485</v>
      </c>
      <c r="B343" s="18">
        <v>633</v>
      </c>
      <c r="C343" s="23" t="s">
        <v>100</v>
      </c>
      <c r="D343" s="24">
        <v>45119.011111111111</v>
      </c>
      <c r="E343" s="18" t="s">
        <v>98</v>
      </c>
      <c r="F343" s="18" t="s">
        <v>17</v>
      </c>
      <c r="G343" s="18">
        <v>6552</v>
      </c>
      <c r="H343" s="25">
        <f t="shared" si="20"/>
        <v>45119</v>
      </c>
      <c r="I343" s="26">
        <f t="shared" si="21"/>
        <v>1.1111111110949423E-2</v>
      </c>
      <c r="J343" s="18" t="str">
        <f t="shared" si="22"/>
        <v>July</v>
      </c>
      <c r="K343" s="56" t="str">
        <f t="shared" si="23"/>
        <v>Wednesday</v>
      </c>
      <c r="L343" s="18" t="str">
        <f>IF(OR(G343&gt;Answers!I358,G343&lt;Answers!I359),"Outlier","Normal")</f>
        <v>Outlier</v>
      </c>
      <c r="M343" s="18">
        <v>88</v>
      </c>
    </row>
    <row r="344" spans="1:13" ht="20" customHeight="1" x14ac:dyDescent="0.35">
      <c r="A344" s="17">
        <v>245474</v>
      </c>
      <c r="B344" s="18">
        <v>40</v>
      </c>
      <c r="C344" s="23" t="s">
        <v>101</v>
      </c>
      <c r="D344" s="24">
        <v>45248.967361111114</v>
      </c>
      <c r="E344" s="18" t="s">
        <v>96</v>
      </c>
      <c r="F344" s="18" t="s">
        <v>70</v>
      </c>
      <c r="G344" s="18">
        <v>3933</v>
      </c>
      <c r="H344" s="25">
        <f t="shared" si="20"/>
        <v>45248</v>
      </c>
      <c r="I344" s="26">
        <f t="shared" si="21"/>
        <v>0.96736111111385981</v>
      </c>
      <c r="J344" s="18" t="str">
        <f t="shared" si="22"/>
        <v>November</v>
      </c>
      <c r="K344" s="56" t="str">
        <f t="shared" si="23"/>
        <v>Saturday</v>
      </c>
      <c r="L344" s="18" t="str">
        <f>IF(OR(G344&gt;Answers!I359,G344&lt;Answers!I360),"Outlier","Normal")</f>
        <v>Outlier</v>
      </c>
      <c r="M344" s="18">
        <v>37</v>
      </c>
    </row>
    <row r="345" spans="1:13" ht="20" customHeight="1" x14ac:dyDescent="0.35">
      <c r="A345" s="17">
        <v>246033</v>
      </c>
      <c r="B345" s="18">
        <v>1715</v>
      </c>
      <c r="C345" s="23" t="s">
        <v>99</v>
      </c>
      <c r="D345" s="24">
        <v>45265.981249999997</v>
      </c>
      <c r="E345" s="18" t="s">
        <v>96</v>
      </c>
      <c r="F345" s="18" t="s">
        <v>71</v>
      </c>
      <c r="G345" s="18">
        <v>5126</v>
      </c>
      <c r="H345" s="25">
        <f t="shared" si="20"/>
        <v>45265</v>
      </c>
      <c r="I345" s="26">
        <f t="shared" si="21"/>
        <v>0.98124999999708962</v>
      </c>
      <c r="J345" s="18" t="str">
        <f t="shared" si="22"/>
        <v>December</v>
      </c>
      <c r="K345" s="56" t="str">
        <f t="shared" si="23"/>
        <v>Tuesday</v>
      </c>
      <c r="L345" s="18" t="str">
        <f>IF(OR(G345&gt;Answers!I360,G345&lt;Answers!I361),"Outlier","Normal")</f>
        <v>Outlier</v>
      </c>
      <c r="M345" s="18">
        <v>41</v>
      </c>
    </row>
    <row r="346" spans="1:13" ht="20" customHeight="1" x14ac:dyDescent="0.35">
      <c r="A346" s="17">
        <v>246834</v>
      </c>
      <c r="B346" s="18">
        <v>808</v>
      </c>
      <c r="C346" s="23" t="s">
        <v>99</v>
      </c>
      <c r="D346" s="24">
        <v>45134.023611111108</v>
      </c>
      <c r="E346" s="18" t="s">
        <v>96</v>
      </c>
      <c r="F346" s="18" t="s">
        <v>43</v>
      </c>
      <c r="G346" s="18">
        <v>9507</v>
      </c>
      <c r="H346" s="25">
        <f t="shared" si="20"/>
        <v>45134</v>
      </c>
      <c r="I346" s="26">
        <f t="shared" si="21"/>
        <v>2.361111110803904E-2</v>
      </c>
      <c r="J346" s="18" t="str">
        <f t="shared" si="22"/>
        <v>July</v>
      </c>
      <c r="K346" s="56" t="str">
        <f t="shared" si="23"/>
        <v>Thursday</v>
      </c>
      <c r="L346" s="18" t="str">
        <f>IF(OR(G346&gt;Answers!I361,G346&lt;Answers!I362),"Outlier","Normal")</f>
        <v>Outlier</v>
      </c>
      <c r="M346" s="18">
        <v>41</v>
      </c>
    </row>
    <row r="347" spans="1:13" ht="20" customHeight="1" x14ac:dyDescent="0.35">
      <c r="A347" s="17">
        <v>246988</v>
      </c>
      <c r="B347" s="18">
        <v>243</v>
      </c>
      <c r="C347" s="23" t="s">
        <v>99</v>
      </c>
      <c r="D347" s="24">
        <v>45092.027777777781</v>
      </c>
      <c r="E347" s="18" t="s">
        <v>133</v>
      </c>
      <c r="F347" s="18" t="s">
        <v>45</v>
      </c>
      <c r="G347" s="18">
        <v>4264</v>
      </c>
      <c r="H347" s="25">
        <f t="shared" si="20"/>
        <v>45092</v>
      </c>
      <c r="I347" s="26">
        <f t="shared" si="21"/>
        <v>2.7777777781011537E-2</v>
      </c>
      <c r="J347" s="18" t="str">
        <f t="shared" si="22"/>
        <v>June</v>
      </c>
      <c r="K347" s="56" t="str">
        <f t="shared" si="23"/>
        <v>Thursday</v>
      </c>
      <c r="L347" s="18" t="str">
        <f>IF(OR(G347&gt;Answers!I362,G347&lt;Answers!I363),"Outlier","Normal")</f>
        <v>Outlier</v>
      </c>
      <c r="M347" s="18">
        <v>18</v>
      </c>
    </row>
    <row r="348" spans="1:13" ht="20" customHeight="1" x14ac:dyDescent="0.35">
      <c r="A348" s="17">
        <v>247011</v>
      </c>
      <c r="B348" s="18">
        <v>1809</v>
      </c>
      <c r="C348" s="23" t="s">
        <v>99</v>
      </c>
      <c r="D348" s="24">
        <v>45271.978472222225</v>
      </c>
      <c r="E348" s="18" t="s">
        <v>98</v>
      </c>
      <c r="F348" s="18" t="s">
        <v>8</v>
      </c>
      <c r="G348" s="18">
        <v>4533</v>
      </c>
      <c r="H348" s="25">
        <f t="shared" si="20"/>
        <v>45271</v>
      </c>
      <c r="I348" s="26">
        <f t="shared" si="21"/>
        <v>0.97847222222480923</v>
      </c>
      <c r="J348" s="18" t="str">
        <f t="shared" si="22"/>
        <v>December</v>
      </c>
      <c r="K348" s="56" t="str">
        <f t="shared" si="23"/>
        <v>Monday</v>
      </c>
      <c r="L348" s="18" t="str">
        <f>IF(OR(G348&gt;Answers!I363,G348&lt;Answers!I364),"Outlier","Normal")</f>
        <v>Outlier</v>
      </c>
      <c r="M348" s="18">
        <v>57</v>
      </c>
    </row>
    <row r="349" spans="1:13" ht="20" customHeight="1" x14ac:dyDescent="0.35">
      <c r="A349" s="17">
        <v>247239</v>
      </c>
      <c r="B349" s="18">
        <v>1643</v>
      </c>
      <c r="C349" s="23" t="s">
        <v>101</v>
      </c>
      <c r="D349" s="24">
        <v>45006.070833333331</v>
      </c>
      <c r="E349" s="18" t="s">
        <v>98</v>
      </c>
      <c r="F349" s="18" t="s">
        <v>46</v>
      </c>
      <c r="G349" s="18">
        <v>9225</v>
      </c>
      <c r="H349" s="25">
        <f t="shared" si="20"/>
        <v>45006</v>
      </c>
      <c r="I349" s="26">
        <f t="shared" si="21"/>
        <v>7.0833333331393078E-2</v>
      </c>
      <c r="J349" s="18" t="str">
        <f t="shared" si="22"/>
        <v>March</v>
      </c>
      <c r="K349" s="56" t="str">
        <f t="shared" si="23"/>
        <v>Tuesday</v>
      </c>
      <c r="L349" s="18" t="str">
        <f>IF(OR(G349&gt;Answers!I364,G349&lt;Answers!I365),"Outlier","Normal")</f>
        <v>Outlier</v>
      </c>
      <c r="M349" s="18">
        <v>29</v>
      </c>
    </row>
    <row r="350" spans="1:13" ht="20" customHeight="1" x14ac:dyDescent="0.35">
      <c r="A350" s="17">
        <v>248737</v>
      </c>
      <c r="B350" s="18">
        <v>109</v>
      </c>
      <c r="C350" s="23" t="s">
        <v>99</v>
      </c>
      <c r="D350" s="24">
        <v>45000.026388888888</v>
      </c>
      <c r="E350" s="18" t="s">
        <v>98</v>
      </c>
      <c r="F350" s="18" t="s">
        <v>11</v>
      </c>
      <c r="G350" s="18">
        <v>1887</v>
      </c>
      <c r="H350" s="25">
        <f t="shared" si="20"/>
        <v>45000</v>
      </c>
      <c r="I350" s="26">
        <f t="shared" si="21"/>
        <v>2.6388888887595385E-2</v>
      </c>
      <c r="J350" s="18" t="str">
        <f t="shared" si="22"/>
        <v>March</v>
      </c>
      <c r="K350" s="56" t="str">
        <f t="shared" si="23"/>
        <v>Wednesday</v>
      </c>
      <c r="L350" s="18" t="str">
        <f>IF(OR(G350&gt;Answers!I365,G350&lt;Answers!I366),"Outlier","Normal")</f>
        <v>Outlier</v>
      </c>
      <c r="M350" s="18">
        <v>32</v>
      </c>
    </row>
    <row r="351" spans="1:13" ht="20" customHeight="1" x14ac:dyDescent="0.35">
      <c r="A351" s="17">
        <v>250181</v>
      </c>
      <c r="B351" s="18">
        <v>1583</v>
      </c>
      <c r="C351" s="23" t="s">
        <v>106</v>
      </c>
      <c r="D351" s="24">
        <v>45036.008333333331</v>
      </c>
      <c r="E351" s="18" t="s">
        <v>96</v>
      </c>
      <c r="F351" s="18" t="s">
        <v>72</v>
      </c>
      <c r="G351" s="18">
        <v>4036</v>
      </c>
      <c r="H351" s="25">
        <f t="shared" si="20"/>
        <v>45036</v>
      </c>
      <c r="I351" s="26">
        <f t="shared" si="21"/>
        <v>8.333333331393078E-3</v>
      </c>
      <c r="J351" s="18" t="str">
        <f t="shared" si="22"/>
        <v>April</v>
      </c>
      <c r="K351" s="56" t="str">
        <f t="shared" si="23"/>
        <v>Thursday</v>
      </c>
      <c r="L351" s="18" t="str">
        <f>IF(OR(G351&gt;Answers!I366,G351&lt;Answers!I367),"Outlier","Normal")</f>
        <v>Outlier</v>
      </c>
      <c r="M351" s="18">
        <v>73</v>
      </c>
    </row>
    <row r="352" spans="1:13" ht="20" customHeight="1" x14ac:dyDescent="0.35">
      <c r="A352" s="17">
        <v>251278</v>
      </c>
      <c r="B352" s="18">
        <v>1591</v>
      </c>
      <c r="C352" s="23" t="s">
        <v>99</v>
      </c>
      <c r="D352" s="24">
        <v>45018.961805555555</v>
      </c>
      <c r="E352" s="18" t="s">
        <v>96</v>
      </c>
      <c r="F352" s="18" t="s">
        <v>27</v>
      </c>
      <c r="G352" s="18">
        <v>2551</v>
      </c>
      <c r="H352" s="25">
        <f t="shared" si="20"/>
        <v>45018</v>
      </c>
      <c r="I352" s="26">
        <f t="shared" si="21"/>
        <v>0.96180555555474712</v>
      </c>
      <c r="J352" s="18" t="str">
        <f t="shared" si="22"/>
        <v>April</v>
      </c>
      <c r="K352" s="56" t="str">
        <f t="shared" si="23"/>
        <v>Sunday</v>
      </c>
      <c r="L352" s="18" t="str">
        <f>IF(OR(G352&gt;Answers!I367,G352&lt;Answers!I368),"Outlier","Normal")</f>
        <v>Outlier</v>
      </c>
      <c r="M352" s="18">
        <v>61</v>
      </c>
    </row>
    <row r="353" spans="1:13" ht="20" customHeight="1" x14ac:dyDescent="0.35">
      <c r="A353" s="17">
        <v>251865</v>
      </c>
      <c r="B353" s="18">
        <v>414</v>
      </c>
      <c r="C353" s="23" t="s">
        <v>113</v>
      </c>
      <c r="D353" s="24">
        <v>45267.962500000001</v>
      </c>
      <c r="E353" s="18" t="s">
        <v>133</v>
      </c>
      <c r="F353" s="18" t="s">
        <v>13</v>
      </c>
      <c r="G353" s="18">
        <v>6149</v>
      </c>
      <c r="H353" s="25">
        <f t="shared" si="20"/>
        <v>45267</v>
      </c>
      <c r="I353" s="26">
        <f t="shared" si="21"/>
        <v>0.96250000000145519</v>
      </c>
      <c r="J353" s="18" t="str">
        <f t="shared" si="22"/>
        <v>December</v>
      </c>
      <c r="K353" s="56" t="str">
        <f t="shared" si="23"/>
        <v>Thursday</v>
      </c>
      <c r="L353" s="18" t="str">
        <f>IF(OR(G353&gt;Answers!I368,G353&lt;Answers!I369),"Outlier","Normal")</f>
        <v>Outlier</v>
      </c>
      <c r="M353" s="18">
        <v>86</v>
      </c>
    </row>
    <row r="354" spans="1:13" ht="20" customHeight="1" x14ac:dyDescent="0.35">
      <c r="A354" s="17">
        <v>251999</v>
      </c>
      <c r="B354" s="18">
        <v>317</v>
      </c>
      <c r="C354" s="23" t="s">
        <v>100</v>
      </c>
      <c r="D354" s="24">
        <v>45232.012499999997</v>
      </c>
      <c r="E354" s="18" t="s">
        <v>96</v>
      </c>
      <c r="F354" s="18" t="s">
        <v>73</v>
      </c>
      <c r="G354" s="18">
        <v>8817</v>
      </c>
      <c r="H354" s="25">
        <f t="shared" si="20"/>
        <v>45232</v>
      </c>
      <c r="I354" s="26">
        <f t="shared" si="21"/>
        <v>1.2499999997089617E-2</v>
      </c>
      <c r="J354" s="18" t="str">
        <f t="shared" si="22"/>
        <v>November</v>
      </c>
      <c r="K354" s="56" t="str">
        <f t="shared" si="23"/>
        <v>Thursday</v>
      </c>
      <c r="L354" s="18" t="str">
        <f>IF(OR(G354&gt;Answers!I369,G354&lt;Answers!I370),"Outlier","Normal")</f>
        <v>Outlier</v>
      </c>
      <c r="M354" s="18">
        <v>24</v>
      </c>
    </row>
    <row r="355" spans="1:13" ht="20" customHeight="1" x14ac:dyDescent="0.35">
      <c r="A355" s="17">
        <v>252920</v>
      </c>
      <c r="B355" s="18">
        <v>298</v>
      </c>
      <c r="C355" s="23" t="s">
        <v>105</v>
      </c>
      <c r="D355" s="24">
        <v>45134.033333333333</v>
      </c>
      <c r="E355" s="18" t="s">
        <v>98</v>
      </c>
      <c r="F355" s="18" t="s">
        <v>52</v>
      </c>
      <c r="G355" s="18">
        <v>5044</v>
      </c>
      <c r="H355" s="25">
        <f t="shared" si="20"/>
        <v>45134</v>
      </c>
      <c r="I355" s="26">
        <f t="shared" si="21"/>
        <v>3.3333333332848269E-2</v>
      </c>
      <c r="J355" s="18" t="str">
        <f t="shared" si="22"/>
        <v>July</v>
      </c>
      <c r="K355" s="56" t="str">
        <f t="shared" si="23"/>
        <v>Thursday</v>
      </c>
      <c r="L355" s="18" t="str">
        <f>IF(OR(G355&gt;Answers!I370,G355&lt;Answers!I371),"Outlier","Normal")</f>
        <v>Outlier</v>
      </c>
      <c r="M355" s="18">
        <v>34</v>
      </c>
    </row>
    <row r="356" spans="1:13" ht="20" customHeight="1" x14ac:dyDescent="0.35">
      <c r="A356" s="17">
        <v>253281</v>
      </c>
      <c r="B356" s="18">
        <v>1725</v>
      </c>
      <c r="C356" s="23" t="s">
        <v>99</v>
      </c>
      <c r="D356" s="24">
        <v>45153.989583333336</v>
      </c>
      <c r="E356" s="18" t="s">
        <v>97</v>
      </c>
      <c r="F356" s="18" t="s">
        <v>26</v>
      </c>
      <c r="G356" s="18">
        <v>8869</v>
      </c>
      <c r="H356" s="25">
        <f t="shared" si="20"/>
        <v>45153</v>
      </c>
      <c r="I356" s="26">
        <f t="shared" si="21"/>
        <v>0.98958333333575865</v>
      </c>
      <c r="J356" s="18" t="str">
        <f t="shared" si="22"/>
        <v>August</v>
      </c>
      <c r="K356" s="56" t="str">
        <f t="shared" si="23"/>
        <v>Tuesday</v>
      </c>
      <c r="L356" s="18" t="str">
        <f>IF(OR(G356&gt;Answers!I371,G356&lt;Answers!I372),"Outlier","Normal")</f>
        <v>Outlier</v>
      </c>
      <c r="M356" s="18">
        <v>81</v>
      </c>
    </row>
    <row r="357" spans="1:13" ht="20" customHeight="1" x14ac:dyDescent="0.35">
      <c r="A357" s="17">
        <v>253341</v>
      </c>
      <c r="B357" s="18">
        <v>1663</v>
      </c>
      <c r="C357" s="23" t="s">
        <v>104</v>
      </c>
      <c r="D357" s="24">
        <v>45078.068749999999</v>
      </c>
      <c r="E357" s="18" t="s">
        <v>98</v>
      </c>
      <c r="F357" s="18" t="s">
        <v>74</v>
      </c>
      <c r="G357" s="18">
        <v>6399</v>
      </c>
      <c r="H357" s="25">
        <f t="shared" si="20"/>
        <v>45078</v>
      </c>
      <c r="I357" s="26">
        <f t="shared" si="21"/>
        <v>6.8749999998544808E-2</v>
      </c>
      <c r="J357" s="18" t="str">
        <f t="shared" si="22"/>
        <v>June</v>
      </c>
      <c r="K357" s="56" t="str">
        <f t="shared" si="23"/>
        <v>Thursday</v>
      </c>
      <c r="L357" s="18" t="str">
        <f>IF(OR(G357&gt;Answers!I372,G357&lt;Answers!I373),"Outlier","Normal")</f>
        <v>Outlier</v>
      </c>
      <c r="M357" s="18">
        <v>60</v>
      </c>
    </row>
    <row r="358" spans="1:13" ht="20" customHeight="1" x14ac:dyDescent="0.35">
      <c r="A358" s="17">
        <v>254112</v>
      </c>
      <c r="B358" s="18">
        <v>1975</v>
      </c>
      <c r="C358" s="23" t="s">
        <v>99</v>
      </c>
      <c r="D358" s="24">
        <v>45176.990277777775</v>
      </c>
      <c r="E358" s="18" t="s">
        <v>97</v>
      </c>
      <c r="F358" s="18" t="s">
        <v>75</v>
      </c>
      <c r="G358" s="18">
        <v>2037</v>
      </c>
      <c r="H358" s="25">
        <f t="shared" si="20"/>
        <v>45176</v>
      </c>
      <c r="I358" s="26">
        <f t="shared" si="21"/>
        <v>0.99027777777519077</v>
      </c>
      <c r="J358" s="18" t="str">
        <f t="shared" si="22"/>
        <v>September</v>
      </c>
      <c r="K358" s="56" t="str">
        <f t="shared" si="23"/>
        <v>Thursday</v>
      </c>
      <c r="L358" s="18" t="str">
        <f>IF(OR(G358&gt;Answers!I373,G358&lt;Answers!I374),"Outlier","Normal")</f>
        <v>Outlier</v>
      </c>
      <c r="M358" s="18">
        <v>40</v>
      </c>
    </row>
    <row r="359" spans="1:13" ht="20" customHeight="1" x14ac:dyDescent="0.35">
      <c r="A359" s="17">
        <v>254795</v>
      </c>
      <c r="B359" s="18">
        <v>1357</v>
      </c>
      <c r="C359" s="23" t="s">
        <v>111</v>
      </c>
      <c r="D359" s="24">
        <v>45074.057638888888</v>
      </c>
      <c r="E359" s="18" t="s">
        <v>96</v>
      </c>
      <c r="F359" s="18" t="s">
        <v>73</v>
      </c>
      <c r="G359" s="18">
        <v>7938</v>
      </c>
      <c r="H359" s="25">
        <f t="shared" si="20"/>
        <v>45074</v>
      </c>
      <c r="I359" s="26">
        <f t="shared" si="21"/>
        <v>5.7638888887595385E-2</v>
      </c>
      <c r="J359" s="18" t="str">
        <f t="shared" si="22"/>
        <v>May</v>
      </c>
      <c r="K359" s="56" t="str">
        <f t="shared" si="23"/>
        <v>Sunday</v>
      </c>
      <c r="L359" s="18" t="str">
        <f>IF(OR(G359&gt;Answers!I374,G359&lt;Answers!I375),"Outlier","Normal")</f>
        <v>Outlier</v>
      </c>
      <c r="M359" s="18">
        <v>43</v>
      </c>
    </row>
    <row r="360" spans="1:13" ht="20" customHeight="1" x14ac:dyDescent="0.35">
      <c r="A360" s="17">
        <v>255781</v>
      </c>
      <c r="B360" s="18">
        <v>847</v>
      </c>
      <c r="C360" s="23" t="s">
        <v>113</v>
      </c>
      <c r="D360" s="24">
        <v>45164.949305555558</v>
      </c>
      <c r="E360" s="18" t="s">
        <v>96</v>
      </c>
      <c r="F360" s="18" t="s">
        <v>76</v>
      </c>
      <c r="G360" s="18">
        <v>298</v>
      </c>
      <c r="H360" s="25">
        <f t="shared" si="20"/>
        <v>45164</v>
      </c>
      <c r="I360" s="26">
        <f t="shared" si="21"/>
        <v>0.9493055555576575</v>
      </c>
      <c r="J360" s="18" t="str">
        <f t="shared" si="22"/>
        <v>August</v>
      </c>
      <c r="K360" s="56" t="str">
        <f t="shared" si="23"/>
        <v>Saturday</v>
      </c>
      <c r="L360" s="18" t="str">
        <f>IF(OR(G360&gt;Answers!I375,G360&lt;Answers!I376),"Outlier","Normal")</f>
        <v>Outlier</v>
      </c>
      <c r="M360" s="18">
        <v>76</v>
      </c>
    </row>
    <row r="361" spans="1:13" ht="20" customHeight="1" x14ac:dyDescent="0.35">
      <c r="A361" s="17">
        <v>257849</v>
      </c>
      <c r="B361" s="18">
        <v>27</v>
      </c>
      <c r="C361" s="23" t="s">
        <v>99</v>
      </c>
      <c r="D361" s="24">
        <v>45284.032638888886</v>
      </c>
      <c r="E361" s="18" t="s">
        <v>96</v>
      </c>
      <c r="F361" s="18" t="s">
        <v>72</v>
      </c>
      <c r="G361" s="18">
        <v>1534</v>
      </c>
      <c r="H361" s="25">
        <f t="shared" si="20"/>
        <v>45284</v>
      </c>
      <c r="I361" s="26">
        <f t="shared" si="21"/>
        <v>3.2638888886140194E-2</v>
      </c>
      <c r="J361" s="18" t="str">
        <f t="shared" si="22"/>
        <v>December</v>
      </c>
      <c r="K361" s="56" t="str">
        <f t="shared" si="23"/>
        <v>Sunday</v>
      </c>
      <c r="L361" s="18" t="str">
        <f>IF(OR(G361&gt;Answers!I376,G361&lt;Answers!I377),"Outlier","Normal")</f>
        <v>Outlier</v>
      </c>
      <c r="M361" s="18">
        <v>66</v>
      </c>
    </row>
    <row r="362" spans="1:13" ht="20" customHeight="1" x14ac:dyDescent="0.35">
      <c r="A362" s="17">
        <v>258070</v>
      </c>
      <c r="B362" s="18">
        <v>295</v>
      </c>
      <c r="C362" s="23" t="s">
        <v>113</v>
      </c>
      <c r="D362" s="24">
        <v>45246.996527777781</v>
      </c>
      <c r="E362" s="18" t="s">
        <v>97</v>
      </c>
      <c r="F362" s="18" t="s">
        <v>28</v>
      </c>
      <c r="G362" s="18">
        <v>3890</v>
      </c>
      <c r="H362" s="25">
        <f t="shared" si="20"/>
        <v>45246</v>
      </c>
      <c r="I362" s="26">
        <f t="shared" si="21"/>
        <v>0.99652777778101154</v>
      </c>
      <c r="J362" s="18" t="str">
        <f t="shared" si="22"/>
        <v>November</v>
      </c>
      <c r="K362" s="56" t="str">
        <f t="shared" si="23"/>
        <v>Thursday</v>
      </c>
      <c r="L362" s="18" t="str">
        <f>IF(OR(G362&gt;Answers!I377,G362&lt;Answers!I378),"Outlier","Normal")</f>
        <v>Outlier</v>
      </c>
      <c r="M362" s="18">
        <v>44</v>
      </c>
    </row>
    <row r="363" spans="1:13" ht="20" customHeight="1" x14ac:dyDescent="0.35">
      <c r="A363" s="17">
        <v>259823</v>
      </c>
      <c r="B363" s="18">
        <v>1557</v>
      </c>
      <c r="C363" s="23" t="s">
        <v>99</v>
      </c>
      <c r="D363" s="24">
        <v>45172.970833333333</v>
      </c>
      <c r="E363" s="18" t="s">
        <v>98</v>
      </c>
      <c r="F363" s="18" t="s">
        <v>4</v>
      </c>
      <c r="G363" s="18">
        <v>5762</v>
      </c>
      <c r="H363" s="25">
        <f t="shared" si="20"/>
        <v>45172</v>
      </c>
      <c r="I363" s="26">
        <f t="shared" si="21"/>
        <v>0.97083333333284827</v>
      </c>
      <c r="J363" s="18" t="str">
        <f t="shared" si="22"/>
        <v>September</v>
      </c>
      <c r="K363" s="56" t="str">
        <f t="shared" si="23"/>
        <v>Sunday</v>
      </c>
      <c r="L363" s="18" t="str">
        <f>IF(OR(G363&gt;Answers!I378,G363&lt;Answers!I379),"Outlier","Normal")</f>
        <v>Outlier</v>
      </c>
      <c r="M363" s="18">
        <v>28</v>
      </c>
    </row>
    <row r="364" spans="1:13" ht="20" customHeight="1" x14ac:dyDescent="0.35">
      <c r="A364" s="17">
        <v>260160</v>
      </c>
      <c r="B364" s="18">
        <v>1525</v>
      </c>
      <c r="C364" s="23" t="s">
        <v>107</v>
      </c>
      <c r="D364" s="24">
        <v>45260.033333333333</v>
      </c>
      <c r="E364" s="18" t="s">
        <v>98</v>
      </c>
      <c r="F364" s="18" t="s">
        <v>23</v>
      </c>
      <c r="G364" s="18">
        <v>586</v>
      </c>
      <c r="H364" s="25">
        <f t="shared" si="20"/>
        <v>45260</v>
      </c>
      <c r="I364" s="26">
        <f t="shared" si="21"/>
        <v>3.3333333332848269E-2</v>
      </c>
      <c r="J364" s="18" t="str">
        <f t="shared" si="22"/>
        <v>November</v>
      </c>
      <c r="K364" s="56" t="str">
        <f t="shared" si="23"/>
        <v>Thursday</v>
      </c>
      <c r="L364" s="18" t="str">
        <f>IF(OR(G364&gt;Answers!I379,G364&lt;Answers!I380),"Outlier","Normal")</f>
        <v>Outlier</v>
      </c>
      <c r="M364" s="18">
        <v>87</v>
      </c>
    </row>
    <row r="365" spans="1:13" ht="20" customHeight="1" x14ac:dyDescent="0.35">
      <c r="A365" s="17">
        <v>260615</v>
      </c>
      <c r="B365" s="18">
        <v>1539</v>
      </c>
      <c r="C365" s="23" t="s">
        <v>99</v>
      </c>
      <c r="D365" s="24">
        <v>45026.979861111111</v>
      </c>
      <c r="E365" s="18" t="s">
        <v>97</v>
      </c>
      <c r="F365" s="18" t="s">
        <v>77</v>
      </c>
      <c r="G365" s="18">
        <v>3646</v>
      </c>
      <c r="H365" s="25">
        <f t="shared" si="20"/>
        <v>45026</v>
      </c>
      <c r="I365" s="26">
        <f t="shared" si="21"/>
        <v>0.97986111111094942</v>
      </c>
      <c r="J365" s="18" t="str">
        <f t="shared" si="22"/>
        <v>April</v>
      </c>
      <c r="K365" s="56" t="str">
        <f t="shared" si="23"/>
        <v>Monday</v>
      </c>
      <c r="L365" s="18" t="str">
        <f>IF(OR(G365&gt;Answers!I380,G365&lt;Answers!I381),"Outlier","Normal")</f>
        <v>Outlier</v>
      </c>
      <c r="M365" s="18">
        <v>73</v>
      </c>
    </row>
    <row r="366" spans="1:13" ht="20" customHeight="1" x14ac:dyDescent="0.35">
      <c r="A366" s="17">
        <v>260991</v>
      </c>
      <c r="B366" s="18">
        <v>1916</v>
      </c>
      <c r="C366" s="23" t="s">
        <v>110</v>
      </c>
      <c r="D366" s="24">
        <v>44979.013194444444</v>
      </c>
      <c r="E366" s="18" t="s">
        <v>98</v>
      </c>
      <c r="F366" s="18" t="s">
        <v>20</v>
      </c>
      <c r="G366" s="18">
        <v>8257</v>
      </c>
      <c r="H366" s="25">
        <f t="shared" si="20"/>
        <v>44979</v>
      </c>
      <c r="I366" s="26">
        <f t="shared" si="21"/>
        <v>1.3194444443797693E-2</v>
      </c>
      <c r="J366" s="18" t="str">
        <f t="shared" si="22"/>
        <v>February</v>
      </c>
      <c r="K366" s="56" t="str">
        <f t="shared" si="23"/>
        <v>Wednesday</v>
      </c>
      <c r="L366" s="18" t="str">
        <f>IF(OR(G366&gt;Answers!I381,G366&lt;Answers!I382),"Outlier","Normal")</f>
        <v>Outlier</v>
      </c>
      <c r="M366" s="18">
        <v>34</v>
      </c>
    </row>
    <row r="367" spans="1:13" ht="20" customHeight="1" x14ac:dyDescent="0.35">
      <c r="A367" s="17">
        <v>261671</v>
      </c>
      <c r="B367" s="18">
        <v>1566</v>
      </c>
      <c r="C367" s="23" t="s">
        <v>99</v>
      </c>
      <c r="D367" s="24">
        <v>45159.980555555558</v>
      </c>
      <c r="E367" s="18" t="s">
        <v>97</v>
      </c>
      <c r="F367" s="18" t="s">
        <v>41</v>
      </c>
      <c r="G367" s="18">
        <v>7957</v>
      </c>
      <c r="H367" s="25">
        <f t="shared" si="20"/>
        <v>45159</v>
      </c>
      <c r="I367" s="26">
        <f t="shared" si="21"/>
        <v>0.9805555555576575</v>
      </c>
      <c r="J367" s="18" t="str">
        <f t="shared" si="22"/>
        <v>August</v>
      </c>
      <c r="K367" s="56" t="str">
        <f t="shared" si="23"/>
        <v>Monday</v>
      </c>
      <c r="L367" s="18" t="str">
        <f>IF(OR(G367&gt;Answers!I382,G367&lt;Answers!I383),"Outlier","Normal")</f>
        <v>Outlier</v>
      </c>
      <c r="M367" s="18">
        <v>64</v>
      </c>
    </row>
    <row r="368" spans="1:13" ht="20" customHeight="1" x14ac:dyDescent="0.35">
      <c r="A368" s="17">
        <v>262192</v>
      </c>
      <c r="B368" s="18">
        <v>418</v>
      </c>
      <c r="C368" s="23" t="s">
        <v>106</v>
      </c>
      <c r="D368" s="24">
        <v>45164.95416666667</v>
      </c>
      <c r="E368" s="18" t="s">
        <v>133</v>
      </c>
      <c r="F368" s="18" t="s">
        <v>23</v>
      </c>
      <c r="G368" s="18">
        <v>6532</v>
      </c>
      <c r="H368" s="25">
        <f t="shared" si="20"/>
        <v>45164</v>
      </c>
      <c r="I368" s="26">
        <f t="shared" si="21"/>
        <v>0.95416666667006211</v>
      </c>
      <c r="J368" s="18" t="str">
        <f t="shared" si="22"/>
        <v>August</v>
      </c>
      <c r="K368" s="56" t="str">
        <f t="shared" si="23"/>
        <v>Saturday</v>
      </c>
      <c r="L368" s="18" t="str">
        <f>IF(OR(G368&gt;Answers!I383,G368&lt;Answers!I384),"Outlier","Normal")</f>
        <v>Outlier</v>
      </c>
      <c r="M368" s="18">
        <v>22</v>
      </c>
    </row>
    <row r="369" spans="1:13" ht="20" customHeight="1" x14ac:dyDescent="0.35">
      <c r="A369" s="17">
        <v>262661</v>
      </c>
      <c r="B369" s="18">
        <v>1604</v>
      </c>
      <c r="C369" s="23" t="s">
        <v>105</v>
      </c>
      <c r="D369" s="24">
        <v>45094.993750000001</v>
      </c>
      <c r="E369" s="18" t="s">
        <v>98</v>
      </c>
      <c r="F369" s="18" t="s">
        <v>27</v>
      </c>
      <c r="G369" s="18">
        <v>2871</v>
      </c>
      <c r="H369" s="25">
        <f t="shared" si="20"/>
        <v>45094</v>
      </c>
      <c r="I369" s="26">
        <f t="shared" si="21"/>
        <v>0.99375000000145519</v>
      </c>
      <c r="J369" s="18" t="str">
        <f t="shared" si="22"/>
        <v>June</v>
      </c>
      <c r="K369" s="56" t="str">
        <f t="shared" si="23"/>
        <v>Saturday</v>
      </c>
      <c r="L369" s="18" t="str">
        <f>IF(OR(G369&gt;Answers!I384,G369&lt;Answers!I385),"Outlier","Normal")</f>
        <v>Outlier</v>
      </c>
      <c r="M369" s="18">
        <v>76</v>
      </c>
    </row>
    <row r="370" spans="1:13" ht="20" customHeight="1" x14ac:dyDescent="0.35">
      <c r="A370" s="17">
        <v>262946</v>
      </c>
      <c r="B370" s="18">
        <v>1835</v>
      </c>
      <c r="C370" s="23" t="s">
        <v>102</v>
      </c>
      <c r="D370" s="24">
        <v>45166.975694444445</v>
      </c>
      <c r="E370" s="18" t="s">
        <v>133</v>
      </c>
      <c r="F370" s="18" t="s">
        <v>31</v>
      </c>
      <c r="G370" s="18">
        <v>934</v>
      </c>
      <c r="H370" s="25">
        <f t="shared" si="20"/>
        <v>45166</v>
      </c>
      <c r="I370" s="26">
        <f t="shared" si="21"/>
        <v>0.97569444444525288</v>
      </c>
      <c r="J370" s="18" t="str">
        <f t="shared" si="22"/>
        <v>August</v>
      </c>
      <c r="K370" s="56" t="str">
        <f t="shared" si="23"/>
        <v>Monday</v>
      </c>
      <c r="L370" s="18" t="str">
        <f>IF(OR(G370&gt;Answers!I385,G370&lt;Answers!I386),"Outlier","Normal")</f>
        <v>Outlier</v>
      </c>
      <c r="M370" s="18">
        <v>43</v>
      </c>
    </row>
    <row r="371" spans="1:13" ht="20" customHeight="1" x14ac:dyDescent="0.35">
      <c r="A371" s="17">
        <v>264917</v>
      </c>
      <c r="B371" s="18">
        <v>1281</v>
      </c>
      <c r="C371" s="23" t="s">
        <v>105</v>
      </c>
      <c r="D371" s="24">
        <v>45130.010416666664</v>
      </c>
      <c r="E371" s="18" t="s">
        <v>98</v>
      </c>
      <c r="F371" s="18" t="s">
        <v>78</v>
      </c>
      <c r="G371" s="18">
        <v>1214</v>
      </c>
      <c r="H371" s="25">
        <f t="shared" si="20"/>
        <v>45130</v>
      </c>
      <c r="I371" s="26">
        <f t="shared" si="21"/>
        <v>1.0416666664241347E-2</v>
      </c>
      <c r="J371" s="18" t="str">
        <f t="shared" si="22"/>
        <v>July</v>
      </c>
      <c r="K371" s="56" t="str">
        <f t="shared" si="23"/>
        <v>Sunday</v>
      </c>
      <c r="L371" s="18" t="str">
        <f>IF(OR(G371&gt;Answers!I386,G371&lt;Answers!I387),"Outlier","Normal")</f>
        <v>Outlier</v>
      </c>
      <c r="M371" s="18">
        <v>61</v>
      </c>
    </row>
    <row r="372" spans="1:13" ht="20" customHeight="1" x14ac:dyDescent="0.35">
      <c r="A372" s="17">
        <v>265772</v>
      </c>
      <c r="B372" s="18">
        <v>396</v>
      </c>
      <c r="C372" s="23" t="s">
        <v>105</v>
      </c>
      <c r="D372" s="24">
        <v>45271.036111111112</v>
      </c>
      <c r="E372" s="18" t="s">
        <v>97</v>
      </c>
      <c r="F372" s="18" t="s">
        <v>77</v>
      </c>
      <c r="G372" s="18">
        <v>553</v>
      </c>
      <c r="H372" s="25">
        <f t="shared" si="20"/>
        <v>45271</v>
      </c>
      <c r="I372" s="26">
        <f t="shared" si="21"/>
        <v>3.6111111112404615E-2</v>
      </c>
      <c r="J372" s="18" t="str">
        <f t="shared" si="22"/>
        <v>December</v>
      </c>
      <c r="K372" s="56" t="str">
        <f t="shared" si="23"/>
        <v>Monday</v>
      </c>
      <c r="L372" s="18" t="str">
        <f>IF(OR(G372&gt;Answers!I387,G372&lt;Answers!I388),"Outlier","Normal")</f>
        <v>Outlier</v>
      </c>
      <c r="M372" s="18">
        <v>53</v>
      </c>
    </row>
    <row r="373" spans="1:13" ht="20" customHeight="1" x14ac:dyDescent="0.35">
      <c r="A373" s="17">
        <v>267881</v>
      </c>
      <c r="B373" s="18">
        <v>1284</v>
      </c>
      <c r="C373" s="23" t="s">
        <v>105</v>
      </c>
      <c r="D373" s="24">
        <v>45222.011805555558</v>
      </c>
      <c r="E373" s="18" t="s">
        <v>133</v>
      </c>
      <c r="F373" s="18" t="s">
        <v>64</v>
      </c>
      <c r="G373" s="18">
        <v>395</v>
      </c>
      <c r="H373" s="25">
        <f t="shared" si="20"/>
        <v>45222</v>
      </c>
      <c r="I373" s="26">
        <f t="shared" si="21"/>
        <v>1.1805555557657499E-2</v>
      </c>
      <c r="J373" s="18" t="str">
        <f t="shared" si="22"/>
        <v>October</v>
      </c>
      <c r="K373" s="56" t="str">
        <f t="shared" si="23"/>
        <v>Monday</v>
      </c>
      <c r="L373" s="18" t="str">
        <f>IF(OR(G373&gt;Answers!I388,G373&lt;Answers!I389),"Outlier","Normal")</f>
        <v>Outlier</v>
      </c>
      <c r="M373" s="18">
        <v>73</v>
      </c>
    </row>
    <row r="374" spans="1:13" ht="20" customHeight="1" x14ac:dyDescent="0.35">
      <c r="A374" s="17">
        <v>268063</v>
      </c>
      <c r="B374" s="18">
        <v>775</v>
      </c>
      <c r="C374" s="23" t="s">
        <v>106</v>
      </c>
      <c r="D374" s="24">
        <v>44956.081944444442</v>
      </c>
      <c r="E374" s="18" t="s">
        <v>133</v>
      </c>
      <c r="F374" s="18" t="s">
        <v>30</v>
      </c>
      <c r="G374" s="18">
        <v>4938</v>
      </c>
      <c r="H374" s="25">
        <f t="shared" si="20"/>
        <v>44956</v>
      </c>
      <c r="I374" s="26">
        <f t="shared" si="21"/>
        <v>8.1944444442342501E-2</v>
      </c>
      <c r="J374" s="18" t="str">
        <f t="shared" si="22"/>
        <v>January</v>
      </c>
      <c r="K374" s="56" t="str">
        <f t="shared" si="23"/>
        <v>Monday</v>
      </c>
      <c r="L374" s="18" t="str">
        <f>IF(OR(G374&gt;Answers!I389,G374&lt;Answers!I390),"Outlier","Normal")</f>
        <v>Outlier</v>
      </c>
      <c r="M374" s="18">
        <v>68</v>
      </c>
    </row>
    <row r="375" spans="1:13" ht="20" customHeight="1" x14ac:dyDescent="0.35">
      <c r="A375" s="17">
        <v>268418</v>
      </c>
      <c r="B375" s="18">
        <v>1123</v>
      </c>
      <c r="C375" s="23" t="s">
        <v>100</v>
      </c>
      <c r="D375" s="24">
        <v>45135.980555555558</v>
      </c>
      <c r="E375" s="18" t="s">
        <v>97</v>
      </c>
      <c r="F375" s="18" t="s">
        <v>53</v>
      </c>
      <c r="G375" s="18">
        <v>8306</v>
      </c>
      <c r="H375" s="25">
        <f t="shared" si="20"/>
        <v>45135</v>
      </c>
      <c r="I375" s="26">
        <f t="shared" si="21"/>
        <v>0.9805555555576575</v>
      </c>
      <c r="J375" s="18" t="str">
        <f t="shared" si="22"/>
        <v>July</v>
      </c>
      <c r="K375" s="56" t="str">
        <f t="shared" si="23"/>
        <v>Friday</v>
      </c>
      <c r="L375" s="18" t="str">
        <f>IF(OR(G375&gt;Answers!I390,G375&lt;Answers!I391),"Outlier","Normal")</f>
        <v>Outlier</v>
      </c>
      <c r="M375" s="18">
        <v>54</v>
      </c>
    </row>
    <row r="376" spans="1:13" ht="20" customHeight="1" x14ac:dyDescent="0.35">
      <c r="A376" s="17">
        <v>268811</v>
      </c>
      <c r="B376" s="18">
        <v>519</v>
      </c>
      <c r="C376" s="23" t="s">
        <v>100</v>
      </c>
      <c r="D376" s="24">
        <v>44963.064583333333</v>
      </c>
      <c r="E376" s="18" t="s">
        <v>96</v>
      </c>
      <c r="F376" s="18" t="s">
        <v>85</v>
      </c>
      <c r="G376" s="18">
        <v>9147</v>
      </c>
      <c r="H376" s="25">
        <f t="shared" si="20"/>
        <v>44963</v>
      </c>
      <c r="I376" s="26">
        <f t="shared" si="21"/>
        <v>6.4583333332848269E-2</v>
      </c>
      <c r="J376" s="18" t="str">
        <f t="shared" si="22"/>
        <v>February</v>
      </c>
      <c r="K376" s="56" t="str">
        <f t="shared" si="23"/>
        <v>Monday</v>
      </c>
      <c r="L376" s="18" t="str">
        <f>IF(OR(G376&gt;Answers!I391,G376&lt;Answers!I392),"Outlier","Normal")</f>
        <v>Outlier</v>
      </c>
      <c r="M376" s="18">
        <v>70</v>
      </c>
    </row>
    <row r="377" spans="1:13" ht="20" customHeight="1" x14ac:dyDescent="0.35">
      <c r="A377" s="17">
        <v>268861</v>
      </c>
      <c r="B377" s="18">
        <v>919</v>
      </c>
      <c r="C377" s="23" t="s">
        <v>108</v>
      </c>
      <c r="D377" s="24">
        <v>45116.041666666664</v>
      </c>
      <c r="E377" s="18" t="s">
        <v>97</v>
      </c>
      <c r="F377" s="18" t="s">
        <v>51</v>
      </c>
      <c r="G377" s="18">
        <v>4370</v>
      </c>
      <c r="H377" s="25">
        <f t="shared" si="20"/>
        <v>45116</v>
      </c>
      <c r="I377" s="26">
        <f t="shared" si="21"/>
        <v>4.1666666664241347E-2</v>
      </c>
      <c r="J377" s="18" t="str">
        <f t="shared" si="22"/>
        <v>July</v>
      </c>
      <c r="K377" s="56" t="str">
        <f t="shared" si="23"/>
        <v>Sunday</v>
      </c>
      <c r="L377" s="18" t="str">
        <f>IF(OR(G377&gt;Answers!I392,G377&lt;Answers!I393),"Outlier","Normal")</f>
        <v>Outlier</v>
      </c>
      <c r="M377" s="18">
        <v>27</v>
      </c>
    </row>
    <row r="378" spans="1:13" ht="20" customHeight="1" x14ac:dyDescent="0.35">
      <c r="A378" s="17">
        <v>271858</v>
      </c>
      <c r="B378" s="18">
        <v>1634</v>
      </c>
      <c r="C378" s="23" t="s">
        <v>105</v>
      </c>
      <c r="D378" s="24">
        <v>45266.001388888886</v>
      </c>
      <c r="E378" s="18" t="s">
        <v>97</v>
      </c>
      <c r="F378" s="18" t="s">
        <v>68</v>
      </c>
      <c r="G378" s="18">
        <v>1755</v>
      </c>
      <c r="H378" s="25">
        <f t="shared" si="20"/>
        <v>45266</v>
      </c>
      <c r="I378" s="26">
        <f t="shared" si="21"/>
        <v>1.3888888861401938E-3</v>
      </c>
      <c r="J378" s="18" t="str">
        <f t="shared" si="22"/>
        <v>December</v>
      </c>
      <c r="K378" s="56" t="str">
        <f t="shared" si="23"/>
        <v>Wednesday</v>
      </c>
      <c r="L378" s="18" t="str">
        <f>IF(OR(G378&gt;Answers!I393,G378&lt;Answers!I394),"Outlier","Normal")</f>
        <v>Outlier</v>
      </c>
      <c r="M378" s="18">
        <v>34</v>
      </c>
    </row>
    <row r="379" spans="1:13" ht="20" customHeight="1" x14ac:dyDescent="0.35">
      <c r="A379" s="17">
        <v>272165</v>
      </c>
      <c r="B379" s="18">
        <v>1133</v>
      </c>
      <c r="C379" s="23" t="s">
        <v>113</v>
      </c>
      <c r="D379" s="24">
        <v>45020.052777777775</v>
      </c>
      <c r="E379" s="18" t="s">
        <v>96</v>
      </c>
      <c r="F379" s="18" t="s">
        <v>86</v>
      </c>
      <c r="G379" s="18">
        <v>6204</v>
      </c>
      <c r="H379" s="25">
        <f t="shared" si="20"/>
        <v>45020</v>
      </c>
      <c r="I379" s="26">
        <f t="shared" si="21"/>
        <v>5.2777777775190771E-2</v>
      </c>
      <c r="J379" s="18" t="str">
        <f t="shared" si="22"/>
        <v>April</v>
      </c>
      <c r="K379" s="56" t="str">
        <f t="shared" si="23"/>
        <v>Tuesday</v>
      </c>
      <c r="L379" s="18" t="str">
        <f>IF(OR(G379&gt;Answers!I394,G379&lt;Answers!I395),"Outlier","Normal")</f>
        <v>Outlier</v>
      </c>
      <c r="M379" s="18">
        <v>59</v>
      </c>
    </row>
    <row r="380" spans="1:13" ht="20" customHeight="1" x14ac:dyDescent="0.35">
      <c r="A380" s="17">
        <v>272174</v>
      </c>
      <c r="B380" s="18">
        <v>105</v>
      </c>
      <c r="C380" s="23" t="s">
        <v>99</v>
      </c>
      <c r="D380" s="24">
        <v>45097.047222222223</v>
      </c>
      <c r="E380" s="18" t="s">
        <v>133</v>
      </c>
      <c r="F380" s="18" t="s">
        <v>43</v>
      </c>
      <c r="G380" s="18">
        <v>5045</v>
      </c>
      <c r="H380" s="25">
        <f t="shared" si="20"/>
        <v>45097</v>
      </c>
      <c r="I380" s="26">
        <f t="shared" si="21"/>
        <v>4.7222222223354038E-2</v>
      </c>
      <c r="J380" s="18" t="str">
        <f t="shared" si="22"/>
        <v>June</v>
      </c>
      <c r="K380" s="56" t="str">
        <f t="shared" si="23"/>
        <v>Tuesday</v>
      </c>
      <c r="L380" s="18" t="str">
        <f>IF(OR(G380&gt;Answers!I395,G380&lt;Answers!I396),"Outlier","Normal")</f>
        <v>Outlier</v>
      </c>
      <c r="M380" s="18">
        <v>80</v>
      </c>
    </row>
    <row r="381" spans="1:13" ht="20" customHeight="1" x14ac:dyDescent="0.35">
      <c r="A381" s="17">
        <v>272255</v>
      </c>
      <c r="B381" s="18">
        <v>187</v>
      </c>
      <c r="C381" s="23" t="s">
        <v>100</v>
      </c>
      <c r="D381" s="24">
        <v>45061.990972222222</v>
      </c>
      <c r="E381" s="18" t="s">
        <v>133</v>
      </c>
      <c r="F381" s="18" t="s">
        <v>27</v>
      </c>
      <c r="G381" s="18">
        <v>1181</v>
      </c>
      <c r="H381" s="25">
        <f t="shared" si="20"/>
        <v>45061</v>
      </c>
      <c r="I381" s="26">
        <f t="shared" si="21"/>
        <v>0.99097222222189885</v>
      </c>
      <c r="J381" s="18" t="str">
        <f t="shared" si="22"/>
        <v>May</v>
      </c>
      <c r="K381" s="56" t="str">
        <f t="shared" si="23"/>
        <v>Monday</v>
      </c>
      <c r="L381" s="18" t="str">
        <f>IF(OR(G381&gt;Answers!I396,G381&lt;Answers!I397),"Outlier","Normal")</f>
        <v>Outlier</v>
      </c>
      <c r="M381" s="18">
        <v>68</v>
      </c>
    </row>
    <row r="382" spans="1:13" ht="20" customHeight="1" x14ac:dyDescent="0.35">
      <c r="A382" s="17">
        <v>273538</v>
      </c>
      <c r="B382" s="18">
        <v>1944</v>
      </c>
      <c r="C382" s="23" t="s">
        <v>105</v>
      </c>
      <c r="D382" s="24">
        <v>44975.988194444442</v>
      </c>
      <c r="E382" s="18" t="s">
        <v>96</v>
      </c>
      <c r="F382" s="18" t="s">
        <v>69</v>
      </c>
      <c r="G382" s="18">
        <v>5193</v>
      </c>
      <c r="H382" s="25">
        <f t="shared" si="20"/>
        <v>44975</v>
      </c>
      <c r="I382" s="26">
        <f t="shared" si="21"/>
        <v>0.9881944444423425</v>
      </c>
      <c r="J382" s="18" t="str">
        <f t="shared" si="22"/>
        <v>February</v>
      </c>
      <c r="K382" s="56" t="str">
        <f t="shared" si="23"/>
        <v>Saturday</v>
      </c>
      <c r="L382" s="18" t="str">
        <f>IF(OR(G382&gt;Answers!I397,G382&lt;Answers!I398),"Outlier","Normal")</f>
        <v>Outlier</v>
      </c>
      <c r="M382" s="18">
        <v>82</v>
      </c>
    </row>
    <row r="383" spans="1:13" ht="20" customHeight="1" x14ac:dyDescent="0.35">
      <c r="A383" s="17">
        <v>273817</v>
      </c>
      <c r="B383" s="18">
        <v>530</v>
      </c>
      <c r="C383" s="23" t="s">
        <v>101</v>
      </c>
      <c r="D383" s="24">
        <v>45051.056250000001</v>
      </c>
      <c r="E383" s="18" t="s">
        <v>98</v>
      </c>
      <c r="F383" s="18" t="s">
        <v>43</v>
      </c>
      <c r="G383" s="18">
        <v>4051</v>
      </c>
      <c r="H383" s="25">
        <f t="shared" si="20"/>
        <v>45051</v>
      </c>
      <c r="I383" s="26">
        <f t="shared" si="21"/>
        <v>5.6250000001455192E-2</v>
      </c>
      <c r="J383" s="18" t="str">
        <f t="shared" si="22"/>
        <v>May</v>
      </c>
      <c r="K383" s="56" t="str">
        <f t="shared" si="23"/>
        <v>Friday</v>
      </c>
      <c r="L383" s="18" t="str">
        <f>IF(OR(G383&gt;Answers!I398,G383&lt;Answers!I399),"Outlier","Normal")</f>
        <v>Outlier</v>
      </c>
      <c r="M383" s="18">
        <v>23</v>
      </c>
    </row>
    <row r="384" spans="1:13" ht="20" customHeight="1" x14ac:dyDescent="0.35">
      <c r="A384" s="17">
        <v>273923</v>
      </c>
      <c r="B384" s="18">
        <v>1911</v>
      </c>
      <c r="C384" s="23" t="s">
        <v>101</v>
      </c>
      <c r="D384" s="24">
        <v>44957.040277777778</v>
      </c>
      <c r="E384" s="18" t="s">
        <v>98</v>
      </c>
      <c r="F384" s="18" t="s">
        <v>22</v>
      </c>
      <c r="G384" s="18">
        <v>4736</v>
      </c>
      <c r="H384" s="25">
        <f t="shared" si="20"/>
        <v>44957</v>
      </c>
      <c r="I384" s="26">
        <f t="shared" si="21"/>
        <v>4.0277777778101154E-2</v>
      </c>
      <c r="J384" s="18" t="str">
        <f t="shared" si="22"/>
        <v>January</v>
      </c>
      <c r="K384" s="56" t="str">
        <f t="shared" si="23"/>
        <v>Tuesday</v>
      </c>
      <c r="L384" s="18" t="str">
        <f>IF(OR(G384&gt;Answers!I399,G384&lt;Answers!I400),"Outlier","Normal")</f>
        <v>Outlier</v>
      </c>
      <c r="M384" s="18">
        <v>78</v>
      </c>
    </row>
    <row r="385" spans="1:13" ht="20" customHeight="1" x14ac:dyDescent="0.35">
      <c r="A385" s="17">
        <v>275855</v>
      </c>
      <c r="B385" s="18">
        <v>869</v>
      </c>
      <c r="C385" s="23" t="s">
        <v>104</v>
      </c>
      <c r="D385" s="24">
        <v>45162.993750000001</v>
      </c>
      <c r="E385" s="18" t="s">
        <v>97</v>
      </c>
      <c r="F385" s="18" t="s">
        <v>4</v>
      </c>
      <c r="G385" s="18">
        <v>7700</v>
      </c>
      <c r="H385" s="25">
        <f t="shared" si="20"/>
        <v>45162</v>
      </c>
      <c r="I385" s="26">
        <f t="shared" si="21"/>
        <v>0.99375000000145519</v>
      </c>
      <c r="J385" s="18" t="str">
        <f t="shared" si="22"/>
        <v>August</v>
      </c>
      <c r="K385" s="56" t="str">
        <f t="shared" si="23"/>
        <v>Thursday</v>
      </c>
      <c r="L385" s="18" t="str">
        <f>IF(OR(G385&gt;Answers!I400,G385&lt;Answers!I401),"Outlier","Normal")</f>
        <v>Outlier</v>
      </c>
      <c r="M385" s="18">
        <v>56</v>
      </c>
    </row>
    <row r="386" spans="1:13" ht="20" customHeight="1" x14ac:dyDescent="0.35">
      <c r="A386" s="17">
        <v>275961</v>
      </c>
      <c r="B386" s="18">
        <v>679</v>
      </c>
      <c r="C386" s="23" t="s">
        <v>106</v>
      </c>
      <c r="D386" s="24">
        <v>45248.998611111114</v>
      </c>
      <c r="E386" s="18" t="s">
        <v>98</v>
      </c>
      <c r="F386" s="18" t="s">
        <v>19</v>
      </c>
      <c r="G386" s="18">
        <v>2936</v>
      </c>
      <c r="H386" s="25">
        <f t="shared" si="20"/>
        <v>45248</v>
      </c>
      <c r="I386" s="26">
        <f t="shared" si="21"/>
        <v>0.99861111111385981</v>
      </c>
      <c r="J386" s="18" t="str">
        <f t="shared" si="22"/>
        <v>November</v>
      </c>
      <c r="K386" s="56" t="str">
        <f t="shared" si="23"/>
        <v>Saturday</v>
      </c>
      <c r="L386" s="18" t="str">
        <f>IF(OR(G386&gt;Answers!I401,G386&lt;Answers!I402),"Outlier","Normal")</f>
        <v>Outlier</v>
      </c>
      <c r="M386" s="18">
        <v>34</v>
      </c>
    </row>
    <row r="387" spans="1:13" ht="20" customHeight="1" x14ac:dyDescent="0.35">
      <c r="A387" s="17">
        <v>276276</v>
      </c>
      <c r="B387" s="18">
        <v>1442</v>
      </c>
      <c r="C387" s="23" t="s">
        <v>99</v>
      </c>
      <c r="D387" s="24">
        <v>45174.061805555553</v>
      </c>
      <c r="E387" s="18" t="s">
        <v>98</v>
      </c>
      <c r="F387" s="18" t="s">
        <v>82</v>
      </c>
      <c r="G387" s="18">
        <v>5165</v>
      </c>
      <c r="H387" s="25">
        <f t="shared" ref="H387:H450" si="24">INT(D387)</f>
        <v>45174</v>
      </c>
      <c r="I387" s="26">
        <f t="shared" ref="I387:I450" si="25">MOD(D387,1)</f>
        <v>6.1805555553291924E-2</v>
      </c>
      <c r="J387" s="18" t="str">
        <f t="shared" ref="J387:J450" si="26">TEXT(D387,"mmmm")</f>
        <v>September</v>
      </c>
      <c r="K387" s="56" t="str">
        <f t="shared" ref="K387:K450" si="27">TEXT(D387,"dddd")</f>
        <v>Tuesday</v>
      </c>
      <c r="L387" s="18" t="str">
        <f>IF(OR(G387&gt;Answers!I402,G387&lt;Answers!I403),"Outlier","Normal")</f>
        <v>Outlier</v>
      </c>
      <c r="M387" s="18">
        <v>82</v>
      </c>
    </row>
    <row r="388" spans="1:13" ht="20" customHeight="1" x14ac:dyDescent="0.35">
      <c r="A388" s="17">
        <v>276403</v>
      </c>
      <c r="B388" s="18">
        <v>1356</v>
      </c>
      <c r="C388" s="23" t="s">
        <v>99</v>
      </c>
      <c r="D388" s="24">
        <v>45183.998611111114</v>
      </c>
      <c r="E388" s="18" t="s">
        <v>98</v>
      </c>
      <c r="F388" s="18" t="s">
        <v>15</v>
      </c>
      <c r="G388" s="18">
        <v>8633</v>
      </c>
      <c r="H388" s="25">
        <f t="shared" si="24"/>
        <v>45183</v>
      </c>
      <c r="I388" s="26">
        <f t="shared" si="25"/>
        <v>0.99861111111385981</v>
      </c>
      <c r="J388" s="18" t="str">
        <f t="shared" si="26"/>
        <v>September</v>
      </c>
      <c r="K388" s="56" t="str">
        <f t="shared" si="27"/>
        <v>Thursday</v>
      </c>
      <c r="L388" s="18" t="str">
        <f>IF(OR(G388&gt;Answers!I403,G388&lt;Answers!I404),"Outlier","Normal")</f>
        <v>Outlier</v>
      </c>
      <c r="M388" s="18">
        <v>26</v>
      </c>
    </row>
    <row r="389" spans="1:13" ht="20" customHeight="1" x14ac:dyDescent="0.35">
      <c r="A389" s="17">
        <v>276698</v>
      </c>
      <c r="B389" s="18">
        <v>43</v>
      </c>
      <c r="C389" s="23" t="s">
        <v>106</v>
      </c>
      <c r="D389" s="24">
        <v>45057.045138888891</v>
      </c>
      <c r="E389" s="18" t="s">
        <v>96</v>
      </c>
      <c r="F389" s="18" t="s">
        <v>66</v>
      </c>
      <c r="G389" s="18">
        <v>9942</v>
      </c>
      <c r="H389" s="25">
        <f t="shared" si="24"/>
        <v>45057</v>
      </c>
      <c r="I389" s="26">
        <f t="shared" si="25"/>
        <v>4.5138888890505768E-2</v>
      </c>
      <c r="J389" s="18" t="str">
        <f t="shared" si="26"/>
        <v>May</v>
      </c>
      <c r="K389" s="56" t="str">
        <f t="shared" si="27"/>
        <v>Thursday</v>
      </c>
      <c r="L389" s="18" t="str">
        <f>IF(OR(G389&gt;Answers!I404,G389&lt;Answers!I405),"Outlier","Normal")</f>
        <v>Outlier</v>
      </c>
      <c r="M389" s="18">
        <v>55</v>
      </c>
    </row>
    <row r="390" spans="1:13" ht="20" customHeight="1" x14ac:dyDescent="0.35">
      <c r="A390" s="17">
        <v>277038</v>
      </c>
      <c r="B390" s="18">
        <v>1677</v>
      </c>
      <c r="C390" s="23" t="s">
        <v>107</v>
      </c>
      <c r="D390" s="24">
        <v>45139.938888888886</v>
      </c>
      <c r="E390" s="18" t="s">
        <v>98</v>
      </c>
      <c r="F390" s="18" t="s">
        <v>78</v>
      </c>
      <c r="G390" s="18">
        <v>2455</v>
      </c>
      <c r="H390" s="25">
        <f t="shared" si="24"/>
        <v>45139</v>
      </c>
      <c r="I390" s="26">
        <f t="shared" si="25"/>
        <v>0.93888888888614019</v>
      </c>
      <c r="J390" s="18" t="str">
        <f t="shared" si="26"/>
        <v>August</v>
      </c>
      <c r="K390" s="56" t="str">
        <f t="shared" si="27"/>
        <v>Tuesday</v>
      </c>
      <c r="L390" s="18" t="str">
        <f>IF(OR(G390&gt;Answers!I405,G390&lt;Answers!I406),"Outlier","Normal")</f>
        <v>Outlier</v>
      </c>
      <c r="M390" s="18">
        <v>51</v>
      </c>
    </row>
    <row r="391" spans="1:13" ht="20" customHeight="1" x14ac:dyDescent="0.35">
      <c r="A391" s="17">
        <v>279106</v>
      </c>
      <c r="B391" s="18">
        <v>104</v>
      </c>
      <c r="C391" s="23" t="s">
        <v>101</v>
      </c>
      <c r="D391" s="24">
        <v>44940.037499999999</v>
      </c>
      <c r="E391" s="18" t="s">
        <v>98</v>
      </c>
      <c r="F391" s="18" t="s">
        <v>27</v>
      </c>
      <c r="G391" s="18">
        <v>4768</v>
      </c>
      <c r="H391" s="25">
        <f t="shared" si="24"/>
        <v>44940</v>
      </c>
      <c r="I391" s="26">
        <f t="shared" si="25"/>
        <v>3.7499999998544808E-2</v>
      </c>
      <c r="J391" s="18" t="str">
        <f t="shared" si="26"/>
        <v>January</v>
      </c>
      <c r="K391" s="56" t="str">
        <f t="shared" si="27"/>
        <v>Saturday</v>
      </c>
      <c r="L391" s="18" t="str">
        <f>IF(OR(G391&gt;Answers!I406,G391&lt;Answers!I407),"Outlier","Normal")</f>
        <v>Outlier</v>
      </c>
      <c r="M391" s="18">
        <v>46</v>
      </c>
    </row>
    <row r="392" spans="1:13" ht="20" customHeight="1" x14ac:dyDescent="0.35">
      <c r="A392" s="17">
        <v>279515</v>
      </c>
      <c r="B392" s="18">
        <v>713</v>
      </c>
      <c r="C392" s="23" t="s">
        <v>102</v>
      </c>
      <c r="D392" s="24">
        <v>45184.958333333336</v>
      </c>
      <c r="E392" s="18" t="s">
        <v>97</v>
      </c>
      <c r="F392" s="18" t="s">
        <v>43</v>
      </c>
      <c r="G392" s="18">
        <v>4633</v>
      </c>
      <c r="H392" s="25">
        <f t="shared" si="24"/>
        <v>45184</v>
      </c>
      <c r="I392" s="26">
        <f t="shared" si="25"/>
        <v>0.95833333333575865</v>
      </c>
      <c r="J392" s="18" t="str">
        <f t="shared" si="26"/>
        <v>September</v>
      </c>
      <c r="K392" s="56" t="str">
        <f t="shared" si="27"/>
        <v>Friday</v>
      </c>
      <c r="L392" s="18" t="str">
        <f>IF(OR(G392&gt;Answers!I407,G392&lt;Answers!I408),"Outlier","Normal")</f>
        <v>Outlier</v>
      </c>
      <c r="M392" s="18">
        <v>89</v>
      </c>
    </row>
    <row r="393" spans="1:13" ht="20" customHeight="1" x14ac:dyDescent="0.35">
      <c r="A393" s="17">
        <v>279963</v>
      </c>
      <c r="B393" s="18">
        <v>1775</v>
      </c>
      <c r="C393" s="23" t="s">
        <v>99</v>
      </c>
      <c r="D393" s="24">
        <v>45226.00277777778</v>
      </c>
      <c r="E393" s="18" t="s">
        <v>97</v>
      </c>
      <c r="F393" s="18" t="s">
        <v>43</v>
      </c>
      <c r="G393" s="18">
        <v>7812</v>
      </c>
      <c r="H393" s="25">
        <f t="shared" si="24"/>
        <v>45226</v>
      </c>
      <c r="I393" s="26">
        <f t="shared" si="25"/>
        <v>2.7777777795563452E-3</v>
      </c>
      <c r="J393" s="18" t="str">
        <f t="shared" si="26"/>
        <v>October</v>
      </c>
      <c r="K393" s="56" t="str">
        <f t="shared" si="27"/>
        <v>Friday</v>
      </c>
      <c r="L393" s="18" t="str">
        <f>IF(OR(G393&gt;Answers!I408,G393&lt;Answers!I409),"Outlier","Normal")</f>
        <v>Outlier</v>
      </c>
      <c r="M393" s="18">
        <v>42</v>
      </c>
    </row>
    <row r="394" spans="1:13" ht="20" customHeight="1" x14ac:dyDescent="0.35">
      <c r="A394" s="17">
        <v>280459</v>
      </c>
      <c r="B394" s="18">
        <v>457</v>
      </c>
      <c r="C394" s="23" t="s">
        <v>108</v>
      </c>
      <c r="D394" s="24">
        <v>45195.987500000003</v>
      </c>
      <c r="E394" s="18" t="s">
        <v>133</v>
      </c>
      <c r="F394" s="18" t="s">
        <v>27</v>
      </c>
      <c r="G394" s="18">
        <v>3197</v>
      </c>
      <c r="H394" s="25">
        <f t="shared" si="24"/>
        <v>45195</v>
      </c>
      <c r="I394" s="26">
        <f t="shared" si="25"/>
        <v>0.98750000000291038</v>
      </c>
      <c r="J394" s="18" t="str">
        <f t="shared" si="26"/>
        <v>September</v>
      </c>
      <c r="K394" s="56" t="str">
        <f t="shared" si="27"/>
        <v>Tuesday</v>
      </c>
      <c r="L394" s="18" t="str">
        <f>IF(OR(G394&gt;Answers!I409,G394&lt;Answers!I410),"Outlier","Normal")</f>
        <v>Outlier</v>
      </c>
      <c r="M394" s="18">
        <v>54</v>
      </c>
    </row>
    <row r="395" spans="1:13" ht="20" customHeight="1" x14ac:dyDescent="0.35">
      <c r="A395" s="17">
        <v>280739</v>
      </c>
      <c r="B395" s="18">
        <v>138</v>
      </c>
      <c r="C395" s="23" t="s">
        <v>99</v>
      </c>
      <c r="D395" s="24">
        <v>45113.984027777777</v>
      </c>
      <c r="E395" s="18" t="s">
        <v>133</v>
      </c>
      <c r="F395" s="18" t="s">
        <v>18</v>
      </c>
      <c r="G395" s="18">
        <v>2453</v>
      </c>
      <c r="H395" s="25">
        <f t="shared" si="24"/>
        <v>45113</v>
      </c>
      <c r="I395" s="26">
        <f t="shared" si="25"/>
        <v>0.98402777777664596</v>
      </c>
      <c r="J395" s="18" t="str">
        <f t="shared" si="26"/>
        <v>July</v>
      </c>
      <c r="K395" s="56" t="str">
        <f t="shared" si="27"/>
        <v>Thursday</v>
      </c>
      <c r="L395" s="18" t="str">
        <f>IF(OR(G395&gt;Answers!I410,G395&lt;Answers!I411),"Outlier","Normal")</f>
        <v>Outlier</v>
      </c>
      <c r="M395" s="18">
        <v>27</v>
      </c>
    </row>
    <row r="396" spans="1:13" ht="20" customHeight="1" x14ac:dyDescent="0.35">
      <c r="A396" s="17">
        <v>281193</v>
      </c>
      <c r="B396" s="18">
        <v>1522</v>
      </c>
      <c r="C396" s="23" t="s">
        <v>99</v>
      </c>
      <c r="D396" s="24">
        <v>45002.009722222225</v>
      </c>
      <c r="E396" s="18" t="s">
        <v>98</v>
      </c>
      <c r="F396" s="18" t="s">
        <v>70</v>
      </c>
      <c r="G396" s="18">
        <v>6173</v>
      </c>
      <c r="H396" s="25">
        <f t="shared" si="24"/>
        <v>45002</v>
      </c>
      <c r="I396" s="26">
        <f t="shared" si="25"/>
        <v>9.7222222248092294E-3</v>
      </c>
      <c r="J396" s="18" t="str">
        <f t="shared" si="26"/>
        <v>March</v>
      </c>
      <c r="K396" s="56" t="str">
        <f t="shared" si="27"/>
        <v>Friday</v>
      </c>
      <c r="L396" s="18" t="str">
        <f>IF(OR(G396&gt;Answers!I411,G396&lt;Answers!I412),"Outlier","Normal")</f>
        <v>Outlier</v>
      </c>
      <c r="M396" s="18">
        <v>81</v>
      </c>
    </row>
    <row r="397" spans="1:13" ht="20" customHeight="1" x14ac:dyDescent="0.35">
      <c r="A397" s="17">
        <v>281454</v>
      </c>
      <c r="B397" s="18">
        <v>1413</v>
      </c>
      <c r="C397" s="23" t="s">
        <v>105</v>
      </c>
      <c r="D397" s="24">
        <v>45186.993750000001</v>
      </c>
      <c r="E397" s="18" t="s">
        <v>96</v>
      </c>
      <c r="F397" s="18" t="s">
        <v>71</v>
      </c>
      <c r="G397" s="18">
        <v>5802</v>
      </c>
      <c r="H397" s="25">
        <f t="shared" si="24"/>
        <v>45186</v>
      </c>
      <c r="I397" s="26">
        <f t="shared" si="25"/>
        <v>0.99375000000145519</v>
      </c>
      <c r="J397" s="18" t="str">
        <f t="shared" si="26"/>
        <v>September</v>
      </c>
      <c r="K397" s="56" t="str">
        <f t="shared" si="27"/>
        <v>Sunday</v>
      </c>
      <c r="L397" s="18" t="str">
        <f>IF(OR(G397&gt;Answers!I412,G397&lt;Answers!I413),"Outlier","Normal")</f>
        <v>Outlier</v>
      </c>
      <c r="M397" s="18">
        <v>26</v>
      </c>
    </row>
    <row r="398" spans="1:13" ht="20" customHeight="1" x14ac:dyDescent="0.35">
      <c r="A398" s="17">
        <v>281813</v>
      </c>
      <c r="B398" s="18">
        <v>331</v>
      </c>
      <c r="C398" s="23" t="s">
        <v>106</v>
      </c>
      <c r="D398" s="24">
        <v>45098.081944444442</v>
      </c>
      <c r="E398" s="18" t="s">
        <v>97</v>
      </c>
      <c r="F398" s="18" t="s">
        <v>43</v>
      </c>
      <c r="G398" s="18">
        <v>5117</v>
      </c>
      <c r="H398" s="25">
        <f t="shared" si="24"/>
        <v>45098</v>
      </c>
      <c r="I398" s="26">
        <f t="shared" si="25"/>
        <v>8.1944444442342501E-2</v>
      </c>
      <c r="J398" s="18" t="str">
        <f t="shared" si="26"/>
        <v>June</v>
      </c>
      <c r="K398" s="56" t="str">
        <f t="shared" si="27"/>
        <v>Wednesday</v>
      </c>
      <c r="L398" s="18" t="str">
        <f>IF(OR(G398&gt;Answers!I413,G398&lt;Answers!I414),"Outlier","Normal")</f>
        <v>Outlier</v>
      </c>
      <c r="M398" s="18">
        <v>24</v>
      </c>
    </row>
    <row r="399" spans="1:13" ht="20" customHeight="1" x14ac:dyDescent="0.35">
      <c r="A399" s="17">
        <v>283066</v>
      </c>
      <c r="B399" s="18">
        <v>956</v>
      </c>
      <c r="C399" s="23" t="s">
        <v>100</v>
      </c>
      <c r="D399" s="24">
        <v>44963.078472222223</v>
      </c>
      <c r="E399" s="18" t="s">
        <v>97</v>
      </c>
      <c r="F399" s="18" t="s">
        <v>45</v>
      </c>
      <c r="G399" s="18">
        <v>5819</v>
      </c>
      <c r="H399" s="25">
        <f t="shared" si="24"/>
        <v>44963</v>
      </c>
      <c r="I399" s="26">
        <f t="shared" si="25"/>
        <v>7.8472222223354038E-2</v>
      </c>
      <c r="J399" s="18" t="str">
        <f t="shared" si="26"/>
        <v>February</v>
      </c>
      <c r="K399" s="56" t="str">
        <f t="shared" si="27"/>
        <v>Monday</v>
      </c>
      <c r="L399" s="18" t="str">
        <f>IF(OR(G399&gt;Answers!I414,G399&lt;Answers!I415),"Outlier","Normal")</f>
        <v>Outlier</v>
      </c>
      <c r="M399" s="18">
        <v>27</v>
      </c>
    </row>
    <row r="400" spans="1:13" ht="20" customHeight="1" x14ac:dyDescent="0.35">
      <c r="A400" s="17">
        <v>283068</v>
      </c>
      <c r="B400" s="18">
        <v>1967</v>
      </c>
      <c r="C400" s="23" t="s">
        <v>105</v>
      </c>
      <c r="D400" s="24">
        <v>45259.008333333331</v>
      </c>
      <c r="E400" s="18" t="s">
        <v>96</v>
      </c>
      <c r="F400" s="18" t="s">
        <v>58</v>
      </c>
      <c r="G400" s="18">
        <v>3805</v>
      </c>
      <c r="H400" s="25">
        <f t="shared" si="24"/>
        <v>45259</v>
      </c>
      <c r="I400" s="26">
        <f t="shared" si="25"/>
        <v>8.333333331393078E-3</v>
      </c>
      <c r="J400" s="18" t="str">
        <f t="shared" si="26"/>
        <v>November</v>
      </c>
      <c r="K400" s="56" t="str">
        <f t="shared" si="27"/>
        <v>Wednesday</v>
      </c>
      <c r="L400" s="18" t="str">
        <f>IF(OR(G400&gt;Answers!I415,G400&lt;Answers!I416),"Outlier","Normal")</f>
        <v>Outlier</v>
      </c>
      <c r="M400" s="18">
        <v>89</v>
      </c>
    </row>
    <row r="401" spans="1:13" ht="20" customHeight="1" x14ac:dyDescent="0.35">
      <c r="A401" s="17">
        <v>283610</v>
      </c>
      <c r="B401" s="18">
        <v>1401</v>
      </c>
      <c r="C401" s="23" t="s">
        <v>102</v>
      </c>
      <c r="D401" s="24">
        <v>44956.994444444441</v>
      </c>
      <c r="E401" s="18" t="s">
        <v>133</v>
      </c>
      <c r="F401" s="18" t="s">
        <v>67</v>
      </c>
      <c r="G401" s="18">
        <v>3862</v>
      </c>
      <c r="H401" s="25">
        <f t="shared" si="24"/>
        <v>44956</v>
      </c>
      <c r="I401" s="26">
        <f t="shared" si="25"/>
        <v>0.99444444444088731</v>
      </c>
      <c r="J401" s="18" t="str">
        <f t="shared" si="26"/>
        <v>January</v>
      </c>
      <c r="K401" s="56" t="str">
        <f t="shared" si="27"/>
        <v>Monday</v>
      </c>
      <c r="L401" s="18" t="str">
        <f>IF(OR(G401&gt;Answers!I416,G401&lt;Answers!I417),"Outlier","Normal")</f>
        <v>Outlier</v>
      </c>
      <c r="M401" s="18">
        <v>53</v>
      </c>
    </row>
    <row r="402" spans="1:13" ht="20" customHeight="1" x14ac:dyDescent="0.35">
      <c r="A402" s="17">
        <v>284363</v>
      </c>
      <c r="B402" s="18">
        <v>100</v>
      </c>
      <c r="C402" s="23" t="s">
        <v>111</v>
      </c>
      <c r="D402" s="24">
        <v>45006.977777777778</v>
      </c>
      <c r="E402" s="18" t="s">
        <v>98</v>
      </c>
      <c r="F402" s="18" t="s">
        <v>11</v>
      </c>
      <c r="G402" s="18">
        <v>3844</v>
      </c>
      <c r="H402" s="25">
        <f t="shared" si="24"/>
        <v>45006</v>
      </c>
      <c r="I402" s="26">
        <f t="shared" si="25"/>
        <v>0.97777777777810115</v>
      </c>
      <c r="J402" s="18" t="str">
        <f t="shared" si="26"/>
        <v>March</v>
      </c>
      <c r="K402" s="56" t="str">
        <f t="shared" si="27"/>
        <v>Tuesday</v>
      </c>
      <c r="L402" s="18" t="str">
        <f>IF(OR(G402&gt;Answers!I417,G402&lt;Answers!I418),"Outlier","Normal")</f>
        <v>Outlier</v>
      </c>
      <c r="M402" s="18">
        <v>85</v>
      </c>
    </row>
    <row r="403" spans="1:13" ht="20" customHeight="1" x14ac:dyDescent="0.35">
      <c r="A403" s="17">
        <v>284974</v>
      </c>
      <c r="B403" s="18">
        <v>1218</v>
      </c>
      <c r="C403" s="23" t="s">
        <v>99</v>
      </c>
      <c r="D403" s="24">
        <v>45180.066666666666</v>
      </c>
      <c r="E403" s="18" t="s">
        <v>98</v>
      </c>
      <c r="F403" s="18" t="s">
        <v>44</v>
      </c>
      <c r="G403" s="18">
        <v>5755</v>
      </c>
      <c r="H403" s="25">
        <f t="shared" si="24"/>
        <v>45180</v>
      </c>
      <c r="I403" s="26">
        <f t="shared" si="25"/>
        <v>6.6666666665696539E-2</v>
      </c>
      <c r="J403" s="18" t="str">
        <f t="shared" si="26"/>
        <v>September</v>
      </c>
      <c r="K403" s="56" t="str">
        <f t="shared" si="27"/>
        <v>Monday</v>
      </c>
      <c r="L403" s="18" t="str">
        <f>IF(OR(G403&gt;Answers!I418,G403&lt;Answers!I419),"Outlier","Normal")</f>
        <v>Outlier</v>
      </c>
      <c r="M403" s="18">
        <v>68</v>
      </c>
    </row>
    <row r="404" spans="1:13" ht="20" customHeight="1" x14ac:dyDescent="0.35">
      <c r="A404" s="17">
        <v>286598</v>
      </c>
      <c r="B404" s="18">
        <v>1903</v>
      </c>
      <c r="C404" s="23" t="s">
        <v>101</v>
      </c>
      <c r="D404" s="24">
        <v>44997.037499999999</v>
      </c>
      <c r="E404" s="18" t="s">
        <v>133</v>
      </c>
      <c r="F404" s="18" t="s">
        <v>27</v>
      </c>
      <c r="G404" s="18">
        <v>8252</v>
      </c>
      <c r="H404" s="25">
        <f t="shared" si="24"/>
        <v>44997</v>
      </c>
      <c r="I404" s="26">
        <f t="shared" si="25"/>
        <v>3.7499999998544808E-2</v>
      </c>
      <c r="J404" s="18" t="str">
        <f t="shared" si="26"/>
        <v>March</v>
      </c>
      <c r="K404" s="56" t="str">
        <f t="shared" si="27"/>
        <v>Sunday</v>
      </c>
      <c r="L404" s="18" t="str">
        <f>IF(OR(G404&gt;Answers!I419,G404&lt;Answers!I420),"Outlier","Normal")</f>
        <v>Outlier</v>
      </c>
      <c r="M404" s="18">
        <v>71</v>
      </c>
    </row>
    <row r="405" spans="1:13" ht="20" customHeight="1" x14ac:dyDescent="0.35">
      <c r="A405" s="17">
        <v>287761</v>
      </c>
      <c r="B405" s="18">
        <v>91</v>
      </c>
      <c r="C405" s="23" t="s">
        <v>105</v>
      </c>
      <c r="D405" s="24">
        <v>45053.054861111108</v>
      </c>
      <c r="E405" s="18" t="s">
        <v>97</v>
      </c>
      <c r="F405" s="18" t="s">
        <v>27</v>
      </c>
      <c r="G405" s="18">
        <v>3891</v>
      </c>
      <c r="H405" s="25">
        <f t="shared" si="24"/>
        <v>45053</v>
      </c>
      <c r="I405" s="26">
        <f t="shared" si="25"/>
        <v>5.486111110803904E-2</v>
      </c>
      <c r="J405" s="18" t="str">
        <f t="shared" si="26"/>
        <v>May</v>
      </c>
      <c r="K405" s="56" t="str">
        <f t="shared" si="27"/>
        <v>Sunday</v>
      </c>
      <c r="L405" s="18" t="str">
        <f>IF(OR(G405&gt;Answers!I420,G405&lt;Answers!I421),"Outlier","Normal")</f>
        <v>Outlier</v>
      </c>
      <c r="M405" s="18">
        <v>61</v>
      </c>
    </row>
    <row r="406" spans="1:13" ht="20" customHeight="1" x14ac:dyDescent="0.35">
      <c r="A406" s="17">
        <v>288186</v>
      </c>
      <c r="B406" s="18">
        <v>415</v>
      </c>
      <c r="C406" s="23" t="s">
        <v>113</v>
      </c>
      <c r="D406" s="24">
        <v>45076.997916666667</v>
      </c>
      <c r="E406" s="18" t="s">
        <v>133</v>
      </c>
      <c r="F406" s="18" t="s">
        <v>73</v>
      </c>
      <c r="G406" s="18">
        <v>4166</v>
      </c>
      <c r="H406" s="25">
        <f t="shared" si="24"/>
        <v>45076</v>
      </c>
      <c r="I406" s="26">
        <f t="shared" si="25"/>
        <v>0.99791666666715173</v>
      </c>
      <c r="J406" s="18" t="str">
        <f t="shared" si="26"/>
        <v>May</v>
      </c>
      <c r="K406" s="56" t="str">
        <f t="shared" si="27"/>
        <v>Tuesday</v>
      </c>
      <c r="L406" s="18" t="str">
        <f>IF(OR(G406&gt;Answers!I421,G406&lt;Answers!I422),"Outlier","Normal")</f>
        <v>Outlier</v>
      </c>
      <c r="M406" s="18">
        <v>60</v>
      </c>
    </row>
    <row r="407" spans="1:13" ht="20" customHeight="1" x14ac:dyDescent="0.35">
      <c r="A407" s="17">
        <v>288332</v>
      </c>
      <c r="B407" s="18">
        <v>1069</v>
      </c>
      <c r="C407" s="23" t="s">
        <v>101</v>
      </c>
      <c r="D407" s="24">
        <v>44942.015972222223</v>
      </c>
      <c r="E407" s="18" t="s">
        <v>98</v>
      </c>
      <c r="F407" s="18" t="s">
        <v>64</v>
      </c>
      <c r="G407" s="18">
        <v>610</v>
      </c>
      <c r="H407" s="25">
        <f t="shared" si="24"/>
        <v>44942</v>
      </c>
      <c r="I407" s="26">
        <f t="shared" si="25"/>
        <v>1.5972222223354038E-2</v>
      </c>
      <c r="J407" s="18" t="str">
        <f t="shared" si="26"/>
        <v>January</v>
      </c>
      <c r="K407" s="56" t="str">
        <f t="shared" si="27"/>
        <v>Monday</v>
      </c>
      <c r="L407" s="18" t="str">
        <f>IF(OR(G407&gt;Answers!I422,G407&lt;Answers!I423),"Outlier","Normal")</f>
        <v>Outlier</v>
      </c>
      <c r="M407" s="18">
        <v>80</v>
      </c>
    </row>
    <row r="408" spans="1:13" ht="20" customHeight="1" x14ac:dyDescent="0.35">
      <c r="A408" s="17">
        <v>288335</v>
      </c>
      <c r="B408" s="18">
        <v>1703</v>
      </c>
      <c r="C408" s="23" t="s">
        <v>100</v>
      </c>
      <c r="D408" s="24">
        <v>45122.031944444447</v>
      </c>
      <c r="E408" s="18" t="s">
        <v>96</v>
      </c>
      <c r="F408" s="18" t="s">
        <v>26</v>
      </c>
      <c r="G408" s="18">
        <v>362</v>
      </c>
      <c r="H408" s="25">
        <f t="shared" si="24"/>
        <v>45122</v>
      </c>
      <c r="I408" s="26">
        <f t="shared" si="25"/>
        <v>3.1944444446708076E-2</v>
      </c>
      <c r="J408" s="18" t="str">
        <f t="shared" si="26"/>
        <v>July</v>
      </c>
      <c r="K408" s="56" t="str">
        <f t="shared" si="27"/>
        <v>Saturday</v>
      </c>
      <c r="L408" s="18" t="str">
        <f>IF(OR(G408&gt;Answers!I423,G408&lt;Answers!I424),"Outlier","Normal")</f>
        <v>Outlier</v>
      </c>
      <c r="M408" s="18">
        <v>85</v>
      </c>
    </row>
    <row r="409" spans="1:13" ht="20" customHeight="1" x14ac:dyDescent="0.35">
      <c r="A409" s="17">
        <v>289882</v>
      </c>
      <c r="B409" s="18">
        <v>1177</v>
      </c>
      <c r="C409" s="23" t="s">
        <v>108</v>
      </c>
      <c r="D409" s="24">
        <v>45234.044444444444</v>
      </c>
      <c r="E409" s="18" t="s">
        <v>133</v>
      </c>
      <c r="F409" s="18" t="s">
        <v>74</v>
      </c>
      <c r="G409" s="18">
        <v>4569</v>
      </c>
      <c r="H409" s="25">
        <f t="shared" si="24"/>
        <v>45234</v>
      </c>
      <c r="I409" s="26">
        <f t="shared" si="25"/>
        <v>4.4444444443797693E-2</v>
      </c>
      <c r="J409" s="18" t="str">
        <f t="shared" si="26"/>
        <v>November</v>
      </c>
      <c r="K409" s="56" t="str">
        <f t="shared" si="27"/>
        <v>Saturday</v>
      </c>
      <c r="L409" s="18" t="str">
        <f>IF(OR(G409&gt;Answers!I424,G409&lt;Answers!I425),"Outlier","Normal")</f>
        <v>Outlier</v>
      </c>
      <c r="M409" s="18">
        <v>90</v>
      </c>
    </row>
    <row r="410" spans="1:13" ht="20" customHeight="1" x14ac:dyDescent="0.35">
      <c r="A410" s="17">
        <v>289906</v>
      </c>
      <c r="B410" s="18">
        <v>1349</v>
      </c>
      <c r="C410" s="23" t="s">
        <v>101</v>
      </c>
      <c r="D410" s="24">
        <v>45031.995833333334</v>
      </c>
      <c r="E410" s="18" t="s">
        <v>96</v>
      </c>
      <c r="F410" s="18" t="s">
        <v>30</v>
      </c>
      <c r="G410" s="18">
        <v>2771</v>
      </c>
      <c r="H410" s="25">
        <f t="shared" si="24"/>
        <v>45031</v>
      </c>
      <c r="I410" s="26">
        <f t="shared" si="25"/>
        <v>0.99583333333430346</v>
      </c>
      <c r="J410" s="18" t="str">
        <f t="shared" si="26"/>
        <v>April</v>
      </c>
      <c r="K410" s="56" t="str">
        <f t="shared" si="27"/>
        <v>Saturday</v>
      </c>
      <c r="L410" s="18" t="str">
        <f>IF(OR(G410&gt;Answers!I425,G410&lt;Answers!I426),"Outlier","Normal")</f>
        <v>Outlier</v>
      </c>
      <c r="M410" s="18">
        <v>66</v>
      </c>
    </row>
    <row r="411" spans="1:13" ht="20" customHeight="1" x14ac:dyDescent="0.35">
      <c r="A411" s="17">
        <v>290270</v>
      </c>
      <c r="B411" s="18">
        <v>1955</v>
      </c>
      <c r="C411" s="23" t="s">
        <v>105</v>
      </c>
      <c r="D411" s="24">
        <v>44960.07916666667</v>
      </c>
      <c r="E411" s="18" t="s">
        <v>97</v>
      </c>
      <c r="F411" s="18" t="s">
        <v>73</v>
      </c>
      <c r="G411" s="18">
        <v>2355</v>
      </c>
      <c r="H411" s="25">
        <f t="shared" si="24"/>
        <v>44960</v>
      </c>
      <c r="I411" s="26">
        <f t="shared" si="25"/>
        <v>7.9166666670062114E-2</v>
      </c>
      <c r="J411" s="18" t="str">
        <f t="shared" si="26"/>
        <v>February</v>
      </c>
      <c r="K411" s="56" t="str">
        <f t="shared" si="27"/>
        <v>Friday</v>
      </c>
      <c r="L411" s="18" t="str">
        <f>IF(OR(G411&gt;Answers!I426,G411&lt;Answers!I427),"Outlier","Normal")</f>
        <v>Outlier</v>
      </c>
      <c r="M411" s="18">
        <v>68</v>
      </c>
    </row>
    <row r="412" spans="1:13" ht="20" customHeight="1" x14ac:dyDescent="0.35">
      <c r="A412" s="17">
        <v>292907</v>
      </c>
      <c r="B412" s="18">
        <v>1829</v>
      </c>
      <c r="C412" s="23" t="s">
        <v>101</v>
      </c>
      <c r="D412" s="24">
        <v>45038.003472222219</v>
      </c>
      <c r="E412" s="18" t="s">
        <v>98</v>
      </c>
      <c r="F412" s="18" t="s">
        <v>76</v>
      </c>
      <c r="G412" s="18">
        <v>4040</v>
      </c>
      <c r="H412" s="25">
        <f t="shared" si="24"/>
        <v>45038</v>
      </c>
      <c r="I412" s="26">
        <f t="shared" si="25"/>
        <v>3.4722222189884633E-3</v>
      </c>
      <c r="J412" s="18" t="str">
        <f t="shared" si="26"/>
        <v>April</v>
      </c>
      <c r="K412" s="56" t="str">
        <f t="shared" si="27"/>
        <v>Saturday</v>
      </c>
      <c r="L412" s="18" t="str">
        <f>IF(OR(G412&gt;Answers!I427,G412&lt;Answers!I428),"Outlier","Normal")</f>
        <v>Outlier</v>
      </c>
      <c r="M412" s="18">
        <v>82</v>
      </c>
    </row>
    <row r="413" spans="1:13" ht="20" customHeight="1" x14ac:dyDescent="0.35">
      <c r="A413" s="17">
        <v>294015</v>
      </c>
      <c r="B413" s="18">
        <v>669</v>
      </c>
      <c r="C413" s="23" t="s">
        <v>99</v>
      </c>
      <c r="D413" s="24">
        <v>45172.977083333331</v>
      </c>
      <c r="E413" s="18" t="s">
        <v>97</v>
      </c>
      <c r="F413" s="18" t="s">
        <v>72</v>
      </c>
      <c r="G413" s="18">
        <v>9046</v>
      </c>
      <c r="H413" s="25">
        <f t="shared" si="24"/>
        <v>45172</v>
      </c>
      <c r="I413" s="26">
        <f t="shared" si="25"/>
        <v>0.97708333333139308</v>
      </c>
      <c r="J413" s="18" t="str">
        <f t="shared" si="26"/>
        <v>September</v>
      </c>
      <c r="K413" s="56" t="str">
        <f t="shared" si="27"/>
        <v>Sunday</v>
      </c>
      <c r="L413" s="18" t="str">
        <f>IF(OR(G413&gt;Answers!I428,G413&lt;Answers!I429),"Outlier","Normal")</f>
        <v>Outlier</v>
      </c>
      <c r="M413" s="18">
        <v>33</v>
      </c>
    </row>
    <row r="414" spans="1:13" ht="20" customHeight="1" x14ac:dyDescent="0.35">
      <c r="A414" s="17">
        <v>295823</v>
      </c>
      <c r="B414" s="18">
        <v>1085</v>
      </c>
      <c r="C414" s="23" t="s">
        <v>105</v>
      </c>
      <c r="D414" s="24">
        <v>44944.007638888892</v>
      </c>
      <c r="E414" s="18" t="s">
        <v>96</v>
      </c>
      <c r="F414" s="18" t="s">
        <v>25</v>
      </c>
      <c r="G414" s="18">
        <v>2562</v>
      </c>
      <c r="H414" s="25">
        <f t="shared" si="24"/>
        <v>44944</v>
      </c>
      <c r="I414" s="26">
        <f t="shared" si="25"/>
        <v>7.6388888919609599E-3</v>
      </c>
      <c r="J414" s="18" t="str">
        <f t="shared" si="26"/>
        <v>January</v>
      </c>
      <c r="K414" s="56" t="str">
        <f t="shared" si="27"/>
        <v>Wednesday</v>
      </c>
      <c r="L414" s="18" t="str">
        <f>IF(OR(G414&gt;Answers!I429,G414&lt;Answers!I430),"Outlier","Normal")</f>
        <v>Outlier</v>
      </c>
      <c r="M414" s="18">
        <v>78</v>
      </c>
    </row>
    <row r="415" spans="1:13" ht="20" customHeight="1" x14ac:dyDescent="0.35">
      <c r="A415" s="17">
        <v>296042</v>
      </c>
      <c r="B415" s="18">
        <v>722</v>
      </c>
      <c r="C415" s="23" t="s">
        <v>99</v>
      </c>
      <c r="D415" s="24">
        <v>45167.033333333333</v>
      </c>
      <c r="E415" s="18" t="s">
        <v>133</v>
      </c>
      <c r="F415" s="18" t="s">
        <v>4</v>
      </c>
      <c r="G415" s="18">
        <v>3962</v>
      </c>
      <c r="H415" s="25">
        <f t="shared" si="24"/>
        <v>45167</v>
      </c>
      <c r="I415" s="26">
        <f t="shared" si="25"/>
        <v>3.3333333332848269E-2</v>
      </c>
      <c r="J415" s="18" t="str">
        <f t="shared" si="26"/>
        <v>August</v>
      </c>
      <c r="K415" s="56" t="str">
        <f t="shared" si="27"/>
        <v>Tuesday</v>
      </c>
      <c r="L415" s="18" t="str">
        <f>IF(OR(G415&gt;Answers!I430,G415&lt;Answers!I431),"Outlier","Normal")</f>
        <v>Outlier</v>
      </c>
      <c r="M415" s="18">
        <v>27</v>
      </c>
    </row>
    <row r="416" spans="1:13" ht="20" customHeight="1" x14ac:dyDescent="0.35">
      <c r="A416" s="17">
        <v>296324</v>
      </c>
      <c r="B416" s="18">
        <v>167</v>
      </c>
      <c r="C416" s="23" t="s">
        <v>101</v>
      </c>
      <c r="D416" s="24">
        <v>45059.964583333334</v>
      </c>
      <c r="E416" s="18" t="s">
        <v>133</v>
      </c>
      <c r="F416" s="18" t="s">
        <v>23</v>
      </c>
      <c r="G416" s="18">
        <v>5732</v>
      </c>
      <c r="H416" s="25">
        <f t="shared" si="24"/>
        <v>45059</v>
      </c>
      <c r="I416" s="26">
        <f t="shared" si="25"/>
        <v>0.96458333333430346</v>
      </c>
      <c r="J416" s="18" t="str">
        <f t="shared" si="26"/>
        <v>May</v>
      </c>
      <c r="K416" s="56" t="str">
        <f t="shared" si="27"/>
        <v>Saturday</v>
      </c>
      <c r="L416" s="18" t="str">
        <f>IF(OR(G416&gt;Answers!I431,G416&lt;Answers!I432),"Outlier","Normal")</f>
        <v>Outlier</v>
      </c>
      <c r="M416" s="18">
        <v>27</v>
      </c>
    </row>
    <row r="417" spans="1:13" ht="20" customHeight="1" x14ac:dyDescent="0.35">
      <c r="A417" s="17">
        <v>298715</v>
      </c>
      <c r="B417" s="18">
        <v>1706</v>
      </c>
      <c r="C417" s="23" t="s">
        <v>99</v>
      </c>
      <c r="D417" s="24">
        <v>45017.994444444441</v>
      </c>
      <c r="E417" s="18" t="s">
        <v>98</v>
      </c>
      <c r="F417" s="18" t="s">
        <v>77</v>
      </c>
      <c r="G417" s="18">
        <v>5256</v>
      </c>
      <c r="H417" s="25">
        <f t="shared" si="24"/>
        <v>45017</v>
      </c>
      <c r="I417" s="26">
        <f t="shared" si="25"/>
        <v>0.99444444444088731</v>
      </c>
      <c r="J417" s="18" t="str">
        <f t="shared" si="26"/>
        <v>April</v>
      </c>
      <c r="K417" s="56" t="str">
        <f t="shared" si="27"/>
        <v>Saturday</v>
      </c>
      <c r="L417" s="18" t="str">
        <f>IF(OR(G417&gt;Answers!I432,G417&lt;Answers!I433),"Outlier","Normal")</f>
        <v>Outlier</v>
      </c>
      <c r="M417" s="18">
        <v>47</v>
      </c>
    </row>
    <row r="418" spans="1:13" ht="20" customHeight="1" x14ac:dyDescent="0.35">
      <c r="A418" s="17">
        <v>299065</v>
      </c>
      <c r="B418" s="18">
        <v>177</v>
      </c>
      <c r="C418" s="23" t="s">
        <v>113</v>
      </c>
      <c r="D418" s="24">
        <v>45027.949305555558</v>
      </c>
      <c r="E418" s="18" t="s">
        <v>96</v>
      </c>
      <c r="F418" s="18" t="s">
        <v>20</v>
      </c>
      <c r="G418" s="18">
        <v>7292</v>
      </c>
      <c r="H418" s="25">
        <f t="shared" si="24"/>
        <v>45027</v>
      </c>
      <c r="I418" s="26">
        <f t="shared" si="25"/>
        <v>0.9493055555576575</v>
      </c>
      <c r="J418" s="18" t="str">
        <f t="shared" si="26"/>
        <v>April</v>
      </c>
      <c r="K418" s="56" t="str">
        <f t="shared" si="27"/>
        <v>Tuesday</v>
      </c>
      <c r="L418" s="18" t="str">
        <f>IF(OR(G418&gt;Answers!I433,G418&lt;Answers!I434),"Outlier","Normal")</f>
        <v>Outlier</v>
      </c>
      <c r="M418" s="18">
        <v>75</v>
      </c>
    </row>
    <row r="419" spans="1:13" ht="20" customHeight="1" x14ac:dyDescent="0.35">
      <c r="A419" s="17">
        <v>299700</v>
      </c>
      <c r="B419" s="18">
        <v>533</v>
      </c>
      <c r="C419" s="23" t="s">
        <v>99</v>
      </c>
      <c r="D419" s="24">
        <v>45208.063888888886</v>
      </c>
      <c r="E419" s="18" t="s">
        <v>133</v>
      </c>
      <c r="F419" s="18" t="s">
        <v>41</v>
      </c>
      <c r="G419" s="18">
        <v>7166</v>
      </c>
      <c r="H419" s="25">
        <f t="shared" si="24"/>
        <v>45208</v>
      </c>
      <c r="I419" s="26">
        <f t="shared" si="25"/>
        <v>6.3888888886140194E-2</v>
      </c>
      <c r="J419" s="18" t="str">
        <f t="shared" si="26"/>
        <v>October</v>
      </c>
      <c r="K419" s="56" t="str">
        <f t="shared" si="27"/>
        <v>Monday</v>
      </c>
      <c r="L419" s="18" t="str">
        <f>IF(OR(G419&gt;Answers!I434,G419&lt;Answers!I435),"Outlier","Normal")</f>
        <v>Outlier</v>
      </c>
      <c r="M419" s="18">
        <v>55</v>
      </c>
    </row>
    <row r="420" spans="1:13" ht="20" customHeight="1" x14ac:dyDescent="0.35">
      <c r="A420" s="17">
        <v>300907</v>
      </c>
      <c r="B420" s="18">
        <v>383</v>
      </c>
      <c r="C420" s="23" t="s">
        <v>100</v>
      </c>
      <c r="D420" s="24">
        <v>45242.958333333336</v>
      </c>
      <c r="E420" s="18" t="s">
        <v>133</v>
      </c>
      <c r="F420" s="18" t="s">
        <v>87</v>
      </c>
      <c r="G420" s="18">
        <v>346</v>
      </c>
      <c r="H420" s="25">
        <f t="shared" si="24"/>
        <v>45242</v>
      </c>
      <c r="I420" s="26">
        <f t="shared" si="25"/>
        <v>0.95833333333575865</v>
      </c>
      <c r="J420" s="18" t="str">
        <f t="shared" si="26"/>
        <v>November</v>
      </c>
      <c r="K420" s="56" t="str">
        <f t="shared" si="27"/>
        <v>Sunday</v>
      </c>
      <c r="L420" s="18" t="str">
        <f>IF(OR(G420&gt;Answers!I435,G420&lt;Answers!I436),"Outlier","Normal")</f>
        <v>Outlier</v>
      </c>
      <c r="M420" s="18">
        <v>57</v>
      </c>
    </row>
    <row r="421" spans="1:13" ht="20" customHeight="1" x14ac:dyDescent="0.35">
      <c r="A421" s="17">
        <v>302110</v>
      </c>
      <c r="B421" s="18">
        <v>1357</v>
      </c>
      <c r="C421" s="23" t="s">
        <v>111</v>
      </c>
      <c r="D421" s="24">
        <v>45214.05972222222</v>
      </c>
      <c r="E421" s="18" t="s">
        <v>97</v>
      </c>
      <c r="F421" s="18" t="s">
        <v>23</v>
      </c>
      <c r="G421" s="18">
        <v>4576</v>
      </c>
      <c r="H421" s="25">
        <f t="shared" si="24"/>
        <v>45214</v>
      </c>
      <c r="I421" s="26">
        <f t="shared" si="25"/>
        <v>5.9722222220443655E-2</v>
      </c>
      <c r="J421" s="18" t="str">
        <f t="shared" si="26"/>
        <v>October</v>
      </c>
      <c r="K421" s="56" t="str">
        <f t="shared" si="27"/>
        <v>Sunday</v>
      </c>
      <c r="L421" s="18" t="str">
        <f>IF(OR(G421&gt;Answers!I436,G421&lt;Answers!I437),"Outlier","Normal")</f>
        <v>Outlier</v>
      </c>
      <c r="M421" s="18">
        <v>43</v>
      </c>
    </row>
    <row r="422" spans="1:13" ht="20" customHeight="1" x14ac:dyDescent="0.35">
      <c r="A422" s="17">
        <v>303207</v>
      </c>
      <c r="B422" s="18">
        <v>1052</v>
      </c>
      <c r="C422" s="23" t="s">
        <v>109</v>
      </c>
      <c r="D422" s="24">
        <v>45249.995833333334</v>
      </c>
      <c r="E422" s="18" t="s">
        <v>97</v>
      </c>
      <c r="F422" s="18" t="s">
        <v>21</v>
      </c>
      <c r="G422" s="18">
        <v>1054</v>
      </c>
      <c r="H422" s="25">
        <f t="shared" si="24"/>
        <v>45249</v>
      </c>
      <c r="I422" s="26">
        <f t="shared" si="25"/>
        <v>0.99583333333430346</v>
      </c>
      <c r="J422" s="18" t="str">
        <f t="shared" si="26"/>
        <v>November</v>
      </c>
      <c r="K422" s="56" t="str">
        <f t="shared" si="27"/>
        <v>Sunday</v>
      </c>
      <c r="L422" s="18" t="str">
        <f>IF(OR(G422&gt;Answers!I437,G422&lt;Answers!I438),"Outlier","Normal")</f>
        <v>Outlier</v>
      </c>
      <c r="M422" s="18">
        <v>66</v>
      </c>
    </row>
    <row r="423" spans="1:13" ht="20" customHeight="1" x14ac:dyDescent="0.35">
      <c r="A423" s="17">
        <v>303923</v>
      </c>
      <c r="B423" s="18">
        <v>691</v>
      </c>
      <c r="C423" s="23" t="s">
        <v>103</v>
      </c>
      <c r="D423" s="24">
        <v>45076.959722222222</v>
      </c>
      <c r="E423" s="18" t="s">
        <v>98</v>
      </c>
      <c r="F423" s="18" t="s">
        <v>43</v>
      </c>
      <c r="G423" s="18">
        <v>5642</v>
      </c>
      <c r="H423" s="25">
        <f t="shared" si="24"/>
        <v>45076</v>
      </c>
      <c r="I423" s="26">
        <f t="shared" si="25"/>
        <v>0.95972222222189885</v>
      </c>
      <c r="J423" s="18" t="str">
        <f t="shared" si="26"/>
        <v>May</v>
      </c>
      <c r="K423" s="56" t="str">
        <f t="shared" si="27"/>
        <v>Tuesday</v>
      </c>
      <c r="L423" s="18" t="str">
        <f>IF(OR(G423&gt;Answers!I438,G423&lt;Answers!I439),"Outlier","Normal")</f>
        <v>Outlier</v>
      </c>
      <c r="M423" s="18">
        <v>33</v>
      </c>
    </row>
    <row r="424" spans="1:13" ht="20" customHeight="1" x14ac:dyDescent="0.35">
      <c r="A424" s="17">
        <v>304668</v>
      </c>
      <c r="B424" s="18">
        <v>835</v>
      </c>
      <c r="C424" s="23" t="s">
        <v>101</v>
      </c>
      <c r="D424" s="24">
        <v>44969.030555555553</v>
      </c>
      <c r="E424" s="18" t="s">
        <v>97</v>
      </c>
      <c r="F424" s="18" t="s">
        <v>29</v>
      </c>
      <c r="G424" s="18">
        <v>3450</v>
      </c>
      <c r="H424" s="25">
        <f t="shared" si="24"/>
        <v>44969</v>
      </c>
      <c r="I424" s="26">
        <f t="shared" si="25"/>
        <v>3.0555555553291924E-2</v>
      </c>
      <c r="J424" s="18" t="str">
        <f t="shared" si="26"/>
        <v>February</v>
      </c>
      <c r="K424" s="56" t="str">
        <f t="shared" si="27"/>
        <v>Sunday</v>
      </c>
      <c r="L424" s="18" t="str">
        <f>IF(OR(G424&gt;Answers!I439,G424&lt;Answers!I440),"Outlier","Normal")</f>
        <v>Outlier</v>
      </c>
      <c r="M424" s="18">
        <v>50</v>
      </c>
    </row>
    <row r="425" spans="1:13" ht="20" customHeight="1" x14ac:dyDescent="0.35">
      <c r="A425" s="17">
        <v>305175</v>
      </c>
      <c r="B425" s="18">
        <v>766</v>
      </c>
      <c r="C425" s="23" t="s">
        <v>99</v>
      </c>
      <c r="D425" s="24">
        <v>45144.011805555558</v>
      </c>
      <c r="E425" s="18" t="s">
        <v>133</v>
      </c>
      <c r="F425" s="18" t="s">
        <v>9</v>
      </c>
      <c r="G425" s="18">
        <v>1876</v>
      </c>
      <c r="H425" s="25">
        <f t="shared" si="24"/>
        <v>45144</v>
      </c>
      <c r="I425" s="26">
        <f t="shared" si="25"/>
        <v>1.1805555557657499E-2</v>
      </c>
      <c r="J425" s="18" t="str">
        <f t="shared" si="26"/>
        <v>August</v>
      </c>
      <c r="K425" s="56" t="str">
        <f t="shared" si="27"/>
        <v>Sunday</v>
      </c>
      <c r="L425" s="18" t="str">
        <f>IF(OR(G425&gt;Answers!I440,G425&lt;Answers!I441),"Outlier","Normal")</f>
        <v>Outlier</v>
      </c>
      <c r="M425" s="18">
        <v>89</v>
      </c>
    </row>
    <row r="426" spans="1:13" ht="20" customHeight="1" x14ac:dyDescent="0.35">
      <c r="A426" s="17">
        <v>305282</v>
      </c>
      <c r="B426" s="18">
        <v>1594</v>
      </c>
      <c r="C426" s="23" t="s">
        <v>101</v>
      </c>
      <c r="D426" s="24">
        <v>44996.013888888891</v>
      </c>
      <c r="E426" s="18" t="s">
        <v>97</v>
      </c>
      <c r="F426" s="18" t="s">
        <v>30</v>
      </c>
      <c r="G426" s="18">
        <v>2529</v>
      </c>
      <c r="H426" s="25">
        <f t="shared" si="24"/>
        <v>44996</v>
      </c>
      <c r="I426" s="26">
        <f t="shared" si="25"/>
        <v>1.3888888890505768E-2</v>
      </c>
      <c r="J426" s="18" t="str">
        <f t="shared" si="26"/>
        <v>March</v>
      </c>
      <c r="K426" s="56" t="str">
        <f t="shared" si="27"/>
        <v>Saturday</v>
      </c>
      <c r="L426" s="18" t="str">
        <f>IF(OR(G426&gt;Answers!I441,G426&lt;Answers!I442),"Outlier","Normal")</f>
        <v>Outlier</v>
      </c>
      <c r="M426" s="18">
        <v>27</v>
      </c>
    </row>
    <row r="427" spans="1:13" ht="20" customHeight="1" x14ac:dyDescent="0.35">
      <c r="A427" s="17">
        <v>305291</v>
      </c>
      <c r="B427" s="18">
        <v>1519</v>
      </c>
      <c r="C427" s="23" t="s">
        <v>105</v>
      </c>
      <c r="D427" s="24">
        <v>45160.965277777781</v>
      </c>
      <c r="E427" s="18" t="s">
        <v>133</v>
      </c>
      <c r="F427" s="18" t="s">
        <v>67</v>
      </c>
      <c r="G427" s="18">
        <v>3778</v>
      </c>
      <c r="H427" s="25">
        <f t="shared" si="24"/>
        <v>45160</v>
      </c>
      <c r="I427" s="26">
        <f t="shared" si="25"/>
        <v>0.96527777778101154</v>
      </c>
      <c r="J427" s="18" t="str">
        <f t="shared" si="26"/>
        <v>August</v>
      </c>
      <c r="K427" s="56" t="str">
        <f t="shared" si="27"/>
        <v>Tuesday</v>
      </c>
      <c r="L427" s="18" t="str">
        <f>IF(OR(G427&gt;Answers!I442,G427&lt;Answers!I443),"Outlier","Normal")</f>
        <v>Outlier</v>
      </c>
      <c r="M427" s="18">
        <v>20</v>
      </c>
    </row>
    <row r="428" spans="1:13" ht="20" customHeight="1" x14ac:dyDescent="0.35">
      <c r="A428" s="17">
        <v>305510</v>
      </c>
      <c r="B428" s="18">
        <v>935</v>
      </c>
      <c r="C428" s="23" t="s">
        <v>100</v>
      </c>
      <c r="D428" s="24">
        <v>45251.083333333336</v>
      </c>
      <c r="E428" s="18" t="s">
        <v>98</v>
      </c>
      <c r="F428" s="18" t="s">
        <v>32</v>
      </c>
      <c r="G428" s="18">
        <v>6989</v>
      </c>
      <c r="H428" s="25">
        <f t="shared" si="24"/>
        <v>45251</v>
      </c>
      <c r="I428" s="26">
        <f t="shared" si="25"/>
        <v>8.3333333335758653E-2</v>
      </c>
      <c r="J428" s="18" t="str">
        <f t="shared" si="26"/>
        <v>November</v>
      </c>
      <c r="K428" s="56" t="str">
        <f t="shared" si="27"/>
        <v>Tuesday</v>
      </c>
      <c r="L428" s="18" t="str">
        <f>IF(OR(G428&gt;Answers!I443,G428&lt;Answers!I444),"Outlier","Normal")</f>
        <v>Outlier</v>
      </c>
      <c r="M428" s="18">
        <v>38</v>
      </c>
    </row>
    <row r="429" spans="1:13" ht="20" customHeight="1" x14ac:dyDescent="0.35">
      <c r="A429" s="17">
        <v>306677</v>
      </c>
      <c r="B429" s="18">
        <v>1145</v>
      </c>
      <c r="C429" s="23" t="s">
        <v>99</v>
      </c>
      <c r="D429" s="24">
        <v>45158.989583333336</v>
      </c>
      <c r="E429" s="18" t="s">
        <v>96</v>
      </c>
      <c r="F429" s="18" t="s">
        <v>33</v>
      </c>
      <c r="G429" s="18">
        <v>6771</v>
      </c>
      <c r="H429" s="25">
        <f t="shared" si="24"/>
        <v>45158</v>
      </c>
      <c r="I429" s="26">
        <f t="shared" si="25"/>
        <v>0.98958333333575865</v>
      </c>
      <c r="J429" s="18" t="str">
        <f t="shared" si="26"/>
        <v>August</v>
      </c>
      <c r="K429" s="56" t="str">
        <f t="shared" si="27"/>
        <v>Sunday</v>
      </c>
      <c r="L429" s="18" t="str">
        <f>IF(OR(G429&gt;Answers!I444,G429&lt;Answers!I445),"Outlier","Normal")</f>
        <v>Outlier</v>
      </c>
      <c r="M429" s="18">
        <v>50</v>
      </c>
    </row>
    <row r="430" spans="1:13" ht="20" customHeight="1" x14ac:dyDescent="0.35">
      <c r="A430" s="17">
        <v>306798</v>
      </c>
      <c r="B430" s="18">
        <v>132</v>
      </c>
      <c r="C430" s="23" t="s">
        <v>105</v>
      </c>
      <c r="D430" s="24">
        <v>44940.020138888889</v>
      </c>
      <c r="E430" s="18" t="s">
        <v>133</v>
      </c>
      <c r="F430" s="18" t="s">
        <v>34</v>
      </c>
      <c r="G430" s="18">
        <v>291</v>
      </c>
      <c r="H430" s="25">
        <f t="shared" si="24"/>
        <v>44940</v>
      </c>
      <c r="I430" s="26">
        <f t="shared" si="25"/>
        <v>2.0138888889050577E-2</v>
      </c>
      <c r="J430" s="18" t="str">
        <f t="shared" si="26"/>
        <v>January</v>
      </c>
      <c r="K430" s="56" t="str">
        <f t="shared" si="27"/>
        <v>Saturday</v>
      </c>
      <c r="L430" s="18" t="str">
        <f>IF(OR(G430&gt;Answers!I445,G430&lt;Answers!I446),"Outlier","Normal")</f>
        <v>Outlier</v>
      </c>
      <c r="M430" s="18">
        <v>50</v>
      </c>
    </row>
    <row r="431" spans="1:13" ht="20" customHeight="1" x14ac:dyDescent="0.35">
      <c r="A431" s="17">
        <v>306831</v>
      </c>
      <c r="B431" s="18">
        <v>1135</v>
      </c>
      <c r="C431" s="23" t="s">
        <v>113</v>
      </c>
      <c r="D431" s="24">
        <v>45090.024305555555</v>
      </c>
      <c r="E431" s="18" t="s">
        <v>133</v>
      </c>
      <c r="F431" s="18" t="s">
        <v>35</v>
      </c>
      <c r="G431" s="18">
        <v>4730</v>
      </c>
      <c r="H431" s="25">
        <f t="shared" si="24"/>
        <v>45090</v>
      </c>
      <c r="I431" s="26">
        <f t="shared" si="25"/>
        <v>2.4305555554747116E-2</v>
      </c>
      <c r="J431" s="18" t="str">
        <f t="shared" si="26"/>
        <v>June</v>
      </c>
      <c r="K431" s="56" t="str">
        <f t="shared" si="27"/>
        <v>Tuesday</v>
      </c>
      <c r="L431" s="18" t="str">
        <f>IF(OR(G431&gt;Answers!I446,G431&lt;Answers!I447),"Outlier","Normal")</f>
        <v>Outlier</v>
      </c>
      <c r="M431" s="18">
        <v>74</v>
      </c>
    </row>
    <row r="432" spans="1:13" ht="20" customHeight="1" x14ac:dyDescent="0.35">
      <c r="A432" s="17">
        <v>307999</v>
      </c>
      <c r="B432" s="18">
        <v>1476</v>
      </c>
      <c r="C432" s="23" t="s">
        <v>107</v>
      </c>
      <c r="D432" s="24">
        <v>45111.981249999997</v>
      </c>
      <c r="E432" s="18" t="s">
        <v>96</v>
      </c>
      <c r="F432" s="18" t="s">
        <v>36</v>
      </c>
      <c r="G432" s="18">
        <v>5434</v>
      </c>
      <c r="H432" s="25">
        <f t="shared" si="24"/>
        <v>45111</v>
      </c>
      <c r="I432" s="26">
        <f t="shared" si="25"/>
        <v>0.98124999999708962</v>
      </c>
      <c r="J432" s="18" t="str">
        <f t="shared" si="26"/>
        <v>July</v>
      </c>
      <c r="K432" s="56" t="str">
        <f t="shared" si="27"/>
        <v>Tuesday</v>
      </c>
      <c r="L432" s="18" t="str">
        <f>IF(OR(G432&gt;Answers!I447,G432&lt;Answers!I448),"Outlier","Normal")</f>
        <v>Outlier</v>
      </c>
      <c r="M432" s="18">
        <v>23</v>
      </c>
    </row>
    <row r="433" spans="1:13" ht="20" customHeight="1" x14ac:dyDescent="0.35">
      <c r="A433" s="17">
        <v>308888</v>
      </c>
      <c r="B433" s="18">
        <v>731</v>
      </c>
      <c r="C433" s="23" t="s">
        <v>100</v>
      </c>
      <c r="D433" s="24">
        <v>45022.04791666667</v>
      </c>
      <c r="E433" s="18" t="s">
        <v>98</v>
      </c>
      <c r="F433" s="18" t="s">
        <v>37</v>
      </c>
      <c r="G433" s="18">
        <v>5383</v>
      </c>
      <c r="H433" s="25">
        <f t="shared" si="24"/>
        <v>45022</v>
      </c>
      <c r="I433" s="26">
        <f t="shared" si="25"/>
        <v>4.7916666670062114E-2</v>
      </c>
      <c r="J433" s="18" t="str">
        <f t="shared" si="26"/>
        <v>April</v>
      </c>
      <c r="K433" s="56" t="str">
        <f t="shared" si="27"/>
        <v>Thursday</v>
      </c>
      <c r="L433" s="18" t="str">
        <f>IF(OR(G433&gt;Answers!I448,G433&lt;Answers!I449),"Outlier","Normal")</f>
        <v>Outlier</v>
      </c>
      <c r="M433" s="18">
        <v>78</v>
      </c>
    </row>
    <row r="434" spans="1:13" ht="20" customHeight="1" x14ac:dyDescent="0.35">
      <c r="A434" s="17">
        <v>309642</v>
      </c>
      <c r="B434" s="18">
        <v>1222</v>
      </c>
      <c r="C434" s="23" t="s">
        <v>105</v>
      </c>
      <c r="D434" s="24">
        <v>45185.023611111108</v>
      </c>
      <c r="E434" s="18" t="s">
        <v>96</v>
      </c>
      <c r="F434" s="18" t="s">
        <v>38</v>
      </c>
      <c r="G434" s="18">
        <v>2898</v>
      </c>
      <c r="H434" s="25">
        <f t="shared" si="24"/>
        <v>45185</v>
      </c>
      <c r="I434" s="26">
        <f t="shared" si="25"/>
        <v>2.361111110803904E-2</v>
      </c>
      <c r="J434" s="18" t="str">
        <f t="shared" si="26"/>
        <v>September</v>
      </c>
      <c r="K434" s="56" t="str">
        <f t="shared" si="27"/>
        <v>Saturday</v>
      </c>
      <c r="L434" s="18" t="str">
        <f>IF(OR(G434&gt;Answers!I449,G434&lt;Answers!I450),"Outlier","Normal")</f>
        <v>Outlier</v>
      </c>
      <c r="M434" s="18">
        <v>58</v>
      </c>
    </row>
    <row r="435" spans="1:13" ht="20" customHeight="1" x14ac:dyDescent="0.35">
      <c r="A435" s="17">
        <v>310236</v>
      </c>
      <c r="B435" s="18">
        <v>839</v>
      </c>
      <c r="C435" s="23" t="s">
        <v>113</v>
      </c>
      <c r="D435" s="24">
        <v>45034.00277777778</v>
      </c>
      <c r="E435" s="18" t="s">
        <v>98</v>
      </c>
      <c r="F435" s="18" t="s">
        <v>39</v>
      </c>
      <c r="G435" s="18">
        <v>221</v>
      </c>
      <c r="H435" s="25">
        <f t="shared" si="24"/>
        <v>45034</v>
      </c>
      <c r="I435" s="26">
        <f t="shared" si="25"/>
        <v>2.7777777795563452E-3</v>
      </c>
      <c r="J435" s="18" t="str">
        <f t="shared" si="26"/>
        <v>April</v>
      </c>
      <c r="K435" s="56" t="str">
        <f t="shared" si="27"/>
        <v>Tuesday</v>
      </c>
      <c r="L435" s="18" t="str">
        <f>IF(OR(G435&gt;Answers!I450,G435&lt;Answers!I451),"Outlier","Normal")</f>
        <v>Outlier</v>
      </c>
      <c r="M435" s="18">
        <v>36</v>
      </c>
    </row>
    <row r="436" spans="1:13" ht="20" customHeight="1" x14ac:dyDescent="0.35">
      <c r="A436" s="17">
        <v>310303</v>
      </c>
      <c r="B436" s="18">
        <v>42</v>
      </c>
      <c r="C436" s="23" t="s">
        <v>105</v>
      </c>
      <c r="D436" s="24">
        <v>45135.019444444442</v>
      </c>
      <c r="E436" s="18" t="s">
        <v>96</v>
      </c>
      <c r="F436" s="18" t="s">
        <v>24</v>
      </c>
      <c r="G436" s="18">
        <v>369</v>
      </c>
      <c r="H436" s="25">
        <f t="shared" si="24"/>
        <v>45135</v>
      </c>
      <c r="I436" s="26">
        <f t="shared" si="25"/>
        <v>1.9444444442342501E-2</v>
      </c>
      <c r="J436" s="18" t="str">
        <f t="shared" si="26"/>
        <v>July</v>
      </c>
      <c r="K436" s="56" t="str">
        <f t="shared" si="27"/>
        <v>Friday</v>
      </c>
      <c r="L436" s="18" t="str">
        <f>IF(OR(G436&gt;Answers!I451,G436&lt;Answers!I452),"Outlier","Normal")</f>
        <v>Outlier</v>
      </c>
      <c r="M436" s="18">
        <v>43</v>
      </c>
    </row>
    <row r="437" spans="1:13" ht="20" customHeight="1" x14ac:dyDescent="0.35">
      <c r="A437" s="17">
        <v>311285</v>
      </c>
      <c r="B437" s="18">
        <v>511</v>
      </c>
      <c r="C437" s="23" t="s">
        <v>99</v>
      </c>
      <c r="D437" s="24">
        <v>45213.990972222222</v>
      </c>
      <c r="E437" s="18" t="s">
        <v>98</v>
      </c>
      <c r="F437" s="18" t="s">
        <v>40</v>
      </c>
      <c r="G437" s="18">
        <v>3345</v>
      </c>
      <c r="H437" s="25">
        <f t="shared" si="24"/>
        <v>45213</v>
      </c>
      <c r="I437" s="26">
        <f t="shared" si="25"/>
        <v>0.99097222222189885</v>
      </c>
      <c r="J437" s="18" t="str">
        <f t="shared" si="26"/>
        <v>October</v>
      </c>
      <c r="K437" s="56" t="str">
        <f t="shared" si="27"/>
        <v>Saturday</v>
      </c>
      <c r="L437" s="18" t="str">
        <f>IF(OR(G437&gt;Answers!I452,G437&lt;Answers!I453),"Outlier","Normal")</f>
        <v>Outlier</v>
      </c>
      <c r="M437" s="18">
        <v>60</v>
      </c>
    </row>
    <row r="438" spans="1:13" ht="20" customHeight="1" x14ac:dyDescent="0.35">
      <c r="A438" s="17">
        <v>312250</v>
      </c>
      <c r="B438" s="18">
        <v>343</v>
      </c>
      <c r="C438" s="23" t="s">
        <v>113</v>
      </c>
      <c r="D438" s="24">
        <v>45248.019444444442</v>
      </c>
      <c r="E438" s="18" t="s">
        <v>98</v>
      </c>
      <c r="F438" s="18" t="s">
        <v>41</v>
      </c>
      <c r="G438" s="18">
        <v>8056</v>
      </c>
      <c r="H438" s="25">
        <f t="shared" si="24"/>
        <v>45248</v>
      </c>
      <c r="I438" s="26">
        <f t="shared" si="25"/>
        <v>1.9444444442342501E-2</v>
      </c>
      <c r="J438" s="18" t="str">
        <f t="shared" si="26"/>
        <v>November</v>
      </c>
      <c r="K438" s="56" t="str">
        <f t="shared" si="27"/>
        <v>Saturday</v>
      </c>
      <c r="L438" s="18" t="str">
        <f>IF(OR(G438&gt;Answers!I453,G438&lt;Answers!I454),"Outlier","Normal")</f>
        <v>Outlier</v>
      </c>
      <c r="M438" s="18">
        <v>88</v>
      </c>
    </row>
    <row r="439" spans="1:13" ht="20" customHeight="1" x14ac:dyDescent="0.35">
      <c r="A439" s="17">
        <v>312391</v>
      </c>
      <c r="B439" s="18">
        <v>780</v>
      </c>
      <c r="C439" s="23" t="s">
        <v>113</v>
      </c>
      <c r="D439" s="24">
        <v>45276.961805555555</v>
      </c>
      <c r="E439" s="18" t="s">
        <v>98</v>
      </c>
      <c r="F439" s="18" t="s">
        <v>42</v>
      </c>
      <c r="G439" s="18">
        <v>3848</v>
      </c>
      <c r="H439" s="25">
        <f t="shared" si="24"/>
        <v>45276</v>
      </c>
      <c r="I439" s="26">
        <f t="shared" si="25"/>
        <v>0.96180555555474712</v>
      </c>
      <c r="J439" s="18" t="str">
        <f t="shared" si="26"/>
        <v>December</v>
      </c>
      <c r="K439" s="56" t="str">
        <f t="shared" si="27"/>
        <v>Saturday</v>
      </c>
      <c r="L439" s="18" t="str">
        <f>IF(OR(G439&gt;Answers!I454,G439&lt;Answers!I455),"Outlier","Normal")</f>
        <v>Outlier</v>
      </c>
      <c r="M439" s="18">
        <v>43</v>
      </c>
    </row>
    <row r="440" spans="1:13" ht="20" customHeight="1" x14ac:dyDescent="0.35">
      <c r="A440" s="17">
        <v>312413</v>
      </c>
      <c r="B440" s="18">
        <v>1696</v>
      </c>
      <c r="C440" s="23" t="s">
        <v>99</v>
      </c>
      <c r="D440" s="24">
        <v>45185.011805555558</v>
      </c>
      <c r="E440" s="18" t="s">
        <v>97</v>
      </c>
      <c r="F440" s="18" t="s">
        <v>43</v>
      </c>
      <c r="G440" s="18">
        <v>7605</v>
      </c>
      <c r="H440" s="25">
        <f t="shared" si="24"/>
        <v>45185</v>
      </c>
      <c r="I440" s="26">
        <f t="shared" si="25"/>
        <v>1.1805555557657499E-2</v>
      </c>
      <c r="J440" s="18" t="str">
        <f t="shared" si="26"/>
        <v>September</v>
      </c>
      <c r="K440" s="56" t="str">
        <f t="shared" si="27"/>
        <v>Saturday</v>
      </c>
      <c r="L440" s="18" t="str">
        <f>IF(OR(G440&gt;Answers!I455,G440&lt;Answers!I456),"Outlier","Normal")</f>
        <v>Outlier</v>
      </c>
      <c r="M440" s="18">
        <v>68</v>
      </c>
    </row>
    <row r="441" spans="1:13" ht="20" customHeight="1" x14ac:dyDescent="0.35">
      <c r="A441" s="17">
        <v>312581</v>
      </c>
      <c r="B441" s="18">
        <v>624</v>
      </c>
      <c r="C441" s="23" t="s">
        <v>101</v>
      </c>
      <c r="D441" s="24">
        <v>45145.033333333333</v>
      </c>
      <c r="E441" s="18" t="s">
        <v>133</v>
      </c>
      <c r="F441" s="18" t="s">
        <v>44</v>
      </c>
      <c r="G441" s="18">
        <v>5721</v>
      </c>
      <c r="H441" s="25">
        <f t="shared" si="24"/>
        <v>45145</v>
      </c>
      <c r="I441" s="26">
        <f t="shared" si="25"/>
        <v>3.3333333332848269E-2</v>
      </c>
      <c r="J441" s="18" t="str">
        <f t="shared" si="26"/>
        <v>August</v>
      </c>
      <c r="K441" s="56" t="str">
        <f t="shared" si="27"/>
        <v>Monday</v>
      </c>
      <c r="L441" s="18" t="str">
        <f>IF(OR(G441&gt;Answers!I456,G441&lt;Answers!I457),"Outlier","Normal")</f>
        <v>Outlier</v>
      </c>
      <c r="M441" s="18">
        <v>43</v>
      </c>
    </row>
    <row r="442" spans="1:13" ht="20" customHeight="1" x14ac:dyDescent="0.35">
      <c r="A442" s="17">
        <v>313294</v>
      </c>
      <c r="B442" s="18">
        <v>1513</v>
      </c>
      <c r="C442" s="23" t="s">
        <v>99</v>
      </c>
      <c r="D442" s="24">
        <v>45101.006249999999</v>
      </c>
      <c r="E442" s="18" t="s">
        <v>97</v>
      </c>
      <c r="F442" s="18" t="s">
        <v>12</v>
      </c>
      <c r="G442" s="18">
        <v>3975</v>
      </c>
      <c r="H442" s="25">
        <f t="shared" si="24"/>
        <v>45101</v>
      </c>
      <c r="I442" s="26">
        <f t="shared" si="25"/>
        <v>6.2499999985448085E-3</v>
      </c>
      <c r="J442" s="18" t="str">
        <f t="shared" si="26"/>
        <v>June</v>
      </c>
      <c r="K442" s="56" t="str">
        <f t="shared" si="27"/>
        <v>Saturday</v>
      </c>
      <c r="L442" s="18" t="str">
        <f>IF(OR(G442&gt;Answers!I457,G442&lt;Answers!I458),"Outlier","Normal")</f>
        <v>Outlier</v>
      </c>
      <c r="M442" s="18">
        <v>76</v>
      </c>
    </row>
    <row r="443" spans="1:13" ht="20" customHeight="1" x14ac:dyDescent="0.35">
      <c r="A443" s="17">
        <v>313756</v>
      </c>
      <c r="B443" s="18">
        <v>1032</v>
      </c>
      <c r="C443" s="23" t="s">
        <v>100</v>
      </c>
      <c r="D443" s="24">
        <v>45288.063194444447</v>
      </c>
      <c r="E443" s="18" t="s">
        <v>97</v>
      </c>
      <c r="F443" s="18" t="s">
        <v>14</v>
      </c>
      <c r="G443" s="18">
        <v>1340</v>
      </c>
      <c r="H443" s="25">
        <f t="shared" si="24"/>
        <v>45288</v>
      </c>
      <c r="I443" s="26">
        <f t="shared" si="25"/>
        <v>6.3194444446708076E-2</v>
      </c>
      <c r="J443" s="18" t="str">
        <f t="shared" si="26"/>
        <v>December</v>
      </c>
      <c r="K443" s="56" t="str">
        <f t="shared" si="27"/>
        <v>Thursday</v>
      </c>
      <c r="L443" s="18" t="str">
        <f>IF(OR(G443&gt;Answers!I458,G443&lt;Answers!I459),"Outlier","Normal")</f>
        <v>Outlier</v>
      </c>
      <c r="M443" s="18">
        <v>21</v>
      </c>
    </row>
    <row r="444" spans="1:13" ht="20" customHeight="1" x14ac:dyDescent="0.35">
      <c r="A444" s="17">
        <v>314254</v>
      </c>
      <c r="B444" s="18">
        <v>224</v>
      </c>
      <c r="C444" s="23" t="s">
        <v>113</v>
      </c>
      <c r="D444" s="24">
        <v>45133.013888888891</v>
      </c>
      <c r="E444" s="18" t="s">
        <v>96</v>
      </c>
      <c r="F444" s="18" t="s">
        <v>43</v>
      </c>
      <c r="G444" s="18">
        <v>2043</v>
      </c>
      <c r="H444" s="25">
        <f t="shared" si="24"/>
        <v>45133</v>
      </c>
      <c r="I444" s="26">
        <f t="shared" si="25"/>
        <v>1.3888888890505768E-2</v>
      </c>
      <c r="J444" s="18" t="str">
        <f t="shared" si="26"/>
        <v>July</v>
      </c>
      <c r="K444" s="56" t="str">
        <f t="shared" si="27"/>
        <v>Wednesday</v>
      </c>
      <c r="L444" s="18" t="str">
        <f>IF(OR(G444&gt;Answers!I459,G444&lt;Answers!I460),"Outlier","Normal")</f>
        <v>Outlier</v>
      </c>
      <c r="M444" s="18">
        <v>64</v>
      </c>
    </row>
    <row r="445" spans="1:13" ht="20" customHeight="1" x14ac:dyDescent="0.35">
      <c r="A445" s="17">
        <v>314530</v>
      </c>
      <c r="B445" s="18">
        <v>967</v>
      </c>
      <c r="C445" s="23" t="s">
        <v>101</v>
      </c>
      <c r="D445" s="24">
        <v>45241.034722222219</v>
      </c>
      <c r="E445" s="18" t="s">
        <v>133</v>
      </c>
      <c r="F445" s="18" t="s">
        <v>46</v>
      </c>
      <c r="G445" s="18">
        <v>4214</v>
      </c>
      <c r="H445" s="25">
        <f t="shared" si="24"/>
        <v>45241</v>
      </c>
      <c r="I445" s="26">
        <f t="shared" si="25"/>
        <v>3.4722222218988463E-2</v>
      </c>
      <c r="J445" s="18" t="str">
        <f t="shared" si="26"/>
        <v>November</v>
      </c>
      <c r="K445" s="56" t="str">
        <f t="shared" si="27"/>
        <v>Saturday</v>
      </c>
      <c r="L445" s="18" t="str">
        <f>IF(OR(G445&gt;Answers!I460,G445&lt;Answers!I461),"Outlier","Normal")</f>
        <v>Outlier</v>
      </c>
      <c r="M445" s="18">
        <v>54</v>
      </c>
    </row>
    <row r="446" spans="1:13" ht="20" customHeight="1" x14ac:dyDescent="0.35">
      <c r="A446" s="17">
        <v>315549</v>
      </c>
      <c r="B446" s="18">
        <v>108</v>
      </c>
      <c r="C446" s="23" t="s">
        <v>105</v>
      </c>
      <c r="D446" s="24">
        <v>45004.98541666667</v>
      </c>
      <c r="E446" s="18" t="s">
        <v>133</v>
      </c>
      <c r="F446" s="18" t="s">
        <v>8</v>
      </c>
      <c r="G446" s="18">
        <v>7653</v>
      </c>
      <c r="H446" s="25">
        <f t="shared" si="24"/>
        <v>45004</v>
      </c>
      <c r="I446" s="26">
        <f t="shared" si="25"/>
        <v>0.98541666667006211</v>
      </c>
      <c r="J446" s="18" t="str">
        <f t="shared" si="26"/>
        <v>March</v>
      </c>
      <c r="K446" s="56" t="str">
        <f t="shared" si="27"/>
        <v>Sunday</v>
      </c>
      <c r="L446" s="18" t="str">
        <f>IF(OR(G446&gt;Answers!I461,G446&lt;Answers!I462),"Outlier","Normal")</f>
        <v>Outlier</v>
      </c>
      <c r="M446" s="18">
        <v>63</v>
      </c>
    </row>
    <row r="447" spans="1:13" ht="20" customHeight="1" x14ac:dyDescent="0.35">
      <c r="A447" s="17">
        <v>315899</v>
      </c>
      <c r="B447" s="18">
        <v>1934</v>
      </c>
      <c r="C447" s="23" t="s">
        <v>105</v>
      </c>
      <c r="D447" s="24">
        <v>45208.038888888892</v>
      </c>
      <c r="E447" s="18" t="s">
        <v>133</v>
      </c>
      <c r="F447" s="18" t="s">
        <v>46</v>
      </c>
      <c r="G447" s="18">
        <v>6965</v>
      </c>
      <c r="H447" s="25">
        <f t="shared" si="24"/>
        <v>45208</v>
      </c>
      <c r="I447" s="26">
        <f t="shared" si="25"/>
        <v>3.888888889196096E-2</v>
      </c>
      <c r="J447" s="18" t="str">
        <f t="shared" si="26"/>
        <v>October</v>
      </c>
      <c r="K447" s="56" t="str">
        <f t="shared" si="27"/>
        <v>Monday</v>
      </c>
      <c r="L447" s="18" t="str">
        <f>IF(OR(G447&gt;Answers!I462,G447&lt;Answers!I463),"Outlier","Normal")</f>
        <v>Outlier</v>
      </c>
      <c r="M447" s="18">
        <v>25</v>
      </c>
    </row>
    <row r="448" spans="1:13" ht="20" customHeight="1" x14ac:dyDescent="0.35">
      <c r="A448" s="17">
        <v>315977</v>
      </c>
      <c r="B448" s="18">
        <v>1837</v>
      </c>
      <c r="C448" s="23" t="s">
        <v>110</v>
      </c>
      <c r="D448" s="24">
        <v>45172.000694444447</v>
      </c>
      <c r="E448" s="18" t="s">
        <v>98</v>
      </c>
      <c r="F448" s="18" t="s">
        <v>47</v>
      </c>
      <c r="G448" s="18">
        <v>8432</v>
      </c>
      <c r="H448" s="25">
        <f t="shared" si="24"/>
        <v>45172</v>
      </c>
      <c r="I448" s="26">
        <f t="shared" si="25"/>
        <v>6.944444467080757E-4</v>
      </c>
      <c r="J448" s="18" t="str">
        <f t="shared" si="26"/>
        <v>September</v>
      </c>
      <c r="K448" s="56" t="str">
        <f t="shared" si="27"/>
        <v>Sunday</v>
      </c>
      <c r="L448" s="18" t="str">
        <f>IF(OR(G448&gt;Answers!I463,G448&lt;Answers!I464),"Outlier","Normal")</f>
        <v>Outlier</v>
      </c>
      <c r="M448" s="18">
        <v>87</v>
      </c>
    </row>
    <row r="449" spans="1:13" ht="20" customHeight="1" x14ac:dyDescent="0.35">
      <c r="A449" s="17">
        <v>316324</v>
      </c>
      <c r="B449" s="18">
        <v>1564</v>
      </c>
      <c r="C449" s="23" t="s">
        <v>106</v>
      </c>
      <c r="D449" s="24">
        <v>44992.013888888891</v>
      </c>
      <c r="E449" s="18" t="s">
        <v>133</v>
      </c>
      <c r="F449" s="18" t="s">
        <v>27</v>
      </c>
      <c r="G449" s="18">
        <v>1285</v>
      </c>
      <c r="H449" s="25">
        <f t="shared" si="24"/>
        <v>44992</v>
      </c>
      <c r="I449" s="26">
        <f t="shared" si="25"/>
        <v>1.3888888890505768E-2</v>
      </c>
      <c r="J449" s="18" t="str">
        <f t="shared" si="26"/>
        <v>March</v>
      </c>
      <c r="K449" s="56" t="str">
        <f t="shared" si="27"/>
        <v>Tuesday</v>
      </c>
      <c r="L449" s="18" t="str">
        <f>IF(OR(G449&gt;Answers!I464,G449&lt;Answers!I465),"Outlier","Normal")</f>
        <v>Outlier</v>
      </c>
      <c r="M449" s="18">
        <v>89</v>
      </c>
    </row>
    <row r="450" spans="1:13" ht="20" customHeight="1" x14ac:dyDescent="0.35">
      <c r="A450" s="17">
        <v>316364</v>
      </c>
      <c r="B450" s="18">
        <v>486</v>
      </c>
      <c r="C450" s="23" t="s">
        <v>104</v>
      </c>
      <c r="D450" s="24">
        <v>45239.013194444444</v>
      </c>
      <c r="E450" s="18" t="s">
        <v>98</v>
      </c>
      <c r="F450" s="18" t="s">
        <v>49</v>
      </c>
      <c r="G450" s="18">
        <v>1699</v>
      </c>
      <c r="H450" s="25">
        <f t="shared" si="24"/>
        <v>45239</v>
      </c>
      <c r="I450" s="26">
        <f t="shared" si="25"/>
        <v>1.3194444443797693E-2</v>
      </c>
      <c r="J450" s="18" t="str">
        <f t="shared" si="26"/>
        <v>November</v>
      </c>
      <c r="K450" s="56" t="str">
        <f t="shared" si="27"/>
        <v>Thursday</v>
      </c>
      <c r="L450" s="18" t="str">
        <f>IF(OR(G450&gt;Answers!I465,G450&lt;Answers!I466),"Outlier","Normal")</f>
        <v>Outlier</v>
      </c>
      <c r="M450" s="18">
        <v>66</v>
      </c>
    </row>
    <row r="451" spans="1:13" ht="20" customHeight="1" x14ac:dyDescent="0.35">
      <c r="A451" s="17">
        <v>316858</v>
      </c>
      <c r="B451" s="18">
        <v>1140</v>
      </c>
      <c r="C451" s="23" t="s">
        <v>102</v>
      </c>
      <c r="D451" s="24">
        <v>45003.027083333334</v>
      </c>
      <c r="E451" s="18" t="s">
        <v>96</v>
      </c>
      <c r="F451" s="18" t="s">
        <v>71</v>
      </c>
      <c r="G451" s="18">
        <v>3160</v>
      </c>
      <c r="H451" s="25">
        <f t="shared" ref="H451:H514" si="28">INT(D451)</f>
        <v>45003</v>
      </c>
      <c r="I451" s="26">
        <f t="shared" ref="I451:I514" si="29">MOD(D451,1)</f>
        <v>2.7083333334303461E-2</v>
      </c>
      <c r="J451" s="18" t="str">
        <f t="shared" ref="J451:J514" si="30">TEXT(D451,"mmmm")</f>
        <v>March</v>
      </c>
      <c r="K451" s="56" t="str">
        <f t="shared" ref="K451:K514" si="31">TEXT(D451,"dddd")</f>
        <v>Saturday</v>
      </c>
      <c r="L451" s="18" t="str">
        <f>IF(OR(G451&gt;Answers!I466,G451&lt;Answers!I467),"Outlier","Normal")</f>
        <v>Outlier</v>
      </c>
      <c r="M451" s="18">
        <v>69</v>
      </c>
    </row>
    <row r="452" spans="1:13" ht="20" customHeight="1" x14ac:dyDescent="0.35">
      <c r="A452" s="17">
        <v>318630</v>
      </c>
      <c r="B452" s="18">
        <v>137</v>
      </c>
      <c r="C452" s="23" t="s">
        <v>113</v>
      </c>
      <c r="D452" s="24">
        <v>45029.973611111112</v>
      </c>
      <c r="E452" s="18" t="s">
        <v>133</v>
      </c>
      <c r="F452" s="18" t="s">
        <v>55</v>
      </c>
      <c r="G452" s="18">
        <v>9655</v>
      </c>
      <c r="H452" s="25">
        <f t="shared" si="28"/>
        <v>45029</v>
      </c>
      <c r="I452" s="26">
        <f t="shared" si="29"/>
        <v>0.97361111111240461</v>
      </c>
      <c r="J452" s="18" t="str">
        <f t="shared" si="30"/>
        <v>April</v>
      </c>
      <c r="K452" s="56" t="str">
        <f t="shared" si="31"/>
        <v>Thursday</v>
      </c>
      <c r="L452" s="18" t="str">
        <f>IF(OR(G452&gt;Answers!I467,G452&lt;Answers!I468),"Outlier","Normal")</f>
        <v>Outlier</v>
      </c>
      <c r="M452" s="18">
        <v>25</v>
      </c>
    </row>
    <row r="453" spans="1:13" ht="20" customHeight="1" x14ac:dyDescent="0.35">
      <c r="A453" s="17">
        <v>318961</v>
      </c>
      <c r="B453" s="18">
        <v>821</v>
      </c>
      <c r="C453" s="23" t="s">
        <v>107</v>
      </c>
      <c r="D453" s="24">
        <v>45055.051388888889</v>
      </c>
      <c r="E453" s="18" t="s">
        <v>98</v>
      </c>
      <c r="F453" s="18" t="s">
        <v>46</v>
      </c>
      <c r="G453" s="18">
        <v>7028</v>
      </c>
      <c r="H453" s="25">
        <f t="shared" si="28"/>
        <v>45055</v>
      </c>
      <c r="I453" s="26">
        <f t="shared" si="29"/>
        <v>5.1388888889050577E-2</v>
      </c>
      <c r="J453" s="18" t="str">
        <f t="shared" si="30"/>
        <v>May</v>
      </c>
      <c r="K453" s="56" t="str">
        <f t="shared" si="31"/>
        <v>Tuesday</v>
      </c>
      <c r="L453" s="18" t="str">
        <f>IF(OR(G453&gt;Answers!I468,G453&lt;Answers!I469),"Outlier","Normal")</f>
        <v>Outlier</v>
      </c>
      <c r="M453" s="18">
        <v>53</v>
      </c>
    </row>
    <row r="454" spans="1:13" ht="20" customHeight="1" x14ac:dyDescent="0.35">
      <c r="A454" s="17">
        <v>319587</v>
      </c>
      <c r="B454" s="18">
        <v>1505</v>
      </c>
      <c r="C454" s="23" t="s">
        <v>99</v>
      </c>
      <c r="D454" s="24">
        <v>45199.00277777778</v>
      </c>
      <c r="E454" s="18" t="s">
        <v>96</v>
      </c>
      <c r="F454" s="18" t="s">
        <v>82</v>
      </c>
      <c r="G454" s="18">
        <v>1648</v>
      </c>
      <c r="H454" s="25">
        <f t="shared" si="28"/>
        <v>45199</v>
      </c>
      <c r="I454" s="26">
        <f t="shared" si="29"/>
        <v>2.7777777795563452E-3</v>
      </c>
      <c r="J454" s="18" t="str">
        <f t="shared" si="30"/>
        <v>September</v>
      </c>
      <c r="K454" s="56" t="str">
        <f t="shared" si="31"/>
        <v>Saturday</v>
      </c>
      <c r="L454" s="18" t="str">
        <f>IF(OR(G454&gt;Answers!I469,G454&lt;Answers!I470),"Outlier","Normal")</f>
        <v>Outlier</v>
      </c>
      <c r="M454" s="18">
        <v>48</v>
      </c>
    </row>
    <row r="455" spans="1:13" ht="20" customHeight="1" x14ac:dyDescent="0.35">
      <c r="A455" s="17">
        <v>320251</v>
      </c>
      <c r="B455" s="18">
        <v>648</v>
      </c>
      <c r="C455" s="23" t="s">
        <v>104</v>
      </c>
      <c r="D455" s="24">
        <v>45241.069444444445</v>
      </c>
      <c r="E455" s="18" t="s">
        <v>97</v>
      </c>
      <c r="F455" s="18" t="s">
        <v>47</v>
      </c>
      <c r="G455" s="18">
        <v>8979</v>
      </c>
      <c r="H455" s="25">
        <f t="shared" si="28"/>
        <v>45241</v>
      </c>
      <c r="I455" s="26">
        <f t="shared" si="29"/>
        <v>6.9444444445252884E-2</v>
      </c>
      <c r="J455" s="18" t="str">
        <f t="shared" si="30"/>
        <v>November</v>
      </c>
      <c r="K455" s="56" t="str">
        <f t="shared" si="31"/>
        <v>Saturday</v>
      </c>
      <c r="L455" s="18" t="str">
        <f>IF(OR(G455&gt;Answers!I470,G455&lt;Answers!I471),"Outlier","Normal")</f>
        <v>Outlier</v>
      </c>
      <c r="M455" s="18">
        <v>34</v>
      </c>
    </row>
    <row r="456" spans="1:13" ht="20" customHeight="1" x14ac:dyDescent="0.35">
      <c r="A456" s="17">
        <v>320353</v>
      </c>
      <c r="B456" s="18">
        <v>173</v>
      </c>
      <c r="C456" s="23" t="s">
        <v>113</v>
      </c>
      <c r="D456" s="24">
        <v>45071.02847222222</v>
      </c>
      <c r="E456" s="18" t="s">
        <v>97</v>
      </c>
      <c r="F456" s="18" t="s">
        <v>11</v>
      </c>
      <c r="G456" s="18">
        <v>7229</v>
      </c>
      <c r="H456" s="25">
        <f t="shared" si="28"/>
        <v>45071</v>
      </c>
      <c r="I456" s="26">
        <f t="shared" si="29"/>
        <v>2.8472222220443655E-2</v>
      </c>
      <c r="J456" s="18" t="str">
        <f t="shared" si="30"/>
        <v>May</v>
      </c>
      <c r="K456" s="56" t="str">
        <f t="shared" si="31"/>
        <v>Thursday</v>
      </c>
      <c r="L456" s="18" t="str">
        <f>IF(OR(G456&gt;Answers!I471,G456&lt;Answers!I472),"Outlier","Normal")</f>
        <v>Outlier</v>
      </c>
      <c r="M456" s="18">
        <v>59</v>
      </c>
    </row>
    <row r="457" spans="1:13" ht="20" customHeight="1" x14ac:dyDescent="0.35">
      <c r="A457" s="17">
        <v>322784</v>
      </c>
      <c r="B457" s="18">
        <v>132</v>
      </c>
      <c r="C457" s="23" t="s">
        <v>105</v>
      </c>
      <c r="D457" s="24">
        <v>44928.972916666666</v>
      </c>
      <c r="E457" s="18" t="s">
        <v>133</v>
      </c>
      <c r="F457" s="18" t="s">
        <v>44</v>
      </c>
      <c r="G457" s="18">
        <v>5201</v>
      </c>
      <c r="H457" s="25">
        <f t="shared" si="28"/>
        <v>44928</v>
      </c>
      <c r="I457" s="26">
        <f t="shared" si="29"/>
        <v>0.97291666666569654</v>
      </c>
      <c r="J457" s="18" t="str">
        <f t="shared" si="30"/>
        <v>January</v>
      </c>
      <c r="K457" s="56" t="str">
        <f t="shared" si="31"/>
        <v>Monday</v>
      </c>
      <c r="L457" s="18" t="str">
        <f>IF(OR(G457&gt;Answers!I472,G457&lt;Answers!I473),"Outlier","Normal")</f>
        <v>Outlier</v>
      </c>
      <c r="M457" s="18">
        <v>50</v>
      </c>
    </row>
    <row r="458" spans="1:13" ht="20" customHeight="1" x14ac:dyDescent="0.35">
      <c r="A458" s="17">
        <v>323100</v>
      </c>
      <c r="B458" s="18">
        <v>867</v>
      </c>
      <c r="C458" s="23" t="s">
        <v>99</v>
      </c>
      <c r="D458" s="24">
        <v>45075.010416666664</v>
      </c>
      <c r="E458" s="18" t="s">
        <v>96</v>
      </c>
      <c r="F458" s="18" t="s">
        <v>78</v>
      </c>
      <c r="G458" s="18">
        <v>6684</v>
      </c>
      <c r="H458" s="25">
        <f t="shared" si="28"/>
        <v>45075</v>
      </c>
      <c r="I458" s="26">
        <f t="shared" si="29"/>
        <v>1.0416666664241347E-2</v>
      </c>
      <c r="J458" s="18" t="str">
        <f t="shared" si="30"/>
        <v>May</v>
      </c>
      <c r="K458" s="56" t="str">
        <f t="shared" si="31"/>
        <v>Monday</v>
      </c>
      <c r="L458" s="18" t="str">
        <f>IF(OR(G458&gt;Answers!I473,G458&lt;Answers!I474),"Outlier","Normal")</f>
        <v>Outlier</v>
      </c>
      <c r="M458" s="18">
        <v>76</v>
      </c>
    </row>
    <row r="459" spans="1:13" ht="20" customHeight="1" x14ac:dyDescent="0.35">
      <c r="A459" s="17">
        <v>325850</v>
      </c>
      <c r="B459" s="18">
        <v>166</v>
      </c>
      <c r="C459" s="23" t="s">
        <v>100</v>
      </c>
      <c r="D459" s="24">
        <v>45055.032638888886</v>
      </c>
      <c r="E459" s="18" t="s">
        <v>133</v>
      </c>
      <c r="F459" s="18" t="s">
        <v>27</v>
      </c>
      <c r="G459" s="18">
        <v>7311</v>
      </c>
      <c r="H459" s="25">
        <f t="shared" si="28"/>
        <v>45055</v>
      </c>
      <c r="I459" s="26">
        <f t="shared" si="29"/>
        <v>3.2638888886140194E-2</v>
      </c>
      <c r="J459" s="18" t="str">
        <f t="shared" si="30"/>
        <v>May</v>
      </c>
      <c r="K459" s="56" t="str">
        <f t="shared" si="31"/>
        <v>Tuesday</v>
      </c>
      <c r="L459" s="18" t="str">
        <f>IF(OR(G459&gt;Answers!I474,G459&lt;Answers!I475),"Outlier","Normal")</f>
        <v>Outlier</v>
      </c>
      <c r="M459" s="18">
        <v>27</v>
      </c>
    </row>
    <row r="460" spans="1:13" ht="20" customHeight="1" x14ac:dyDescent="0.35">
      <c r="A460" s="17">
        <v>325939</v>
      </c>
      <c r="B460" s="18">
        <v>1285</v>
      </c>
      <c r="C460" s="23" t="s">
        <v>105</v>
      </c>
      <c r="D460" s="24">
        <v>45284.953472222223</v>
      </c>
      <c r="E460" s="18" t="s">
        <v>133</v>
      </c>
      <c r="F460" s="18" t="s">
        <v>73</v>
      </c>
      <c r="G460" s="18">
        <v>4569</v>
      </c>
      <c r="H460" s="25">
        <f t="shared" si="28"/>
        <v>45284</v>
      </c>
      <c r="I460" s="26">
        <f t="shared" si="29"/>
        <v>0.95347222222335404</v>
      </c>
      <c r="J460" s="18" t="str">
        <f t="shared" si="30"/>
        <v>December</v>
      </c>
      <c r="K460" s="56" t="str">
        <f t="shared" si="31"/>
        <v>Sunday</v>
      </c>
      <c r="L460" s="18" t="str">
        <f>IF(OR(G460&gt;Answers!I475,G460&lt;Answers!I476),"Outlier","Normal")</f>
        <v>Outlier</v>
      </c>
      <c r="M460" s="18">
        <v>56</v>
      </c>
    </row>
    <row r="461" spans="1:13" ht="20" customHeight="1" x14ac:dyDescent="0.35">
      <c r="A461" s="17">
        <v>327243</v>
      </c>
      <c r="B461" s="18">
        <v>595</v>
      </c>
      <c r="C461" s="23" t="s">
        <v>99</v>
      </c>
      <c r="D461" s="24">
        <v>45054.037499999999</v>
      </c>
      <c r="E461" s="18" t="s">
        <v>96</v>
      </c>
      <c r="F461" s="18" t="s">
        <v>48</v>
      </c>
      <c r="G461" s="18">
        <v>8969</v>
      </c>
      <c r="H461" s="25">
        <f t="shared" si="28"/>
        <v>45054</v>
      </c>
      <c r="I461" s="26">
        <f t="shared" si="29"/>
        <v>3.7499999998544808E-2</v>
      </c>
      <c r="J461" s="18" t="str">
        <f t="shared" si="30"/>
        <v>May</v>
      </c>
      <c r="K461" s="56" t="str">
        <f t="shared" si="31"/>
        <v>Monday</v>
      </c>
      <c r="L461" s="18" t="str">
        <f>IF(OR(G461&gt;Answers!I476,G461&lt;Answers!I477),"Outlier","Normal")</f>
        <v>Outlier</v>
      </c>
      <c r="M461" s="18">
        <v>90</v>
      </c>
    </row>
    <row r="462" spans="1:13" ht="20" customHeight="1" x14ac:dyDescent="0.35">
      <c r="A462" s="17">
        <v>327268</v>
      </c>
      <c r="B462" s="18">
        <v>1038</v>
      </c>
      <c r="C462" s="23" t="s">
        <v>100</v>
      </c>
      <c r="D462" s="24">
        <v>45236.051388888889</v>
      </c>
      <c r="E462" s="18" t="s">
        <v>98</v>
      </c>
      <c r="F462" s="18" t="s">
        <v>26</v>
      </c>
      <c r="G462" s="18">
        <v>6977</v>
      </c>
      <c r="H462" s="25">
        <f t="shared" si="28"/>
        <v>45236</v>
      </c>
      <c r="I462" s="26">
        <f t="shared" si="29"/>
        <v>5.1388888889050577E-2</v>
      </c>
      <c r="J462" s="18" t="str">
        <f t="shared" si="30"/>
        <v>November</v>
      </c>
      <c r="K462" s="56" t="str">
        <f t="shared" si="31"/>
        <v>Monday</v>
      </c>
      <c r="L462" s="18" t="str">
        <f>IF(OR(G462&gt;Answers!I477,G462&lt;Answers!I478),"Outlier","Normal")</f>
        <v>Outlier</v>
      </c>
      <c r="M462" s="18">
        <v>32</v>
      </c>
    </row>
    <row r="463" spans="1:13" ht="20" customHeight="1" x14ac:dyDescent="0.35">
      <c r="A463" s="17">
        <v>328597</v>
      </c>
      <c r="B463" s="18">
        <v>221</v>
      </c>
      <c r="C463" s="23" t="s">
        <v>101</v>
      </c>
      <c r="D463" s="24">
        <v>45205.073611111111</v>
      </c>
      <c r="E463" s="18" t="s">
        <v>133</v>
      </c>
      <c r="F463" s="18" t="s">
        <v>74</v>
      </c>
      <c r="G463" s="18">
        <v>5537</v>
      </c>
      <c r="H463" s="25">
        <f t="shared" si="28"/>
        <v>45205</v>
      </c>
      <c r="I463" s="26">
        <f t="shared" si="29"/>
        <v>7.3611111110949423E-2</v>
      </c>
      <c r="J463" s="18" t="str">
        <f t="shared" si="30"/>
        <v>October</v>
      </c>
      <c r="K463" s="56" t="str">
        <f t="shared" si="31"/>
        <v>Friday</v>
      </c>
      <c r="L463" s="18" t="str">
        <f>IF(OR(G463&gt;Answers!I478,G463&lt;Answers!I479),"Outlier","Normal")</f>
        <v>Outlier</v>
      </c>
      <c r="M463" s="18">
        <v>64</v>
      </c>
    </row>
    <row r="464" spans="1:13" ht="20" customHeight="1" x14ac:dyDescent="0.35">
      <c r="A464" s="17">
        <v>329474</v>
      </c>
      <c r="B464" s="18">
        <v>1133</v>
      </c>
      <c r="C464" s="23" t="s">
        <v>113</v>
      </c>
      <c r="D464" s="24">
        <v>45268.022222222222</v>
      </c>
      <c r="E464" s="18" t="s">
        <v>98</v>
      </c>
      <c r="F464" s="18" t="s">
        <v>88</v>
      </c>
      <c r="G464" s="18">
        <v>7243</v>
      </c>
      <c r="H464" s="25">
        <f t="shared" si="28"/>
        <v>45268</v>
      </c>
      <c r="I464" s="26">
        <f t="shared" si="29"/>
        <v>2.2222222221898846E-2</v>
      </c>
      <c r="J464" s="18" t="str">
        <f t="shared" si="30"/>
        <v>December</v>
      </c>
      <c r="K464" s="56" t="str">
        <f t="shared" si="31"/>
        <v>Friday</v>
      </c>
      <c r="L464" s="18" t="str">
        <f>IF(OR(G464&gt;Answers!I479,G464&lt;Answers!I480),"Outlier","Normal")</f>
        <v>Outlier</v>
      </c>
      <c r="M464" s="18">
        <v>59</v>
      </c>
    </row>
    <row r="465" spans="1:13" ht="20" customHeight="1" x14ac:dyDescent="0.35">
      <c r="A465" s="17">
        <v>331297</v>
      </c>
      <c r="B465" s="18">
        <v>1595</v>
      </c>
      <c r="C465" s="23" t="s">
        <v>99</v>
      </c>
      <c r="D465" s="24">
        <v>45002.011111111111</v>
      </c>
      <c r="E465" s="18" t="s">
        <v>97</v>
      </c>
      <c r="F465" s="18" t="s">
        <v>73</v>
      </c>
      <c r="G465" s="18">
        <v>7756</v>
      </c>
      <c r="H465" s="25">
        <f t="shared" si="28"/>
        <v>45002</v>
      </c>
      <c r="I465" s="26">
        <f t="shared" si="29"/>
        <v>1.1111111110949423E-2</v>
      </c>
      <c r="J465" s="18" t="str">
        <f t="shared" si="30"/>
        <v>March</v>
      </c>
      <c r="K465" s="56" t="str">
        <f t="shared" si="31"/>
        <v>Friday</v>
      </c>
      <c r="L465" s="18" t="str">
        <f>IF(OR(G465&gt;Answers!I480,G465&lt;Answers!I481),"Outlier","Normal")</f>
        <v>Outlier</v>
      </c>
      <c r="M465" s="18">
        <v>67</v>
      </c>
    </row>
    <row r="466" spans="1:13" ht="20" customHeight="1" x14ac:dyDescent="0.35">
      <c r="A466" s="17">
        <v>331797</v>
      </c>
      <c r="B466" s="18">
        <v>1190</v>
      </c>
      <c r="C466" s="23" t="s">
        <v>103</v>
      </c>
      <c r="D466" s="24">
        <v>45214.073611111111</v>
      </c>
      <c r="E466" s="18" t="s">
        <v>133</v>
      </c>
      <c r="F466" s="18" t="s">
        <v>89</v>
      </c>
      <c r="G466" s="18">
        <v>5185</v>
      </c>
      <c r="H466" s="25">
        <f t="shared" si="28"/>
        <v>45214</v>
      </c>
      <c r="I466" s="26">
        <f t="shared" si="29"/>
        <v>7.3611111110949423E-2</v>
      </c>
      <c r="J466" s="18" t="str">
        <f t="shared" si="30"/>
        <v>October</v>
      </c>
      <c r="K466" s="56" t="str">
        <f t="shared" si="31"/>
        <v>Sunday</v>
      </c>
      <c r="L466" s="18" t="str">
        <f>IF(OR(G466&gt;Answers!I481,G466&lt;Answers!I482),"Outlier","Normal")</f>
        <v>Outlier</v>
      </c>
      <c r="M466" s="18">
        <v>50</v>
      </c>
    </row>
    <row r="467" spans="1:13" ht="20" customHeight="1" x14ac:dyDescent="0.35">
      <c r="A467" s="17">
        <v>332513</v>
      </c>
      <c r="B467" s="18">
        <v>164</v>
      </c>
      <c r="C467" s="23" t="s">
        <v>99</v>
      </c>
      <c r="D467" s="24">
        <v>45002.052777777775</v>
      </c>
      <c r="E467" s="18" t="s">
        <v>97</v>
      </c>
      <c r="F467" s="18" t="s">
        <v>72</v>
      </c>
      <c r="G467" s="18">
        <v>9265</v>
      </c>
      <c r="H467" s="25">
        <f t="shared" si="28"/>
        <v>45002</v>
      </c>
      <c r="I467" s="26">
        <f t="shared" si="29"/>
        <v>5.2777777775190771E-2</v>
      </c>
      <c r="J467" s="18" t="str">
        <f t="shared" si="30"/>
        <v>March</v>
      </c>
      <c r="K467" s="56" t="str">
        <f t="shared" si="31"/>
        <v>Friday</v>
      </c>
      <c r="L467" s="18" t="str">
        <f>IF(OR(G467&gt;Answers!I482,G467&lt;Answers!I483),"Outlier","Normal")</f>
        <v>Outlier</v>
      </c>
      <c r="M467" s="18">
        <v>36</v>
      </c>
    </row>
    <row r="468" spans="1:13" ht="20" customHeight="1" x14ac:dyDescent="0.35">
      <c r="A468" s="17">
        <v>333900</v>
      </c>
      <c r="B468" s="18">
        <v>629</v>
      </c>
      <c r="C468" s="23" t="s">
        <v>99</v>
      </c>
      <c r="D468" s="24">
        <v>45242.047222222223</v>
      </c>
      <c r="E468" s="18" t="s">
        <v>96</v>
      </c>
      <c r="F468" s="18" t="s">
        <v>25</v>
      </c>
      <c r="G468" s="18">
        <v>8694</v>
      </c>
      <c r="H468" s="25">
        <f t="shared" si="28"/>
        <v>45242</v>
      </c>
      <c r="I468" s="26">
        <f t="shared" si="29"/>
        <v>4.7222222223354038E-2</v>
      </c>
      <c r="J468" s="18" t="str">
        <f t="shared" si="30"/>
        <v>November</v>
      </c>
      <c r="K468" s="56" t="str">
        <f t="shared" si="31"/>
        <v>Sunday</v>
      </c>
      <c r="L468" s="18" t="str">
        <f>IF(OR(G468&gt;Answers!I483,G468&lt;Answers!I484),"Outlier","Normal")</f>
        <v>Outlier</v>
      </c>
      <c r="M468" s="18">
        <v>82</v>
      </c>
    </row>
    <row r="469" spans="1:13" ht="20" customHeight="1" x14ac:dyDescent="0.35">
      <c r="A469" s="17">
        <v>334028</v>
      </c>
      <c r="B469" s="18">
        <v>323</v>
      </c>
      <c r="C469" s="23" t="s">
        <v>100</v>
      </c>
      <c r="D469" s="24">
        <v>45114.056250000001</v>
      </c>
      <c r="E469" s="18" t="s">
        <v>97</v>
      </c>
      <c r="F469" s="18" t="s">
        <v>49</v>
      </c>
      <c r="G469" s="18">
        <v>9365</v>
      </c>
      <c r="H469" s="25">
        <f t="shared" si="28"/>
        <v>45114</v>
      </c>
      <c r="I469" s="26">
        <f t="shared" si="29"/>
        <v>5.6250000001455192E-2</v>
      </c>
      <c r="J469" s="18" t="str">
        <f t="shared" si="30"/>
        <v>July</v>
      </c>
      <c r="K469" s="56" t="str">
        <f t="shared" si="31"/>
        <v>Friday</v>
      </c>
      <c r="L469" s="18" t="str">
        <f>IF(OR(G469&gt;Answers!I484,G469&lt;Answers!I485),"Outlier","Normal")</f>
        <v>Outlier</v>
      </c>
      <c r="M469" s="18">
        <v>49</v>
      </c>
    </row>
    <row r="470" spans="1:13" ht="20" customHeight="1" x14ac:dyDescent="0.35">
      <c r="A470" s="17">
        <v>335011</v>
      </c>
      <c r="B470" s="18">
        <v>1188</v>
      </c>
      <c r="C470" s="23" t="s">
        <v>99</v>
      </c>
      <c r="D470" s="24">
        <v>45257.988194444442</v>
      </c>
      <c r="E470" s="18" t="s">
        <v>97</v>
      </c>
      <c r="F470" s="18" t="s">
        <v>14</v>
      </c>
      <c r="G470" s="18">
        <v>4882</v>
      </c>
      <c r="H470" s="25">
        <f t="shared" si="28"/>
        <v>45257</v>
      </c>
      <c r="I470" s="26">
        <f t="shared" si="29"/>
        <v>0.9881944444423425</v>
      </c>
      <c r="J470" s="18" t="str">
        <f t="shared" si="30"/>
        <v>November</v>
      </c>
      <c r="K470" s="56" t="str">
        <f t="shared" si="31"/>
        <v>Monday</v>
      </c>
      <c r="L470" s="18" t="str">
        <f>IF(OR(G470&gt;Answers!I485,G470&lt;Answers!I486),"Outlier","Normal")</f>
        <v>Outlier</v>
      </c>
      <c r="M470" s="18">
        <v>89</v>
      </c>
    </row>
    <row r="471" spans="1:13" ht="20" customHeight="1" x14ac:dyDescent="0.35">
      <c r="A471" s="17">
        <v>336670</v>
      </c>
      <c r="B471" s="18">
        <v>1963</v>
      </c>
      <c r="C471" s="23" t="s">
        <v>101</v>
      </c>
      <c r="D471" s="24">
        <v>45116.055555555555</v>
      </c>
      <c r="E471" s="18" t="s">
        <v>98</v>
      </c>
      <c r="F471" s="18" t="s">
        <v>6</v>
      </c>
      <c r="G471" s="18">
        <v>7178</v>
      </c>
      <c r="H471" s="25">
        <f t="shared" si="28"/>
        <v>45116</v>
      </c>
      <c r="I471" s="26">
        <f t="shared" si="29"/>
        <v>5.5555555554747116E-2</v>
      </c>
      <c r="J471" s="18" t="str">
        <f t="shared" si="30"/>
        <v>July</v>
      </c>
      <c r="K471" s="56" t="str">
        <f t="shared" si="31"/>
        <v>Sunday</v>
      </c>
      <c r="L471" s="18" t="str">
        <f>IF(OR(G471&gt;Answers!I486,G471&lt;Answers!I487),"Outlier","Normal")</f>
        <v>Outlier</v>
      </c>
      <c r="M471" s="18">
        <v>25</v>
      </c>
    </row>
    <row r="472" spans="1:13" ht="20" customHeight="1" x14ac:dyDescent="0.35">
      <c r="A472" s="17">
        <v>337678</v>
      </c>
      <c r="B472" s="18">
        <v>231</v>
      </c>
      <c r="C472" s="23" t="s">
        <v>99</v>
      </c>
      <c r="D472" s="24">
        <v>45102.007638888892</v>
      </c>
      <c r="E472" s="18" t="s">
        <v>98</v>
      </c>
      <c r="F472" s="18" t="s">
        <v>54</v>
      </c>
      <c r="G472" s="18">
        <v>6888</v>
      </c>
      <c r="H472" s="25">
        <f t="shared" si="28"/>
        <v>45102</v>
      </c>
      <c r="I472" s="26">
        <f t="shared" si="29"/>
        <v>7.6388888919609599E-3</v>
      </c>
      <c r="J472" s="18" t="str">
        <f t="shared" si="30"/>
        <v>June</v>
      </c>
      <c r="K472" s="56" t="str">
        <f t="shared" si="31"/>
        <v>Sunday</v>
      </c>
      <c r="L472" s="18" t="str">
        <f>IF(OR(G472&gt;Answers!I487,G472&lt;Answers!I488),"Outlier","Normal")</f>
        <v>Outlier</v>
      </c>
      <c r="M472" s="18">
        <v>41</v>
      </c>
    </row>
    <row r="473" spans="1:13" ht="20" customHeight="1" x14ac:dyDescent="0.35">
      <c r="A473" s="17">
        <v>338433</v>
      </c>
      <c r="B473" s="18">
        <v>1583</v>
      </c>
      <c r="C473" s="23" t="s">
        <v>106</v>
      </c>
      <c r="D473" s="24">
        <v>45066.979861111111</v>
      </c>
      <c r="E473" s="18" t="s">
        <v>133</v>
      </c>
      <c r="F473" s="18" t="s">
        <v>20</v>
      </c>
      <c r="G473" s="18">
        <v>2588</v>
      </c>
      <c r="H473" s="25">
        <f t="shared" si="28"/>
        <v>45066</v>
      </c>
      <c r="I473" s="26">
        <f t="shared" si="29"/>
        <v>0.97986111111094942</v>
      </c>
      <c r="J473" s="18" t="str">
        <f t="shared" si="30"/>
        <v>May</v>
      </c>
      <c r="K473" s="56" t="str">
        <f t="shared" si="31"/>
        <v>Saturday</v>
      </c>
      <c r="L473" s="18" t="str">
        <f>IF(OR(G473&gt;Answers!I488,G473&lt;Answers!I489),"Outlier","Normal")</f>
        <v>Outlier</v>
      </c>
      <c r="M473" s="18">
        <v>73</v>
      </c>
    </row>
    <row r="474" spans="1:13" ht="20" customHeight="1" x14ac:dyDescent="0.35">
      <c r="A474" s="17">
        <v>338722</v>
      </c>
      <c r="B474" s="18">
        <v>1401</v>
      </c>
      <c r="C474" s="23" t="s">
        <v>102</v>
      </c>
      <c r="D474" s="24">
        <v>45109.044444444444</v>
      </c>
      <c r="E474" s="18" t="s">
        <v>96</v>
      </c>
      <c r="F474" s="18" t="s">
        <v>43</v>
      </c>
      <c r="G474" s="18">
        <v>8554</v>
      </c>
      <c r="H474" s="25">
        <f t="shared" si="28"/>
        <v>45109</v>
      </c>
      <c r="I474" s="26">
        <f t="shared" si="29"/>
        <v>4.4444444443797693E-2</v>
      </c>
      <c r="J474" s="18" t="str">
        <f t="shared" si="30"/>
        <v>July</v>
      </c>
      <c r="K474" s="56" t="str">
        <f t="shared" si="31"/>
        <v>Sunday</v>
      </c>
      <c r="L474" s="18" t="str">
        <f>IF(OR(G474&gt;Answers!I489,G474&lt;Answers!I490),"Outlier","Normal")</f>
        <v>Outlier</v>
      </c>
      <c r="M474" s="18">
        <v>53</v>
      </c>
    </row>
    <row r="475" spans="1:13" ht="20" customHeight="1" x14ac:dyDescent="0.35">
      <c r="A475" s="17">
        <v>339088</v>
      </c>
      <c r="B475" s="18">
        <v>904</v>
      </c>
      <c r="C475" s="23" t="s">
        <v>113</v>
      </c>
      <c r="D475" s="24">
        <v>45138.03402777778</v>
      </c>
      <c r="E475" s="18" t="s">
        <v>97</v>
      </c>
      <c r="F475" s="18" t="s">
        <v>52</v>
      </c>
      <c r="G475" s="18">
        <v>4909</v>
      </c>
      <c r="H475" s="25">
        <f t="shared" si="28"/>
        <v>45138</v>
      </c>
      <c r="I475" s="26">
        <f t="shared" si="29"/>
        <v>3.4027777779556345E-2</v>
      </c>
      <c r="J475" s="18" t="str">
        <f t="shared" si="30"/>
        <v>July</v>
      </c>
      <c r="K475" s="56" t="str">
        <f t="shared" si="31"/>
        <v>Monday</v>
      </c>
      <c r="L475" s="18" t="str">
        <f>IF(OR(G475&gt;Answers!I490,G475&lt;Answers!I491),"Outlier","Normal")</f>
        <v>Outlier</v>
      </c>
      <c r="M475" s="18">
        <v>34</v>
      </c>
    </row>
    <row r="476" spans="1:13" ht="20" customHeight="1" x14ac:dyDescent="0.35">
      <c r="A476" s="17">
        <v>340986</v>
      </c>
      <c r="B476" s="18">
        <v>1570</v>
      </c>
      <c r="C476" s="23" t="s">
        <v>99</v>
      </c>
      <c r="D476" s="24">
        <v>45191.98333333333</v>
      </c>
      <c r="E476" s="18" t="s">
        <v>133</v>
      </c>
      <c r="F476" s="18" t="s">
        <v>23</v>
      </c>
      <c r="G476" s="18">
        <v>3502</v>
      </c>
      <c r="H476" s="25">
        <f t="shared" si="28"/>
        <v>45191</v>
      </c>
      <c r="I476" s="26">
        <f t="shared" si="29"/>
        <v>0.98333333332993789</v>
      </c>
      <c r="J476" s="18" t="str">
        <f t="shared" si="30"/>
        <v>September</v>
      </c>
      <c r="K476" s="56" t="str">
        <f t="shared" si="31"/>
        <v>Friday</v>
      </c>
      <c r="L476" s="18" t="str">
        <f>IF(OR(G476&gt;Answers!I491,G476&lt;Answers!I492),"Outlier","Normal")</f>
        <v>Outlier</v>
      </c>
      <c r="M476" s="18">
        <v>46</v>
      </c>
    </row>
    <row r="477" spans="1:13" ht="20" customHeight="1" x14ac:dyDescent="0.35">
      <c r="A477" s="17">
        <v>341171</v>
      </c>
      <c r="B477" s="18">
        <v>1438</v>
      </c>
      <c r="C477" s="23" t="s">
        <v>106</v>
      </c>
      <c r="D477" s="24">
        <v>45231.077777777777</v>
      </c>
      <c r="E477" s="18" t="s">
        <v>97</v>
      </c>
      <c r="F477" s="18" t="s">
        <v>15</v>
      </c>
      <c r="G477" s="18">
        <v>1596</v>
      </c>
      <c r="H477" s="25">
        <f t="shared" si="28"/>
        <v>45231</v>
      </c>
      <c r="I477" s="26">
        <f t="shared" si="29"/>
        <v>7.7777777776645962E-2</v>
      </c>
      <c r="J477" s="18" t="str">
        <f t="shared" si="30"/>
        <v>November</v>
      </c>
      <c r="K477" s="56" t="str">
        <f t="shared" si="31"/>
        <v>Wednesday</v>
      </c>
      <c r="L477" s="18" t="str">
        <f>IF(OR(G477&gt;Answers!I492,G477&lt;Answers!I493),"Outlier","Normal")</f>
        <v>Outlier</v>
      </c>
      <c r="M477" s="18">
        <v>35</v>
      </c>
    </row>
    <row r="478" spans="1:13" ht="20" customHeight="1" x14ac:dyDescent="0.35">
      <c r="A478" s="17">
        <v>341522</v>
      </c>
      <c r="B478" s="18">
        <v>1268</v>
      </c>
      <c r="C478" s="23" t="s">
        <v>99</v>
      </c>
      <c r="D478" s="24">
        <v>45150.023611111108</v>
      </c>
      <c r="E478" s="18" t="s">
        <v>133</v>
      </c>
      <c r="F478" s="18" t="s">
        <v>12</v>
      </c>
      <c r="G478" s="18">
        <v>1649</v>
      </c>
      <c r="H478" s="25">
        <f t="shared" si="28"/>
        <v>45150</v>
      </c>
      <c r="I478" s="26">
        <f t="shared" si="29"/>
        <v>2.361111110803904E-2</v>
      </c>
      <c r="J478" s="18" t="str">
        <f t="shared" si="30"/>
        <v>August</v>
      </c>
      <c r="K478" s="56" t="str">
        <f t="shared" si="31"/>
        <v>Saturday</v>
      </c>
      <c r="L478" s="18" t="str">
        <f>IF(OR(G478&gt;Answers!I493,G478&lt;Answers!I494),"Outlier","Normal")</f>
        <v>Outlier</v>
      </c>
      <c r="M478" s="18">
        <v>48</v>
      </c>
    </row>
    <row r="479" spans="1:13" ht="20" customHeight="1" x14ac:dyDescent="0.35">
      <c r="A479" s="17">
        <v>341838</v>
      </c>
      <c r="B479" s="18">
        <v>1367</v>
      </c>
      <c r="C479" s="23" t="s">
        <v>107</v>
      </c>
      <c r="D479" s="24">
        <v>45248.067361111112</v>
      </c>
      <c r="E479" s="18" t="s">
        <v>98</v>
      </c>
      <c r="F479" s="18" t="s">
        <v>14</v>
      </c>
      <c r="G479" s="18">
        <v>7477</v>
      </c>
      <c r="H479" s="25">
        <f t="shared" si="28"/>
        <v>45248</v>
      </c>
      <c r="I479" s="26">
        <f t="shared" si="29"/>
        <v>6.7361111112404615E-2</v>
      </c>
      <c r="J479" s="18" t="str">
        <f t="shared" si="30"/>
        <v>November</v>
      </c>
      <c r="K479" s="56" t="str">
        <f t="shared" si="31"/>
        <v>Saturday</v>
      </c>
      <c r="L479" s="18" t="str">
        <f>IF(OR(G479&gt;Answers!I494,G479&lt;Answers!I495),"Outlier","Normal")</f>
        <v>Outlier</v>
      </c>
      <c r="M479" s="18">
        <v>25</v>
      </c>
    </row>
    <row r="480" spans="1:13" ht="20" customHeight="1" x14ac:dyDescent="0.35">
      <c r="A480" s="17">
        <v>341843</v>
      </c>
      <c r="B480" s="18">
        <v>1121</v>
      </c>
      <c r="C480" s="23" t="s">
        <v>113</v>
      </c>
      <c r="D480" s="24">
        <v>45075.005555555559</v>
      </c>
      <c r="E480" s="18" t="s">
        <v>96</v>
      </c>
      <c r="F480" s="18" t="s">
        <v>24</v>
      </c>
      <c r="G480" s="18">
        <v>863</v>
      </c>
      <c r="H480" s="25">
        <f t="shared" si="28"/>
        <v>45075</v>
      </c>
      <c r="I480" s="26">
        <f t="shared" si="29"/>
        <v>5.5555555591126904E-3</v>
      </c>
      <c r="J480" s="18" t="str">
        <f t="shared" si="30"/>
        <v>May</v>
      </c>
      <c r="K480" s="56" t="str">
        <f t="shared" si="31"/>
        <v>Monday</v>
      </c>
      <c r="L480" s="18" t="str">
        <f>IF(OR(G480&gt;Answers!I495,G480&lt;Answers!I496),"Outlier","Normal")</f>
        <v>Outlier</v>
      </c>
      <c r="M480" s="18">
        <v>51</v>
      </c>
    </row>
    <row r="481" spans="1:13" ht="20" customHeight="1" x14ac:dyDescent="0.35">
      <c r="A481" s="17">
        <v>342057</v>
      </c>
      <c r="B481" s="18">
        <v>1152</v>
      </c>
      <c r="C481" s="23" t="s">
        <v>105</v>
      </c>
      <c r="D481" s="24">
        <v>45081.036805555559</v>
      </c>
      <c r="E481" s="18" t="s">
        <v>96</v>
      </c>
      <c r="F481" s="18" t="s">
        <v>86</v>
      </c>
      <c r="G481" s="18">
        <v>9941</v>
      </c>
      <c r="H481" s="25">
        <f t="shared" si="28"/>
        <v>45081</v>
      </c>
      <c r="I481" s="26">
        <f t="shared" si="29"/>
        <v>3.680555555911269E-2</v>
      </c>
      <c r="J481" s="18" t="str">
        <f t="shared" si="30"/>
        <v>June</v>
      </c>
      <c r="K481" s="56" t="str">
        <f t="shared" si="31"/>
        <v>Sunday</v>
      </c>
      <c r="L481" s="18" t="str">
        <f>IF(OR(G481&gt;Answers!I496,G481&lt;Answers!I497),"Outlier","Normal")</f>
        <v>Outlier</v>
      </c>
      <c r="M481" s="18">
        <v>67</v>
      </c>
    </row>
    <row r="482" spans="1:13" ht="20" customHeight="1" x14ac:dyDescent="0.35">
      <c r="A482" s="17">
        <v>342826</v>
      </c>
      <c r="B482" s="18">
        <v>1486</v>
      </c>
      <c r="C482" s="23" t="s">
        <v>99</v>
      </c>
      <c r="D482" s="24">
        <v>45097.939583333333</v>
      </c>
      <c r="E482" s="18" t="s">
        <v>96</v>
      </c>
      <c r="F482" s="18" t="s">
        <v>8</v>
      </c>
      <c r="G482" s="18">
        <v>3861</v>
      </c>
      <c r="H482" s="25">
        <f t="shared" si="28"/>
        <v>45097</v>
      </c>
      <c r="I482" s="26">
        <f t="shared" si="29"/>
        <v>0.93958333333284827</v>
      </c>
      <c r="J482" s="18" t="str">
        <f t="shared" si="30"/>
        <v>June</v>
      </c>
      <c r="K482" s="56" t="str">
        <f t="shared" si="31"/>
        <v>Tuesday</v>
      </c>
      <c r="L482" s="18" t="str">
        <f>IF(OR(G482&gt;Answers!I497,G482&lt;Answers!I498),"Outlier","Normal")</f>
        <v>Outlier</v>
      </c>
      <c r="M482" s="18">
        <v>30</v>
      </c>
    </row>
    <row r="483" spans="1:13" ht="20" customHeight="1" x14ac:dyDescent="0.35">
      <c r="A483" s="17">
        <v>343003</v>
      </c>
      <c r="B483" s="18">
        <v>1880</v>
      </c>
      <c r="C483" s="23" t="s">
        <v>105</v>
      </c>
      <c r="D483" s="24">
        <v>44976.052777777775</v>
      </c>
      <c r="E483" s="18" t="s">
        <v>98</v>
      </c>
      <c r="F483" s="18" t="s">
        <v>90</v>
      </c>
      <c r="G483" s="18">
        <v>7628</v>
      </c>
      <c r="H483" s="25">
        <f t="shared" si="28"/>
        <v>44976</v>
      </c>
      <c r="I483" s="26">
        <f t="shared" si="29"/>
        <v>5.2777777775190771E-2</v>
      </c>
      <c r="J483" s="18" t="str">
        <f t="shared" si="30"/>
        <v>February</v>
      </c>
      <c r="K483" s="56" t="str">
        <f t="shared" si="31"/>
        <v>Sunday</v>
      </c>
      <c r="L483" s="18" t="str">
        <f>IF(OR(G483&gt;Answers!I498,G483&lt;Answers!I499),"Outlier","Normal")</f>
        <v>Outlier</v>
      </c>
      <c r="M483" s="18">
        <v>73</v>
      </c>
    </row>
    <row r="484" spans="1:13" ht="20" customHeight="1" x14ac:dyDescent="0.35">
      <c r="A484" s="17">
        <v>344182</v>
      </c>
      <c r="B484" s="18">
        <v>519</v>
      </c>
      <c r="C484" s="23" t="s">
        <v>100</v>
      </c>
      <c r="D484" s="24">
        <v>45127.04791666667</v>
      </c>
      <c r="E484" s="18" t="s">
        <v>96</v>
      </c>
      <c r="F484" s="18" t="s">
        <v>43</v>
      </c>
      <c r="G484" s="18">
        <v>9637</v>
      </c>
      <c r="H484" s="25">
        <f t="shared" si="28"/>
        <v>45127</v>
      </c>
      <c r="I484" s="26">
        <f t="shared" si="29"/>
        <v>4.7916666670062114E-2</v>
      </c>
      <c r="J484" s="18" t="str">
        <f t="shared" si="30"/>
        <v>July</v>
      </c>
      <c r="K484" s="56" t="str">
        <f t="shared" si="31"/>
        <v>Thursday</v>
      </c>
      <c r="L484" s="18" t="str">
        <f>IF(OR(G484&gt;Answers!I499,G484&lt;Answers!I500),"Outlier","Normal")</f>
        <v>Outlier</v>
      </c>
      <c r="M484" s="18">
        <v>70</v>
      </c>
    </row>
    <row r="485" spans="1:13" ht="20" customHeight="1" x14ac:dyDescent="0.35">
      <c r="A485" s="17">
        <v>347036</v>
      </c>
      <c r="B485" s="18">
        <v>1424</v>
      </c>
      <c r="C485" s="23" t="s">
        <v>105</v>
      </c>
      <c r="D485" s="24">
        <v>44971.949305555558</v>
      </c>
      <c r="E485" s="18" t="s">
        <v>98</v>
      </c>
      <c r="F485" s="18" t="s">
        <v>91</v>
      </c>
      <c r="G485" s="18">
        <v>1632</v>
      </c>
      <c r="H485" s="25">
        <f t="shared" si="28"/>
        <v>44971</v>
      </c>
      <c r="I485" s="26">
        <f t="shared" si="29"/>
        <v>0.9493055555576575</v>
      </c>
      <c r="J485" s="18" t="str">
        <f t="shared" si="30"/>
        <v>February</v>
      </c>
      <c r="K485" s="56" t="str">
        <f t="shared" si="31"/>
        <v>Tuesday</v>
      </c>
      <c r="L485" s="18" t="str">
        <f>IF(OR(G485&gt;Answers!I500,G485&lt;Answers!I501),"Outlier","Normal")</f>
        <v>Outlier</v>
      </c>
      <c r="M485" s="18">
        <v>39</v>
      </c>
    </row>
    <row r="486" spans="1:13" ht="20" customHeight="1" x14ac:dyDescent="0.35">
      <c r="A486" s="17">
        <v>347243</v>
      </c>
      <c r="B486" s="18">
        <v>470</v>
      </c>
      <c r="C486" s="23" t="s">
        <v>99</v>
      </c>
      <c r="D486" s="24">
        <v>45079.990972222222</v>
      </c>
      <c r="E486" s="18" t="s">
        <v>98</v>
      </c>
      <c r="F486" s="18" t="s">
        <v>27</v>
      </c>
      <c r="G486" s="18">
        <v>5127</v>
      </c>
      <c r="H486" s="25">
        <f t="shared" si="28"/>
        <v>45079</v>
      </c>
      <c r="I486" s="26">
        <f t="shared" si="29"/>
        <v>0.99097222222189885</v>
      </c>
      <c r="J486" s="18" t="str">
        <f t="shared" si="30"/>
        <v>June</v>
      </c>
      <c r="K486" s="56" t="str">
        <f t="shared" si="31"/>
        <v>Friday</v>
      </c>
      <c r="L486" s="18" t="str">
        <f>IF(OR(G486&gt;Answers!I501,G486&lt;Answers!I502),"Outlier","Normal")</f>
        <v>Outlier</v>
      </c>
      <c r="M486" s="18">
        <v>32</v>
      </c>
    </row>
    <row r="487" spans="1:13" ht="20" customHeight="1" x14ac:dyDescent="0.35">
      <c r="A487" s="17">
        <v>347273</v>
      </c>
      <c r="B487" s="18">
        <v>654</v>
      </c>
      <c r="C487" s="23" t="s">
        <v>100</v>
      </c>
      <c r="D487" s="24">
        <v>45085.012499999997</v>
      </c>
      <c r="E487" s="18" t="s">
        <v>96</v>
      </c>
      <c r="F487" s="18" t="s">
        <v>36</v>
      </c>
      <c r="G487" s="18">
        <v>9105</v>
      </c>
      <c r="H487" s="25">
        <f t="shared" si="28"/>
        <v>45085</v>
      </c>
      <c r="I487" s="26">
        <f t="shared" si="29"/>
        <v>1.2499999997089617E-2</v>
      </c>
      <c r="J487" s="18" t="str">
        <f t="shared" si="30"/>
        <v>June</v>
      </c>
      <c r="K487" s="56" t="str">
        <f t="shared" si="31"/>
        <v>Thursday</v>
      </c>
      <c r="L487" s="18" t="str">
        <f>IF(OR(G487&gt;Answers!I502,G487&lt;Answers!I503),"Outlier","Normal")</f>
        <v>Outlier</v>
      </c>
      <c r="M487" s="18">
        <v>51</v>
      </c>
    </row>
    <row r="488" spans="1:13" ht="20" customHeight="1" x14ac:dyDescent="0.35">
      <c r="A488" s="17">
        <v>347302</v>
      </c>
      <c r="B488" s="18">
        <v>1997</v>
      </c>
      <c r="C488" s="23" t="s">
        <v>105</v>
      </c>
      <c r="D488" s="24">
        <v>44962.008333333331</v>
      </c>
      <c r="E488" s="18" t="s">
        <v>133</v>
      </c>
      <c r="F488" s="18" t="s">
        <v>34</v>
      </c>
      <c r="G488" s="18">
        <v>4850</v>
      </c>
      <c r="H488" s="25">
        <f t="shared" si="28"/>
        <v>44962</v>
      </c>
      <c r="I488" s="26">
        <f t="shared" si="29"/>
        <v>8.333333331393078E-3</v>
      </c>
      <c r="J488" s="18" t="str">
        <f t="shared" si="30"/>
        <v>February</v>
      </c>
      <c r="K488" s="56" t="str">
        <f t="shared" si="31"/>
        <v>Sunday</v>
      </c>
      <c r="L488" s="18" t="str">
        <f>IF(OR(G488&gt;Answers!I503,G488&lt;Answers!I504),"Outlier","Normal")</f>
        <v>Outlier</v>
      </c>
      <c r="M488" s="18">
        <v>79</v>
      </c>
    </row>
    <row r="489" spans="1:13" ht="20" customHeight="1" x14ac:dyDescent="0.35">
      <c r="A489" s="17">
        <v>347767</v>
      </c>
      <c r="B489" s="18">
        <v>299</v>
      </c>
      <c r="C489" s="23" t="s">
        <v>113</v>
      </c>
      <c r="D489" s="24">
        <v>45182.986805555556</v>
      </c>
      <c r="E489" s="18" t="s">
        <v>97</v>
      </c>
      <c r="F489" s="18" t="s">
        <v>27</v>
      </c>
      <c r="G489" s="18">
        <v>6931</v>
      </c>
      <c r="H489" s="25">
        <f t="shared" si="28"/>
        <v>45182</v>
      </c>
      <c r="I489" s="26">
        <f t="shared" si="29"/>
        <v>0.98680555555620231</v>
      </c>
      <c r="J489" s="18" t="str">
        <f t="shared" si="30"/>
        <v>September</v>
      </c>
      <c r="K489" s="56" t="str">
        <f t="shared" si="31"/>
        <v>Wednesday</v>
      </c>
      <c r="L489" s="18" t="str">
        <f>IF(OR(G489&gt;Answers!I504,G489&lt;Answers!I505),"Outlier","Normal")</f>
        <v>Outlier</v>
      </c>
      <c r="M489" s="18">
        <v>58</v>
      </c>
    </row>
    <row r="490" spans="1:13" ht="20" customHeight="1" x14ac:dyDescent="0.35">
      <c r="A490" s="17">
        <v>348694</v>
      </c>
      <c r="B490" s="18">
        <v>1726</v>
      </c>
      <c r="C490" s="23" t="s">
        <v>105</v>
      </c>
      <c r="D490" s="24">
        <v>45071.103472222225</v>
      </c>
      <c r="E490" s="18" t="s">
        <v>133</v>
      </c>
      <c r="F490" s="18" t="s">
        <v>52</v>
      </c>
      <c r="G490" s="18">
        <v>4572</v>
      </c>
      <c r="H490" s="25">
        <f t="shared" si="28"/>
        <v>45071</v>
      </c>
      <c r="I490" s="26">
        <f t="shared" si="29"/>
        <v>0.10347222222480923</v>
      </c>
      <c r="J490" s="18" t="str">
        <f t="shared" si="30"/>
        <v>May</v>
      </c>
      <c r="K490" s="56" t="str">
        <f t="shared" si="31"/>
        <v>Thursday</v>
      </c>
      <c r="L490" s="18" t="str">
        <f>IF(OR(G490&gt;Answers!I505,G490&lt;Answers!I506),"Outlier","Normal")</f>
        <v>Outlier</v>
      </c>
      <c r="M490" s="18">
        <v>36</v>
      </c>
    </row>
    <row r="491" spans="1:13" ht="20" customHeight="1" x14ac:dyDescent="0.35">
      <c r="A491" s="17">
        <v>349131</v>
      </c>
      <c r="B491" s="18">
        <v>1664</v>
      </c>
      <c r="C491" s="23" t="s">
        <v>99</v>
      </c>
      <c r="D491" s="24">
        <v>45115.997916666667</v>
      </c>
      <c r="E491" s="18" t="s">
        <v>96</v>
      </c>
      <c r="F491" s="18" t="s">
        <v>40</v>
      </c>
      <c r="G491" s="18">
        <v>7000</v>
      </c>
      <c r="H491" s="25">
        <f t="shared" si="28"/>
        <v>45115</v>
      </c>
      <c r="I491" s="26">
        <f t="shared" si="29"/>
        <v>0.99791666666715173</v>
      </c>
      <c r="J491" s="18" t="str">
        <f t="shared" si="30"/>
        <v>July</v>
      </c>
      <c r="K491" s="56" t="str">
        <f t="shared" si="31"/>
        <v>Saturday</v>
      </c>
      <c r="L491" s="18" t="str">
        <f>IF(OR(G491&gt;Answers!I506,G491&lt;Answers!I507),"Outlier","Normal")</f>
        <v>Outlier</v>
      </c>
      <c r="M491" s="18">
        <v>27</v>
      </c>
    </row>
    <row r="492" spans="1:13" ht="20" customHeight="1" x14ac:dyDescent="0.35">
      <c r="A492" s="17">
        <v>350253</v>
      </c>
      <c r="B492" s="18">
        <v>1752</v>
      </c>
      <c r="C492" s="23" t="s">
        <v>101</v>
      </c>
      <c r="D492" s="24">
        <v>45156.954861111109</v>
      </c>
      <c r="E492" s="18" t="s">
        <v>96</v>
      </c>
      <c r="F492" s="18" t="s">
        <v>11</v>
      </c>
      <c r="G492" s="18">
        <v>9824</v>
      </c>
      <c r="H492" s="25">
        <f t="shared" si="28"/>
        <v>45156</v>
      </c>
      <c r="I492" s="26">
        <f t="shared" si="29"/>
        <v>0.95486111110949423</v>
      </c>
      <c r="J492" s="18" t="str">
        <f t="shared" si="30"/>
        <v>August</v>
      </c>
      <c r="K492" s="56" t="str">
        <f t="shared" si="31"/>
        <v>Friday</v>
      </c>
      <c r="L492" s="18" t="str">
        <f>IF(OR(G492&gt;Answers!I507,G492&lt;Answers!I508),"Outlier","Normal")</f>
        <v>Outlier</v>
      </c>
      <c r="M492" s="18">
        <v>50</v>
      </c>
    </row>
    <row r="493" spans="1:13" ht="20" customHeight="1" x14ac:dyDescent="0.35">
      <c r="A493" s="17">
        <v>352076</v>
      </c>
      <c r="B493" s="18">
        <v>393</v>
      </c>
      <c r="C493" s="23" t="s">
        <v>113</v>
      </c>
      <c r="D493" s="24">
        <v>45011.99722222222</v>
      </c>
      <c r="E493" s="18" t="s">
        <v>97</v>
      </c>
      <c r="F493" s="18" t="s">
        <v>42</v>
      </c>
      <c r="G493" s="18">
        <v>4290</v>
      </c>
      <c r="H493" s="25">
        <f t="shared" si="28"/>
        <v>45011</v>
      </c>
      <c r="I493" s="26">
        <f t="shared" si="29"/>
        <v>0.99722222222044365</v>
      </c>
      <c r="J493" s="18" t="str">
        <f t="shared" si="30"/>
        <v>March</v>
      </c>
      <c r="K493" s="56" t="str">
        <f t="shared" si="31"/>
        <v>Sunday</v>
      </c>
      <c r="L493" s="18" t="str">
        <f>IF(OR(G493&gt;Answers!I508,G493&lt;Answers!I509),"Outlier","Normal")</f>
        <v>Outlier</v>
      </c>
      <c r="M493" s="18">
        <v>19</v>
      </c>
    </row>
    <row r="494" spans="1:13" ht="20" customHeight="1" x14ac:dyDescent="0.35">
      <c r="A494" s="17">
        <v>353096</v>
      </c>
      <c r="B494" s="18">
        <v>1590</v>
      </c>
      <c r="C494" s="23" t="s">
        <v>106</v>
      </c>
      <c r="D494" s="24">
        <v>45124.031944444447</v>
      </c>
      <c r="E494" s="18" t="s">
        <v>98</v>
      </c>
      <c r="F494" s="18" t="s">
        <v>43</v>
      </c>
      <c r="G494" s="18">
        <v>8163</v>
      </c>
      <c r="H494" s="25">
        <f t="shared" si="28"/>
        <v>45124</v>
      </c>
      <c r="I494" s="26">
        <f t="shared" si="29"/>
        <v>3.1944444446708076E-2</v>
      </c>
      <c r="J494" s="18" t="str">
        <f t="shared" si="30"/>
        <v>July</v>
      </c>
      <c r="K494" s="56" t="str">
        <f t="shared" si="31"/>
        <v>Monday</v>
      </c>
      <c r="L494" s="18" t="str">
        <f>IF(OR(G494&gt;Answers!I509,G494&lt;Answers!I510),"Outlier","Normal")</f>
        <v>Outlier</v>
      </c>
      <c r="M494" s="18">
        <v>69</v>
      </c>
    </row>
    <row r="495" spans="1:13" ht="20" customHeight="1" x14ac:dyDescent="0.35">
      <c r="A495" s="17">
        <v>353572</v>
      </c>
      <c r="B495" s="18">
        <v>1346</v>
      </c>
      <c r="C495" s="23" t="s">
        <v>99</v>
      </c>
      <c r="D495" s="24">
        <v>44981.98333333333</v>
      </c>
      <c r="E495" s="18" t="s">
        <v>133</v>
      </c>
      <c r="F495" s="18" t="s">
        <v>44</v>
      </c>
      <c r="G495" s="18">
        <v>4976</v>
      </c>
      <c r="H495" s="25">
        <f t="shared" si="28"/>
        <v>44981</v>
      </c>
      <c r="I495" s="26">
        <f t="shared" si="29"/>
        <v>0.98333333332993789</v>
      </c>
      <c r="J495" s="18" t="str">
        <f t="shared" si="30"/>
        <v>February</v>
      </c>
      <c r="K495" s="56" t="str">
        <f t="shared" si="31"/>
        <v>Friday</v>
      </c>
      <c r="L495" s="18" t="str">
        <f>IF(OR(G495&gt;Answers!I510,G495&lt;Answers!I511),"Outlier","Normal")</f>
        <v>Outlier</v>
      </c>
      <c r="M495" s="18">
        <v>81</v>
      </c>
    </row>
    <row r="496" spans="1:13" ht="20" customHeight="1" x14ac:dyDescent="0.35">
      <c r="A496" s="17">
        <v>353582</v>
      </c>
      <c r="B496" s="18">
        <v>1948</v>
      </c>
      <c r="C496" s="23" t="s">
        <v>99</v>
      </c>
      <c r="D496" s="24">
        <v>45269.999305555553</v>
      </c>
      <c r="E496" s="18" t="s">
        <v>96</v>
      </c>
      <c r="F496" s="18" t="s">
        <v>81</v>
      </c>
      <c r="G496" s="18">
        <v>5138</v>
      </c>
      <c r="H496" s="25">
        <f t="shared" si="28"/>
        <v>45269</v>
      </c>
      <c r="I496" s="26">
        <f t="shared" si="29"/>
        <v>0.99930555555329192</v>
      </c>
      <c r="J496" s="18" t="str">
        <f t="shared" si="30"/>
        <v>December</v>
      </c>
      <c r="K496" s="56" t="str">
        <f t="shared" si="31"/>
        <v>Saturday</v>
      </c>
      <c r="L496" s="18" t="str">
        <f>IF(OR(G496&gt;Answers!I511,G496&lt;Answers!I512),"Outlier","Normal")</f>
        <v>Outlier</v>
      </c>
      <c r="M496" s="18">
        <v>79</v>
      </c>
    </row>
    <row r="497" spans="1:13" ht="20" customHeight="1" x14ac:dyDescent="0.35">
      <c r="A497" s="17">
        <v>354439</v>
      </c>
      <c r="B497" s="18">
        <v>1014</v>
      </c>
      <c r="C497" s="23" t="s">
        <v>113</v>
      </c>
      <c r="D497" s="24">
        <v>44930.020138888889</v>
      </c>
      <c r="E497" s="18" t="s">
        <v>96</v>
      </c>
      <c r="F497" s="18" t="s">
        <v>88</v>
      </c>
      <c r="G497" s="18">
        <v>2885</v>
      </c>
      <c r="H497" s="25">
        <f t="shared" si="28"/>
        <v>44930</v>
      </c>
      <c r="I497" s="26">
        <f t="shared" si="29"/>
        <v>2.0138888889050577E-2</v>
      </c>
      <c r="J497" s="18" t="str">
        <f t="shared" si="30"/>
        <v>January</v>
      </c>
      <c r="K497" s="56" t="str">
        <f t="shared" si="31"/>
        <v>Wednesday</v>
      </c>
      <c r="L497" s="18" t="str">
        <f>IF(OR(G497&gt;Answers!I512,G497&lt;Answers!I513),"Outlier","Normal")</f>
        <v>Outlier</v>
      </c>
      <c r="M497" s="18">
        <v>69</v>
      </c>
    </row>
    <row r="498" spans="1:13" ht="20" customHeight="1" x14ac:dyDescent="0.35">
      <c r="A498" s="17">
        <v>354532</v>
      </c>
      <c r="B498" s="18">
        <v>419</v>
      </c>
      <c r="C498" s="23" t="s">
        <v>100</v>
      </c>
      <c r="D498" s="24">
        <v>45251.041666666664</v>
      </c>
      <c r="E498" s="18" t="s">
        <v>97</v>
      </c>
      <c r="F498" s="18" t="s">
        <v>6</v>
      </c>
      <c r="G498" s="18">
        <v>1673</v>
      </c>
      <c r="H498" s="25">
        <f t="shared" si="28"/>
        <v>45251</v>
      </c>
      <c r="I498" s="26">
        <f t="shared" si="29"/>
        <v>4.1666666664241347E-2</v>
      </c>
      <c r="J498" s="18" t="str">
        <f t="shared" si="30"/>
        <v>November</v>
      </c>
      <c r="K498" s="56" t="str">
        <f t="shared" si="31"/>
        <v>Tuesday</v>
      </c>
      <c r="L498" s="18" t="str">
        <f>IF(OR(G498&gt;Answers!I513,G498&lt;Answers!I514),"Outlier","Normal")</f>
        <v>Outlier</v>
      </c>
      <c r="M498" s="18">
        <v>66</v>
      </c>
    </row>
    <row r="499" spans="1:13" ht="20" customHeight="1" x14ac:dyDescent="0.35">
      <c r="A499" s="17">
        <v>356612</v>
      </c>
      <c r="B499" s="18">
        <v>1636</v>
      </c>
      <c r="C499" s="23" t="s">
        <v>104</v>
      </c>
      <c r="D499" s="24">
        <v>45260.01666666667</v>
      </c>
      <c r="E499" s="18" t="s">
        <v>133</v>
      </c>
      <c r="F499" s="18" t="s">
        <v>45</v>
      </c>
      <c r="G499" s="18">
        <v>4576</v>
      </c>
      <c r="H499" s="25">
        <f t="shared" si="28"/>
        <v>45260</v>
      </c>
      <c r="I499" s="26">
        <f t="shared" si="29"/>
        <v>1.6666666670062114E-2</v>
      </c>
      <c r="J499" s="18" t="str">
        <f t="shared" si="30"/>
        <v>November</v>
      </c>
      <c r="K499" s="56" t="str">
        <f t="shared" si="31"/>
        <v>Thursday</v>
      </c>
      <c r="L499" s="18" t="str">
        <f>IF(OR(G499&gt;Answers!I514,G499&lt;Answers!I515),"Outlier","Normal")</f>
        <v>Outlier</v>
      </c>
      <c r="M499" s="18">
        <v>20</v>
      </c>
    </row>
    <row r="500" spans="1:13" ht="20" customHeight="1" x14ac:dyDescent="0.35">
      <c r="A500" s="17">
        <v>360154</v>
      </c>
      <c r="B500" s="18">
        <v>638</v>
      </c>
      <c r="C500" s="23" t="s">
        <v>100</v>
      </c>
      <c r="D500" s="24">
        <v>45070.034722222219</v>
      </c>
      <c r="E500" s="18" t="s">
        <v>96</v>
      </c>
      <c r="F500" s="18" t="s">
        <v>27</v>
      </c>
      <c r="G500" s="18">
        <v>9618</v>
      </c>
      <c r="H500" s="25">
        <f t="shared" si="28"/>
        <v>45070</v>
      </c>
      <c r="I500" s="26">
        <f t="shared" si="29"/>
        <v>3.4722222218988463E-2</v>
      </c>
      <c r="J500" s="18" t="str">
        <f t="shared" si="30"/>
        <v>May</v>
      </c>
      <c r="K500" s="56" t="str">
        <f t="shared" si="31"/>
        <v>Wednesday</v>
      </c>
      <c r="L500" s="18" t="str">
        <f>IF(OR(G500&gt;Answers!I515,G500&lt;Answers!I516),"Outlier","Normal")</f>
        <v>Outlier</v>
      </c>
      <c r="M500" s="18">
        <v>65</v>
      </c>
    </row>
    <row r="501" spans="1:13" ht="20" customHeight="1" x14ac:dyDescent="0.35">
      <c r="A501" s="17">
        <v>361590</v>
      </c>
      <c r="B501" s="18">
        <v>1452</v>
      </c>
      <c r="C501" s="23" t="s">
        <v>100</v>
      </c>
      <c r="D501" s="24">
        <v>45223.97152777778</v>
      </c>
      <c r="E501" s="18" t="s">
        <v>133</v>
      </c>
      <c r="F501" s="18" t="s">
        <v>46</v>
      </c>
      <c r="G501" s="18">
        <v>2425</v>
      </c>
      <c r="H501" s="25">
        <f t="shared" si="28"/>
        <v>45223</v>
      </c>
      <c r="I501" s="26">
        <f t="shared" si="29"/>
        <v>0.97152777777955635</v>
      </c>
      <c r="J501" s="18" t="str">
        <f t="shared" si="30"/>
        <v>October</v>
      </c>
      <c r="K501" s="56" t="str">
        <f t="shared" si="31"/>
        <v>Tuesday</v>
      </c>
      <c r="L501" s="18" t="str">
        <f>IF(OR(G501&gt;Answers!I516,G501&lt;Answers!I517),"Outlier","Normal")</f>
        <v>Outlier</v>
      </c>
      <c r="M501" s="18">
        <v>22</v>
      </c>
    </row>
    <row r="502" spans="1:13" ht="20" customHeight="1" x14ac:dyDescent="0.35">
      <c r="A502" s="17">
        <v>361964</v>
      </c>
      <c r="B502" s="18">
        <v>147</v>
      </c>
      <c r="C502" s="23" t="s">
        <v>99</v>
      </c>
      <c r="D502" s="24">
        <v>44977.025000000001</v>
      </c>
      <c r="E502" s="18" t="s">
        <v>97</v>
      </c>
      <c r="F502" s="18" t="s">
        <v>22</v>
      </c>
      <c r="G502" s="18">
        <v>2602</v>
      </c>
      <c r="H502" s="25">
        <f t="shared" si="28"/>
        <v>44977</v>
      </c>
      <c r="I502" s="26">
        <f t="shared" si="29"/>
        <v>2.5000000001455192E-2</v>
      </c>
      <c r="J502" s="18" t="str">
        <f t="shared" si="30"/>
        <v>February</v>
      </c>
      <c r="K502" s="56" t="str">
        <f t="shared" si="31"/>
        <v>Monday</v>
      </c>
      <c r="L502" s="18" t="str">
        <f>IF(OR(G502&gt;Answers!I517,G502&lt;Answers!I518),"Outlier","Normal")</f>
        <v>Outlier</v>
      </c>
      <c r="M502" s="18">
        <v>29</v>
      </c>
    </row>
    <row r="503" spans="1:13" ht="20" customHeight="1" x14ac:dyDescent="0.35">
      <c r="A503" s="17">
        <v>362049</v>
      </c>
      <c r="B503" s="18">
        <v>1594</v>
      </c>
      <c r="C503" s="23" t="s">
        <v>101</v>
      </c>
      <c r="D503" s="24">
        <v>44983.061805555553</v>
      </c>
      <c r="E503" s="18" t="s">
        <v>96</v>
      </c>
      <c r="F503" s="18" t="s">
        <v>15</v>
      </c>
      <c r="G503" s="18">
        <v>4382</v>
      </c>
      <c r="H503" s="25">
        <f t="shared" si="28"/>
        <v>44983</v>
      </c>
      <c r="I503" s="26">
        <f t="shared" si="29"/>
        <v>6.1805555553291924E-2</v>
      </c>
      <c r="J503" s="18" t="str">
        <f t="shared" si="30"/>
        <v>February</v>
      </c>
      <c r="K503" s="56" t="str">
        <f t="shared" si="31"/>
        <v>Sunday</v>
      </c>
      <c r="L503" s="18" t="str">
        <f>IF(OR(G503&gt;Answers!I518,G503&lt;Answers!I519),"Outlier","Normal")</f>
        <v>Outlier</v>
      </c>
      <c r="M503" s="18">
        <v>27</v>
      </c>
    </row>
    <row r="504" spans="1:13" ht="20" customHeight="1" x14ac:dyDescent="0.35">
      <c r="A504" s="17">
        <v>363155</v>
      </c>
      <c r="B504" s="18">
        <v>416</v>
      </c>
      <c r="C504" s="23" t="s">
        <v>113</v>
      </c>
      <c r="D504" s="24">
        <v>44945.038888888892</v>
      </c>
      <c r="E504" s="18" t="s">
        <v>133</v>
      </c>
      <c r="F504" s="18" t="s">
        <v>12</v>
      </c>
      <c r="G504" s="18">
        <v>3033</v>
      </c>
      <c r="H504" s="25">
        <f t="shared" si="28"/>
        <v>44945</v>
      </c>
      <c r="I504" s="26">
        <f t="shared" si="29"/>
        <v>3.888888889196096E-2</v>
      </c>
      <c r="J504" s="18" t="str">
        <f t="shared" si="30"/>
        <v>January</v>
      </c>
      <c r="K504" s="56" t="str">
        <f t="shared" si="31"/>
        <v>Thursday</v>
      </c>
      <c r="L504" s="18" t="str">
        <f>IF(OR(G504&gt;Answers!I519,G504&lt;Answers!I520),"Outlier","Normal")</f>
        <v>Outlier</v>
      </c>
      <c r="M504" s="18">
        <v>64</v>
      </c>
    </row>
    <row r="505" spans="1:13" ht="20" customHeight="1" x14ac:dyDescent="0.35">
      <c r="A505" s="17">
        <v>363439</v>
      </c>
      <c r="B505" s="18">
        <v>1150</v>
      </c>
      <c r="C505" s="23" t="s">
        <v>99</v>
      </c>
      <c r="D505" s="24">
        <v>45120.991666666669</v>
      </c>
      <c r="E505" s="18" t="s">
        <v>98</v>
      </c>
      <c r="F505" s="18" t="s">
        <v>29</v>
      </c>
      <c r="G505" s="18">
        <v>8067</v>
      </c>
      <c r="H505" s="25">
        <f t="shared" si="28"/>
        <v>45120</v>
      </c>
      <c r="I505" s="26">
        <f t="shared" si="29"/>
        <v>0.99166666666860692</v>
      </c>
      <c r="J505" s="18" t="str">
        <f t="shared" si="30"/>
        <v>July</v>
      </c>
      <c r="K505" s="56" t="str">
        <f t="shared" si="31"/>
        <v>Thursday</v>
      </c>
      <c r="L505" s="18" t="str">
        <f>IF(OR(G505&gt;Answers!I520,G505&lt;Answers!I521),"Outlier","Normal")</f>
        <v>Outlier</v>
      </c>
      <c r="M505" s="18">
        <v>77</v>
      </c>
    </row>
    <row r="506" spans="1:13" ht="20" customHeight="1" x14ac:dyDescent="0.35">
      <c r="A506" s="17">
        <v>363764</v>
      </c>
      <c r="B506" s="18">
        <v>927</v>
      </c>
      <c r="C506" s="23" t="s">
        <v>113</v>
      </c>
      <c r="D506" s="24">
        <v>45097.015972222223</v>
      </c>
      <c r="E506" s="18" t="s">
        <v>98</v>
      </c>
      <c r="F506" s="18" t="s">
        <v>24</v>
      </c>
      <c r="G506" s="18">
        <v>6014</v>
      </c>
      <c r="H506" s="25">
        <f t="shared" si="28"/>
        <v>45097</v>
      </c>
      <c r="I506" s="26">
        <f t="shared" si="29"/>
        <v>1.5972222223354038E-2</v>
      </c>
      <c r="J506" s="18" t="str">
        <f t="shared" si="30"/>
        <v>June</v>
      </c>
      <c r="K506" s="56" t="str">
        <f t="shared" si="31"/>
        <v>Tuesday</v>
      </c>
      <c r="L506" s="18" t="str">
        <f>IF(OR(G506&gt;Answers!I521,G506&lt;Answers!I522),"Outlier","Normal")</f>
        <v>Outlier</v>
      </c>
      <c r="M506" s="18">
        <v>77</v>
      </c>
    </row>
    <row r="507" spans="1:13" ht="20" customHeight="1" x14ac:dyDescent="0.35">
      <c r="A507" s="17">
        <v>364332</v>
      </c>
      <c r="B507" s="18">
        <v>1169</v>
      </c>
      <c r="C507" s="23" t="s">
        <v>100</v>
      </c>
      <c r="D507" s="24">
        <v>44981.041666666664</v>
      </c>
      <c r="E507" s="18" t="s">
        <v>96</v>
      </c>
      <c r="F507" s="18" t="s">
        <v>86</v>
      </c>
      <c r="G507" s="18">
        <v>6539</v>
      </c>
      <c r="H507" s="25">
        <f t="shared" si="28"/>
        <v>44981</v>
      </c>
      <c r="I507" s="26">
        <f t="shared" si="29"/>
        <v>4.1666666664241347E-2</v>
      </c>
      <c r="J507" s="18" t="str">
        <f t="shared" si="30"/>
        <v>February</v>
      </c>
      <c r="K507" s="56" t="str">
        <f t="shared" si="31"/>
        <v>Friday</v>
      </c>
      <c r="L507" s="18" t="str">
        <f>IF(OR(G507&gt;Answers!I522,G507&lt;Answers!I523),"Outlier","Normal")</f>
        <v>Outlier</v>
      </c>
      <c r="M507" s="18">
        <v>26</v>
      </c>
    </row>
    <row r="508" spans="1:13" ht="20" customHeight="1" x14ac:dyDescent="0.35">
      <c r="A508" s="17">
        <v>365101</v>
      </c>
      <c r="B508" s="18">
        <v>1475</v>
      </c>
      <c r="C508" s="23" t="s">
        <v>105</v>
      </c>
      <c r="D508" s="24">
        <v>44971.961111111108</v>
      </c>
      <c r="E508" s="18" t="s">
        <v>97</v>
      </c>
      <c r="F508" s="18" t="s">
        <v>8</v>
      </c>
      <c r="G508" s="18">
        <v>433</v>
      </c>
      <c r="H508" s="25">
        <f t="shared" si="28"/>
        <v>44971</v>
      </c>
      <c r="I508" s="26">
        <f t="shared" si="29"/>
        <v>0.96111111110803904</v>
      </c>
      <c r="J508" s="18" t="str">
        <f t="shared" si="30"/>
        <v>February</v>
      </c>
      <c r="K508" s="56" t="str">
        <f t="shared" si="31"/>
        <v>Tuesday</v>
      </c>
      <c r="L508" s="18" t="str">
        <f>IF(OR(G508&gt;Answers!I523,G508&lt;Answers!I524),"Outlier","Normal")</f>
        <v>Outlier</v>
      </c>
      <c r="M508" s="18">
        <v>25</v>
      </c>
    </row>
    <row r="509" spans="1:13" ht="20" customHeight="1" x14ac:dyDescent="0.35">
      <c r="A509" s="17">
        <v>365117</v>
      </c>
      <c r="B509" s="18">
        <v>1415</v>
      </c>
      <c r="C509" s="23" t="s">
        <v>100</v>
      </c>
      <c r="D509" s="24">
        <v>45063.980555555558</v>
      </c>
      <c r="E509" s="18" t="s">
        <v>97</v>
      </c>
      <c r="F509" s="18" t="s">
        <v>90</v>
      </c>
      <c r="G509" s="18">
        <v>5905</v>
      </c>
      <c r="H509" s="25">
        <f t="shared" si="28"/>
        <v>45063</v>
      </c>
      <c r="I509" s="26">
        <f t="shared" si="29"/>
        <v>0.9805555555576575</v>
      </c>
      <c r="J509" s="18" t="str">
        <f t="shared" si="30"/>
        <v>May</v>
      </c>
      <c r="K509" s="56" t="str">
        <f t="shared" si="31"/>
        <v>Wednesday</v>
      </c>
      <c r="L509" s="18" t="str">
        <f>IF(OR(G509&gt;Answers!I524,G509&lt;Answers!I525),"Outlier","Normal")</f>
        <v>Outlier</v>
      </c>
      <c r="M509" s="18">
        <v>71</v>
      </c>
    </row>
    <row r="510" spans="1:13" ht="20" customHeight="1" x14ac:dyDescent="0.35">
      <c r="A510" s="17">
        <v>365718</v>
      </c>
      <c r="B510" s="18">
        <v>1080</v>
      </c>
      <c r="C510" s="23" t="s">
        <v>113</v>
      </c>
      <c r="D510" s="24">
        <v>45197.949305555558</v>
      </c>
      <c r="E510" s="18" t="s">
        <v>98</v>
      </c>
      <c r="F510" s="18" t="s">
        <v>43</v>
      </c>
      <c r="G510" s="18">
        <v>5697</v>
      </c>
      <c r="H510" s="25">
        <f t="shared" si="28"/>
        <v>45197</v>
      </c>
      <c r="I510" s="26">
        <f t="shared" si="29"/>
        <v>0.9493055555576575</v>
      </c>
      <c r="J510" s="18" t="str">
        <f t="shared" si="30"/>
        <v>September</v>
      </c>
      <c r="K510" s="56" t="str">
        <f t="shared" si="31"/>
        <v>Thursday</v>
      </c>
      <c r="L510" s="18" t="str">
        <f>IF(OR(G510&gt;Answers!I525,G510&lt;Answers!I526),"Outlier","Normal")</f>
        <v>Outlier</v>
      </c>
      <c r="M510" s="18">
        <v>78</v>
      </c>
    </row>
    <row r="511" spans="1:13" ht="20" customHeight="1" x14ac:dyDescent="0.35">
      <c r="A511" s="17">
        <v>366083</v>
      </c>
      <c r="B511" s="18">
        <v>1680</v>
      </c>
      <c r="C511" s="23" t="s">
        <v>99</v>
      </c>
      <c r="D511" s="24">
        <v>44972.05</v>
      </c>
      <c r="E511" s="18" t="s">
        <v>96</v>
      </c>
      <c r="F511" s="18" t="s">
        <v>91</v>
      </c>
      <c r="G511" s="18">
        <v>8672</v>
      </c>
      <c r="H511" s="25">
        <f t="shared" si="28"/>
        <v>44972</v>
      </c>
      <c r="I511" s="26">
        <f t="shared" si="29"/>
        <v>5.0000000002910383E-2</v>
      </c>
      <c r="J511" s="18" t="str">
        <f t="shared" si="30"/>
        <v>February</v>
      </c>
      <c r="K511" s="56" t="str">
        <f t="shared" si="31"/>
        <v>Wednesday</v>
      </c>
      <c r="L511" s="18" t="str">
        <f>IF(OR(G511&gt;Answers!I526,G511&lt;Answers!I527),"Outlier","Normal")</f>
        <v>Outlier</v>
      </c>
      <c r="M511" s="18">
        <v>41</v>
      </c>
    </row>
    <row r="512" spans="1:13" ht="20" customHeight="1" x14ac:dyDescent="0.35">
      <c r="A512" s="17">
        <v>366394</v>
      </c>
      <c r="B512" s="18">
        <v>1048</v>
      </c>
      <c r="C512" s="23" t="s">
        <v>113</v>
      </c>
      <c r="D512" s="24">
        <v>45170.03125</v>
      </c>
      <c r="E512" s="18" t="s">
        <v>96</v>
      </c>
      <c r="F512" s="18" t="s">
        <v>27</v>
      </c>
      <c r="G512" s="18">
        <v>3380</v>
      </c>
      <c r="H512" s="25">
        <f t="shared" si="28"/>
        <v>45170</v>
      </c>
      <c r="I512" s="26">
        <f t="shared" si="29"/>
        <v>3.125E-2</v>
      </c>
      <c r="J512" s="18" t="str">
        <f t="shared" si="30"/>
        <v>September</v>
      </c>
      <c r="K512" s="56" t="str">
        <f t="shared" si="31"/>
        <v>Friday</v>
      </c>
      <c r="L512" s="18" t="str">
        <f>IF(OR(G512&gt;Answers!I527,G512&lt;Answers!I528),"Outlier","Normal")</f>
        <v>Outlier</v>
      </c>
      <c r="M512" s="18">
        <v>26</v>
      </c>
    </row>
    <row r="513" spans="1:13" ht="20" customHeight="1" x14ac:dyDescent="0.35">
      <c r="A513" s="17">
        <v>366719</v>
      </c>
      <c r="B513" s="18">
        <v>1505</v>
      </c>
      <c r="C513" s="23" t="s">
        <v>99</v>
      </c>
      <c r="D513" s="24">
        <v>44989.960416666669</v>
      </c>
      <c r="E513" s="18" t="s">
        <v>96</v>
      </c>
      <c r="F513" s="18" t="s">
        <v>36</v>
      </c>
      <c r="G513" s="18">
        <v>7878</v>
      </c>
      <c r="H513" s="25">
        <f t="shared" si="28"/>
        <v>44989</v>
      </c>
      <c r="I513" s="26">
        <f t="shared" si="29"/>
        <v>0.96041666666860692</v>
      </c>
      <c r="J513" s="18" t="str">
        <f t="shared" si="30"/>
        <v>March</v>
      </c>
      <c r="K513" s="56" t="str">
        <f t="shared" si="31"/>
        <v>Saturday</v>
      </c>
      <c r="L513" s="18" t="str">
        <f>IF(OR(G513&gt;Answers!I528,G513&lt;Answers!I529),"Outlier","Normal")</f>
        <v>Outlier</v>
      </c>
      <c r="M513" s="18">
        <v>48</v>
      </c>
    </row>
    <row r="514" spans="1:13" ht="20" customHeight="1" x14ac:dyDescent="0.35">
      <c r="A514" s="17">
        <v>367308</v>
      </c>
      <c r="B514" s="18">
        <v>1355</v>
      </c>
      <c r="C514" s="23" t="s">
        <v>105</v>
      </c>
      <c r="D514" s="24">
        <v>44941.098611111112</v>
      </c>
      <c r="E514" s="18" t="s">
        <v>96</v>
      </c>
      <c r="F514" s="18" t="s">
        <v>34</v>
      </c>
      <c r="G514" s="18">
        <v>6648</v>
      </c>
      <c r="H514" s="25">
        <f t="shared" si="28"/>
        <v>44941</v>
      </c>
      <c r="I514" s="26">
        <f t="shared" si="29"/>
        <v>9.8611111112404615E-2</v>
      </c>
      <c r="J514" s="18" t="str">
        <f t="shared" si="30"/>
        <v>January</v>
      </c>
      <c r="K514" s="56" t="str">
        <f t="shared" si="31"/>
        <v>Sunday</v>
      </c>
      <c r="L514" s="18" t="str">
        <f>IF(OR(G514&gt;Answers!I529,G514&lt;Answers!I530),"Outlier","Normal")</f>
        <v>Outlier</v>
      </c>
      <c r="M514" s="18">
        <v>83</v>
      </c>
    </row>
    <row r="515" spans="1:13" ht="20" customHeight="1" x14ac:dyDescent="0.35">
      <c r="A515" s="17">
        <v>368229</v>
      </c>
      <c r="B515" s="18">
        <v>1318</v>
      </c>
      <c r="C515" s="23" t="s">
        <v>99</v>
      </c>
      <c r="D515" s="24">
        <v>45249.984027777777</v>
      </c>
      <c r="E515" s="18" t="s">
        <v>97</v>
      </c>
      <c r="F515" s="18" t="s">
        <v>27</v>
      </c>
      <c r="G515" s="18">
        <v>4702</v>
      </c>
      <c r="H515" s="25">
        <f t="shared" ref="H515:H578" si="32">INT(D515)</f>
        <v>45249</v>
      </c>
      <c r="I515" s="26">
        <f t="shared" ref="I515:I578" si="33">MOD(D515,1)</f>
        <v>0.98402777777664596</v>
      </c>
      <c r="J515" s="18" t="str">
        <f t="shared" ref="J515:J578" si="34">TEXT(D515,"mmmm")</f>
        <v>November</v>
      </c>
      <c r="K515" s="56" t="str">
        <f t="shared" ref="K515:K578" si="35">TEXT(D515,"dddd")</f>
        <v>Sunday</v>
      </c>
      <c r="L515" s="18" t="str">
        <f>IF(OR(G515&gt;Answers!I530,G515&lt;Answers!I531),"Outlier","Normal")</f>
        <v>Outlier</v>
      </c>
      <c r="M515" s="18">
        <v>24</v>
      </c>
    </row>
    <row r="516" spans="1:13" ht="20" customHeight="1" x14ac:dyDescent="0.35">
      <c r="A516" s="17">
        <v>368675</v>
      </c>
      <c r="B516" s="18">
        <v>1109</v>
      </c>
      <c r="C516" s="23" t="s">
        <v>113</v>
      </c>
      <c r="D516" s="24">
        <v>45216.988888888889</v>
      </c>
      <c r="E516" s="18" t="s">
        <v>98</v>
      </c>
      <c r="F516" s="18" t="s">
        <v>52</v>
      </c>
      <c r="G516" s="18">
        <v>6922</v>
      </c>
      <c r="H516" s="25">
        <f t="shared" si="32"/>
        <v>45216</v>
      </c>
      <c r="I516" s="26">
        <f t="shared" si="33"/>
        <v>0.98888888888905058</v>
      </c>
      <c r="J516" s="18" t="str">
        <f t="shared" si="34"/>
        <v>October</v>
      </c>
      <c r="K516" s="56" t="str">
        <f t="shared" si="35"/>
        <v>Tuesday</v>
      </c>
      <c r="L516" s="18" t="str">
        <f>IF(OR(G516&gt;Answers!I531,G516&lt;Answers!I532),"Outlier","Normal")</f>
        <v>Outlier</v>
      </c>
      <c r="M516" s="18">
        <v>86</v>
      </c>
    </row>
    <row r="517" spans="1:13" ht="20" customHeight="1" x14ac:dyDescent="0.35">
      <c r="A517" s="17">
        <v>369020</v>
      </c>
      <c r="B517" s="18">
        <v>1740</v>
      </c>
      <c r="C517" s="23" t="s">
        <v>99</v>
      </c>
      <c r="D517" s="24">
        <v>45189.043749999997</v>
      </c>
      <c r="E517" s="18" t="s">
        <v>98</v>
      </c>
      <c r="F517" s="18" t="s">
        <v>40</v>
      </c>
      <c r="G517" s="18">
        <v>8651</v>
      </c>
      <c r="H517" s="25">
        <f t="shared" si="32"/>
        <v>45189</v>
      </c>
      <c r="I517" s="26">
        <f t="shared" si="33"/>
        <v>4.3749999997089617E-2</v>
      </c>
      <c r="J517" s="18" t="str">
        <f t="shared" si="34"/>
        <v>September</v>
      </c>
      <c r="K517" s="56" t="str">
        <f t="shared" si="35"/>
        <v>Wednesday</v>
      </c>
      <c r="L517" s="18" t="str">
        <f>IF(OR(G517&gt;Answers!I532,G517&lt;Answers!I533),"Outlier","Normal")</f>
        <v>Outlier</v>
      </c>
      <c r="M517" s="18">
        <v>25</v>
      </c>
    </row>
    <row r="518" spans="1:13" ht="20" customHeight="1" x14ac:dyDescent="0.35">
      <c r="A518" s="17">
        <v>369311</v>
      </c>
      <c r="B518" s="18">
        <v>1985</v>
      </c>
      <c r="C518" s="23" t="s">
        <v>100</v>
      </c>
      <c r="D518" s="24">
        <v>45259.056250000001</v>
      </c>
      <c r="E518" s="18" t="s">
        <v>133</v>
      </c>
      <c r="F518" s="18" t="s">
        <v>11</v>
      </c>
      <c r="G518" s="18">
        <v>5332</v>
      </c>
      <c r="H518" s="25">
        <f t="shared" si="32"/>
        <v>45259</v>
      </c>
      <c r="I518" s="26">
        <f t="shared" si="33"/>
        <v>5.6250000001455192E-2</v>
      </c>
      <c r="J518" s="18" t="str">
        <f t="shared" si="34"/>
        <v>November</v>
      </c>
      <c r="K518" s="56" t="str">
        <f t="shared" si="35"/>
        <v>Wednesday</v>
      </c>
      <c r="L518" s="18" t="str">
        <f>IF(OR(G518&gt;Answers!I533,G518&lt;Answers!I534),"Outlier","Normal")</f>
        <v>Outlier</v>
      </c>
      <c r="M518" s="18">
        <v>49</v>
      </c>
    </row>
    <row r="519" spans="1:13" ht="20" customHeight="1" x14ac:dyDescent="0.35">
      <c r="A519" s="17">
        <v>370729</v>
      </c>
      <c r="B519" s="18">
        <v>1170</v>
      </c>
      <c r="C519" s="23" t="s">
        <v>109</v>
      </c>
      <c r="D519" s="24">
        <v>44982.083333333336</v>
      </c>
      <c r="E519" s="18" t="s">
        <v>97</v>
      </c>
      <c r="F519" s="18" t="s">
        <v>42</v>
      </c>
      <c r="G519" s="18">
        <v>2725</v>
      </c>
      <c r="H519" s="25">
        <f t="shared" si="32"/>
        <v>44982</v>
      </c>
      <c r="I519" s="26">
        <f t="shared" si="33"/>
        <v>8.3333333335758653E-2</v>
      </c>
      <c r="J519" s="18" t="str">
        <f t="shared" si="34"/>
        <v>February</v>
      </c>
      <c r="K519" s="56" t="str">
        <f t="shared" si="35"/>
        <v>Saturday</v>
      </c>
      <c r="L519" s="18" t="str">
        <f>IF(OR(G519&gt;Answers!I534,G519&lt;Answers!I535),"Outlier","Normal")</f>
        <v>Outlier</v>
      </c>
      <c r="M519" s="18">
        <v>65</v>
      </c>
    </row>
    <row r="520" spans="1:13" ht="20" customHeight="1" x14ac:dyDescent="0.35">
      <c r="A520" s="17">
        <v>372217</v>
      </c>
      <c r="B520" s="18">
        <v>43</v>
      </c>
      <c r="C520" s="23" t="s">
        <v>106</v>
      </c>
      <c r="D520" s="24">
        <v>45188.97152777778</v>
      </c>
      <c r="E520" s="18" t="s">
        <v>96</v>
      </c>
      <c r="F520" s="18" t="s">
        <v>43</v>
      </c>
      <c r="G520" s="18">
        <v>6713</v>
      </c>
      <c r="H520" s="25">
        <f t="shared" si="32"/>
        <v>45188</v>
      </c>
      <c r="I520" s="26">
        <f t="shared" si="33"/>
        <v>0.97152777777955635</v>
      </c>
      <c r="J520" s="18" t="str">
        <f t="shared" si="34"/>
        <v>September</v>
      </c>
      <c r="K520" s="56" t="str">
        <f t="shared" si="35"/>
        <v>Tuesday</v>
      </c>
      <c r="L520" s="18" t="str">
        <f>IF(OR(G520&gt;Answers!I535,G520&lt;Answers!I536),"Outlier","Normal")</f>
        <v>Outlier</v>
      </c>
      <c r="M520" s="18">
        <v>55</v>
      </c>
    </row>
    <row r="521" spans="1:13" ht="20" customHeight="1" x14ac:dyDescent="0.35">
      <c r="A521" s="17">
        <v>373284</v>
      </c>
      <c r="B521" s="18">
        <v>879</v>
      </c>
      <c r="C521" s="23" t="s">
        <v>99</v>
      </c>
      <c r="D521" s="24">
        <v>44950.95208333333</v>
      </c>
      <c r="E521" s="18" t="s">
        <v>98</v>
      </c>
      <c r="F521" s="18" t="s">
        <v>44</v>
      </c>
      <c r="G521" s="18">
        <v>4368</v>
      </c>
      <c r="H521" s="25">
        <f t="shared" si="32"/>
        <v>44950</v>
      </c>
      <c r="I521" s="26">
        <f t="shared" si="33"/>
        <v>0.95208333332993789</v>
      </c>
      <c r="J521" s="18" t="str">
        <f t="shared" si="34"/>
        <v>January</v>
      </c>
      <c r="K521" s="56" t="str">
        <f t="shared" si="35"/>
        <v>Tuesday</v>
      </c>
      <c r="L521" s="18" t="str">
        <f>IF(OR(G521&gt;Answers!I536,G521&lt;Answers!I537),"Outlier","Normal")</f>
        <v>Outlier</v>
      </c>
      <c r="M521" s="18">
        <v>70</v>
      </c>
    </row>
    <row r="522" spans="1:13" ht="20" customHeight="1" x14ac:dyDescent="0.35">
      <c r="A522" s="17">
        <v>373452</v>
      </c>
      <c r="B522" s="18">
        <v>1209</v>
      </c>
      <c r="C522" s="23" t="s">
        <v>102</v>
      </c>
      <c r="D522" s="24">
        <v>45135.925000000003</v>
      </c>
      <c r="E522" s="18" t="s">
        <v>98</v>
      </c>
      <c r="F522" s="18" t="s">
        <v>81</v>
      </c>
      <c r="G522" s="18">
        <v>8190</v>
      </c>
      <c r="H522" s="25">
        <f t="shared" si="32"/>
        <v>45135</v>
      </c>
      <c r="I522" s="26">
        <f t="shared" si="33"/>
        <v>0.92500000000291038</v>
      </c>
      <c r="J522" s="18" t="str">
        <f t="shared" si="34"/>
        <v>July</v>
      </c>
      <c r="K522" s="56" t="str">
        <f t="shared" si="35"/>
        <v>Friday</v>
      </c>
      <c r="L522" s="18" t="str">
        <f>IF(OR(G522&gt;Answers!I537,G522&lt;Answers!I538),"Outlier","Normal")</f>
        <v>Outlier</v>
      </c>
      <c r="M522" s="18">
        <v>38</v>
      </c>
    </row>
    <row r="523" spans="1:13" ht="20" customHeight="1" x14ac:dyDescent="0.35">
      <c r="A523" s="17">
        <v>373612</v>
      </c>
      <c r="B523" s="18">
        <v>1567</v>
      </c>
      <c r="C523" s="23" t="s">
        <v>99</v>
      </c>
      <c r="D523" s="24">
        <v>45066.981944444444</v>
      </c>
      <c r="E523" s="18" t="s">
        <v>97</v>
      </c>
      <c r="F523" s="18" t="s">
        <v>14</v>
      </c>
      <c r="G523" s="18">
        <v>9653</v>
      </c>
      <c r="H523" s="25">
        <f t="shared" si="32"/>
        <v>45066</v>
      </c>
      <c r="I523" s="26">
        <f t="shared" si="33"/>
        <v>0.98194444444379769</v>
      </c>
      <c r="J523" s="18" t="str">
        <f t="shared" si="34"/>
        <v>May</v>
      </c>
      <c r="K523" s="56" t="str">
        <f t="shared" si="35"/>
        <v>Saturday</v>
      </c>
      <c r="L523" s="18" t="str">
        <f>IF(OR(G523&gt;Answers!I538,G523&lt;Answers!I539),"Outlier","Normal")</f>
        <v>Outlier</v>
      </c>
      <c r="M523" s="18">
        <v>25</v>
      </c>
    </row>
    <row r="524" spans="1:13" ht="20" customHeight="1" x14ac:dyDescent="0.35">
      <c r="A524" s="17">
        <v>374946</v>
      </c>
      <c r="B524" s="18">
        <v>931</v>
      </c>
      <c r="C524" s="23" t="s">
        <v>99</v>
      </c>
      <c r="D524" s="24">
        <v>45186.026388888888</v>
      </c>
      <c r="E524" s="18" t="s">
        <v>133</v>
      </c>
      <c r="F524" s="18" t="s">
        <v>6</v>
      </c>
      <c r="G524" s="18">
        <v>8553</v>
      </c>
      <c r="H524" s="25">
        <f t="shared" si="32"/>
        <v>45186</v>
      </c>
      <c r="I524" s="26">
        <f t="shared" si="33"/>
        <v>2.6388888887595385E-2</v>
      </c>
      <c r="J524" s="18" t="str">
        <f t="shared" si="34"/>
        <v>September</v>
      </c>
      <c r="K524" s="56" t="str">
        <f t="shared" si="35"/>
        <v>Sunday</v>
      </c>
      <c r="L524" s="18" t="str">
        <f>IF(OR(G524&gt;Answers!I539,G524&lt;Answers!I540),"Outlier","Normal")</f>
        <v>Outlier</v>
      </c>
      <c r="M524" s="18">
        <v>58</v>
      </c>
    </row>
    <row r="525" spans="1:13" ht="20" customHeight="1" x14ac:dyDescent="0.35">
      <c r="A525" s="17">
        <v>375276</v>
      </c>
      <c r="B525" s="18">
        <v>1524</v>
      </c>
      <c r="C525" s="23" t="s">
        <v>100</v>
      </c>
      <c r="D525" s="24">
        <v>45037.052777777775</v>
      </c>
      <c r="E525" s="18" t="s">
        <v>97</v>
      </c>
      <c r="F525" s="18" t="s">
        <v>45</v>
      </c>
      <c r="G525" s="18">
        <v>4766</v>
      </c>
      <c r="H525" s="25">
        <f t="shared" si="32"/>
        <v>45037</v>
      </c>
      <c r="I525" s="26">
        <f t="shared" si="33"/>
        <v>5.2777777775190771E-2</v>
      </c>
      <c r="J525" s="18" t="str">
        <f t="shared" si="34"/>
        <v>April</v>
      </c>
      <c r="K525" s="56" t="str">
        <f t="shared" si="35"/>
        <v>Friday</v>
      </c>
      <c r="L525" s="18" t="str">
        <f>IF(OR(G525&gt;Answers!I540,G525&lt;Answers!I541),"Outlier","Normal")</f>
        <v>Outlier</v>
      </c>
      <c r="M525" s="18">
        <v>75</v>
      </c>
    </row>
    <row r="526" spans="1:13" ht="20" customHeight="1" x14ac:dyDescent="0.35">
      <c r="A526" s="17">
        <v>375561</v>
      </c>
      <c r="B526" s="18">
        <v>599</v>
      </c>
      <c r="C526" s="23" t="s">
        <v>101</v>
      </c>
      <c r="D526" s="24">
        <v>45289.01666666667</v>
      </c>
      <c r="E526" s="18" t="s">
        <v>97</v>
      </c>
      <c r="F526" s="18" t="s">
        <v>8</v>
      </c>
      <c r="G526" s="18">
        <v>3609</v>
      </c>
      <c r="H526" s="25">
        <f t="shared" si="32"/>
        <v>45289</v>
      </c>
      <c r="I526" s="26">
        <f t="shared" si="33"/>
        <v>1.6666666670062114E-2</v>
      </c>
      <c r="J526" s="18" t="str">
        <f t="shared" si="34"/>
        <v>December</v>
      </c>
      <c r="K526" s="56" t="str">
        <f t="shared" si="35"/>
        <v>Friday</v>
      </c>
      <c r="L526" s="18" t="str">
        <f>IF(OR(G526&gt;Answers!I541,G526&lt;Answers!I542),"Outlier","Normal")</f>
        <v>Outlier</v>
      </c>
      <c r="M526" s="18">
        <v>32</v>
      </c>
    </row>
    <row r="527" spans="1:13" ht="20" customHeight="1" x14ac:dyDescent="0.35">
      <c r="A527" s="17">
        <v>376848</v>
      </c>
      <c r="B527" s="18">
        <v>1893</v>
      </c>
      <c r="C527" s="23" t="s">
        <v>101</v>
      </c>
      <c r="D527" s="24">
        <v>45098.030555555553</v>
      </c>
      <c r="E527" s="18" t="s">
        <v>133</v>
      </c>
      <c r="F527" s="18" t="s">
        <v>46</v>
      </c>
      <c r="G527" s="18">
        <v>2298</v>
      </c>
      <c r="H527" s="25">
        <f t="shared" si="32"/>
        <v>45098</v>
      </c>
      <c r="I527" s="26">
        <f t="shared" si="33"/>
        <v>3.0555555553291924E-2</v>
      </c>
      <c r="J527" s="18" t="str">
        <f t="shared" si="34"/>
        <v>June</v>
      </c>
      <c r="K527" s="56" t="str">
        <f t="shared" si="35"/>
        <v>Wednesday</v>
      </c>
      <c r="L527" s="18" t="str">
        <f>IF(OR(G527&gt;Answers!I542,G527&lt;Answers!I543),"Outlier","Normal")</f>
        <v>Outlier</v>
      </c>
      <c r="M527" s="18">
        <v>47</v>
      </c>
    </row>
    <row r="528" spans="1:13" ht="20" customHeight="1" x14ac:dyDescent="0.35">
      <c r="A528" s="17">
        <v>378945</v>
      </c>
      <c r="B528" s="18">
        <v>1964</v>
      </c>
      <c r="C528" s="23" t="s">
        <v>105</v>
      </c>
      <c r="D528" s="24">
        <v>45139.98541666667</v>
      </c>
      <c r="E528" s="18" t="s">
        <v>96</v>
      </c>
      <c r="F528" s="18" t="s">
        <v>22</v>
      </c>
      <c r="G528" s="18">
        <v>2444</v>
      </c>
      <c r="H528" s="25">
        <f t="shared" si="32"/>
        <v>45139</v>
      </c>
      <c r="I528" s="26">
        <f t="shared" si="33"/>
        <v>0.98541666667006211</v>
      </c>
      <c r="J528" s="18" t="str">
        <f t="shared" si="34"/>
        <v>August</v>
      </c>
      <c r="K528" s="56" t="str">
        <f t="shared" si="35"/>
        <v>Tuesday</v>
      </c>
      <c r="L528" s="18" t="str">
        <f>IF(OR(G528&gt;Answers!I543,G528&lt;Answers!I544),"Outlier","Normal")</f>
        <v>Outlier</v>
      </c>
      <c r="M528" s="18">
        <v>32</v>
      </c>
    </row>
    <row r="529" spans="1:13" ht="20" customHeight="1" x14ac:dyDescent="0.35">
      <c r="A529" s="17">
        <v>379416</v>
      </c>
      <c r="B529" s="18">
        <v>1873</v>
      </c>
      <c r="C529" s="23" t="s">
        <v>101</v>
      </c>
      <c r="D529" s="24">
        <v>45073.017361111109</v>
      </c>
      <c r="E529" s="18" t="s">
        <v>96</v>
      </c>
      <c r="F529" s="18" t="s">
        <v>81</v>
      </c>
      <c r="G529" s="18">
        <v>7996</v>
      </c>
      <c r="H529" s="25">
        <f t="shared" si="32"/>
        <v>45073</v>
      </c>
      <c r="I529" s="26">
        <f t="shared" si="33"/>
        <v>1.7361111109494232E-2</v>
      </c>
      <c r="J529" s="18" t="str">
        <f t="shared" si="34"/>
        <v>May</v>
      </c>
      <c r="K529" s="56" t="str">
        <f t="shared" si="35"/>
        <v>Saturday</v>
      </c>
      <c r="L529" s="18" t="str">
        <f>IF(OR(G529&gt;Answers!I544,G529&lt;Answers!I545),"Outlier","Normal")</f>
        <v>Outlier</v>
      </c>
      <c r="M529" s="18">
        <v>20</v>
      </c>
    </row>
    <row r="530" spans="1:13" ht="20" customHeight="1" x14ac:dyDescent="0.35">
      <c r="A530" s="17">
        <v>380866</v>
      </c>
      <c r="B530" s="18">
        <v>202</v>
      </c>
      <c r="C530" s="23" t="s">
        <v>99</v>
      </c>
      <c r="D530" s="24">
        <v>45291.043055555558</v>
      </c>
      <c r="E530" s="18" t="s">
        <v>96</v>
      </c>
      <c r="F530" s="18" t="s">
        <v>50</v>
      </c>
      <c r="G530" s="18">
        <v>526</v>
      </c>
      <c r="H530" s="25">
        <f t="shared" si="32"/>
        <v>45291</v>
      </c>
      <c r="I530" s="26">
        <f t="shared" si="33"/>
        <v>4.3055555557657499E-2</v>
      </c>
      <c r="J530" s="18" t="str">
        <f t="shared" si="34"/>
        <v>December</v>
      </c>
      <c r="K530" s="56" t="str">
        <f t="shared" si="35"/>
        <v>Sunday</v>
      </c>
      <c r="L530" s="18" t="str">
        <f>IF(OR(G530&gt;Answers!I545,G530&lt;Answers!I546),"Outlier","Normal")</f>
        <v>Outlier</v>
      </c>
      <c r="M530" s="18">
        <v>86</v>
      </c>
    </row>
    <row r="531" spans="1:13" ht="20" customHeight="1" x14ac:dyDescent="0.35">
      <c r="A531" s="17">
        <v>381897</v>
      </c>
      <c r="B531" s="18">
        <v>1314</v>
      </c>
      <c r="C531" s="23" t="s">
        <v>99</v>
      </c>
      <c r="D531" s="24">
        <v>45120.995138888888</v>
      </c>
      <c r="E531" s="18" t="s">
        <v>133</v>
      </c>
      <c r="F531" s="18" t="s">
        <v>5</v>
      </c>
      <c r="G531" s="18">
        <v>3916</v>
      </c>
      <c r="H531" s="25">
        <f t="shared" si="32"/>
        <v>45120</v>
      </c>
      <c r="I531" s="26">
        <f t="shared" si="33"/>
        <v>0.99513888888759539</v>
      </c>
      <c r="J531" s="18" t="str">
        <f t="shared" si="34"/>
        <v>July</v>
      </c>
      <c r="K531" s="56" t="str">
        <f t="shared" si="35"/>
        <v>Thursday</v>
      </c>
      <c r="L531" s="18" t="str">
        <f>IF(OR(G531&gt;Answers!I546,G531&lt;Answers!I547),"Outlier","Normal")</f>
        <v>Outlier</v>
      </c>
      <c r="M531" s="18">
        <v>86</v>
      </c>
    </row>
    <row r="532" spans="1:13" ht="20" customHeight="1" x14ac:dyDescent="0.35">
      <c r="A532" s="17">
        <v>382563</v>
      </c>
      <c r="B532" s="18">
        <v>1070</v>
      </c>
      <c r="C532" s="23" t="s">
        <v>106</v>
      </c>
      <c r="D532" s="24">
        <v>45215.056944444441</v>
      </c>
      <c r="E532" s="18" t="s">
        <v>98</v>
      </c>
      <c r="F532" s="18" t="s">
        <v>46</v>
      </c>
      <c r="G532" s="18">
        <v>471</v>
      </c>
      <c r="H532" s="25">
        <f t="shared" si="32"/>
        <v>45215</v>
      </c>
      <c r="I532" s="26">
        <f t="shared" si="33"/>
        <v>5.694444444088731E-2</v>
      </c>
      <c r="J532" s="18" t="str">
        <f t="shared" si="34"/>
        <v>October</v>
      </c>
      <c r="K532" s="56" t="str">
        <f t="shared" si="35"/>
        <v>Monday</v>
      </c>
      <c r="L532" s="18" t="str">
        <f>IF(OR(G532&gt;Answers!I547,G532&lt;Answers!I548),"Outlier","Normal")</f>
        <v>Outlier</v>
      </c>
      <c r="M532" s="18">
        <v>60</v>
      </c>
    </row>
    <row r="533" spans="1:13" ht="20" customHeight="1" x14ac:dyDescent="0.35">
      <c r="A533" s="17">
        <v>382755</v>
      </c>
      <c r="B533" s="18">
        <v>777</v>
      </c>
      <c r="C533" s="23" t="s">
        <v>99</v>
      </c>
      <c r="D533" s="24">
        <v>45138.968055555553</v>
      </c>
      <c r="E533" s="18" t="s">
        <v>97</v>
      </c>
      <c r="F533" s="18" t="s">
        <v>82</v>
      </c>
      <c r="G533" s="18">
        <v>1008</v>
      </c>
      <c r="H533" s="25">
        <f t="shared" si="32"/>
        <v>45138</v>
      </c>
      <c r="I533" s="26">
        <f t="shared" si="33"/>
        <v>0.96805555555329192</v>
      </c>
      <c r="J533" s="18" t="str">
        <f t="shared" si="34"/>
        <v>July</v>
      </c>
      <c r="K533" s="56" t="str">
        <f t="shared" si="35"/>
        <v>Monday</v>
      </c>
      <c r="L533" s="18" t="str">
        <f>IF(OR(G533&gt;Answers!I548,G533&lt;Answers!I549),"Outlier","Normal")</f>
        <v>Outlier</v>
      </c>
      <c r="M533" s="18">
        <v>53</v>
      </c>
    </row>
    <row r="534" spans="1:13" ht="20" customHeight="1" x14ac:dyDescent="0.35">
      <c r="A534" s="17">
        <v>383194</v>
      </c>
      <c r="B534" s="18">
        <v>1167</v>
      </c>
      <c r="C534" s="23" t="s">
        <v>99</v>
      </c>
      <c r="D534" s="24">
        <v>45075.946527777778</v>
      </c>
      <c r="E534" s="18" t="s">
        <v>133</v>
      </c>
      <c r="F534" s="18" t="s">
        <v>17</v>
      </c>
      <c r="G534" s="18">
        <v>6812</v>
      </c>
      <c r="H534" s="25">
        <f t="shared" si="32"/>
        <v>45075</v>
      </c>
      <c r="I534" s="26">
        <f t="shared" si="33"/>
        <v>0.94652777777810115</v>
      </c>
      <c r="J534" s="18" t="str">
        <f t="shared" si="34"/>
        <v>May</v>
      </c>
      <c r="K534" s="56" t="str">
        <f t="shared" si="35"/>
        <v>Monday</v>
      </c>
      <c r="L534" s="18" t="str">
        <f>IF(OR(G534&gt;Answers!I549,G534&lt;Answers!I550),"Outlier","Normal")</f>
        <v>Outlier</v>
      </c>
      <c r="M534" s="18">
        <v>78</v>
      </c>
    </row>
    <row r="535" spans="1:13" ht="20" customHeight="1" x14ac:dyDescent="0.35">
      <c r="A535" s="17">
        <v>383311</v>
      </c>
      <c r="B535" s="18">
        <v>1257</v>
      </c>
      <c r="C535" s="23" t="s">
        <v>99</v>
      </c>
      <c r="D535" s="24">
        <v>45154.995138888888</v>
      </c>
      <c r="E535" s="18" t="s">
        <v>133</v>
      </c>
      <c r="F535" s="18" t="s">
        <v>11</v>
      </c>
      <c r="G535" s="18">
        <v>362</v>
      </c>
      <c r="H535" s="25">
        <f t="shared" si="32"/>
        <v>45154</v>
      </c>
      <c r="I535" s="26">
        <f t="shared" si="33"/>
        <v>0.99513888888759539</v>
      </c>
      <c r="J535" s="18" t="str">
        <f t="shared" si="34"/>
        <v>August</v>
      </c>
      <c r="K535" s="56" t="str">
        <f t="shared" si="35"/>
        <v>Wednesday</v>
      </c>
      <c r="L535" s="18" t="str">
        <f>IF(OR(G535&gt;Answers!I550,G535&lt;Answers!I551),"Outlier","Normal")</f>
        <v>Outlier</v>
      </c>
      <c r="M535" s="18">
        <v>69</v>
      </c>
    </row>
    <row r="536" spans="1:13" ht="20" customHeight="1" x14ac:dyDescent="0.35">
      <c r="A536" s="17">
        <v>383781</v>
      </c>
      <c r="B536" s="18">
        <v>333</v>
      </c>
      <c r="C536" s="23" t="s">
        <v>109</v>
      </c>
      <c r="D536" s="24">
        <v>45274.057638888888</v>
      </c>
      <c r="E536" s="18" t="s">
        <v>98</v>
      </c>
      <c r="F536" s="18" t="s">
        <v>44</v>
      </c>
      <c r="G536" s="18">
        <v>75</v>
      </c>
      <c r="H536" s="25">
        <f t="shared" si="32"/>
        <v>45274</v>
      </c>
      <c r="I536" s="26">
        <f t="shared" si="33"/>
        <v>5.7638888887595385E-2</v>
      </c>
      <c r="J536" s="18" t="str">
        <f t="shared" si="34"/>
        <v>December</v>
      </c>
      <c r="K536" s="56" t="str">
        <f t="shared" si="35"/>
        <v>Thursday</v>
      </c>
      <c r="L536" s="18" t="str">
        <f>IF(OR(G536&gt;Answers!I551,G536&lt;Answers!I552),"Outlier","Normal")</f>
        <v>Outlier</v>
      </c>
      <c r="M536" s="18">
        <v>43</v>
      </c>
    </row>
    <row r="537" spans="1:13" ht="20" customHeight="1" x14ac:dyDescent="0.35">
      <c r="A537" s="17">
        <v>384942</v>
      </c>
      <c r="B537" s="18">
        <v>1938</v>
      </c>
      <c r="C537" s="23" t="s">
        <v>99</v>
      </c>
      <c r="D537" s="24">
        <v>45204.972222222219</v>
      </c>
      <c r="E537" s="18" t="s">
        <v>96</v>
      </c>
      <c r="F537" s="18" t="s">
        <v>78</v>
      </c>
      <c r="G537" s="18">
        <v>5617</v>
      </c>
      <c r="H537" s="25">
        <f t="shared" si="32"/>
        <v>45204</v>
      </c>
      <c r="I537" s="26">
        <f t="shared" si="33"/>
        <v>0.97222222221898846</v>
      </c>
      <c r="J537" s="18" t="str">
        <f t="shared" si="34"/>
        <v>October</v>
      </c>
      <c r="K537" s="56" t="str">
        <f t="shared" si="35"/>
        <v>Thursday</v>
      </c>
      <c r="L537" s="18" t="str">
        <f>IF(OR(G537&gt;Answers!I552,G537&lt;Answers!I553),"Outlier","Normal")</f>
        <v>Outlier</v>
      </c>
      <c r="M537" s="18">
        <v>70</v>
      </c>
    </row>
    <row r="538" spans="1:13" ht="20" customHeight="1" x14ac:dyDescent="0.35">
      <c r="A538" s="17">
        <v>385164</v>
      </c>
      <c r="B538" s="18">
        <v>1569</v>
      </c>
      <c r="C538" s="23" t="s">
        <v>105</v>
      </c>
      <c r="D538" s="24">
        <v>45070.022916666669</v>
      </c>
      <c r="E538" s="18" t="s">
        <v>96</v>
      </c>
      <c r="F538" s="18" t="s">
        <v>27</v>
      </c>
      <c r="G538" s="18">
        <v>6376</v>
      </c>
      <c r="H538" s="25">
        <f t="shared" si="32"/>
        <v>45070</v>
      </c>
      <c r="I538" s="26">
        <f t="shared" si="33"/>
        <v>2.2916666668606922E-2</v>
      </c>
      <c r="J538" s="18" t="str">
        <f t="shared" si="34"/>
        <v>May</v>
      </c>
      <c r="K538" s="56" t="str">
        <f t="shared" si="35"/>
        <v>Wednesday</v>
      </c>
      <c r="L538" s="18" t="str">
        <f>IF(OR(G538&gt;Answers!I553,G538&lt;Answers!I554),"Outlier","Normal")</f>
        <v>Outlier</v>
      </c>
      <c r="M538" s="18">
        <v>20</v>
      </c>
    </row>
    <row r="539" spans="1:13" ht="20" customHeight="1" x14ac:dyDescent="0.35">
      <c r="A539" s="17">
        <v>385361</v>
      </c>
      <c r="B539" s="18">
        <v>565</v>
      </c>
      <c r="C539" s="23" t="s">
        <v>100</v>
      </c>
      <c r="D539" s="24">
        <v>45249.974999999999</v>
      </c>
      <c r="E539" s="18" t="s">
        <v>97</v>
      </c>
      <c r="F539" s="18" t="s">
        <v>59</v>
      </c>
      <c r="G539" s="18">
        <v>9005</v>
      </c>
      <c r="H539" s="25">
        <f t="shared" si="32"/>
        <v>45249</v>
      </c>
      <c r="I539" s="26">
        <f t="shared" si="33"/>
        <v>0.97499999999854481</v>
      </c>
      <c r="J539" s="18" t="str">
        <f t="shared" si="34"/>
        <v>November</v>
      </c>
      <c r="K539" s="56" t="str">
        <f t="shared" si="35"/>
        <v>Sunday</v>
      </c>
      <c r="L539" s="18" t="str">
        <f>IF(OR(G539&gt;Answers!I554,G539&lt;Answers!I555),"Outlier","Normal")</f>
        <v>Outlier</v>
      </c>
      <c r="M539" s="18">
        <v>62</v>
      </c>
    </row>
    <row r="540" spans="1:13" ht="20" customHeight="1" x14ac:dyDescent="0.35">
      <c r="A540" s="17">
        <v>386283</v>
      </c>
      <c r="B540" s="18">
        <v>190</v>
      </c>
      <c r="C540" s="23" t="s">
        <v>100</v>
      </c>
      <c r="D540" s="24">
        <v>44963.989583333336</v>
      </c>
      <c r="E540" s="18" t="s">
        <v>97</v>
      </c>
      <c r="F540" s="18" t="s">
        <v>87</v>
      </c>
      <c r="G540" s="18">
        <v>8183</v>
      </c>
      <c r="H540" s="25">
        <f t="shared" si="32"/>
        <v>44963</v>
      </c>
      <c r="I540" s="26">
        <f t="shared" si="33"/>
        <v>0.98958333333575865</v>
      </c>
      <c r="J540" s="18" t="str">
        <f t="shared" si="34"/>
        <v>February</v>
      </c>
      <c r="K540" s="56" t="str">
        <f t="shared" si="35"/>
        <v>Monday</v>
      </c>
      <c r="L540" s="18" t="str">
        <f>IF(OR(G540&gt;Answers!I555,G540&lt;Answers!I556),"Outlier","Normal")</f>
        <v>Outlier</v>
      </c>
      <c r="M540" s="18">
        <v>71</v>
      </c>
    </row>
    <row r="541" spans="1:13" ht="20" customHeight="1" x14ac:dyDescent="0.35">
      <c r="A541" s="17">
        <v>386673</v>
      </c>
      <c r="B541" s="18">
        <v>302</v>
      </c>
      <c r="C541" s="23" t="s">
        <v>109</v>
      </c>
      <c r="D541" s="24">
        <v>45077.081944444442</v>
      </c>
      <c r="E541" s="18" t="s">
        <v>97</v>
      </c>
      <c r="F541" s="18" t="s">
        <v>26</v>
      </c>
      <c r="G541" s="18">
        <v>1947</v>
      </c>
      <c r="H541" s="25">
        <f t="shared" si="32"/>
        <v>45077</v>
      </c>
      <c r="I541" s="26">
        <f t="shared" si="33"/>
        <v>8.1944444442342501E-2</v>
      </c>
      <c r="J541" s="18" t="str">
        <f t="shared" si="34"/>
        <v>May</v>
      </c>
      <c r="K541" s="56" t="str">
        <f t="shared" si="35"/>
        <v>Wednesday</v>
      </c>
      <c r="L541" s="18" t="str">
        <f>IF(OR(G541&gt;Answers!I556,G541&lt;Answers!I557),"Outlier","Normal")</f>
        <v>Outlier</v>
      </c>
      <c r="M541" s="18">
        <v>29</v>
      </c>
    </row>
    <row r="542" spans="1:13" ht="20" customHeight="1" x14ac:dyDescent="0.35">
      <c r="A542" s="17">
        <v>386885</v>
      </c>
      <c r="B542" s="18">
        <v>1647</v>
      </c>
      <c r="C542" s="23" t="s">
        <v>99</v>
      </c>
      <c r="D542" s="24">
        <v>44991.020138888889</v>
      </c>
      <c r="E542" s="18" t="s">
        <v>97</v>
      </c>
      <c r="F542" s="18" t="s">
        <v>74</v>
      </c>
      <c r="G542" s="18">
        <v>9165</v>
      </c>
      <c r="H542" s="25">
        <f t="shared" si="32"/>
        <v>44991</v>
      </c>
      <c r="I542" s="26">
        <f t="shared" si="33"/>
        <v>2.0138888889050577E-2</v>
      </c>
      <c r="J542" s="18" t="str">
        <f t="shared" si="34"/>
        <v>March</v>
      </c>
      <c r="K542" s="56" t="str">
        <f t="shared" si="35"/>
        <v>Monday</v>
      </c>
      <c r="L542" s="18" t="str">
        <f>IF(OR(G542&gt;Answers!I557,G542&lt;Answers!I558),"Outlier","Normal")</f>
        <v>Outlier</v>
      </c>
      <c r="M542" s="18">
        <v>22</v>
      </c>
    </row>
    <row r="543" spans="1:13" ht="20" customHeight="1" x14ac:dyDescent="0.35">
      <c r="A543" s="17">
        <v>387103</v>
      </c>
      <c r="B543" s="18">
        <v>762</v>
      </c>
      <c r="C543" s="23" t="s">
        <v>108</v>
      </c>
      <c r="D543" s="24">
        <v>45077.017361111109</v>
      </c>
      <c r="E543" s="18" t="s">
        <v>98</v>
      </c>
      <c r="F543" s="18" t="s">
        <v>88</v>
      </c>
      <c r="G543" s="18">
        <v>1379</v>
      </c>
      <c r="H543" s="25">
        <f t="shared" si="32"/>
        <v>45077</v>
      </c>
      <c r="I543" s="26">
        <f t="shared" si="33"/>
        <v>1.7361111109494232E-2</v>
      </c>
      <c r="J543" s="18" t="str">
        <f t="shared" si="34"/>
        <v>May</v>
      </c>
      <c r="K543" s="56" t="str">
        <f t="shared" si="35"/>
        <v>Wednesday</v>
      </c>
      <c r="L543" s="18" t="str">
        <f>IF(OR(G543&gt;Answers!I558,G543&lt;Answers!I559),"Outlier","Normal")</f>
        <v>Outlier</v>
      </c>
      <c r="M543" s="18">
        <v>21</v>
      </c>
    </row>
    <row r="544" spans="1:13" ht="20" customHeight="1" x14ac:dyDescent="0.35">
      <c r="A544" s="17">
        <v>388268</v>
      </c>
      <c r="B544" s="18">
        <v>217</v>
      </c>
      <c r="C544" s="23" t="s">
        <v>99</v>
      </c>
      <c r="D544" s="24">
        <v>45220.033333333333</v>
      </c>
      <c r="E544" s="18" t="s">
        <v>97</v>
      </c>
      <c r="F544" s="18" t="s">
        <v>69</v>
      </c>
      <c r="G544" s="18">
        <v>1780</v>
      </c>
      <c r="H544" s="25">
        <f t="shared" si="32"/>
        <v>45220</v>
      </c>
      <c r="I544" s="26">
        <f t="shared" si="33"/>
        <v>3.3333333332848269E-2</v>
      </c>
      <c r="J544" s="18" t="str">
        <f t="shared" si="34"/>
        <v>October</v>
      </c>
      <c r="K544" s="56" t="str">
        <f t="shared" si="35"/>
        <v>Saturday</v>
      </c>
      <c r="L544" s="18" t="str">
        <f>IF(OR(G544&gt;Answers!I559,G544&lt;Answers!I560),"Outlier","Normal")</f>
        <v>Outlier</v>
      </c>
      <c r="M544" s="18">
        <v>60</v>
      </c>
    </row>
    <row r="545" spans="1:13" ht="20" customHeight="1" x14ac:dyDescent="0.35">
      <c r="A545" s="17">
        <v>389519</v>
      </c>
      <c r="B545" s="18">
        <v>336</v>
      </c>
      <c r="C545" s="23" t="s">
        <v>105</v>
      </c>
      <c r="D545" s="24">
        <v>45249.077777777777</v>
      </c>
      <c r="E545" s="18" t="s">
        <v>97</v>
      </c>
      <c r="F545" s="18" t="s">
        <v>89</v>
      </c>
      <c r="G545" s="18">
        <v>5243</v>
      </c>
      <c r="H545" s="25">
        <f t="shared" si="32"/>
        <v>45249</v>
      </c>
      <c r="I545" s="26">
        <f t="shared" si="33"/>
        <v>7.7777777776645962E-2</v>
      </c>
      <c r="J545" s="18" t="str">
        <f t="shared" si="34"/>
        <v>November</v>
      </c>
      <c r="K545" s="56" t="str">
        <f t="shared" si="35"/>
        <v>Sunday</v>
      </c>
      <c r="L545" s="18" t="str">
        <f>IF(OR(G545&gt;Answers!I560,G545&lt;Answers!I561),"Outlier","Normal")</f>
        <v>Outlier</v>
      </c>
      <c r="M545" s="18">
        <v>26</v>
      </c>
    </row>
    <row r="546" spans="1:13" ht="20" customHeight="1" x14ac:dyDescent="0.35">
      <c r="A546" s="17">
        <v>389648</v>
      </c>
      <c r="B546" s="18">
        <v>1360</v>
      </c>
      <c r="C546" s="23" t="s">
        <v>105</v>
      </c>
      <c r="D546" s="24">
        <v>44940.011805555558</v>
      </c>
      <c r="E546" s="18" t="s">
        <v>97</v>
      </c>
      <c r="F546" s="18" t="s">
        <v>27</v>
      </c>
      <c r="G546" s="18">
        <v>6153</v>
      </c>
      <c r="H546" s="25">
        <f t="shared" si="32"/>
        <v>44940</v>
      </c>
      <c r="I546" s="26">
        <f t="shared" si="33"/>
        <v>1.1805555557657499E-2</v>
      </c>
      <c r="J546" s="18" t="str">
        <f t="shared" si="34"/>
        <v>January</v>
      </c>
      <c r="K546" s="56" t="str">
        <f t="shared" si="35"/>
        <v>Saturday</v>
      </c>
      <c r="L546" s="18" t="str">
        <f>IF(OR(G546&gt;Answers!I561,G546&lt;Answers!I562),"Outlier","Normal")</f>
        <v>Outlier</v>
      </c>
      <c r="M546" s="18">
        <v>40</v>
      </c>
    </row>
    <row r="547" spans="1:13" ht="20" customHeight="1" x14ac:dyDescent="0.35">
      <c r="A547" s="17">
        <v>389725</v>
      </c>
      <c r="B547" s="18">
        <v>487</v>
      </c>
      <c r="C547" s="23" t="s">
        <v>101</v>
      </c>
      <c r="D547" s="24">
        <v>45237.074305555558</v>
      </c>
      <c r="E547" s="18" t="s">
        <v>133</v>
      </c>
      <c r="F547" s="18" t="s">
        <v>25</v>
      </c>
      <c r="G547" s="18">
        <v>206</v>
      </c>
      <c r="H547" s="25">
        <f t="shared" si="32"/>
        <v>45237</v>
      </c>
      <c r="I547" s="26">
        <f t="shared" si="33"/>
        <v>7.4305555557657499E-2</v>
      </c>
      <c r="J547" s="18" t="str">
        <f t="shared" si="34"/>
        <v>November</v>
      </c>
      <c r="K547" s="56" t="str">
        <f t="shared" si="35"/>
        <v>Tuesday</v>
      </c>
      <c r="L547" s="18" t="str">
        <f>IF(OR(G547&gt;Answers!I562,G547&lt;Answers!I563),"Outlier","Normal")</f>
        <v>Outlier</v>
      </c>
      <c r="M547" s="18">
        <v>81</v>
      </c>
    </row>
    <row r="548" spans="1:13" ht="20" customHeight="1" x14ac:dyDescent="0.35">
      <c r="A548" s="17">
        <v>390345</v>
      </c>
      <c r="B548" s="18">
        <v>245</v>
      </c>
      <c r="C548" s="23" t="s">
        <v>113</v>
      </c>
      <c r="D548" s="24">
        <v>45120.018055555556</v>
      </c>
      <c r="E548" s="18" t="s">
        <v>133</v>
      </c>
      <c r="F548" s="18" t="s">
        <v>49</v>
      </c>
      <c r="G548" s="18">
        <v>4767</v>
      </c>
      <c r="H548" s="25">
        <f t="shared" si="32"/>
        <v>45120</v>
      </c>
      <c r="I548" s="26">
        <f t="shared" si="33"/>
        <v>1.8055555556202307E-2</v>
      </c>
      <c r="J548" s="18" t="str">
        <f t="shared" si="34"/>
        <v>July</v>
      </c>
      <c r="K548" s="56" t="str">
        <f t="shared" si="35"/>
        <v>Thursday</v>
      </c>
      <c r="L548" s="18" t="str">
        <f>IF(OR(G548&gt;Answers!I563,G548&lt;Answers!I564),"Outlier","Normal")</f>
        <v>Outlier</v>
      </c>
      <c r="M548" s="18">
        <v>63</v>
      </c>
    </row>
    <row r="549" spans="1:13" ht="20" customHeight="1" x14ac:dyDescent="0.35">
      <c r="A549" s="17">
        <v>390509</v>
      </c>
      <c r="B549" s="18">
        <v>11</v>
      </c>
      <c r="C549" s="23" t="s">
        <v>99</v>
      </c>
      <c r="D549" s="24">
        <v>45147.040277777778</v>
      </c>
      <c r="E549" s="18" t="s">
        <v>96</v>
      </c>
      <c r="F549" s="18" t="s">
        <v>5</v>
      </c>
      <c r="G549" s="18">
        <v>2754</v>
      </c>
      <c r="H549" s="25">
        <f t="shared" si="32"/>
        <v>45147</v>
      </c>
      <c r="I549" s="26">
        <f t="shared" si="33"/>
        <v>4.0277777778101154E-2</v>
      </c>
      <c r="J549" s="18" t="str">
        <f t="shared" si="34"/>
        <v>August</v>
      </c>
      <c r="K549" s="56" t="str">
        <f t="shared" si="35"/>
        <v>Wednesday</v>
      </c>
      <c r="L549" s="18" t="str">
        <f>IF(OR(G549&gt;Answers!I564,G549&lt;Answers!I565),"Outlier","Normal")</f>
        <v>Outlier</v>
      </c>
      <c r="M549" s="18">
        <v>82</v>
      </c>
    </row>
    <row r="550" spans="1:13" ht="20" customHeight="1" x14ac:dyDescent="0.35">
      <c r="A550" s="17">
        <v>390821</v>
      </c>
      <c r="B550" s="18">
        <v>291</v>
      </c>
      <c r="C550" s="23" t="s">
        <v>113</v>
      </c>
      <c r="D550" s="24">
        <v>45056.044444444444</v>
      </c>
      <c r="E550" s="18" t="s">
        <v>98</v>
      </c>
      <c r="F550" s="18" t="s">
        <v>7</v>
      </c>
      <c r="G550" s="18">
        <v>2140</v>
      </c>
      <c r="H550" s="25">
        <f t="shared" si="32"/>
        <v>45056</v>
      </c>
      <c r="I550" s="26">
        <f t="shared" si="33"/>
        <v>4.4444444443797693E-2</v>
      </c>
      <c r="J550" s="18" t="str">
        <f t="shared" si="34"/>
        <v>May</v>
      </c>
      <c r="K550" s="56" t="str">
        <f t="shared" si="35"/>
        <v>Wednesday</v>
      </c>
      <c r="L550" s="18" t="str">
        <f>IF(OR(G550&gt;Answers!I565,G550&lt;Answers!I566),"Outlier","Normal")</f>
        <v>Outlier</v>
      </c>
      <c r="M550" s="18">
        <v>44</v>
      </c>
    </row>
    <row r="551" spans="1:13" ht="20" customHeight="1" x14ac:dyDescent="0.35">
      <c r="A551" s="17">
        <v>391564</v>
      </c>
      <c r="B551" s="18">
        <v>926</v>
      </c>
      <c r="C551" s="23" t="s">
        <v>99</v>
      </c>
      <c r="D551" s="24">
        <v>45049.980555555558</v>
      </c>
      <c r="E551" s="18" t="s">
        <v>96</v>
      </c>
      <c r="F551" s="18" t="s">
        <v>27</v>
      </c>
      <c r="G551" s="18">
        <v>3051</v>
      </c>
      <c r="H551" s="25">
        <f t="shared" si="32"/>
        <v>45049</v>
      </c>
      <c r="I551" s="26">
        <f t="shared" si="33"/>
        <v>0.9805555555576575</v>
      </c>
      <c r="J551" s="18" t="str">
        <f t="shared" si="34"/>
        <v>May</v>
      </c>
      <c r="K551" s="56" t="str">
        <f t="shared" si="35"/>
        <v>Wednesday</v>
      </c>
      <c r="L551" s="18" t="str">
        <f>IF(OR(G551&gt;Answers!I566,G551&lt;Answers!I567),"Outlier","Normal")</f>
        <v>Outlier</v>
      </c>
      <c r="M551" s="18">
        <v>19</v>
      </c>
    </row>
    <row r="552" spans="1:13" ht="20" customHeight="1" x14ac:dyDescent="0.35">
      <c r="A552" s="17">
        <v>391706</v>
      </c>
      <c r="B552" s="18">
        <v>1840</v>
      </c>
      <c r="C552" s="23" t="s">
        <v>99</v>
      </c>
      <c r="D552" s="24">
        <v>44971.960416666669</v>
      </c>
      <c r="E552" s="18" t="s">
        <v>97</v>
      </c>
      <c r="F552" s="18" t="s">
        <v>65</v>
      </c>
      <c r="G552" s="18">
        <v>5396</v>
      </c>
      <c r="H552" s="25">
        <f t="shared" si="32"/>
        <v>44971</v>
      </c>
      <c r="I552" s="26">
        <f t="shared" si="33"/>
        <v>0.96041666666860692</v>
      </c>
      <c r="J552" s="18" t="str">
        <f t="shared" si="34"/>
        <v>February</v>
      </c>
      <c r="K552" s="56" t="str">
        <f t="shared" si="35"/>
        <v>Tuesday</v>
      </c>
      <c r="L552" s="18" t="str">
        <f>IF(OR(G552&gt;Answers!I567,G552&lt;Answers!I568),"Outlier","Normal")</f>
        <v>Outlier</v>
      </c>
      <c r="M552" s="18">
        <v>83</v>
      </c>
    </row>
    <row r="553" spans="1:13" ht="20" customHeight="1" x14ac:dyDescent="0.35">
      <c r="A553" s="17">
        <v>391963</v>
      </c>
      <c r="B553" s="18">
        <v>1885</v>
      </c>
      <c r="C553" s="23" t="s">
        <v>104</v>
      </c>
      <c r="D553" s="24">
        <v>45240.970138888886</v>
      </c>
      <c r="E553" s="18" t="s">
        <v>98</v>
      </c>
      <c r="F553" s="18" t="s">
        <v>23</v>
      </c>
      <c r="G553" s="18">
        <v>856</v>
      </c>
      <c r="H553" s="25">
        <f t="shared" si="32"/>
        <v>45240</v>
      </c>
      <c r="I553" s="26">
        <f t="shared" si="33"/>
        <v>0.97013888888614019</v>
      </c>
      <c r="J553" s="18" t="str">
        <f t="shared" si="34"/>
        <v>November</v>
      </c>
      <c r="K553" s="56" t="str">
        <f t="shared" si="35"/>
        <v>Friday</v>
      </c>
      <c r="L553" s="18" t="str">
        <f>IF(OR(G553&gt;Answers!I568,G553&lt;Answers!I569),"Outlier","Normal")</f>
        <v>Outlier</v>
      </c>
      <c r="M553" s="18">
        <v>27</v>
      </c>
    </row>
    <row r="554" spans="1:13" ht="20" customHeight="1" x14ac:dyDescent="0.35">
      <c r="A554" s="17">
        <v>393726</v>
      </c>
      <c r="B554" s="18">
        <v>1676</v>
      </c>
      <c r="C554" s="23" t="s">
        <v>104</v>
      </c>
      <c r="D554" s="24">
        <v>45014.99722222222</v>
      </c>
      <c r="E554" s="18" t="s">
        <v>98</v>
      </c>
      <c r="F554" s="18" t="s">
        <v>90</v>
      </c>
      <c r="G554" s="18">
        <v>2852</v>
      </c>
      <c r="H554" s="25">
        <f t="shared" si="32"/>
        <v>45014</v>
      </c>
      <c r="I554" s="26">
        <f t="shared" si="33"/>
        <v>0.99722222222044365</v>
      </c>
      <c r="J554" s="18" t="str">
        <f t="shared" si="34"/>
        <v>March</v>
      </c>
      <c r="K554" s="56" t="str">
        <f t="shared" si="35"/>
        <v>Wednesday</v>
      </c>
      <c r="L554" s="18" t="str">
        <f>IF(OR(G554&gt;Answers!I569,G554&lt;Answers!I570),"Outlier","Normal")</f>
        <v>Outlier</v>
      </c>
      <c r="M554" s="18">
        <v>25</v>
      </c>
    </row>
    <row r="555" spans="1:13" ht="20" customHeight="1" x14ac:dyDescent="0.35">
      <c r="A555" s="17">
        <v>393917</v>
      </c>
      <c r="B555" s="18">
        <v>359</v>
      </c>
      <c r="C555" s="23" t="s">
        <v>100</v>
      </c>
      <c r="D555" s="24">
        <v>45105.034722222219</v>
      </c>
      <c r="E555" s="18" t="s">
        <v>97</v>
      </c>
      <c r="F555" s="18" t="s">
        <v>23</v>
      </c>
      <c r="G555" s="18">
        <v>2533</v>
      </c>
      <c r="H555" s="25">
        <f t="shared" si="32"/>
        <v>45105</v>
      </c>
      <c r="I555" s="26">
        <f t="shared" si="33"/>
        <v>3.4722222218988463E-2</v>
      </c>
      <c r="J555" s="18" t="str">
        <f t="shared" si="34"/>
        <v>June</v>
      </c>
      <c r="K555" s="56" t="str">
        <f t="shared" si="35"/>
        <v>Wednesday</v>
      </c>
      <c r="L555" s="18" t="str">
        <f>IF(OR(G555&gt;Answers!I570,G555&lt;Answers!I571),"Outlier","Normal")</f>
        <v>Outlier</v>
      </c>
      <c r="M555" s="18">
        <v>37</v>
      </c>
    </row>
    <row r="556" spans="1:13" ht="20" customHeight="1" x14ac:dyDescent="0.35">
      <c r="A556" s="17">
        <v>394768</v>
      </c>
      <c r="B556" s="18">
        <v>224</v>
      </c>
      <c r="C556" s="23" t="s">
        <v>113</v>
      </c>
      <c r="D556" s="24">
        <v>45289.976388888892</v>
      </c>
      <c r="E556" s="18" t="s">
        <v>133</v>
      </c>
      <c r="F556" s="18" t="s">
        <v>92</v>
      </c>
      <c r="G556" s="18">
        <v>3458</v>
      </c>
      <c r="H556" s="25">
        <f t="shared" si="32"/>
        <v>45289</v>
      </c>
      <c r="I556" s="26">
        <f t="shared" si="33"/>
        <v>0.97638888889196096</v>
      </c>
      <c r="J556" s="18" t="str">
        <f t="shared" si="34"/>
        <v>December</v>
      </c>
      <c r="K556" s="56" t="str">
        <f t="shared" si="35"/>
        <v>Friday</v>
      </c>
      <c r="L556" s="18" t="str">
        <f>IF(OR(G556&gt;Answers!I571,G556&lt;Answers!I572),"Outlier","Normal")</f>
        <v>Outlier</v>
      </c>
      <c r="M556" s="18">
        <v>64</v>
      </c>
    </row>
    <row r="557" spans="1:13" ht="20" customHeight="1" x14ac:dyDescent="0.35">
      <c r="A557" s="17">
        <v>394773</v>
      </c>
      <c r="B557" s="18">
        <v>1474</v>
      </c>
      <c r="C557" s="23" t="s">
        <v>99</v>
      </c>
      <c r="D557" s="24">
        <v>45231.030555555553</v>
      </c>
      <c r="E557" s="18" t="s">
        <v>133</v>
      </c>
      <c r="F557" s="18" t="s">
        <v>54</v>
      </c>
      <c r="G557" s="18">
        <v>9148</v>
      </c>
      <c r="H557" s="25">
        <f t="shared" si="32"/>
        <v>45231</v>
      </c>
      <c r="I557" s="26">
        <f t="shared" si="33"/>
        <v>3.0555555553291924E-2</v>
      </c>
      <c r="J557" s="18" t="str">
        <f t="shared" si="34"/>
        <v>November</v>
      </c>
      <c r="K557" s="56" t="str">
        <f t="shared" si="35"/>
        <v>Wednesday</v>
      </c>
      <c r="L557" s="18" t="str">
        <f>IF(OR(G557&gt;Answers!I572,G557&lt;Answers!I573),"Outlier","Normal")</f>
        <v>Outlier</v>
      </c>
      <c r="M557" s="18">
        <v>25</v>
      </c>
    </row>
    <row r="558" spans="1:13" ht="20" customHeight="1" x14ac:dyDescent="0.35">
      <c r="A558" s="17">
        <v>394904</v>
      </c>
      <c r="B558" s="18">
        <v>1620</v>
      </c>
      <c r="C558" s="23" t="s">
        <v>99</v>
      </c>
      <c r="D558" s="24">
        <v>45206.070833333331</v>
      </c>
      <c r="E558" s="18" t="s">
        <v>97</v>
      </c>
      <c r="F558" s="18" t="s">
        <v>20</v>
      </c>
      <c r="G558" s="18">
        <v>3234</v>
      </c>
      <c r="H558" s="25">
        <f t="shared" si="32"/>
        <v>45206</v>
      </c>
      <c r="I558" s="26">
        <f t="shared" si="33"/>
        <v>7.0833333331393078E-2</v>
      </c>
      <c r="J558" s="18" t="str">
        <f t="shared" si="34"/>
        <v>October</v>
      </c>
      <c r="K558" s="56" t="str">
        <f t="shared" si="35"/>
        <v>Saturday</v>
      </c>
      <c r="L558" s="18" t="str">
        <f>IF(OR(G558&gt;Answers!I573,G558&lt;Answers!I574),"Outlier","Normal")</f>
        <v>Outlier</v>
      </c>
      <c r="M558" s="18">
        <v>61</v>
      </c>
    </row>
    <row r="559" spans="1:13" ht="20" customHeight="1" x14ac:dyDescent="0.35">
      <c r="A559" s="17">
        <v>394940</v>
      </c>
      <c r="B559" s="18">
        <v>1815</v>
      </c>
      <c r="C559" s="23" t="s">
        <v>104</v>
      </c>
      <c r="D559" s="24">
        <v>45230.040972222225</v>
      </c>
      <c r="E559" s="18" t="s">
        <v>133</v>
      </c>
      <c r="F559" s="18" t="s">
        <v>41</v>
      </c>
      <c r="G559" s="18">
        <v>4437</v>
      </c>
      <c r="H559" s="25">
        <f t="shared" si="32"/>
        <v>45230</v>
      </c>
      <c r="I559" s="26">
        <f t="shared" si="33"/>
        <v>4.0972222224809229E-2</v>
      </c>
      <c r="J559" s="18" t="str">
        <f t="shared" si="34"/>
        <v>October</v>
      </c>
      <c r="K559" s="56" t="str">
        <f t="shared" si="35"/>
        <v>Tuesday</v>
      </c>
      <c r="L559" s="18" t="str">
        <f>IF(OR(G559&gt;Answers!I574,G559&lt;Answers!I575),"Outlier","Normal")</f>
        <v>Outlier</v>
      </c>
      <c r="M559" s="18">
        <v>43</v>
      </c>
    </row>
    <row r="560" spans="1:13" ht="20" customHeight="1" x14ac:dyDescent="0.35">
      <c r="A560" s="17">
        <v>395235</v>
      </c>
      <c r="B560" s="18">
        <v>869</v>
      </c>
      <c r="C560" s="23" t="s">
        <v>104</v>
      </c>
      <c r="D560" s="24">
        <v>45205</v>
      </c>
      <c r="E560" s="18" t="s">
        <v>96</v>
      </c>
      <c r="F560" s="18" t="s">
        <v>55</v>
      </c>
      <c r="G560" s="18">
        <v>6921</v>
      </c>
      <c r="H560" s="25">
        <f t="shared" si="32"/>
        <v>45205</v>
      </c>
      <c r="I560" s="26">
        <f t="shared" si="33"/>
        <v>0</v>
      </c>
      <c r="J560" s="18" t="str">
        <f t="shared" si="34"/>
        <v>October</v>
      </c>
      <c r="K560" s="56" t="str">
        <f t="shared" si="35"/>
        <v>Friday</v>
      </c>
      <c r="L560" s="18" t="str">
        <f>IF(OR(G560&gt;Answers!I575,G560&lt;Answers!I576),"Outlier","Normal")</f>
        <v>Outlier</v>
      </c>
      <c r="M560" s="18">
        <v>56</v>
      </c>
    </row>
    <row r="561" spans="1:13" ht="20" customHeight="1" x14ac:dyDescent="0.35">
      <c r="A561" s="17">
        <v>396045</v>
      </c>
      <c r="B561" s="18">
        <v>892</v>
      </c>
      <c r="C561" s="23" t="s">
        <v>99</v>
      </c>
      <c r="D561" s="24">
        <v>45059.030555555553</v>
      </c>
      <c r="E561" s="18" t="s">
        <v>133</v>
      </c>
      <c r="F561" s="18" t="s">
        <v>56</v>
      </c>
      <c r="G561" s="18">
        <v>4913</v>
      </c>
      <c r="H561" s="25">
        <f t="shared" si="32"/>
        <v>45059</v>
      </c>
      <c r="I561" s="26">
        <f t="shared" si="33"/>
        <v>3.0555555553291924E-2</v>
      </c>
      <c r="J561" s="18" t="str">
        <f t="shared" si="34"/>
        <v>May</v>
      </c>
      <c r="K561" s="56" t="str">
        <f t="shared" si="35"/>
        <v>Saturday</v>
      </c>
      <c r="L561" s="18" t="str">
        <f>IF(OR(G561&gt;Answers!I576,G561&lt;Answers!I577),"Outlier","Normal")</f>
        <v>Outlier</v>
      </c>
      <c r="M561" s="18">
        <v>34</v>
      </c>
    </row>
    <row r="562" spans="1:13" ht="20" customHeight="1" x14ac:dyDescent="0.35">
      <c r="A562" s="17">
        <v>396103</v>
      </c>
      <c r="B562" s="18">
        <v>1588</v>
      </c>
      <c r="C562" s="23" t="s">
        <v>100</v>
      </c>
      <c r="D562" s="24">
        <v>45275.057638888888</v>
      </c>
      <c r="E562" s="18" t="s">
        <v>98</v>
      </c>
      <c r="F562" s="18" t="s">
        <v>70</v>
      </c>
      <c r="G562" s="18">
        <v>3558</v>
      </c>
      <c r="H562" s="25">
        <f t="shared" si="32"/>
        <v>45275</v>
      </c>
      <c r="I562" s="26">
        <f t="shared" si="33"/>
        <v>5.7638888887595385E-2</v>
      </c>
      <c r="J562" s="18" t="str">
        <f t="shared" si="34"/>
        <v>December</v>
      </c>
      <c r="K562" s="56" t="str">
        <f t="shared" si="35"/>
        <v>Friday</v>
      </c>
      <c r="L562" s="18" t="str">
        <f>IF(OR(G562&gt;Answers!I577,G562&lt;Answers!I578),"Outlier","Normal")</f>
        <v>Outlier</v>
      </c>
      <c r="M562" s="18">
        <v>74</v>
      </c>
    </row>
    <row r="563" spans="1:13" ht="20" customHeight="1" x14ac:dyDescent="0.35">
      <c r="A563" s="17">
        <v>396352</v>
      </c>
      <c r="B563" s="18">
        <v>965</v>
      </c>
      <c r="C563" s="23" t="s">
        <v>101</v>
      </c>
      <c r="D563" s="24">
        <v>45090.073611111111</v>
      </c>
      <c r="E563" s="18" t="s">
        <v>97</v>
      </c>
      <c r="F563" s="18" t="s">
        <v>48</v>
      </c>
      <c r="G563" s="18">
        <v>6855</v>
      </c>
      <c r="H563" s="25">
        <f t="shared" si="32"/>
        <v>45090</v>
      </c>
      <c r="I563" s="26">
        <f t="shared" si="33"/>
        <v>7.3611111110949423E-2</v>
      </c>
      <c r="J563" s="18" t="str">
        <f t="shared" si="34"/>
        <v>June</v>
      </c>
      <c r="K563" s="56" t="str">
        <f t="shared" si="35"/>
        <v>Tuesday</v>
      </c>
      <c r="L563" s="18" t="str">
        <f>IF(OR(G563&gt;Answers!I578,G563&lt;Answers!I579),"Outlier","Normal")</f>
        <v>Outlier</v>
      </c>
      <c r="M563" s="18">
        <v>50</v>
      </c>
    </row>
    <row r="564" spans="1:13" ht="20" customHeight="1" x14ac:dyDescent="0.35">
      <c r="A564" s="17">
        <v>396721</v>
      </c>
      <c r="B564" s="18">
        <v>410</v>
      </c>
      <c r="C564" s="23" t="s">
        <v>113</v>
      </c>
      <c r="D564" s="24">
        <v>45192.947916666664</v>
      </c>
      <c r="E564" s="18" t="s">
        <v>97</v>
      </c>
      <c r="F564" s="18" t="s">
        <v>59</v>
      </c>
      <c r="G564" s="18">
        <v>3567</v>
      </c>
      <c r="H564" s="25">
        <f t="shared" si="32"/>
        <v>45192</v>
      </c>
      <c r="I564" s="26">
        <f t="shared" si="33"/>
        <v>0.94791666666424135</v>
      </c>
      <c r="J564" s="18" t="str">
        <f t="shared" si="34"/>
        <v>September</v>
      </c>
      <c r="K564" s="56" t="str">
        <f t="shared" si="35"/>
        <v>Saturday</v>
      </c>
      <c r="L564" s="18" t="str">
        <f>IF(OR(G564&gt;Answers!I579,G564&lt;Answers!I580),"Outlier","Normal")</f>
        <v>Outlier</v>
      </c>
      <c r="M564" s="18">
        <v>39</v>
      </c>
    </row>
    <row r="565" spans="1:13" ht="20" customHeight="1" x14ac:dyDescent="0.35">
      <c r="A565" s="17">
        <v>397428</v>
      </c>
      <c r="B565" s="18">
        <v>576</v>
      </c>
      <c r="C565" s="23" t="s">
        <v>99</v>
      </c>
      <c r="D565" s="24">
        <v>45056.961111111108</v>
      </c>
      <c r="E565" s="18" t="s">
        <v>97</v>
      </c>
      <c r="F565" s="18" t="s">
        <v>65</v>
      </c>
      <c r="G565" s="18">
        <v>1426</v>
      </c>
      <c r="H565" s="25">
        <f t="shared" si="32"/>
        <v>45056</v>
      </c>
      <c r="I565" s="26">
        <f t="shared" si="33"/>
        <v>0.96111111110803904</v>
      </c>
      <c r="J565" s="18" t="str">
        <f t="shared" si="34"/>
        <v>May</v>
      </c>
      <c r="K565" s="56" t="str">
        <f t="shared" si="35"/>
        <v>Wednesday</v>
      </c>
      <c r="L565" s="18" t="str">
        <f>IF(OR(G565&gt;Answers!I580,G565&lt;Answers!I581),"Outlier","Normal")</f>
        <v>Outlier</v>
      </c>
      <c r="M565" s="18">
        <v>47</v>
      </c>
    </row>
    <row r="566" spans="1:13" ht="20" customHeight="1" x14ac:dyDescent="0.35">
      <c r="A566" s="17">
        <v>397931</v>
      </c>
      <c r="B566" s="18">
        <v>1062</v>
      </c>
      <c r="C566" s="23" t="s">
        <v>113</v>
      </c>
      <c r="D566" s="24">
        <v>45131.015972222223</v>
      </c>
      <c r="E566" s="18" t="s">
        <v>97</v>
      </c>
      <c r="F566" s="18" t="s">
        <v>27</v>
      </c>
      <c r="G566" s="18">
        <v>8407</v>
      </c>
      <c r="H566" s="25">
        <f t="shared" si="32"/>
        <v>45131</v>
      </c>
      <c r="I566" s="26">
        <f t="shared" si="33"/>
        <v>1.5972222223354038E-2</v>
      </c>
      <c r="J566" s="18" t="str">
        <f t="shared" si="34"/>
        <v>July</v>
      </c>
      <c r="K566" s="56" t="str">
        <f t="shared" si="35"/>
        <v>Monday</v>
      </c>
      <c r="L566" s="18" t="str">
        <f>IF(OR(G566&gt;Answers!I581,G566&lt;Answers!I582),"Outlier","Normal")</f>
        <v>Outlier</v>
      </c>
      <c r="M566" s="18">
        <v>68</v>
      </c>
    </row>
    <row r="567" spans="1:13" ht="20" customHeight="1" x14ac:dyDescent="0.35">
      <c r="A567" s="17">
        <v>400062</v>
      </c>
      <c r="B567" s="18">
        <v>1054</v>
      </c>
      <c r="C567" s="23" t="s">
        <v>113</v>
      </c>
      <c r="D567" s="24">
        <v>45172.970138888886</v>
      </c>
      <c r="E567" s="18" t="s">
        <v>96</v>
      </c>
      <c r="F567" s="18" t="s">
        <v>45</v>
      </c>
      <c r="G567" s="18">
        <v>1436</v>
      </c>
      <c r="H567" s="25">
        <f t="shared" si="32"/>
        <v>45172</v>
      </c>
      <c r="I567" s="26">
        <f t="shared" si="33"/>
        <v>0.97013888888614019</v>
      </c>
      <c r="J567" s="18" t="str">
        <f t="shared" si="34"/>
        <v>September</v>
      </c>
      <c r="K567" s="56" t="str">
        <f t="shared" si="35"/>
        <v>Sunday</v>
      </c>
      <c r="L567" s="18" t="str">
        <f>IF(OR(G567&gt;Answers!I582,G567&lt;Answers!I583),"Outlier","Normal")</f>
        <v>Outlier</v>
      </c>
      <c r="M567" s="18">
        <v>86</v>
      </c>
    </row>
    <row r="568" spans="1:13" ht="20" customHeight="1" x14ac:dyDescent="0.35">
      <c r="A568" s="17">
        <v>400313</v>
      </c>
      <c r="B568" s="18">
        <v>899</v>
      </c>
      <c r="C568" s="23" t="s">
        <v>99</v>
      </c>
      <c r="D568" s="24">
        <v>45034.029861111114</v>
      </c>
      <c r="E568" s="18" t="s">
        <v>133</v>
      </c>
      <c r="F568" s="18" t="s">
        <v>89</v>
      </c>
      <c r="G568" s="18">
        <v>6891</v>
      </c>
      <c r="H568" s="25">
        <f t="shared" si="32"/>
        <v>45034</v>
      </c>
      <c r="I568" s="26">
        <f t="shared" si="33"/>
        <v>2.9861111113859806E-2</v>
      </c>
      <c r="J568" s="18" t="str">
        <f t="shared" si="34"/>
        <v>April</v>
      </c>
      <c r="K568" s="56" t="str">
        <f t="shared" si="35"/>
        <v>Tuesday</v>
      </c>
      <c r="L568" s="18" t="str">
        <f>IF(OR(G568&gt;Answers!I583,G568&lt;Answers!I584),"Outlier","Normal")</f>
        <v>Outlier</v>
      </c>
      <c r="M568" s="18">
        <v>75</v>
      </c>
    </row>
    <row r="569" spans="1:13" ht="20" customHeight="1" x14ac:dyDescent="0.35">
      <c r="A569" s="17">
        <v>400957</v>
      </c>
      <c r="B569" s="18">
        <v>1746</v>
      </c>
      <c r="C569" s="23" t="s">
        <v>107</v>
      </c>
      <c r="D569" s="24">
        <v>45170.980555555558</v>
      </c>
      <c r="E569" s="18" t="s">
        <v>96</v>
      </c>
      <c r="F569" s="18" t="s">
        <v>93</v>
      </c>
      <c r="G569" s="18">
        <v>382</v>
      </c>
      <c r="H569" s="25">
        <f t="shared" si="32"/>
        <v>45170</v>
      </c>
      <c r="I569" s="26">
        <f t="shared" si="33"/>
        <v>0.9805555555576575</v>
      </c>
      <c r="J569" s="18" t="str">
        <f t="shared" si="34"/>
        <v>September</v>
      </c>
      <c r="K569" s="56" t="str">
        <f t="shared" si="35"/>
        <v>Friday</v>
      </c>
      <c r="L569" s="18" t="str">
        <f>IF(OR(G569&gt;Answers!I584,G569&lt;Answers!I585),"Outlier","Normal")</f>
        <v>Outlier</v>
      </c>
      <c r="M569" s="18">
        <v>66</v>
      </c>
    </row>
    <row r="570" spans="1:13" ht="20" customHeight="1" x14ac:dyDescent="0.35">
      <c r="A570" s="17">
        <v>401745</v>
      </c>
      <c r="B570" s="18">
        <v>327</v>
      </c>
      <c r="C570" s="23" t="s">
        <v>113</v>
      </c>
      <c r="D570" s="24">
        <v>45102.954861111109</v>
      </c>
      <c r="E570" s="18" t="s">
        <v>133</v>
      </c>
      <c r="F570" s="18" t="s">
        <v>33</v>
      </c>
      <c r="G570" s="18">
        <v>166</v>
      </c>
      <c r="H570" s="25">
        <f t="shared" si="32"/>
        <v>45102</v>
      </c>
      <c r="I570" s="26">
        <f t="shared" si="33"/>
        <v>0.95486111110949423</v>
      </c>
      <c r="J570" s="18" t="str">
        <f t="shared" si="34"/>
        <v>June</v>
      </c>
      <c r="K570" s="56" t="str">
        <f t="shared" si="35"/>
        <v>Sunday</v>
      </c>
      <c r="L570" s="18" t="str">
        <f>IF(OR(G570&gt;Answers!I585,G570&lt;Answers!I586),"Outlier","Normal")</f>
        <v>Outlier</v>
      </c>
      <c r="M570" s="18">
        <v>32</v>
      </c>
    </row>
    <row r="571" spans="1:13" ht="20" customHeight="1" x14ac:dyDescent="0.35">
      <c r="A571" s="17">
        <v>401879</v>
      </c>
      <c r="B571" s="18">
        <v>126</v>
      </c>
      <c r="C571" s="23" t="s">
        <v>99</v>
      </c>
      <c r="D571" s="24">
        <v>45052.981944444444</v>
      </c>
      <c r="E571" s="18" t="s">
        <v>133</v>
      </c>
      <c r="F571" s="18" t="s">
        <v>63</v>
      </c>
      <c r="G571" s="18">
        <v>1022</v>
      </c>
      <c r="H571" s="25">
        <f t="shared" si="32"/>
        <v>45052</v>
      </c>
      <c r="I571" s="26">
        <f t="shared" si="33"/>
        <v>0.98194444444379769</v>
      </c>
      <c r="J571" s="18" t="str">
        <f t="shared" si="34"/>
        <v>May</v>
      </c>
      <c r="K571" s="56" t="str">
        <f t="shared" si="35"/>
        <v>Saturday</v>
      </c>
      <c r="L571" s="18" t="str">
        <f>IF(OR(G571&gt;Answers!I586,G571&lt;Answers!I587),"Outlier","Normal")</f>
        <v>Outlier</v>
      </c>
      <c r="M571" s="18">
        <v>67</v>
      </c>
    </row>
    <row r="572" spans="1:13" ht="20" customHeight="1" x14ac:dyDescent="0.35">
      <c r="A572" s="17">
        <v>401887</v>
      </c>
      <c r="B572" s="18">
        <v>376</v>
      </c>
      <c r="C572" s="23" t="s">
        <v>113</v>
      </c>
      <c r="D572" s="24">
        <v>44960.05</v>
      </c>
      <c r="E572" s="18" t="s">
        <v>133</v>
      </c>
      <c r="F572" s="18" t="s">
        <v>52</v>
      </c>
      <c r="G572" s="18">
        <v>9941</v>
      </c>
      <c r="H572" s="25">
        <f t="shared" si="32"/>
        <v>44960</v>
      </c>
      <c r="I572" s="26">
        <f t="shared" si="33"/>
        <v>5.0000000002910383E-2</v>
      </c>
      <c r="J572" s="18" t="str">
        <f t="shared" si="34"/>
        <v>February</v>
      </c>
      <c r="K572" s="56" t="str">
        <f t="shared" si="35"/>
        <v>Friday</v>
      </c>
      <c r="L572" s="18" t="str">
        <f>IF(OR(G572&gt;Answers!I587,G572&lt;Answers!I588),"Outlier","Normal")</f>
        <v>Outlier</v>
      </c>
      <c r="M572" s="18">
        <v>89</v>
      </c>
    </row>
    <row r="573" spans="1:13" ht="20" customHeight="1" x14ac:dyDescent="0.35">
      <c r="A573" s="17">
        <v>402186</v>
      </c>
      <c r="B573" s="18">
        <v>651</v>
      </c>
      <c r="C573" s="23" t="s">
        <v>99</v>
      </c>
      <c r="D573" s="24">
        <v>45143.002083333333</v>
      </c>
      <c r="E573" s="18" t="s">
        <v>98</v>
      </c>
      <c r="F573" s="18" t="s">
        <v>94</v>
      </c>
      <c r="G573" s="18">
        <v>8800</v>
      </c>
      <c r="H573" s="25">
        <f t="shared" si="32"/>
        <v>45143</v>
      </c>
      <c r="I573" s="26">
        <f t="shared" si="33"/>
        <v>2.0833333328482695E-3</v>
      </c>
      <c r="J573" s="18" t="str">
        <f t="shared" si="34"/>
        <v>August</v>
      </c>
      <c r="K573" s="56" t="str">
        <f t="shared" si="35"/>
        <v>Saturday</v>
      </c>
      <c r="L573" s="18" t="str">
        <f>IF(OR(G573&gt;Answers!I588,G573&lt;Answers!I589),"Outlier","Normal")</f>
        <v>Outlier</v>
      </c>
      <c r="M573" s="18">
        <v>61</v>
      </c>
    </row>
    <row r="574" spans="1:13" ht="20" customHeight="1" x14ac:dyDescent="0.35">
      <c r="A574" s="17">
        <v>402508</v>
      </c>
      <c r="B574" s="18">
        <v>155</v>
      </c>
      <c r="C574" s="23" t="s">
        <v>113</v>
      </c>
      <c r="D574" s="24">
        <v>45219.069444444445</v>
      </c>
      <c r="E574" s="18" t="s">
        <v>98</v>
      </c>
      <c r="F574" s="18" t="s">
        <v>53</v>
      </c>
      <c r="G574" s="18">
        <v>8064</v>
      </c>
      <c r="H574" s="25">
        <f t="shared" si="32"/>
        <v>45219</v>
      </c>
      <c r="I574" s="26">
        <f t="shared" si="33"/>
        <v>6.9444444445252884E-2</v>
      </c>
      <c r="J574" s="18" t="str">
        <f t="shared" si="34"/>
        <v>October</v>
      </c>
      <c r="K574" s="56" t="str">
        <f t="shared" si="35"/>
        <v>Friday</v>
      </c>
      <c r="L574" s="18" t="str">
        <f>IF(OR(G574&gt;Answers!I589,G574&lt;Answers!I590),"Outlier","Normal")</f>
        <v>Outlier</v>
      </c>
      <c r="M574" s="18">
        <v>56</v>
      </c>
    </row>
    <row r="575" spans="1:13" ht="20" customHeight="1" x14ac:dyDescent="0.35">
      <c r="A575" s="17">
        <v>403651</v>
      </c>
      <c r="B575" s="18">
        <v>1700</v>
      </c>
      <c r="C575" s="23" t="s">
        <v>99</v>
      </c>
      <c r="D575" s="24">
        <v>45124.026388888888</v>
      </c>
      <c r="E575" s="18" t="s">
        <v>96</v>
      </c>
      <c r="F575" s="18" t="s">
        <v>64</v>
      </c>
      <c r="G575" s="18">
        <v>8812</v>
      </c>
      <c r="H575" s="25">
        <f t="shared" si="32"/>
        <v>45124</v>
      </c>
      <c r="I575" s="26">
        <f t="shared" si="33"/>
        <v>2.6388888887595385E-2</v>
      </c>
      <c r="J575" s="18" t="str">
        <f t="shared" si="34"/>
        <v>July</v>
      </c>
      <c r="K575" s="56" t="str">
        <f t="shared" si="35"/>
        <v>Monday</v>
      </c>
      <c r="L575" s="18" t="str">
        <f>IF(OR(G575&gt;Answers!I590,G575&lt;Answers!I591),"Outlier","Normal")</f>
        <v>Outlier</v>
      </c>
      <c r="M575" s="18">
        <v>37</v>
      </c>
    </row>
    <row r="576" spans="1:13" ht="20" customHeight="1" x14ac:dyDescent="0.35">
      <c r="A576" s="17">
        <v>404150</v>
      </c>
      <c r="B576" s="18">
        <v>1902</v>
      </c>
      <c r="C576" s="23" t="s">
        <v>104</v>
      </c>
      <c r="D576" s="24">
        <v>45015.020138888889</v>
      </c>
      <c r="E576" s="18" t="s">
        <v>98</v>
      </c>
      <c r="F576" s="18" t="s">
        <v>27</v>
      </c>
      <c r="G576" s="18">
        <v>5798</v>
      </c>
      <c r="H576" s="25">
        <f t="shared" si="32"/>
        <v>45015</v>
      </c>
      <c r="I576" s="26">
        <f t="shared" si="33"/>
        <v>2.0138888889050577E-2</v>
      </c>
      <c r="J576" s="18" t="str">
        <f t="shared" si="34"/>
        <v>March</v>
      </c>
      <c r="K576" s="56" t="str">
        <f t="shared" si="35"/>
        <v>Thursday</v>
      </c>
      <c r="L576" s="18" t="str">
        <f>IF(OR(G576&gt;Answers!I591,G576&lt;Answers!I592),"Outlier","Normal")</f>
        <v>Outlier</v>
      </c>
      <c r="M576" s="18">
        <v>46</v>
      </c>
    </row>
    <row r="577" spans="1:13" ht="20" customHeight="1" x14ac:dyDescent="0.35">
      <c r="A577" s="17">
        <v>404700</v>
      </c>
      <c r="B577" s="18">
        <v>1182</v>
      </c>
      <c r="C577" s="23" t="s">
        <v>99</v>
      </c>
      <c r="D577" s="24">
        <v>45256.957638888889</v>
      </c>
      <c r="E577" s="18" t="s">
        <v>96</v>
      </c>
      <c r="F577" s="18" t="s">
        <v>5</v>
      </c>
      <c r="G577" s="18">
        <v>2761</v>
      </c>
      <c r="H577" s="25">
        <f t="shared" si="32"/>
        <v>45256</v>
      </c>
      <c r="I577" s="26">
        <f t="shared" si="33"/>
        <v>0.95763888888905058</v>
      </c>
      <c r="J577" s="18" t="str">
        <f t="shared" si="34"/>
        <v>November</v>
      </c>
      <c r="K577" s="56" t="str">
        <f t="shared" si="35"/>
        <v>Sunday</v>
      </c>
      <c r="L577" s="18" t="str">
        <f>IF(OR(G577&gt;Answers!I592,G577&lt;Answers!I593),"Outlier","Normal")</f>
        <v>Outlier</v>
      </c>
      <c r="M577" s="18">
        <v>36</v>
      </c>
    </row>
    <row r="578" spans="1:13" ht="20" customHeight="1" x14ac:dyDescent="0.35">
      <c r="A578" s="17">
        <v>405184</v>
      </c>
      <c r="B578" s="18">
        <v>1848</v>
      </c>
      <c r="C578" s="23" t="s">
        <v>99</v>
      </c>
      <c r="D578" s="24">
        <v>44993.961805555555</v>
      </c>
      <c r="E578" s="18" t="s">
        <v>96</v>
      </c>
      <c r="F578" s="18" t="s">
        <v>65</v>
      </c>
      <c r="G578" s="18">
        <v>7111</v>
      </c>
      <c r="H578" s="25">
        <f t="shared" si="32"/>
        <v>44993</v>
      </c>
      <c r="I578" s="26">
        <f t="shared" si="33"/>
        <v>0.96180555555474712</v>
      </c>
      <c r="J578" s="18" t="str">
        <f t="shared" si="34"/>
        <v>March</v>
      </c>
      <c r="K578" s="56" t="str">
        <f t="shared" si="35"/>
        <v>Wednesday</v>
      </c>
      <c r="L578" s="18" t="str">
        <f>IF(OR(G578&gt;Answers!I593,G578&lt;Answers!I594),"Outlier","Normal")</f>
        <v>Outlier</v>
      </c>
      <c r="M578" s="18">
        <v>63</v>
      </c>
    </row>
    <row r="579" spans="1:13" ht="20" customHeight="1" x14ac:dyDescent="0.35">
      <c r="A579" s="17">
        <v>406996</v>
      </c>
      <c r="B579" s="18">
        <v>1083</v>
      </c>
      <c r="C579" s="23" t="s">
        <v>105</v>
      </c>
      <c r="D579" s="24">
        <v>45040.958333333336</v>
      </c>
      <c r="E579" s="18" t="s">
        <v>97</v>
      </c>
      <c r="F579" s="18" t="s">
        <v>74</v>
      </c>
      <c r="G579" s="18">
        <v>9682</v>
      </c>
      <c r="H579" s="25">
        <f t="shared" ref="H579:H642" si="36">INT(D579)</f>
        <v>45040</v>
      </c>
      <c r="I579" s="26">
        <f t="shared" ref="I579:I642" si="37">MOD(D579,1)</f>
        <v>0.95833333333575865</v>
      </c>
      <c r="J579" s="18" t="str">
        <f t="shared" ref="J579:J642" si="38">TEXT(D579,"mmmm")</f>
        <v>April</v>
      </c>
      <c r="K579" s="56" t="str">
        <f t="shared" ref="K579:K642" si="39">TEXT(D579,"dddd")</f>
        <v>Monday</v>
      </c>
      <c r="L579" s="18" t="str">
        <f>IF(OR(G579&gt;Answers!I594,G579&lt;Answers!I595),"Outlier","Normal")</f>
        <v>Outlier</v>
      </c>
      <c r="M579" s="18">
        <v>25</v>
      </c>
    </row>
    <row r="580" spans="1:13" ht="20" customHeight="1" x14ac:dyDescent="0.35">
      <c r="A580" s="17">
        <v>408798</v>
      </c>
      <c r="B580" s="18">
        <v>1293</v>
      </c>
      <c r="C580" s="23" t="s">
        <v>99</v>
      </c>
      <c r="D580" s="24">
        <v>44957.063888888886</v>
      </c>
      <c r="E580" s="18" t="s">
        <v>133</v>
      </c>
      <c r="F580" s="18" t="s">
        <v>44</v>
      </c>
      <c r="G580" s="18">
        <v>9889</v>
      </c>
      <c r="H580" s="25">
        <f t="shared" si="36"/>
        <v>44957</v>
      </c>
      <c r="I580" s="26">
        <f t="shared" si="37"/>
        <v>6.3888888886140194E-2</v>
      </c>
      <c r="J580" s="18" t="str">
        <f t="shared" si="38"/>
        <v>January</v>
      </c>
      <c r="K580" s="56" t="str">
        <f t="shared" si="39"/>
        <v>Tuesday</v>
      </c>
      <c r="L580" s="18" t="str">
        <f>IF(OR(G580&gt;Answers!I595,G580&lt;Answers!I596),"Outlier","Normal")</f>
        <v>Outlier</v>
      </c>
      <c r="M580" s="18">
        <v>38</v>
      </c>
    </row>
    <row r="581" spans="1:13" ht="20" customHeight="1" x14ac:dyDescent="0.35">
      <c r="A581" s="17">
        <v>408889</v>
      </c>
      <c r="B581" s="18">
        <v>751</v>
      </c>
      <c r="C581" s="23" t="s">
        <v>113</v>
      </c>
      <c r="D581" s="24">
        <v>44977.000694444447</v>
      </c>
      <c r="E581" s="18" t="s">
        <v>97</v>
      </c>
      <c r="F581" s="18" t="s">
        <v>81</v>
      </c>
      <c r="G581" s="18">
        <v>8398</v>
      </c>
      <c r="H581" s="25">
        <f t="shared" si="36"/>
        <v>44977</v>
      </c>
      <c r="I581" s="26">
        <f t="shared" si="37"/>
        <v>6.944444467080757E-4</v>
      </c>
      <c r="J581" s="18" t="str">
        <f t="shared" si="38"/>
        <v>February</v>
      </c>
      <c r="K581" s="56" t="str">
        <f t="shared" si="39"/>
        <v>Monday</v>
      </c>
      <c r="L581" s="18" t="str">
        <f>IF(OR(G581&gt;Answers!I596,G581&lt;Answers!I597),"Outlier","Normal")</f>
        <v>Outlier</v>
      </c>
      <c r="M581" s="18">
        <v>82</v>
      </c>
    </row>
    <row r="582" spans="1:13" ht="20" customHeight="1" x14ac:dyDescent="0.35">
      <c r="A582" s="17">
        <v>410734</v>
      </c>
      <c r="B582" s="18">
        <v>555</v>
      </c>
      <c r="C582" s="23" t="s">
        <v>99</v>
      </c>
      <c r="D582" s="24">
        <v>45052.050694444442</v>
      </c>
      <c r="E582" s="18" t="s">
        <v>98</v>
      </c>
      <c r="F582" s="18" t="s">
        <v>88</v>
      </c>
      <c r="G582" s="18">
        <v>3175</v>
      </c>
      <c r="H582" s="25">
        <f t="shared" si="36"/>
        <v>45052</v>
      </c>
      <c r="I582" s="26">
        <f t="shared" si="37"/>
        <v>5.0694444442342501E-2</v>
      </c>
      <c r="J582" s="18" t="str">
        <f t="shared" si="38"/>
        <v>May</v>
      </c>
      <c r="K582" s="56" t="str">
        <f t="shared" si="39"/>
        <v>Saturday</v>
      </c>
      <c r="L582" s="18" t="str">
        <f>IF(OR(G582&gt;Answers!I597,G582&lt;Answers!I598),"Outlier","Normal")</f>
        <v>Outlier</v>
      </c>
      <c r="M582" s="18">
        <v>90</v>
      </c>
    </row>
    <row r="583" spans="1:13" ht="20" customHeight="1" x14ac:dyDescent="0.35">
      <c r="A583" s="17">
        <v>411108</v>
      </c>
      <c r="B583" s="18">
        <v>258</v>
      </c>
      <c r="C583" s="23" t="s">
        <v>113</v>
      </c>
      <c r="D583" s="24">
        <v>45017.997916666667</v>
      </c>
      <c r="E583" s="18" t="s">
        <v>98</v>
      </c>
      <c r="F583" s="18" t="s">
        <v>86</v>
      </c>
      <c r="G583" s="18">
        <v>4801</v>
      </c>
      <c r="H583" s="25">
        <f t="shared" si="36"/>
        <v>45017</v>
      </c>
      <c r="I583" s="26">
        <f t="shared" si="37"/>
        <v>0.99791666666715173</v>
      </c>
      <c r="J583" s="18" t="str">
        <f t="shared" si="38"/>
        <v>April</v>
      </c>
      <c r="K583" s="56" t="str">
        <f t="shared" si="39"/>
        <v>Saturday</v>
      </c>
      <c r="L583" s="18" t="str">
        <f>IF(OR(G583&gt;Answers!I598,G583&lt;Answers!I599),"Outlier","Normal")</f>
        <v>Outlier</v>
      </c>
      <c r="M583" s="18">
        <v>40</v>
      </c>
    </row>
    <row r="584" spans="1:13" ht="20" customHeight="1" x14ac:dyDescent="0.35">
      <c r="A584" s="17">
        <v>411162</v>
      </c>
      <c r="B584" s="18">
        <v>433</v>
      </c>
      <c r="C584" s="23" t="s">
        <v>113</v>
      </c>
      <c r="D584" s="24">
        <v>45144.018055555556</v>
      </c>
      <c r="E584" s="18" t="s">
        <v>97</v>
      </c>
      <c r="F584" s="18" t="s">
        <v>8</v>
      </c>
      <c r="G584" s="18">
        <v>2485</v>
      </c>
      <c r="H584" s="25">
        <f t="shared" si="36"/>
        <v>45144</v>
      </c>
      <c r="I584" s="26">
        <f t="shared" si="37"/>
        <v>1.8055555556202307E-2</v>
      </c>
      <c r="J584" s="18" t="str">
        <f t="shared" si="38"/>
        <v>August</v>
      </c>
      <c r="K584" s="56" t="str">
        <f t="shared" si="39"/>
        <v>Sunday</v>
      </c>
      <c r="L584" s="18" t="str">
        <f>IF(OR(G584&gt;Answers!I599,G584&lt;Answers!I600),"Outlier","Normal")</f>
        <v>Outlier</v>
      </c>
      <c r="M584" s="18">
        <v>55</v>
      </c>
    </row>
    <row r="585" spans="1:13" ht="20" customHeight="1" x14ac:dyDescent="0.35">
      <c r="A585" s="17">
        <v>411449</v>
      </c>
      <c r="B585" s="18">
        <v>609</v>
      </c>
      <c r="C585" s="23" t="s">
        <v>99</v>
      </c>
      <c r="D585" s="24">
        <v>45047.006944444445</v>
      </c>
      <c r="E585" s="18" t="s">
        <v>133</v>
      </c>
      <c r="F585" s="18" t="s">
        <v>90</v>
      </c>
      <c r="G585" s="18">
        <v>4109</v>
      </c>
      <c r="H585" s="25">
        <f t="shared" si="36"/>
        <v>45047</v>
      </c>
      <c r="I585" s="26">
        <f t="shared" si="37"/>
        <v>6.9444444452528842E-3</v>
      </c>
      <c r="J585" s="18" t="str">
        <f t="shared" si="38"/>
        <v>May</v>
      </c>
      <c r="K585" s="56" t="str">
        <f t="shared" si="39"/>
        <v>Monday</v>
      </c>
      <c r="L585" s="18" t="str">
        <f>IF(OR(G585&gt;Answers!I600,G585&lt;Answers!I601),"Outlier","Normal")</f>
        <v>Outlier</v>
      </c>
      <c r="M585" s="18">
        <v>87</v>
      </c>
    </row>
    <row r="586" spans="1:13" ht="20" customHeight="1" x14ac:dyDescent="0.35">
      <c r="A586" s="17">
        <v>411916</v>
      </c>
      <c r="B586" s="18">
        <v>967</v>
      </c>
      <c r="C586" s="23" t="s">
        <v>101</v>
      </c>
      <c r="D586" s="24">
        <v>45136.006944444445</v>
      </c>
      <c r="E586" s="18" t="s">
        <v>133</v>
      </c>
      <c r="F586" s="18" t="s">
        <v>43</v>
      </c>
      <c r="G586" s="18">
        <v>2961</v>
      </c>
      <c r="H586" s="25">
        <f t="shared" si="36"/>
        <v>45136</v>
      </c>
      <c r="I586" s="26">
        <f t="shared" si="37"/>
        <v>6.9444444452528842E-3</v>
      </c>
      <c r="J586" s="18" t="str">
        <f t="shared" si="38"/>
        <v>July</v>
      </c>
      <c r="K586" s="56" t="str">
        <f t="shared" si="39"/>
        <v>Saturday</v>
      </c>
      <c r="L586" s="18" t="str">
        <f>IF(OR(G586&gt;Answers!I601,G586&lt;Answers!I602),"Outlier","Normal")</f>
        <v>Outlier</v>
      </c>
      <c r="M586" s="18">
        <v>54</v>
      </c>
    </row>
    <row r="587" spans="1:13" ht="20" customHeight="1" x14ac:dyDescent="0.35">
      <c r="A587" s="17">
        <v>412386</v>
      </c>
      <c r="B587" s="18">
        <v>1997</v>
      </c>
      <c r="C587" s="23" t="s">
        <v>105</v>
      </c>
      <c r="D587" s="24">
        <v>45135.082638888889</v>
      </c>
      <c r="E587" s="18" t="s">
        <v>97</v>
      </c>
      <c r="F587" s="18" t="s">
        <v>91</v>
      </c>
      <c r="G587" s="18">
        <v>2004</v>
      </c>
      <c r="H587" s="25">
        <f t="shared" si="36"/>
        <v>45135</v>
      </c>
      <c r="I587" s="26">
        <f t="shared" si="37"/>
        <v>8.2638888889050577E-2</v>
      </c>
      <c r="J587" s="18" t="str">
        <f t="shared" si="38"/>
        <v>July</v>
      </c>
      <c r="K587" s="56" t="str">
        <f t="shared" si="39"/>
        <v>Friday</v>
      </c>
      <c r="L587" s="18" t="str">
        <f>IF(OR(G587&gt;Answers!I602,G587&lt;Answers!I603),"Outlier","Normal")</f>
        <v>Outlier</v>
      </c>
      <c r="M587" s="18">
        <v>79</v>
      </c>
    </row>
    <row r="588" spans="1:13" ht="20" customHeight="1" x14ac:dyDescent="0.35">
      <c r="A588" s="17">
        <v>412431</v>
      </c>
      <c r="B588" s="18">
        <v>1620</v>
      </c>
      <c r="C588" s="23" t="s">
        <v>99</v>
      </c>
      <c r="D588" s="24">
        <v>45225.978472222225</v>
      </c>
      <c r="E588" s="18" t="s">
        <v>97</v>
      </c>
      <c r="F588" s="18" t="s">
        <v>78</v>
      </c>
      <c r="G588" s="18">
        <v>4390</v>
      </c>
      <c r="H588" s="25">
        <f t="shared" si="36"/>
        <v>45225</v>
      </c>
      <c r="I588" s="26">
        <f t="shared" si="37"/>
        <v>0.97847222222480923</v>
      </c>
      <c r="J588" s="18" t="str">
        <f t="shared" si="38"/>
        <v>October</v>
      </c>
      <c r="K588" s="56" t="str">
        <f t="shared" si="39"/>
        <v>Thursday</v>
      </c>
      <c r="L588" s="18" t="str">
        <f>IF(OR(G588&gt;Answers!I603,G588&lt;Answers!I604),"Outlier","Normal")</f>
        <v>Outlier</v>
      </c>
      <c r="M588" s="18">
        <v>61</v>
      </c>
    </row>
    <row r="589" spans="1:13" ht="20" customHeight="1" x14ac:dyDescent="0.35">
      <c r="A589" s="17">
        <v>413305</v>
      </c>
      <c r="B589" s="18">
        <v>294</v>
      </c>
      <c r="C589" s="23" t="s">
        <v>100</v>
      </c>
      <c r="D589" s="24">
        <v>44943</v>
      </c>
      <c r="E589" s="18" t="s">
        <v>96</v>
      </c>
      <c r="F589" s="18" t="s">
        <v>29</v>
      </c>
      <c r="G589" s="18">
        <v>39</v>
      </c>
      <c r="H589" s="25">
        <f t="shared" si="36"/>
        <v>44943</v>
      </c>
      <c r="I589" s="26">
        <f t="shared" si="37"/>
        <v>0</v>
      </c>
      <c r="J589" s="18" t="str">
        <f t="shared" si="38"/>
        <v>January</v>
      </c>
      <c r="K589" s="56" t="str">
        <f t="shared" si="39"/>
        <v>Tuesday</v>
      </c>
      <c r="L589" s="18" t="str">
        <f>IF(OR(G589&gt;Answers!I604,G589&lt;Answers!I605),"Outlier","Normal")</f>
        <v>Outlier</v>
      </c>
      <c r="M589" s="18">
        <v>30</v>
      </c>
    </row>
    <row r="590" spans="1:13" ht="20" customHeight="1" x14ac:dyDescent="0.35">
      <c r="A590" s="17">
        <v>413694</v>
      </c>
      <c r="B590" s="18">
        <v>1551</v>
      </c>
      <c r="C590" s="23" t="s">
        <v>99</v>
      </c>
      <c r="D590" s="24">
        <v>45049.052777777775</v>
      </c>
      <c r="E590" s="18" t="s">
        <v>96</v>
      </c>
      <c r="F590" s="18" t="s">
        <v>34</v>
      </c>
      <c r="G590" s="18">
        <v>4835</v>
      </c>
      <c r="H590" s="25">
        <f t="shared" si="36"/>
        <v>45049</v>
      </c>
      <c r="I590" s="26">
        <f t="shared" si="37"/>
        <v>5.2777777775190771E-2</v>
      </c>
      <c r="J590" s="18" t="str">
        <f t="shared" si="38"/>
        <v>May</v>
      </c>
      <c r="K590" s="56" t="str">
        <f t="shared" si="39"/>
        <v>Wednesday</v>
      </c>
      <c r="L590" s="18" t="str">
        <f>IF(OR(G590&gt;Answers!I605,G590&lt;Answers!I606),"Outlier","Normal")</f>
        <v>Outlier</v>
      </c>
      <c r="M590" s="18">
        <v>21</v>
      </c>
    </row>
    <row r="591" spans="1:13" ht="20" customHeight="1" x14ac:dyDescent="0.35">
      <c r="A591" s="17">
        <v>414161</v>
      </c>
      <c r="B591" s="18">
        <v>1675</v>
      </c>
      <c r="C591" s="23" t="s">
        <v>99</v>
      </c>
      <c r="D591" s="24">
        <v>45287.992361111108</v>
      </c>
      <c r="E591" s="18" t="s">
        <v>133</v>
      </c>
      <c r="F591" s="18" t="s">
        <v>87</v>
      </c>
      <c r="G591" s="18">
        <v>3894</v>
      </c>
      <c r="H591" s="25">
        <f t="shared" si="36"/>
        <v>45287</v>
      </c>
      <c r="I591" s="26">
        <f t="shared" si="37"/>
        <v>0.99236111110803904</v>
      </c>
      <c r="J591" s="18" t="str">
        <f t="shared" si="38"/>
        <v>December</v>
      </c>
      <c r="K591" s="56" t="str">
        <f t="shared" si="39"/>
        <v>Wednesday</v>
      </c>
      <c r="L591" s="18" t="str">
        <f>IF(OR(G591&gt;Answers!I606,G591&lt;Answers!I607),"Outlier","Normal")</f>
        <v>Outlier</v>
      </c>
      <c r="M591" s="18">
        <v>57</v>
      </c>
    </row>
    <row r="592" spans="1:13" ht="20" customHeight="1" x14ac:dyDescent="0.35">
      <c r="A592" s="17">
        <v>414191</v>
      </c>
      <c r="B592" s="18">
        <v>350</v>
      </c>
      <c r="C592" s="23" t="s">
        <v>109</v>
      </c>
      <c r="D592" s="24">
        <v>44936.958333333336</v>
      </c>
      <c r="E592" s="18" t="s">
        <v>96</v>
      </c>
      <c r="F592" s="18" t="s">
        <v>40</v>
      </c>
      <c r="G592" s="18">
        <v>6814</v>
      </c>
      <c r="H592" s="25">
        <f t="shared" si="36"/>
        <v>44936</v>
      </c>
      <c r="I592" s="26">
        <f t="shared" si="37"/>
        <v>0.95833333333575865</v>
      </c>
      <c r="J592" s="18" t="str">
        <f t="shared" si="38"/>
        <v>January</v>
      </c>
      <c r="K592" s="56" t="str">
        <f t="shared" si="39"/>
        <v>Tuesday</v>
      </c>
      <c r="L592" s="18" t="str">
        <f>IF(OR(G592&gt;Answers!I607,G592&lt;Answers!I608),"Outlier","Normal")</f>
        <v>Outlier</v>
      </c>
      <c r="M592" s="18">
        <v>39</v>
      </c>
    </row>
    <row r="593" spans="1:13" ht="20" customHeight="1" x14ac:dyDescent="0.35">
      <c r="A593" s="17">
        <v>416161</v>
      </c>
      <c r="B593" s="18">
        <v>1030</v>
      </c>
      <c r="C593" s="23" t="s">
        <v>113</v>
      </c>
      <c r="D593" s="24">
        <v>44973.050694444442</v>
      </c>
      <c r="E593" s="18" t="s">
        <v>98</v>
      </c>
      <c r="F593" s="18" t="s">
        <v>69</v>
      </c>
      <c r="G593" s="18">
        <v>5555</v>
      </c>
      <c r="H593" s="25">
        <f t="shared" si="36"/>
        <v>44973</v>
      </c>
      <c r="I593" s="26">
        <f t="shared" si="37"/>
        <v>5.0694444442342501E-2</v>
      </c>
      <c r="J593" s="18" t="str">
        <f t="shared" si="38"/>
        <v>February</v>
      </c>
      <c r="K593" s="56" t="str">
        <f t="shared" si="39"/>
        <v>Thursday</v>
      </c>
      <c r="L593" s="18" t="str">
        <f>IF(OR(G593&gt;Answers!I608,G593&lt;Answers!I609),"Outlier","Normal")</f>
        <v>Outlier</v>
      </c>
      <c r="M593" s="18">
        <v>68</v>
      </c>
    </row>
    <row r="594" spans="1:13" ht="20" customHeight="1" x14ac:dyDescent="0.35">
      <c r="A594" s="17">
        <v>417613</v>
      </c>
      <c r="B594" s="18">
        <v>1547</v>
      </c>
      <c r="C594" s="23" t="s">
        <v>100</v>
      </c>
      <c r="D594" s="24">
        <v>45011.057638888888</v>
      </c>
      <c r="E594" s="18" t="s">
        <v>98</v>
      </c>
      <c r="F594" s="18" t="s">
        <v>26</v>
      </c>
      <c r="G594" s="18">
        <v>8023</v>
      </c>
      <c r="H594" s="25">
        <f t="shared" si="36"/>
        <v>45011</v>
      </c>
      <c r="I594" s="26">
        <f t="shared" si="37"/>
        <v>5.7638888887595385E-2</v>
      </c>
      <c r="J594" s="18" t="str">
        <f t="shared" si="38"/>
        <v>March</v>
      </c>
      <c r="K594" s="56" t="str">
        <f t="shared" si="39"/>
        <v>Sunday</v>
      </c>
      <c r="L594" s="18" t="str">
        <f>IF(OR(G594&gt;Answers!I609,G594&lt;Answers!I610),"Outlier","Normal")</f>
        <v>Outlier</v>
      </c>
      <c r="M594" s="18">
        <v>37</v>
      </c>
    </row>
    <row r="595" spans="1:13" ht="20" customHeight="1" x14ac:dyDescent="0.35">
      <c r="A595" s="17">
        <v>417779</v>
      </c>
      <c r="B595" s="18">
        <v>1473</v>
      </c>
      <c r="C595" s="23" t="s">
        <v>99</v>
      </c>
      <c r="D595" s="24">
        <v>44957.027777777781</v>
      </c>
      <c r="E595" s="18" t="s">
        <v>96</v>
      </c>
      <c r="F595" s="18" t="s">
        <v>43</v>
      </c>
      <c r="G595" s="18">
        <v>9335</v>
      </c>
      <c r="H595" s="25">
        <f t="shared" si="36"/>
        <v>44957</v>
      </c>
      <c r="I595" s="26">
        <f t="shared" si="37"/>
        <v>2.7777777781011537E-2</v>
      </c>
      <c r="J595" s="18" t="str">
        <f t="shared" si="38"/>
        <v>January</v>
      </c>
      <c r="K595" s="56" t="str">
        <f t="shared" si="39"/>
        <v>Tuesday</v>
      </c>
      <c r="L595" s="18" t="str">
        <f>IF(OR(G595&gt;Answers!I610,G595&lt;Answers!I611),"Outlier","Normal")</f>
        <v>Outlier</v>
      </c>
      <c r="M595" s="18">
        <v>40</v>
      </c>
    </row>
    <row r="596" spans="1:13" ht="20" customHeight="1" x14ac:dyDescent="0.35">
      <c r="A596" s="17">
        <v>419211</v>
      </c>
      <c r="B596" s="18">
        <v>1044</v>
      </c>
      <c r="C596" s="23" t="s">
        <v>113</v>
      </c>
      <c r="D596" s="24">
        <v>45009.993055555555</v>
      </c>
      <c r="E596" s="18" t="s">
        <v>96</v>
      </c>
      <c r="F596" s="18" t="s">
        <v>49</v>
      </c>
      <c r="G596" s="18">
        <v>4918</v>
      </c>
      <c r="H596" s="25">
        <f t="shared" si="36"/>
        <v>45009</v>
      </c>
      <c r="I596" s="26">
        <f t="shared" si="37"/>
        <v>0.99305555555474712</v>
      </c>
      <c r="J596" s="18" t="str">
        <f t="shared" si="38"/>
        <v>March</v>
      </c>
      <c r="K596" s="56" t="str">
        <f t="shared" si="39"/>
        <v>Friday</v>
      </c>
      <c r="L596" s="18" t="str">
        <f>IF(OR(G596&gt;Answers!I611,G596&lt;Answers!I612),"Outlier","Normal")</f>
        <v>Outlier</v>
      </c>
      <c r="M596" s="18">
        <v>26</v>
      </c>
    </row>
    <row r="597" spans="1:13" ht="20" customHeight="1" x14ac:dyDescent="0.35">
      <c r="A597" s="17">
        <v>419676</v>
      </c>
      <c r="B597" s="18">
        <v>1259</v>
      </c>
      <c r="C597" s="23" t="s">
        <v>99</v>
      </c>
      <c r="D597" s="24">
        <v>45060.069444444445</v>
      </c>
      <c r="E597" s="18" t="s">
        <v>133</v>
      </c>
      <c r="F597" s="18" t="s">
        <v>71</v>
      </c>
      <c r="G597" s="18">
        <v>7702</v>
      </c>
      <c r="H597" s="25">
        <f t="shared" si="36"/>
        <v>45060</v>
      </c>
      <c r="I597" s="26">
        <f t="shared" si="37"/>
        <v>6.9444444445252884E-2</v>
      </c>
      <c r="J597" s="18" t="str">
        <f t="shared" si="38"/>
        <v>May</v>
      </c>
      <c r="K597" s="56" t="str">
        <f t="shared" si="39"/>
        <v>Sunday</v>
      </c>
      <c r="L597" s="18" t="str">
        <f>IF(OR(G597&gt;Answers!I612,G597&lt;Answers!I613),"Outlier","Normal")</f>
        <v>Outlier</v>
      </c>
      <c r="M597" s="18">
        <v>45</v>
      </c>
    </row>
    <row r="598" spans="1:13" ht="20" customHeight="1" x14ac:dyDescent="0.35">
      <c r="A598" s="17">
        <v>421069</v>
      </c>
      <c r="B598" s="18">
        <v>440</v>
      </c>
      <c r="C598" s="23" t="s">
        <v>109</v>
      </c>
      <c r="D598" s="24">
        <v>45046.965277777781</v>
      </c>
      <c r="E598" s="18" t="s">
        <v>97</v>
      </c>
      <c r="F598" s="18" t="s">
        <v>7</v>
      </c>
      <c r="G598" s="18">
        <v>1791</v>
      </c>
      <c r="H598" s="25">
        <f t="shared" si="36"/>
        <v>45046</v>
      </c>
      <c r="I598" s="26">
        <f t="shared" si="37"/>
        <v>0.96527777778101154</v>
      </c>
      <c r="J598" s="18" t="str">
        <f t="shared" si="38"/>
        <v>April</v>
      </c>
      <c r="K598" s="56" t="str">
        <f t="shared" si="39"/>
        <v>Sunday</v>
      </c>
      <c r="L598" s="18" t="str">
        <f>IF(OR(G598&gt;Answers!I613,G598&lt;Answers!I614),"Outlier","Normal")</f>
        <v>Outlier</v>
      </c>
      <c r="M598" s="18">
        <v>83</v>
      </c>
    </row>
    <row r="599" spans="1:13" ht="20" customHeight="1" x14ac:dyDescent="0.35">
      <c r="A599" s="17">
        <v>421505</v>
      </c>
      <c r="B599" s="18">
        <v>1088</v>
      </c>
      <c r="C599" s="23" t="s">
        <v>113</v>
      </c>
      <c r="D599" s="24">
        <v>45013.05972222222</v>
      </c>
      <c r="E599" s="18" t="s">
        <v>96</v>
      </c>
      <c r="F599" s="18" t="s">
        <v>27</v>
      </c>
      <c r="G599" s="18">
        <v>6441</v>
      </c>
      <c r="H599" s="25">
        <f t="shared" si="36"/>
        <v>45013</v>
      </c>
      <c r="I599" s="26">
        <f t="shared" si="37"/>
        <v>5.9722222220443655E-2</v>
      </c>
      <c r="J599" s="18" t="str">
        <f t="shared" si="38"/>
        <v>March</v>
      </c>
      <c r="K599" s="56" t="str">
        <f t="shared" si="39"/>
        <v>Tuesday</v>
      </c>
      <c r="L599" s="18" t="str">
        <f>IF(OR(G599&gt;Answers!I614,G599&lt;Answers!I615),"Outlier","Normal")</f>
        <v>Outlier</v>
      </c>
      <c r="M599" s="18">
        <v>72</v>
      </c>
    </row>
    <row r="600" spans="1:13" ht="20" customHeight="1" x14ac:dyDescent="0.35">
      <c r="A600" s="17">
        <v>422786</v>
      </c>
      <c r="B600" s="18">
        <v>1530</v>
      </c>
      <c r="C600" s="23" t="s">
        <v>104</v>
      </c>
      <c r="D600" s="24">
        <v>45195.042361111111</v>
      </c>
      <c r="E600" s="18" t="s">
        <v>97</v>
      </c>
      <c r="F600" s="18" t="s">
        <v>65</v>
      </c>
      <c r="G600" s="18">
        <v>642</v>
      </c>
      <c r="H600" s="25">
        <f t="shared" si="36"/>
        <v>45195</v>
      </c>
      <c r="I600" s="26">
        <f t="shared" si="37"/>
        <v>4.2361111110949423E-2</v>
      </c>
      <c r="J600" s="18" t="str">
        <f t="shared" si="38"/>
        <v>September</v>
      </c>
      <c r="K600" s="56" t="str">
        <f t="shared" si="39"/>
        <v>Tuesday</v>
      </c>
      <c r="L600" s="18" t="str">
        <f>IF(OR(G600&gt;Answers!I615,G600&lt;Answers!I616),"Outlier","Normal")</f>
        <v>Outlier</v>
      </c>
      <c r="M600" s="18">
        <v>79</v>
      </c>
    </row>
    <row r="601" spans="1:13" ht="20" customHeight="1" x14ac:dyDescent="0.35">
      <c r="A601" s="17">
        <v>423114</v>
      </c>
      <c r="B601" s="18">
        <v>1201</v>
      </c>
      <c r="C601" s="23" t="s">
        <v>100</v>
      </c>
      <c r="D601" s="24">
        <v>44983.993055555555</v>
      </c>
      <c r="E601" s="18" t="s">
        <v>98</v>
      </c>
      <c r="F601" s="18" t="s">
        <v>24</v>
      </c>
      <c r="G601" s="18">
        <v>6057</v>
      </c>
      <c r="H601" s="25">
        <f t="shared" si="36"/>
        <v>44983</v>
      </c>
      <c r="I601" s="26">
        <f t="shared" si="37"/>
        <v>0.99305555555474712</v>
      </c>
      <c r="J601" s="18" t="str">
        <f t="shared" si="38"/>
        <v>February</v>
      </c>
      <c r="K601" s="56" t="str">
        <f t="shared" si="39"/>
        <v>Sunday</v>
      </c>
      <c r="L601" s="18" t="str">
        <f>IF(OR(G601&gt;Answers!I616,G601&lt;Answers!I617),"Outlier","Normal")</f>
        <v>Outlier</v>
      </c>
      <c r="M601" s="18">
        <v>89</v>
      </c>
    </row>
    <row r="602" spans="1:13" ht="20" customHeight="1" x14ac:dyDescent="0.35">
      <c r="A602" s="17">
        <v>423933</v>
      </c>
      <c r="B602" s="18">
        <v>703</v>
      </c>
      <c r="C602" s="23" t="s">
        <v>99</v>
      </c>
      <c r="D602" s="24">
        <v>45007.063194444447</v>
      </c>
      <c r="E602" s="18" t="s">
        <v>133</v>
      </c>
      <c r="F602" s="18" t="s">
        <v>70</v>
      </c>
      <c r="G602" s="18">
        <v>4027</v>
      </c>
      <c r="H602" s="25">
        <f t="shared" si="36"/>
        <v>45007</v>
      </c>
      <c r="I602" s="26">
        <f t="shared" si="37"/>
        <v>6.3194444446708076E-2</v>
      </c>
      <c r="J602" s="18" t="str">
        <f t="shared" si="38"/>
        <v>March</v>
      </c>
      <c r="K602" s="56" t="str">
        <f t="shared" si="39"/>
        <v>Wednesday</v>
      </c>
      <c r="L602" s="18" t="str">
        <f>IF(OR(G602&gt;Answers!I617,G602&lt;Answers!I618),"Outlier","Normal")</f>
        <v>Outlier</v>
      </c>
      <c r="M602" s="18">
        <v>84</v>
      </c>
    </row>
    <row r="603" spans="1:13" ht="20" customHeight="1" x14ac:dyDescent="0.35">
      <c r="A603" s="17">
        <v>424079</v>
      </c>
      <c r="B603" s="18">
        <v>1816</v>
      </c>
      <c r="C603" s="23" t="s">
        <v>105</v>
      </c>
      <c r="D603" s="24">
        <v>45263.006249999999</v>
      </c>
      <c r="E603" s="18" t="s">
        <v>97</v>
      </c>
      <c r="F603" s="18" t="s">
        <v>71</v>
      </c>
      <c r="G603" s="18">
        <v>9152</v>
      </c>
      <c r="H603" s="25">
        <f t="shared" si="36"/>
        <v>45263</v>
      </c>
      <c r="I603" s="26">
        <f t="shared" si="37"/>
        <v>6.2499999985448085E-3</v>
      </c>
      <c r="J603" s="18" t="str">
        <f t="shared" si="38"/>
        <v>December</v>
      </c>
      <c r="K603" s="56" t="str">
        <f t="shared" si="39"/>
        <v>Sunday</v>
      </c>
      <c r="L603" s="18" t="str">
        <f>IF(OR(G603&gt;Answers!I618,G603&lt;Answers!I619),"Outlier","Normal")</f>
        <v>Outlier</v>
      </c>
      <c r="M603" s="18">
        <v>75</v>
      </c>
    </row>
    <row r="604" spans="1:13" ht="20" customHeight="1" x14ac:dyDescent="0.35">
      <c r="A604" s="17">
        <v>424517</v>
      </c>
      <c r="B604" s="18">
        <v>870</v>
      </c>
      <c r="C604" s="23" t="s">
        <v>113</v>
      </c>
      <c r="D604" s="24">
        <v>44934.026388888888</v>
      </c>
      <c r="E604" s="18" t="s">
        <v>97</v>
      </c>
      <c r="F604" s="18" t="s">
        <v>43</v>
      </c>
      <c r="G604" s="18">
        <v>2515</v>
      </c>
      <c r="H604" s="25">
        <f t="shared" si="36"/>
        <v>44934</v>
      </c>
      <c r="I604" s="26">
        <f t="shared" si="37"/>
        <v>2.6388888887595385E-2</v>
      </c>
      <c r="J604" s="18" t="str">
        <f t="shared" si="38"/>
        <v>January</v>
      </c>
      <c r="K604" s="56" t="str">
        <f t="shared" si="39"/>
        <v>Sunday</v>
      </c>
      <c r="L604" s="18" t="str">
        <f>IF(OR(G604&gt;Answers!I619,G604&lt;Answers!I620),"Outlier","Normal")</f>
        <v>Outlier</v>
      </c>
      <c r="M604" s="18">
        <v>65</v>
      </c>
    </row>
    <row r="605" spans="1:13" ht="20" customHeight="1" x14ac:dyDescent="0.35">
      <c r="A605" s="17">
        <v>425030</v>
      </c>
      <c r="B605" s="18">
        <v>1231</v>
      </c>
      <c r="C605" s="23" t="s">
        <v>104</v>
      </c>
      <c r="D605" s="24">
        <v>44984.058333333334</v>
      </c>
      <c r="E605" s="18" t="s">
        <v>133</v>
      </c>
      <c r="F605" s="18" t="s">
        <v>45</v>
      </c>
      <c r="G605" s="18">
        <v>5268</v>
      </c>
      <c r="H605" s="25">
        <f t="shared" si="36"/>
        <v>44984</v>
      </c>
      <c r="I605" s="26">
        <f t="shared" si="37"/>
        <v>5.8333333334303461E-2</v>
      </c>
      <c r="J605" s="18" t="str">
        <f t="shared" si="38"/>
        <v>February</v>
      </c>
      <c r="K605" s="56" t="str">
        <f t="shared" si="39"/>
        <v>Monday</v>
      </c>
      <c r="L605" s="18" t="str">
        <f>IF(OR(G605&gt;Answers!I620,G605&lt;Answers!I621),"Outlier","Normal")</f>
        <v>Outlier</v>
      </c>
      <c r="M605" s="18">
        <v>83</v>
      </c>
    </row>
    <row r="606" spans="1:13" ht="20" customHeight="1" x14ac:dyDescent="0.35">
      <c r="A606" s="17">
        <v>425321</v>
      </c>
      <c r="B606" s="18">
        <v>117</v>
      </c>
      <c r="C606" s="23" t="s">
        <v>113</v>
      </c>
      <c r="D606" s="24">
        <v>45151.059027777781</v>
      </c>
      <c r="E606" s="18" t="s">
        <v>96</v>
      </c>
      <c r="F606" s="18" t="s">
        <v>58</v>
      </c>
      <c r="G606" s="18">
        <v>4727</v>
      </c>
      <c r="H606" s="25">
        <f t="shared" si="36"/>
        <v>45151</v>
      </c>
      <c r="I606" s="26">
        <f t="shared" si="37"/>
        <v>5.9027777781011537E-2</v>
      </c>
      <c r="J606" s="18" t="str">
        <f t="shared" si="38"/>
        <v>August</v>
      </c>
      <c r="K606" s="56" t="str">
        <f t="shared" si="39"/>
        <v>Sunday</v>
      </c>
      <c r="L606" s="18" t="str">
        <f>IF(OR(G606&gt;Answers!I621,G606&lt;Answers!I622),"Outlier","Normal")</f>
        <v>Outlier</v>
      </c>
      <c r="M606" s="18">
        <v>28</v>
      </c>
    </row>
    <row r="607" spans="1:13" ht="20" customHeight="1" x14ac:dyDescent="0.35">
      <c r="A607" s="17">
        <v>425554</v>
      </c>
      <c r="B607" s="18">
        <v>1363</v>
      </c>
      <c r="C607" s="23" t="s">
        <v>100</v>
      </c>
      <c r="D607" s="24">
        <v>45171.977083333331</v>
      </c>
      <c r="E607" s="18" t="s">
        <v>98</v>
      </c>
      <c r="F607" s="18" t="s">
        <v>67</v>
      </c>
      <c r="G607" s="18">
        <v>6327</v>
      </c>
      <c r="H607" s="25">
        <f t="shared" si="36"/>
        <v>45171</v>
      </c>
      <c r="I607" s="26">
        <f t="shared" si="37"/>
        <v>0.97708333333139308</v>
      </c>
      <c r="J607" s="18" t="str">
        <f t="shared" si="38"/>
        <v>September</v>
      </c>
      <c r="K607" s="56" t="str">
        <f t="shared" si="39"/>
        <v>Saturday</v>
      </c>
      <c r="L607" s="18" t="str">
        <f>IF(OR(G607&gt;Answers!I622,G607&lt;Answers!I623),"Outlier","Normal")</f>
        <v>Outlier</v>
      </c>
      <c r="M607" s="18">
        <v>81</v>
      </c>
    </row>
    <row r="608" spans="1:13" ht="20" customHeight="1" x14ac:dyDescent="0.35">
      <c r="A608" s="17">
        <v>425673</v>
      </c>
      <c r="B608" s="18">
        <v>1058</v>
      </c>
      <c r="C608" s="23" t="s">
        <v>113</v>
      </c>
      <c r="D608" s="24">
        <v>45196.030555555553</v>
      </c>
      <c r="E608" s="18" t="s">
        <v>98</v>
      </c>
      <c r="F608" s="18" t="s">
        <v>11</v>
      </c>
      <c r="G608" s="18">
        <v>491</v>
      </c>
      <c r="H608" s="25">
        <f t="shared" si="36"/>
        <v>45196</v>
      </c>
      <c r="I608" s="26">
        <f t="shared" si="37"/>
        <v>3.0555555553291924E-2</v>
      </c>
      <c r="J608" s="18" t="str">
        <f t="shared" si="38"/>
        <v>September</v>
      </c>
      <c r="K608" s="56" t="str">
        <f t="shared" si="39"/>
        <v>Wednesday</v>
      </c>
      <c r="L608" s="18" t="str">
        <f>IF(OR(G608&gt;Answers!I623,G608&lt;Answers!I624),"Outlier","Normal")</f>
        <v>Outlier</v>
      </c>
      <c r="M608" s="18">
        <v>74</v>
      </c>
    </row>
    <row r="609" spans="1:13" ht="20" customHeight="1" x14ac:dyDescent="0.35">
      <c r="A609" s="17">
        <v>426056</v>
      </c>
      <c r="B609" s="18">
        <v>1138</v>
      </c>
      <c r="C609" s="23" t="s">
        <v>101</v>
      </c>
      <c r="D609" s="24">
        <v>45034.988888888889</v>
      </c>
      <c r="E609" s="18" t="s">
        <v>97</v>
      </c>
      <c r="F609" s="18" t="s">
        <v>44</v>
      </c>
      <c r="G609" s="18">
        <v>3481</v>
      </c>
      <c r="H609" s="25">
        <f t="shared" si="36"/>
        <v>45034</v>
      </c>
      <c r="I609" s="26">
        <f t="shared" si="37"/>
        <v>0.98888888888905058</v>
      </c>
      <c r="J609" s="18" t="str">
        <f t="shared" si="38"/>
        <v>April</v>
      </c>
      <c r="K609" s="56" t="str">
        <f t="shared" si="39"/>
        <v>Tuesday</v>
      </c>
      <c r="L609" s="18" t="str">
        <f>IF(OR(G609&gt;Answers!I624,G609&lt;Answers!I625),"Outlier","Normal")</f>
        <v>Outlier</v>
      </c>
      <c r="M609" s="18">
        <v>83</v>
      </c>
    </row>
    <row r="610" spans="1:13" ht="20" customHeight="1" x14ac:dyDescent="0.35">
      <c r="A610" s="17">
        <v>426461</v>
      </c>
      <c r="B610" s="18">
        <v>254</v>
      </c>
      <c r="C610" s="23" t="s">
        <v>100</v>
      </c>
      <c r="D610" s="24">
        <v>44959.076388888891</v>
      </c>
      <c r="E610" s="18" t="s">
        <v>133</v>
      </c>
      <c r="F610" s="18" t="s">
        <v>27</v>
      </c>
      <c r="G610" s="18">
        <v>6998</v>
      </c>
      <c r="H610" s="25">
        <f t="shared" si="36"/>
        <v>44959</v>
      </c>
      <c r="I610" s="26">
        <f t="shared" si="37"/>
        <v>7.6388888890505768E-2</v>
      </c>
      <c r="J610" s="18" t="str">
        <f t="shared" si="38"/>
        <v>February</v>
      </c>
      <c r="K610" s="56" t="str">
        <f t="shared" si="39"/>
        <v>Thursday</v>
      </c>
      <c r="L610" s="18" t="str">
        <f>IF(OR(G610&gt;Answers!I625,G610&lt;Answers!I626),"Outlier","Normal")</f>
        <v>Outlier</v>
      </c>
      <c r="M610" s="18">
        <v>88</v>
      </c>
    </row>
    <row r="611" spans="1:13" ht="20" customHeight="1" x14ac:dyDescent="0.35">
      <c r="A611" s="17">
        <v>426515</v>
      </c>
      <c r="B611" s="18">
        <v>971</v>
      </c>
      <c r="C611" s="23" t="s">
        <v>100</v>
      </c>
      <c r="D611" s="24">
        <v>45219.036805555559</v>
      </c>
      <c r="E611" s="18" t="s">
        <v>133</v>
      </c>
      <c r="F611" s="18" t="s">
        <v>27</v>
      </c>
      <c r="G611" s="18">
        <v>6753</v>
      </c>
      <c r="H611" s="25">
        <f t="shared" si="36"/>
        <v>45219</v>
      </c>
      <c r="I611" s="26">
        <f t="shared" si="37"/>
        <v>3.680555555911269E-2</v>
      </c>
      <c r="J611" s="18" t="str">
        <f t="shared" si="38"/>
        <v>October</v>
      </c>
      <c r="K611" s="56" t="str">
        <f t="shared" si="39"/>
        <v>Friday</v>
      </c>
      <c r="L611" s="18" t="str">
        <f>IF(OR(G611&gt;Answers!I626,G611&lt;Answers!I627),"Outlier","Normal")</f>
        <v>Outlier</v>
      </c>
      <c r="M611" s="18">
        <v>22</v>
      </c>
    </row>
    <row r="612" spans="1:13" ht="20" customHeight="1" x14ac:dyDescent="0.35">
      <c r="A612" s="17">
        <v>427737</v>
      </c>
      <c r="B612" s="18">
        <v>780</v>
      </c>
      <c r="C612" s="23" t="s">
        <v>113</v>
      </c>
      <c r="D612" s="24">
        <v>45288.040277777778</v>
      </c>
      <c r="E612" s="18" t="s">
        <v>133</v>
      </c>
      <c r="F612" s="18" t="s">
        <v>73</v>
      </c>
      <c r="G612" s="18">
        <v>4456</v>
      </c>
      <c r="H612" s="25">
        <f t="shared" si="36"/>
        <v>45288</v>
      </c>
      <c r="I612" s="26">
        <f t="shared" si="37"/>
        <v>4.0277777778101154E-2</v>
      </c>
      <c r="J612" s="18" t="str">
        <f t="shared" si="38"/>
        <v>December</v>
      </c>
      <c r="K612" s="56" t="str">
        <f t="shared" si="39"/>
        <v>Thursday</v>
      </c>
      <c r="L612" s="18" t="str">
        <f>IF(OR(G612&gt;Answers!I627,G612&lt;Answers!I628),"Outlier","Normal")</f>
        <v>Outlier</v>
      </c>
      <c r="M612" s="18">
        <v>43</v>
      </c>
    </row>
    <row r="613" spans="1:13" ht="20" customHeight="1" x14ac:dyDescent="0.35">
      <c r="A613" s="17">
        <v>429796</v>
      </c>
      <c r="B613" s="18">
        <v>771</v>
      </c>
      <c r="C613" s="23" t="s">
        <v>108</v>
      </c>
      <c r="D613" s="24">
        <v>45171.030555555553</v>
      </c>
      <c r="E613" s="18" t="s">
        <v>98</v>
      </c>
      <c r="F613" s="18" t="s">
        <v>64</v>
      </c>
      <c r="G613" s="18">
        <v>9994</v>
      </c>
      <c r="H613" s="25">
        <f t="shared" si="36"/>
        <v>45171</v>
      </c>
      <c r="I613" s="26">
        <f t="shared" si="37"/>
        <v>3.0555555553291924E-2</v>
      </c>
      <c r="J613" s="18" t="str">
        <f t="shared" si="38"/>
        <v>September</v>
      </c>
      <c r="K613" s="56" t="str">
        <f t="shared" si="39"/>
        <v>Saturday</v>
      </c>
      <c r="L613" s="18" t="str">
        <f>IF(OR(G613&gt;Answers!I628,G613&lt;Answers!I629),"Outlier","Normal")</f>
        <v>Outlier</v>
      </c>
      <c r="M613" s="18">
        <v>82</v>
      </c>
    </row>
    <row r="614" spans="1:13" ht="20" customHeight="1" x14ac:dyDescent="0.35">
      <c r="A614" s="17">
        <v>430092</v>
      </c>
      <c r="B614" s="18">
        <v>1814</v>
      </c>
      <c r="C614" s="23" t="s">
        <v>99</v>
      </c>
      <c r="D614" s="24">
        <v>45229.056944444441</v>
      </c>
      <c r="E614" s="18" t="s">
        <v>98</v>
      </c>
      <c r="F614" s="18" t="s">
        <v>26</v>
      </c>
      <c r="G614" s="18">
        <v>5251</v>
      </c>
      <c r="H614" s="25">
        <f t="shared" si="36"/>
        <v>45229</v>
      </c>
      <c r="I614" s="26">
        <f t="shared" si="37"/>
        <v>5.694444444088731E-2</v>
      </c>
      <c r="J614" s="18" t="str">
        <f t="shared" si="38"/>
        <v>October</v>
      </c>
      <c r="K614" s="56" t="str">
        <f t="shared" si="39"/>
        <v>Monday</v>
      </c>
      <c r="L614" s="18" t="str">
        <f>IF(OR(G614&gt;Answers!I629,G614&lt;Answers!I630),"Outlier","Normal")</f>
        <v>Outlier</v>
      </c>
      <c r="M614" s="18">
        <v>86</v>
      </c>
    </row>
    <row r="615" spans="1:13" ht="20" customHeight="1" x14ac:dyDescent="0.35">
      <c r="A615" s="17">
        <v>431955</v>
      </c>
      <c r="B615" s="18">
        <v>997</v>
      </c>
      <c r="C615" s="23" t="s">
        <v>113</v>
      </c>
      <c r="D615" s="24">
        <v>44997.042361111111</v>
      </c>
      <c r="E615" s="18" t="s">
        <v>133</v>
      </c>
      <c r="F615" s="18" t="s">
        <v>74</v>
      </c>
      <c r="G615" s="18">
        <v>9387</v>
      </c>
      <c r="H615" s="25">
        <f t="shared" si="36"/>
        <v>44997</v>
      </c>
      <c r="I615" s="26">
        <f t="shared" si="37"/>
        <v>4.2361111110949423E-2</v>
      </c>
      <c r="J615" s="18" t="str">
        <f t="shared" si="38"/>
        <v>March</v>
      </c>
      <c r="K615" s="56" t="str">
        <f t="shared" si="39"/>
        <v>Sunday</v>
      </c>
      <c r="L615" s="18" t="str">
        <f>IF(OR(G615&gt;Answers!I630,G615&lt;Answers!I631),"Outlier","Normal")</f>
        <v>Outlier</v>
      </c>
      <c r="M615" s="18">
        <v>58</v>
      </c>
    </row>
    <row r="616" spans="1:13" ht="20" customHeight="1" x14ac:dyDescent="0.35">
      <c r="A616" s="17">
        <v>432167</v>
      </c>
      <c r="B616" s="18">
        <v>1543</v>
      </c>
      <c r="C616" s="23" t="s">
        <v>99</v>
      </c>
      <c r="D616" s="24">
        <v>44969.02847222222</v>
      </c>
      <c r="E616" s="18" t="s">
        <v>98</v>
      </c>
      <c r="F616" s="18" t="s">
        <v>88</v>
      </c>
      <c r="G616" s="18">
        <v>3319</v>
      </c>
      <c r="H616" s="25">
        <f t="shared" si="36"/>
        <v>44969</v>
      </c>
      <c r="I616" s="26">
        <f t="shared" si="37"/>
        <v>2.8472222220443655E-2</v>
      </c>
      <c r="J616" s="18" t="str">
        <f t="shared" si="38"/>
        <v>February</v>
      </c>
      <c r="K616" s="56" t="str">
        <f t="shared" si="39"/>
        <v>Sunday</v>
      </c>
      <c r="L616" s="18" t="str">
        <f>IF(OR(G616&gt;Answers!I631,G616&lt;Answers!I632),"Outlier","Normal")</f>
        <v>Outlier</v>
      </c>
      <c r="M616" s="18">
        <v>68</v>
      </c>
    </row>
    <row r="617" spans="1:13" ht="20" customHeight="1" x14ac:dyDescent="0.35">
      <c r="A617" s="17">
        <v>432633</v>
      </c>
      <c r="B617" s="18">
        <v>1738</v>
      </c>
      <c r="C617" s="23" t="s">
        <v>100</v>
      </c>
      <c r="D617" s="24">
        <v>44968.049305555556</v>
      </c>
      <c r="E617" s="18" t="s">
        <v>98</v>
      </c>
      <c r="F617" s="18" t="s">
        <v>73</v>
      </c>
      <c r="G617" s="18">
        <v>9557</v>
      </c>
      <c r="H617" s="25">
        <f t="shared" si="36"/>
        <v>44968</v>
      </c>
      <c r="I617" s="26">
        <f t="shared" si="37"/>
        <v>4.9305555556202307E-2</v>
      </c>
      <c r="J617" s="18" t="str">
        <f t="shared" si="38"/>
        <v>February</v>
      </c>
      <c r="K617" s="56" t="str">
        <f t="shared" si="39"/>
        <v>Saturday</v>
      </c>
      <c r="L617" s="18" t="str">
        <f>IF(OR(G617&gt;Answers!I632,G617&lt;Answers!I633),"Outlier","Normal")</f>
        <v>Outlier</v>
      </c>
      <c r="M617" s="18">
        <v>27</v>
      </c>
    </row>
    <row r="618" spans="1:13" ht="20" customHeight="1" x14ac:dyDescent="0.35">
      <c r="A618" s="17">
        <v>434591</v>
      </c>
      <c r="B618" s="18">
        <v>1450</v>
      </c>
      <c r="C618" s="23" t="s">
        <v>100</v>
      </c>
      <c r="D618" s="24">
        <v>44984.041666666664</v>
      </c>
      <c r="E618" s="18" t="s">
        <v>96</v>
      </c>
      <c r="F618" s="18" t="s">
        <v>76</v>
      </c>
      <c r="G618" s="18">
        <v>4060</v>
      </c>
      <c r="H618" s="25">
        <f t="shared" si="36"/>
        <v>44984</v>
      </c>
      <c r="I618" s="26">
        <f t="shared" si="37"/>
        <v>4.1666666664241347E-2</v>
      </c>
      <c r="J618" s="18" t="str">
        <f t="shared" si="38"/>
        <v>February</v>
      </c>
      <c r="K618" s="56" t="str">
        <f t="shared" si="39"/>
        <v>Monday</v>
      </c>
      <c r="L618" s="18" t="str">
        <f>IF(OR(G618&gt;Answers!I633,G618&lt;Answers!I634),"Outlier","Normal")</f>
        <v>Outlier</v>
      </c>
      <c r="M618" s="18">
        <v>27</v>
      </c>
    </row>
    <row r="619" spans="1:13" ht="20" customHeight="1" x14ac:dyDescent="0.35">
      <c r="A619" s="17">
        <v>435768</v>
      </c>
      <c r="B619" s="18">
        <v>74</v>
      </c>
      <c r="C619" s="23" t="s">
        <v>99</v>
      </c>
      <c r="D619" s="24">
        <v>44970.022222222222</v>
      </c>
      <c r="E619" s="18" t="s">
        <v>133</v>
      </c>
      <c r="F619" s="18" t="s">
        <v>72</v>
      </c>
      <c r="G619" s="18">
        <v>5262</v>
      </c>
      <c r="H619" s="25">
        <f t="shared" si="36"/>
        <v>44970</v>
      </c>
      <c r="I619" s="26">
        <f t="shared" si="37"/>
        <v>2.2222222221898846E-2</v>
      </c>
      <c r="J619" s="18" t="str">
        <f t="shared" si="38"/>
        <v>February</v>
      </c>
      <c r="K619" s="56" t="str">
        <f t="shared" si="39"/>
        <v>Monday</v>
      </c>
      <c r="L619" s="18" t="str">
        <f>IF(OR(G619&gt;Answers!I634,G619&lt;Answers!I635),"Outlier","Normal")</f>
        <v>Outlier</v>
      </c>
      <c r="M619" s="18">
        <v>28</v>
      </c>
    </row>
    <row r="620" spans="1:13" ht="20" customHeight="1" x14ac:dyDescent="0.35">
      <c r="A620" s="17">
        <v>438673</v>
      </c>
      <c r="B620" s="18">
        <v>1769</v>
      </c>
      <c r="C620" s="23" t="s">
        <v>105</v>
      </c>
      <c r="D620" s="24">
        <v>45284.94027777778</v>
      </c>
      <c r="E620" s="18" t="s">
        <v>97</v>
      </c>
      <c r="F620" s="18" t="s">
        <v>25</v>
      </c>
      <c r="G620" s="18">
        <v>6941</v>
      </c>
      <c r="H620" s="25">
        <f t="shared" si="36"/>
        <v>45284</v>
      </c>
      <c r="I620" s="26">
        <f t="shared" si="37"/>
        <v>0.94027777777955635</v>
      </c>
      <c r="J620" s="18" t="str">
        <f t="shared" si="38"/>
        <v>December</v>
      </c>
      <c r="K620" s="56" t="str">
        <f t="shared" si="39"/>
        <v>Sunday</v>
      </c>
      <c r="L620" s="18" t="str">
        <f>IF(OR(G620&gt;Answers!I635,G620&lt;Answers!I636),"Outlier","Normal")</f>
        <v>Outlier</v>
      </c>
      <c r="M620" s="18">
        <v>27</v>
      </c>
    </row>
    <row r="621" spans="1:13" ht="20" customHeight="1" x14ac:dyDescent="0.35">
      <c r="A621" s="17">
        <v>439833</v>
      </c>
      <c r="B621" s="18">
        <v>1472</v>
      </c>
      <c r="C621" s="23" t="s">
        <v>99</v>
      </c>
      <c r="D621" s="24">
        <v>45081.099305555559</v>
      </c>
      <c r="E621" s="18" t="s">
        <v>98</v>
      </c>
      <c r="F621" s="18" t="s">
        <v>4</v>
      </c>
      <c r="G621" s="18">
        <v>3338</v>
      </c>
      <c r="H621" s="25">
        <f t="shared" si="36"/>
        <v>45081</v>
      </c>
      <c r="I621" s="26">
        <f t="shared" si="37"/>
        <v>9.930555555911269E-2</v>
      </c>
      <c r="J621" s="18" t="str">
        <f t="shared" si="38"/>
        <v>June</v>
      </c>
      <c r="K621" s="56" t="str">
        <f t="shared" si="39"/>
        <v>Sunday</v>
      </c>
      <c r="L621" s="18" t="str">
        <f>IF(OR(G621&gt;Answers!I636,G621&lt;Answers!I637),"Outlier","Normal")</f>
        <v>Outlier</v>
      </c>
      <c r="M621" s="18">
        <v>83</v>
      </c>
    </row>
    <row r="622" spans="1:13" ht="20" customHeight="1" x14ac:dyDescent="0.35">
      <c r="A622" s="17">
        <v>439986</v>
      </c>
      <c r="B622" s="18">
        <v>1256</v>
      </c>
      <c r="C622" s="23" t="s">
        <v>105</v>
      </c>
      <c r="D622" s="24">
        <v>45129.036805555559</v>
      </c>
      <c r="E622" s="18" t="s">
        <v>97</v>
      </c>
      <c r="F622" s="18" t="s">
        <v>14</v>
      </c>
      <c r="G622" s="18">
        <v>6038</v>
      </c>
      <c r="H622" s="25">
        <f t="shared" si="36"/>
        <v>45129</v>
      </c>
      <c r="I622" s="26">
        <f t="shared" si="37"/>
        <v>3.680555555911269E-2</v>
      </c>
      <c r="J622" s="18" t="str">
        <f t="shared" si="38"/>
        <v>July</v>
      </c>
      <c r="K622" s="56" t="str">
        <f t="shared" si="39"/>
        <v>Saturday</v>
      </c>
      <c r="L622" s="18" t="str">
        <f>IF(OR(G622&gt;Answers!I637,G622&lt;Answers!I638),"Outlier","Normal")</f>
        <v>Outlier</v>
      </c>
      <c r="M622" s="18">
        <v>29</v>
      </c>
    </row>
    <row r="623" spans="1:13" ht="20" customHeight="1" x14ac:dyDescent="0.35">
      <c r="A623" s="17">
        <v>440925</v>
      </c>
      <c r="B623" s="18">
        <v>419</v>
      </c>
      <c r="C623" s="23" t="s">
        <v>100</v>
      </c>
      <c r="D623" s="24">
        <v>44943.013194444444</v>
      </c>
      <c r="E623" s="18" t="s">
        <v>96</v>
      </c>
      <c r="F623" s="18" t="s">
        <v>77</v>
      </c>
      <c r="G623" s="18">
        <v>8432</v>
      </c>
      <c r="H623" s="25">
        <f t="shared" si="36"/>
        <v>44943</v>
      </c>
      <c r="I623" s="26">
        <f t="shared" si="37"/>
        <v>1.3194444443797693E-2</v>
      </c>
      <c r="J623" s="18" t="str">
        <f t="shared" si="38"/>
        <v>January</v>
      </c>
      <c r="K623" s="56" t="str">
        <f t="shared" si="39"/>
        <v>Tuesday</v>
      </c>
      <c r="L623" s="18" t="str">
        <f>IF(OR(G623&gt;Answers!I638,G623&lt;Answers!I639),"Outlier","Normal")</f>
        <v>Outlier</v>
      </c>
      <c r="M623" s="18">
        <v>66</v>
      </c>
    </row>
    <row r="624" spans="1:13" ht="20" customHeight="1" x14ac:dyDescent="0.35">
      <c r="A624" s="17">
        <v>441275</v>
      </c>
      <c r="B624" s="18">
        <v>685</v>
      </c>
      <c r="C624" s="23" t="s">
        <v>101</v>
      </c>
      <c r="D624" s="24">
        <v>44944.98333333333</v>
      </c>
      <c r="E624" s="18" t="s">
        <v>96</v>
      </c>
      <c r="F624" s="18" t="s">
        <v>20</v>
      </c>
      <c r="G624" s="18">
        <v>7319</v>
      </c>
      <c r="H624" s="25">
        <f t="shared" si="36"/>
        <v>44944</v>
      </c>
      <c r="I624" s="26">
        <f t="shared" si="37"/>
        <v>0.98333333332993789</v>
      </c>
      <c r="J624" s="18" t="str">
        <f t="shared" si="38"/>
        <v>January</v>
      </c>
      <c r="K624" s="56" t="str">
        <f t="shared" si="39"/>
        <v>Wednesday</v>
      </c>
      <c r="L624" s="18" t="str">
        <f>IF(OR(G624&gt;Answers!I639,G624&lt;Answers!I640),"Outlier","Normal")</f>
        <v>Outlier</v>
      </c>
      <c r="M624" s="18">
        <v>50</v>
      </c>
    </row>
    <row r="625" spans="1:13" ht="20" customHeight="1" x14ac:dyDescent="0.35">
      <c r="A625" s="17">
        <v>441310</v>
      </c>
      <c r="B625" s="18">
        <v>880</v>
      </c>
      <c r="C625" s="23" t="s">
        <v>113</v>
      </c>
      <c r="D625" s="24">
        <v>45258.978472222225</v>
      </c>
      <c r="E625" s="18" t="s">
        <v>98</v>
      </c>
      <c r="F625" s="18" t="s">
        <v>41</v>
      </c>
      <c r="G625" s="18">
        <v>3544</v>
      </c>
      <c r="H625" s="25">
        <f t="shared" si="36"/>
        <v>45258</v>
      </c>
      <c r="I625" s="26">
        <f t="shared" si="37"/>
        <v>0.97847222222480923</v>
      </c>
      <c r="J625" s="18" t="str">
        <f t="shared" si="38"/>
        <v>November</v>
      </c>
      <c r="K625" s="56" t="str">
        <f t="shared" si="39"/>
        <v>Tuesday</v>
      </c>
      <c r="L625" s="18" t="str">
        <f>IF(OR(G625&gt;Answers!I640,G625&lt;Answers!I641),"Outlier","Normal")</f>
        <v>Outlier</v>
      </c>
      <c r="M625" s="18">
        <v>44</v>
      </c>
    </row>
    <row r="626" spans="1:13" ht="20" customHeight="1" x14ac:dyDescent="0.35">
      <c r="A626" s="17">
        <v>442615</v>
      </c>
      <c r="B626" s="18">
        <v>1196</v>
      </c>
      <c r="C626" s="23" t="s">
        <v>99</v>
      </c>
      <c r="D626" s="24">
        <v>45255.941666666666</v>
      </c>
      <c r="E626" s="18" t="s">
        <v>97</v>
      </c>
      <c r="F626" s="18" t="s">
        <v>87</v>
      </c>
      <c r="G626" s="18">
        <v>6526</v>
      </c>
      <c r="H626" s="25">
        <f t="shared" si="36"/>
        <v>45255</v>
      </c>
      <c r="I626" s="26">
        <f t="shared" si="37"/>
        <v>0.94166666666569654</v>
      </c>
      <c r="J626" s="18" t="str">
        <f t="shared" si="38"/>
        <v>November</v>
      </c>
      <c r="K626" s="56" t="str">
        <f t="shared" si="39"/>
        <v>Saturday</v>
      </c>
      <c r="L626" s="18" t="str">
        <f>IF(OR(G626&gt;Answers!I641,G626&lt;Answers!I642),"Outlier","Normal")</f>
        <v>Outlier</v>
      </c>
      <c r="M626" s="18">
        <v>82</v>
      </c>
    </row>
    <row r="627" spans="1:13" ht="20" customHeight="1" x14ac:dyDescent="0.35">
      <c r="A627" s="17">
        <v>442842</v>
      </c>
      <c r="B627" s="18">
        <v>226</v>
      </c>
      <c r="C627" s="23" t="s">
        <v>99</v>
      </c>
      <c r="D627" s="24">
        <v>45000.951388888891</v>
      </c>
      <c r="E627" s="18" t="s">
        <v>97</v>
      </c>
      <c r="F627" s="18" t="s">
        <v>23</v>
      </c>
      <c r="G627" s="18">
        <v>4064</v>
      </c>
      <c r="H627" s="25">
        <f t="shared" si="36"/>
        <v>45000</v>
      </c>
      <c r="I627" s="26">
        <f t="shared" si="37"/>
        <v>0.95138888889050577</v>
      </c>
      <c r="J627" s="18" t="str">
        <f t="shared" si="38"/>
        <v>March</v>
      </c>
      <c r="K627" s="56" t="str">
        <f t="shared" si="39"/>
        <v>Wednesday</v>
      </c>
      <c r="L627" s="18" t="str">
        <f>IF(OR(G627&gt;Answers!I642,G627&lt;Answers!I643),"Outlier","Normal")</f>
        <v>Outlier</v>
      </c>
      <c r="M627" s="18">
        <v>31</v>
      </c>
    </row>
    <row r="628" spans="1:13" ht="20" customHeight="1" x14ac:dyDescent="0.35">
      <c r="A628" s="17">
        <v>443374</v>
      </c>
      <c r="B628" s="18">
        <v>47</v>
      </c>
      <c r="C628" s="23" t="s">
        <v>105</v>
      </c>
      <c r="D628" s="24">
        <v>45061.093055555553</v>
      </c>
      <c r="E628" s="18" t="s">
        <v>98</v>
      </c>
      <c r="F628" s="18" t="s">
        <v>49</v>
      </c>
      <c r="G628" s="18">
        <v>768</v>
      </c>
      <c r="H628" s="25">
        <f t="shared" si="36"/>
        <v>45061</v>
      </c>
      <c r="I628" s="26">
        <f t="shared" si="37"/>
        <v>9.3055555553291924E-2</v>
      </c>
      <c r="J628" s="18" t="str">
        <f t="shared" si="38"/>
        <v>May</v>
      </c>
      <c r="K628" s="56" t="str">
        <f t="shared" si="39"/>
        <v>Monday</v>
      </c>
      <c r="L628" s="18" t="str">
        <f>IF(OR(G628&gt;Answers!I643,G628&lt;Answers!I644),"Outlier","Normal")</f>
        <v>Outlier</v>
      </c>
      <c r="M628" s="18">
        <v>25</v>
      </c>
    </row>
    <row r="629" spans="1:13" ht="20" customHeight="1" x14ac:dyDescent="0.35">
      <c r="A629" s="17">
        <v>443577</v>
      </c>
      <c r="B629" s="18">
        <v>507</v>
      </c>
      <c r="C629" s="23" t="s">
        <v>99</v>
      </c>
      <c r="D629" s="24">
        <v>45186.06527777778</v>
      </c>
      <c r="E629" s="18" t="s">
        <v>97</v>
      </c>
      <c r="F629" s="18" t="s">
        <v>71</v>
      </c>
      <c r="G629" s="18">
        <v>7940</v>
      </c>
      <c r="H629" s="25">
        <f t="shared" si="36"/>
        <v>45186</v>
      </c>
      <c r="I629" s="26">
        <f t="shared" si="37"/>
        <v>6.5277777779556345E-2</v>
      </c>
      <c r="J629" s="18" t="str">
        <f t="shared" si="38"/>
        <v>September</v>
      </c>
      <c r="K629" s="56" t="str">
        <f t="shared" si="39"/>
        <v>Sunday</v>
      </c>
      <c r="L629" s="18" t="str">
        <f>IF(OR(G629&gt;Answers!I644,G629&lt;Answers!I645),"Outlier","Normal")</f>
        <v>Outlier</v>
      </c>
      <c r="M629" s="18">
        <v>35</v>
      </c>
    </row>
    <row r="630" spans="1:13" ht="20" customHeight="1" x14ac:dyDescent="0.35">
      <c r="A630" s="17">
        <v>443968</v>
      </c>
      <c r="B630" s="18">
        <v>1179</v>
      </c>
      <c r="C630" s="23" t="s">
        <v>105</v>
      </c>
      <c r="D630" s="24">
        <v>45211.027083333334</v>
      </c>
      <c r="E630" s="18" t="s">
        <v>97</v>
      </c>
      <c r="F630" s="18" t="s">
        <v>55</v>
      </c>
      <c r="G630" s="18">
        <v>7784</v>
      </c>
      <c r="H630" s="25">
        <f t="shared" si="36"/>
        <v>45211</v>
      </c>
      <c r="I630" s="26">
        <f t="shared" si="37"/>
        <v>2.7083333334303461E-2</v>
      </c>
      <c r="J630" s="18" t="str">
        <f t="shared" si="38"/>
        <v>October</v>
      </c>
      <c r="K630" s="56" t="str">
        <f t="shared" si="39"/>
        <v>Thursday</v>
      </c>
      <c r="L630" s="18" t="str">
        <f>IF(OR(G630&gt;Answers!I645,G630&lt;Answers!I646),"Outlier","Normal")</f>
        <v>Outlier</v>
      </c>
      <c r="M630" s="18">
        <v>49</v>
      </c>
    </row>
    <row r="631" spans="1:13" ht="20" customHeight="1" x14ac:dyDescent="0.35">
      <c r="A631" s="17">
        <v>444540</v>
      </c>
      <c r="B631" s="18">
        <v>112</v>
      </c>
      <c r="C631" s="23" t="s">
        <v>99</v>
      </c>
      <c r="D631" s="24">
        <v>45174.01666666667</v>
      </c>
      <c r="E631" s="18" t="s">
        <v>98</v>
      </c>
      <c r="F631" s="18" t="s">
        <v>46</v>
      </c>
      <c r="G631" s="18">
        <v>8547</v>
      </c>
      <c r="H631" s="25">
        <f t="shared" si="36"/>
        <v>45174</v>
      </c>
      <c r="I631" s="26">
        <f t="shared" si="37"/>
        <v>1.6666666670062114E-2</v>
      </c>
      <c r="J631" s="18" t="str">
        <f t="shared" si="38"/>
        <v>September</v>
      </c>
      <c r="K631" s="56" t="str">
        <f t="shared" si="39"/>
        <v>Tuesday</v>
      </c>
      <c r="L631" s="18" t="str">
        <f>IF(OR(G631&gt;Answers!I646,G631&lt;Answers!I647),"Outlier","Normal")</f>
        <v>Outlier</v>
      </c>
      <c r="M631" s="18">
        <v>70</v>
      </c>
    </row>
    <row r="632" spans="1:13" ht="20" customHeight="1" x14ac:dyDescent="0.35">
      <c r="A632" s="17">
        <v>445200</v>
      </c>
      <c r="B632" s="18">
        <v>465</v>
      </c>
      <c r="C632" s="23" t="s">
        <v>99</v>
      </c>
      <c r="D632" s="24">
        <v>45093.090277777781</v>
      </c>
      <c r="E632" s="18" t="s">
        <v>98</v>
      </c>
      <c r="F632" s="18" t="s">
        <v>82</v>
      </c>
      <c r="G632" s="18">
        <v>2670</v>
      </c>
      <c r="H632" s="25">
        <f t="shared" si="36"/>
        <v>45093</v>
      </c>
      <c r="I632" s="26">
        <f t="shared" si="37"/>
        <v>9.0277777781011537E-2</v>
      </c>
      <c r="J632" s="18" t="str">
        <f t="shared" si="38"/>
        <v>June</v>
      </c>
      <c r="K632" s="56" t="str">
        <f t="shared" si="39"/>
        <v>Friday</v>
      </c>
      <c r="L632" s="18" t="str">
        <f>IF(OR(G632&gt;Answers!I647,G632&lt;Answers!I648),"Outlier","Normal")</f>
        <v>Outlier</v>
      </c>
      <c r="M632" s="18">
        <v>49</v>
      </c>
    </row>
    <row r="633" spans="1:13" ht="20" customHeight="1" x14ac:dyDescent="0.35">
      <c r="A633" s="17">
        <v>445784</v>
      </c>
      <c r="B633" s="18">
        <v>899</v>
      </c>
      <c r="C633" s="23" t="s">
        <v>99</v>
      </c>
      <c r="D633" s="24">
        <v>45127.043055555558</v>
      </c>
      <c r="E633" s="18" t="s">
        <v>133</v>
      </c>
      <c r="F633" s="18" t="s">
        <v>47</v>
      </c>
      <c r="G633" s="18">
        <v>7646</v>
      </c>
      <c r="H633" s="25">
        <f t="shared" si="36"/>
        <v>45127</v>
      </c>
      <c r="I633" s="26">
        <f t="shared" si="37"/>
        <v>4.3055555557657499E-2</v>
      </c>
      <c r="J633" s="18" t="str">
        <f t="shared" si="38"/>
        <v>July</v>
      </c>
      <c r="K633" s="56" t="str">
        <f t="shared" si="39"/>
        <v>Thursday</v>
      </c>
      <c r="L633" s="18" t="str">
        <f>IF(OR(G633&gt;Answers!I648,G633&lt;Answers!I649),"Outlier","Normal")</f>
        <v>Outlier</v>
      </c>
      <c r="M633" s="18">
        <v>75</v>
      </c>
    </row>
    <row r="634" spans="1:13" ht="20" customHeight="1" x14ac:dyDescent="0.35">
      <c r="A634" s="17">
        <v>446644</v>
      </c>
      <c r="B634" s="18">
        <v>1728</v>
      </c>
      <c r="C634" s="23" t="s">
        <v>100</v>
      </c>
      <c r="D634" s="24">
        <v>44948.010416666664</v>
      </c>
      <c r="E634" s="18" t="s">
        <v>97</v>
      </c>
      <c r="F634" s="18" t="s">
        <v>11</v>
      </c>
      <c r="G634" s="18">
        <v>8854</v>
      </c>
      <c r="H634" s="25">
        <f t="shared" si="36"/>
        <v>44948</v>
      </c>
      <c r="I634" s="26">
        <f t="shared" si="37"/>
        <v>1.0416666664241347E-2</v>
      </c>
      <c r="J634" s="18" t="str">
        <f t="shared" si="38"/>
        <v>January</v>
      </c>
      <c r="K634" s="56" t="str">
        <f t="shared" si="39"/>
        <v>Sunday</v>
      </c>
      <c r="L634" s="18" t="str">
        <f>IF(OR(G634&gt;Answers!I649,G634&lt;Answers!I650),"Outlier","Normal")</f>
        <v>Outlier</v>
      </c>
      <c r="M634" s="18">
        <v>27</v>
      </c>
    </row>
    <row r="635" spans="1:13" ht="20" customHeight="1" x14ac:dyDescent="0.35">
      <c r="A635" s="17">
        <v>447240</v>
      </c>
      <c r="B635" s="18">
        <v>1318</v>
      </c>
      <c r="C635" s="23" t="s">
        <v>99</v>
      </c>
      <c r="D635" s="24">
        <v>45246.963888888888</v>
      </c>
      <c r="E635" s="18" t="s">
        <v>96</v>
      </c>
      <c r="F635" s="18" t="s">
        <v>44</v>
      </c>
      <c r="G635" s="18">
        <v>6512</v>
      </c>
      <c r="H635" s="25">
        <f t="shared" si="36"/>
        <v>45246</v>
      </c>
      <c r="I635" s="26">
        <f t="shared" si="37"/>
        <v>0.96388888888759539</v>
      </c>
      <c r="J635" s="18" t="str">
        <f t="shared" si="38"/>
        <v>November</v>
      </c>
      <c r="K635" s="56" t="str">
        <f t="shared" si="39"/>
        <v>Thursday</v>
      </c>
      <c r="L635" s="18" t="str">
        <f>IF(OR(G635&gt;Answers!I650,G635&lt;Answers!I651),"Outlier","Normal")</f>
        <v>Outlier</v>
      </c>
      <c r="M635" s="18">
        <v>24</v>
      </c>
    </row>
    <row r="636" spans="1:13" ht="20" customHeight="1" x14ac:dyDescent="0.35">
      <c r="A636" s="17">
        <v>447917</v>
      </c>
      <c r="B636" s="18">
        <v>359</v>
      </c>
      <c r="C636" s="23" t="s">
        <v>100</v>
      </c>
      <c r="D636" s="24">
        <v>45003.990277777775</v>
      </c>
      <c r="E636" s="18" t="s">
        <v>98</v>
      </c>
      <c r="F636" s="18" t="s">
        <v>78</v>
      </c>
      <c r="G636" s="18">
        <v>9321</v>
      </c>
      <c r="H636" s="25">
        <f t="shared" si="36"/>
        <v>45003</v>
      </c>
      <c r="I636" s="26">
        <f t="shared" si="37"/>
        <v>0.99027777777519077</v>
      </c>
      <c r="J636" s="18" t="str">
        <f t="shared" si="38"/>
        <v>March</v>
      </c>
      <c r="K636" s="56" t="str">
        <f t="shared" si="39"/>
        <v>Saturday</v>
      </c>
      <c r="L636" s="18" t="str">
        <f>IF(OR(G636&gt;Answers!I651,G636&lt;Answers!I652),"Outlier","Normal")</f>
        <v>Outlier</v>
      </c>
      <c r="M636" s="18">
        <v>37</v>
      </c>
    </row>
    <row r="637" spans="1:13" ht="20" customHeight="1" x14ac:dyDescent="0.35">
      <c r="A637" s="17">
        <v>447970</v>
      </c>
      <c r="B637" s="18">
        <v>1464</v>
      </c>
      <c r="C637" s="23" t="s">
        <v>100</v>
      </c>
      <c r="D637" s="24">
        <v>45181.05</v>
      </c>
      <c r="E637" s="18" t="s">
        <v>96</v>
      </c>
      <c r="F637" s="18" t="s">
        <v>27</v>
      </c>
      <c r="G637" s="18">
        <v>2974</v>
      </c>
      <c r="H637" s="25">
        <f t="shared" si="36"/>
        <v>45181</v>
      </c>
      <c r="I637" s="26">
        <f t="shared" si="37"/>
        <v>5.0000000002910383E-2</v>
      </c>
      <c r="J637" s="18" t="str">
        <f t="shared" si="38"/>
        <v>September</v>
      </c>
      <c r="K637" s="56" t="str">
        <f t="shared" si="39"/>
        <v>Tuesday</v>
      </c>
      <c r="L637" s="18" t="str">
        <f>IF(OR(G637&gt;Answers!I652,G637&lt;Answers!I653),"Outlier","Normal")</f>
        <v>Outlier</v>
      </c>
      <c r="M637" s="18">
        <v>73</v>
      </c>
    </row>
    <row r="638" spans="1:13" ht="20" customHeight="1" x14ac:dyDescent="0.35">
      <c r="A638" s="17">
        <v>448027</v>
      </c>
      <c r="B638" s="18">
        <v>1046</v>
      </c>
      <c r="C638" s="23" t="s">
        <v>113</v>
      </c>
      <c r="D638" s="24">
        <v>45116.040277777778</v>
      </c>
      <c r="E638" s="18" t="s">
        <v>98</v>
      </c>
      <c r="F638" s="18" t="s">
        <v>59</v>
      </c>
      <c r="G638" s="18">
        <v>532</v>
      </c>
      <c r="H638" s="25">
        <f t="shared" si="36"/>
        <v>45116</v>
      </c>
      <c r="I638" s="26">
        <f t="shared" si="37"/>
        <v>4.0277777778101154E-2</v>
      </c>
      <c r="J638" s="18" t="str">
        <f t="shared" si="38"/>
        <v>July</v>
      </c>
      <c r="K638" s="56" t="str">
        <f t="shared" si="39"/>
        <v>Sunday</v>
      </c>
      <c r="L638" s="18" t="str">
        <f>IF(OR(G638&gt;Answers!I653,G638&lt;Answers!I654),"Outlier","Normal")</f>
        <v>Outlier</v>
      </c>
      <c r="M638" s="18">
        <v>52</v>
      </c>
    </row>
    <row r="639" spans="1:13" ht="20" customHeight="1" x14ac:dyDescent="0.35">
      <c r="A639" s="17">
        <v>448164</v>
      </c>
      <c r="B639" s="18">
        <v>1502</v>
      </c>
      <c r="C639" s="23" t="s">
        <v>105</v>
      </c>
      <c r="D639" s="24">
        <v>44961.065972222219</v>
      </c>
      <c r="E639" s="18" t="s">
        <v>96</v>
      </c>
      <c r="F639" s="18" t="s">
        <v>48</v>
      </c>
      <c r="G639" s="18">
        <v>3869</v>
      </c>
      <c r="H639" s="25">
        <f t="shared" si="36"/>
        <v>44961</v>
      </c>
      <c r="I639" s="26">
        <f t="shared" si="37"/>
        <v>6.5972222218988463E-2</v>
      </c>
      <c r="J639" s="18" t="str">
        <f t="shared" si="38"/>
        <v>February</v>
      </c>
      <c r="K639" s="56" t="str">
        <f t="shared" si="39"/>
        <v>Saturday</v>
      </c>
      <c r="L639" s="18" t="str">
        <f>IF(OR(G639&gt;Answers!I654,G639&lt;Answers!I655),"Outlier","Normal")</f>
        <v>Outlier</v>
      </c>
      <c r="M639" s="18">
        <v>33</v>
      </c>
    </row>
    <row r="640" spans="1:13" ht="20" customHeight="1" x14ac:dyDescent="0.35">
      <c r="A640" s="17">
        <v>448776</v>
      </c>
      <c r="B640" s="18">
        <v>1173</v>
      </c>
      <c r="C640" s="23" t="s">
        <v>99</v>
      </c>
      <c r="D640" s="24">
        <v>45273.004861111112</v>
      </c>
      <c r="E640" s="18" t="s">
        <v>133</v>
      </c>
      <c r="F640" s="18" t="s">
        <v>26</v>
      </c>
      <c r="G640" s="18">
        <v>4703</v>
      </c>
      <c r="H640" s="25">
        <f t="shared" si="36"/>
        <v>45273</v>
      </c>
      <c r="I640" s="26">
        <f t="shared" si="37"/>
        <v>4.8611111124046147E-3</v>
      </c>
      <c r="J640" s="18" t="str">
        <f t="shared" si="38"/>
        <v>December</v>
      </c>
      <c r="K640" s="56" t="str">
        <f t="shared" si="39"/>
        <v>Wednesday</v>
      </c>
      <c r="L640" s="18" t="str">
        <f>IF(OR(G640&gt;Answers!I655,G640&lt;Answers!I656),"Outlier","Normal")</f>
        <v>Outlier</v>
      </c>
      <c r="M640" s="18">
        <v>84</v>
      </c>
    </row>
    <row r="641" spans="1:13" ht="20" customHeight="1" x14ac:dyDescent="0.35">
      <c r="A641" s="17">
        <v>449457</v>
      </c>
      <c r="B641" s="18">
        <v>494</v>
      </c>
      <c r="C641" s="23" t="s">
        <v>100</v>
      </c>
      <c r="D641" s="24">
        <v>45232.048611111109</v>
      </c>
      <c r="E641" s="18" t="s">
        <v>97</v>
      </c>
      <c r="F641" s="18" t="s">
        <v>74</v>
      </c>
      <c r="G641" s="18">
        <v>3426</v>
      </c>
      <c r="H641" s="25">
        <f t="shared" si="36"/>
        <v>45232</v>
      </c>
      <c r="I641" s="26">
        <f t="shared" si="37"/>
        <v>4.8611111109494232E-2</v>
      </c>
      <c r="J641" s="18" t="str">
        <f t="shared" si="38"/>
        <v>November</v>
      </c>
      <c r="K641" s="56" t="str">
        <f t="shared" si="39"/>
        <v>Thursday</v>
      </c>
      <c r="L641" s="18" t="str">
        <f>IF(OR(G641&gt;Answers!I656,G641&lt;Answers!I657),"Outlier","Normal")</f>
        <v>Outlier</v>
      </c>
      <c r="M641" s="18">
        <v>19</v>
      </c>
    </row>
    <row r="642" spans="1:13" ht="20" customHeight="1" x14ac:dyDescent="0.35">
      <c r="A642" s="17">
        <v>451541</v>
      </c>
      <c r="B642" s="18">
        <v>116</v>
      </c>
      <c r="C642" s="23" t="s">
        <v>108</v>
      </c>
      <c r="D642" s="24">
        <v>45106.063194444447</v>
      </c>
      <c r="E642" s="18" t="s">
        <v>98</v>
      </c>
      <c r="F642" s="18" t="s">
        <v>88</v>
      </c>
      <c r="G642" s="18">
        <v>2490</v>
      </c>
      <c r="H642" s="25">
        <f t="shared" si="36"/>
        <v>45106</v>
      </c>
      <c r="I642" s="26">
        <f t="shared" si="37"/>
        <v>6.3194444446708076E-2</v>
      </c>
      <c r="J642" s="18" t="str">
        <f t="shared" si="38"/>
        <v>June</v>
      </c>
      <c r="K642" s="56" t="str">
        <f t="shared" si="39"/>
        <v>Thursday</v>
      </c>
      <c r="L642" s="18" t="str">
        <f>IF(OR(G642&gt;Answers!I657,G642&lt;Answers!I658),"Outlier","Normal")</f>
        <v>Outlier</v>
      </c>
      <c r="M642" s="18">
        <v>88</v>
      </c>
    </row>
    <row r="643" spans="1:13" ht="20" customHeight="1" x14ac:dyDescent="0.35">
      <c r="A643" s="17">
        <v>451694</v>
      </c>
      <c r="B643" s="18">
        <v>1031</v>
      </c>
      <c r="C643" s="23" t="s">
        <v>101</v>
      </c>
      <c r="D643" s="24">
        <v>45073.981944444444</v>
      </c>
      <c r="E643" s="18" t="s">
        <v>133</v>
      </c>
      <c r="F643" s="18" t="s">
        <v>73</v>
      </c>
      <c r="G643" s="18">
        <v>3713</v>
      </c>
      <c r="H643" s="25">
        <f t="shared" ref="H643:H706" si="40">INT(D643)</f>
        <v>45073</v>
      </c>
      <c r="I643" s="26">
        <f t="shared" ref="I643:I706" si="41">MOD(D643,1)</f>
        <v>0.98194444444379769</v>
      </c>
      <c r="J643" s="18" t="str">
        <f t="shared" ref="J643:J706" si="42">TEXT(D643,"mmmm")</f>
        <v>May</v>
      </c>
      <c r="K643" s="56" t="str">
        <f t="shared" ref="K643:K706" si="43">TEXT(D643,"dddd")</f>
        <v>Saturday</v>
      </c>
      <c r="L643" s="18" t="str">
        <f>IF(OR(G643&gt;Answers!I658,G643&lt;Answers!I659),"Outlier","Normal")</f>
        <v>Outlier</v>
      </c>
      <c r="M643" s="18">
        <v>40</v>
      </c>
    </row>
    <row r="644" spans="1:13" ht="20" customHeight="1" x14ac:dyDescent="0.35">
      <c r="A644" s="17">
        <v>452070</v>
      </c>
      <c r="B644" s="18">
        <v>1693</v>
      </c>
      <c r="C644" s="23" t="s">
        <v>100</v>
      </c>
      <c r="D644" s="24">
        <v>45052.015277777777</v>
      </c>
      <c r="E644" s="18" t="s">
        <v>96</v>
      </c>
      <c r="F644" s="18" t="s">
        <v>89</v>
      </c>
      <c r="G644" s="18">
        <v>9332</v>
      </c>
      <c r="H644" s="25">
        <f t="shared" si="40"/>
        <v>45052</v>
      </c>
      <c r="I644" s="26">
        <f t="shared" si="41"/>
        <v>1.5277777776645962E-2</v>
      </c>
      <c r="J644" s="18" t="str">
        <f t="shared" si="42"/>
        <v>May</v>
      </c>
      <c r="K644" s="56" t="str">
        <f t="shared" si="43"/>
        <v>Saturday</v>
      </c>
      <c r="L644" s="18" t="str">
        <f>IF(OR(G644&gt;Answers!I659,G644&lt;Answers!I660),"Outlier","Normal")</f>
        <v>Outlier</v>
      </c>
      <c r="M644" s="18">
        <v>63</v>
      </c>
    </row>
    <row r="645" spans="1:13" ht="20" customHeight="1" x14ac:dyDescent="0.35">
      <c r="A645" s="17">
        <v>452684</v>
      </c>
      <c r="B645" s="18">
        <v>374</v>
      </c>
      <c r="C645" s="23" t="s">
        <v>108</v>
      </c>
      <c r="D645" s="24">
        <v>45146.081944444442</v>
      </c>
      <c r="E645" s="18" t="s">
        <v>98</v>
      </c>
      <c r="F645" s="18" t="s">
        <v>72</v>
      </c>
      <c r="G645" s="18">
        <v>9309</v>
      </c>
      <c r="H645" s="25">
        <f t="shared" si="40"/>
        <v>45146</v>
      </c>
      <c r="I645" s="26">
        <f t="shared" si="41"/>
        <v>8.1944444442342501E-2</v>
      </c>
      <c r="J645" s="18" t="str">
        <f t="shared" si="42"/>
        <v>August</v>
      </c>
      <c r="K645" s="56" t="str">
        <f t="shared" si="43"/>
        <v>Tuesday</v>
      </c>
      <c r="L645" s="18" t="str">
        <f>IF(OR(G645&gt;Answers!I660,G645&lt;Answers!I661),"Outlier","Normal")</f>
        <v>Outlier</v>
      </c>
      <c r="M645" s="18">
        <v>71</v>
      </c>
    </row>
    <row r="646" spans="1:13" ht="20" customHeight="1" x14ac:dyDescent="0.35">
      <c r="A646" s="17">
        <v>453466</v>
      </c>
      <c r="B646" s="18">
        <v>637</v>
      </c>
      <c r="C646" s="23" t="s">
        <v>99</v>
      </c>
      <c r="D646" s="24">
        <v>44996.057638888888</v>
      </c>
      <c r="E646" s="18" t="s">
        <v>96</v>
      </c>
      <c r="F646" s="18" t="s">
        <v>25</v>
      </c>
      <c r="G646" s="18">
        <v>6625</v>
      </c>
      <c r="H646" s="25">
        <f t="shared" si="40"/>
        <v>44996</v>
      </c>
      <c r="I646" s="26">
        <f t="shared" si="41"/>
        <v>5.7638888887595385E-2</v>
      </c>
      <c r="J646" s="18" t="str">
        <f t="shared" si="42"/>
        <v>March</v>
      </c>
      <c r="K646" s="56" t="str">
        <f t="shared" si="43"/>
        <v>Saturday</v>
      </c>
      <c r="L646" s="18" t="str">
        <f>IF(OR(G646&gt;Answers!I661,G646&lt;Answers!I662),"Outlier","Normal")</f>
        <v>Outlier</v>
      </c>
      <c r="M646" s="18">
        <v>38</v>
      </c>
    </row>
    <row r="647" spans="1:13" ht="20" customHeight="1" x14ac:dyDescent="0.35">
      <c r="A647" s="17">
        <v>453732</v>
      </c>
      <c r="B647" s="18">
        <v>1623</v>
      </c>
      <c r="C647" s="23" t="s">
        <v>105</v>
      </c>
      <c r="D647" s="24">
        <v>45091.964583333334</v>
      </c>
      <c r="E647" s="18" t="s">
        <v>97</v>
      </c>
      <c r="F647" s="18" t="s">
        <v>49</v>
      </c>
      <c r="G647" s="18">
        <v>8537</v>
      </c>
      <c r="H647" s="25">
        <f t="shared" si="40"/>
        <v>45091</v>
      </c>
      <c r="I647" s="26">
        <f t="shared" si="41"/>
        <v>0.96458333333430346</v>
      </c>
      <c r="J647" s="18" t="str">
        <f t="shared" si="42"/>
        <v>June</v>
      </c>
      <c r="K647" s="56" t="str">
        <f t="shared" si="43"/>
        <v>Wednesday</v>
      </c>
      <c r="L647" s="18" t="str">
        <f>IF(OR(G647&gt;Answers!I662,G647&lt;Answers!I663),"Outlier","Normal")</f>
        <v>Outlier</v>
      </c>
      <c r="M647" s="18">
        <v>46</v>
      </c>
    </row>
    <row r="648" spans="1:13" ht="20" customHeight="1" x14ac:dyDescent="0.35">
      <c r="A648" s="17">
        <v>454137</v>
      </c>
      <c r="B648" s="18">
        <v>1687</v>
      </c>
      <c r="C648" s="23" t="s">
        <v>101</v>
      </c>
      <c r="D648" s="24">
        <v>44941.013888888891</v>
      </c>
      <c r="E648" s="18" t="s">
        <v>133</v>
      </c>
      <c r="F648" s="18" t="s">
        <v>14</v>
      </c>
      <c r="G648" s="18">
        <v>2431</v>
      </c>
      <c r="H648" s="25">
        <f t="shared" si="40"/>
        <v>44941</v>
      </c>
      <c r="I648" s="26">
        <f t="shared" si="41"/>
        <v>1.3888888890505768E-2</v>
      </c>
      <c r="J648" s="18" t="str">
        <f t="shared" si="42"/>
        <v>January</v>
      </c>
      <c r="K648" s="56" t="str">
        <f t="shared" si="43"/>
        <v>Sunday</v>
      </c>
      <c r="L648" s="18" t="str">
        <f>IF(OR(G648&gt;Answers!I663,G648&lt;Answers!I664),"Outlier","Normal")</f>
        <v>Outlier</v>
      </c>
      <c r="M648" s="18">
        <v>38</v>
      </c>
    </row>
    <row r="649" spans="1:13" ht="20" customHeight="1" x14ac:dyDescent="0.35">
      <c r="A649" s="17">
        <v>455153</v>
      </c>
      <c r="B649" s="18">
        <v>1431</v>
      </c>
      <c r="C649" s="23" t="s">
        <v>99</v>
      </c>
      <c r="D649" s="24">
        <v>45072.025694444441</v>
      </c>
      <c r="E649" s="18" t="s">
        <v>133</v>
      </c>
      <c r="F649" s="18" t="s">
        <v>6</v>
      </c>
      <c r="G649" s="18">
        <v>4088</v>
      </c>
      <c r="H649" s="25">
        <f t="shared" si="40"/>
        <v>45072</v>
      </c>
      <c r="I649" s="26">
        <f t="shared" si="41"/>
        <v>2.569444444088731E-2</v>
      </c>
      <c r="J649" s="18" t="str">
        <f t="shared" si="42"/>
        <v>May</v>
      </c>
      <c r="K649" s="56" t="str">
        <f t="shared" si="43"/>
        <v>Friday</v>
      </c>
      <c r="L649" s="18" t="str">
        <f>IF(OR(G649&gt;Answers!I664,G649&lt;Answers!I665),"Outlier","Normal")</f>
        <v>Outlier</v>
      </c>
      <c r="M649" s="18">
        <v>63</v>
      </c>
    </row>
    <row r="650" spans="1:13" ht="20" customHeight="1" x14ac:dyDescent="0.35">
      <c r="A650" s="17">
        <v>456612</v>
      </c>
      <c r="B650" s="18">
        <v>1240</v>
      </c>
      <c r="C650" s="23" t="s">
        <v>109</v>
      </c>
      <c r="D650" s="24">
        <v>44985.022916666669</v>
      </c>
      <c r="E650" s="18" t="s">
        <v>133</v>
      </c>
      <c r="F650" s="18" t="s">
        <v>94</v>
      </c>
      <c r="G650" s="18">
        <v>1900</v>
      </c>
      <c r="H650" s="25">
        <f t="shared" si="40"/>
        <v>44985</v>
      </c>
      <c r="I650" s="26">
        <f t="shared" si="41"/>
        <v>2.2916666668606922E-2</v>
      </c>
      <c r="J650" s="18" t="str">
        <f t="shared" si="42"/>
        <v>February</v>
      </c>
      <c r="K650" s="56" t="str">
        <f t="shared" si="43"/>
        <v>Tuesday</v>
      </c>
      <c r="L650" s="18" t="str">
        <f>IF(OR(G650&gt;Answers!I665,G650&lt;Answers!I666),"Outlier","Normal")</f>
        <v>Outlier</v>
      </c>
      <c r="M650" s="18">
        <v>24</v>
      </c>
    </row>
    <row r="651" spans="1:13" ht="20" customHeight="1" x14ac:dyDescent="0.35">
      <c r="A651" s="17">
        <v>457087</v>
      </c>
      <c r="B651" s="18">
        <v>66</v>
      </c>
      <c r="C651" s="23" t="s">
        <v>101</v>
      </c>
      <c r="D651" s="24">
        <v>44979.970833333333</v>
      </c>
      <c r="E651" s="18" t="s">
        <v>98</v>
      </c>
      <c r="F651" s="18" t="s">
        <v>20</v>
      </c>
      <c r="G651" s="18">
        <v>1838</v>
      </c>
      <c r="H651" s="25">
        <f t="shared" si="40"/>
        <v>44979</v>
      </c>
      <c r="I651" s="26">
        <f t="shared" si="41"/>
        <v>0.97083333333284827</v>
      </c>
      <c r="J651" s="18" t="str">
        <f t="shared" si="42"/>
        <v>February</v>
      </c>
      <c r="K651" s="56" t="str">
        <f t="shared" si="43"/>
        <v>Wednesday</v>
      </c>
      <c r="L651" s="18" t="str">
        <f>IF(OR(G651&gt;Answers!I666,G651&lt;Answers!I667),"Outlier","Normal")</f>
        <v>Outlier</v>
      </c>
      <c r="M651" s="18">
        <v>30</v>
      </c>
    </row>
    <row r="652" spans="1:13" ht="20" customHeight="1" x14ac:dyDescent="0.35">
      <c r="A652" s="17">
        <v>457874</v>
      </c>
      <c r="B652" s="18">
        <v>1467</v>
      </c>
      <c r="C652" s="23" t="s">
        <v>99</v>
      </c>
      <c r="D652" s="24">
        <v>44973.044444444444</v>
      </c>
      <c r="E652" s="18" t="s">
        <v>133</v>
      </c>
      <c r="F652" s="18" t="s">
        <v>43</v>
      </c>
      <c r="G652" s="18">
        <v>3337</v>
      </c>
      <c r="H652" s="25">
        <f t="shared" si="40"/>
        <v>44973</v>
      </c>
      <c r="I652" s="26">
        <f t="shared" si="41"/>
        <v>4.4444444443797693E-2</v>
      </c>
      <c r="J652" s="18" t="str">
        <f t="shared" si="42"/>
        <v>February</v>
      </c>
      <c r="K652" s="56" t="str">
        <f t="shared" si="43"/>
        <v>Thursday</v>
      </c>
      <c r="L652" s="18" t="str">
        <f>IF(OR(G652&gt;Answers!I667,G652&lt;Answers!I668),"Outlier","Normal")</f>
        <v>Outlier</v>
      </c>
      <c r="M652" s="18">
        <v>18</v>
      </c>
    </row>
    <row r="653" spans="1:13" ht="20" customHeight="1" x14ac:dyDescent="0.35">
      <c r="A653" s="17">
        <v>457958</v>
      </c>
      <c r="B653" s="18">
        <v>690</v>
      </c>
      <c r="C653" s="23" t="s">
        <v>109</v>
      </c>
      <c r="D653" s="24">
        <v>44929.030555555553</v>
      </c>
      <c r="E653" s="18" t="s">
        <v>96</v>
      </c>
      <c r="F653" s="18" t="s">
        <v>52</v>
      </c>
      <c r="G653" s="18">
        <v>2923</v>
      </c>
      <c r="H653" s="25">
        <f t="shared" si="40"/>
        <v>44929</v>
      </c>
      <c r="I653" s="26">
        <f t="shared" si="41"/>
        <v>3.0555555553291924E-2</v>
      </c>
      <c r="J653" s="18" t="str">
        <f t="shared" si="42"/>
        <v>January</v>
      </c>
      <c r="K653" s="56" t="str">
        <f t="shared" si="43"/>
        <v>Tuesday</v>
      </c>
      <c r="L653" s="18" t="str">
        <f>IF(OR(G653&gt;Answers!I668,G653&lt;Answers!I669),"Outlier","Normal")</f>
        <v>Outlier</v>
      </c>
      <c r="M653" s="18">
        <v>37</v>
      </c>
    </row>
    <row r="654" spans="1:13" ht="20" customHeight="1" x14ac:dyDescent="0.35">
      <c r="A654" s="17">
        <v>458560</v>
      </c>
      <c r="B654" s="18">
        <v>210</v>
      </c>
      <c r="C654" s="23" t="s">
        <v>99</v>
      </c>
      <c r="D654" s="24">
        <v>45169</v>
      </c>
      <c r="E654" s="18" t="s">
        <v>96</v>
      </c>
      <c r="F654" s="18" t="s">
        <v>23</v>
      </c>
      <c r="G654" s="18">
        <v>9234</v>
      </c>
      <c r="H654" s="25">
        <f t="shared" si="40"/>
        <v>45169</v>
      </c>
      <c r="I654" s="26">
        <f t="shared" si="41"/>
        <v>0</v>
      </c>
      <c r="J654" s="18" t="str">
        <f t="shared" si="42"/>
        <v>August</v>
      </c>
      <c r="K654" s="56" t="str">
        <f t="shared" si="43"/>
        <v>Thursday</v>
      </c>
      <c r="L654" s="18" t="str">
        <f>IF(OR(G654&gt;Answers!I669,G654&lt;Answers!I670),"Outlier","Normal")</f>
        <v>Outlier</v>
      </c>
      <c r="M654" s="18">
        <v>59</v>
      </c>
    </row>
    <row r="655" spans="1:13" ht="20" customHeight="1" x14ac:dyDescent="0.35">
      <c r="A655" s="17">
        <v>459426</v>
      </c>
      <c r="B655" s="18">
        <v>1783</v>
      </c>
      <c r="C655" s="23" t="s">
        <v>99</v>
      </c>
      <c r="D655" s="24">
        <v>45234.040277777778</v>
      </c>
      <c r="E655" s="18" t="s">
        <v>96</v>
      </c>
      <c r="F655" s="18" t="s">
        <v>27</v>
      </c>
      <c r="G655" s="18">
        <v>936</v>
      </c>
      <c r="H655" s="25">
        <f t="shared" si="40"/>
        <v>45234</v>
      </c>
      <c r="I655" s="26">
        <f t="shared" si="41"/>
        <v>4.0277777778101154E-2</v>
      </c>
      <c r="J655" s="18" t="str">
        <f t="shared" si="42"/>
        <v>November</v>
      </c>
      <c r="K655" s="56" t="str">
        <f t="shared" si="43"/>
        <v>Saturday</v>
      </c>
      <c r="L655" s="18" t="str">
        <f>IF(OR(G655&gt;Answers!I670,G655&lt;Answers!I671),"Outlier","Normal")</f>
        <v>Outlier</v>
      </c>
      <c r="M655" s="18">
        <v>27</v>
      </c>
    </row>
    <row r="656" spans="1:13" ht="20" customHeight="1" x14ac:dyDescent="0.35">
      <c r="A656" s="17">
        <v>461110</v>
      </c>
      <c r="B656" s="18">
        <v>1549</v>
      </c>
      <c r="C656" s="23" t="s">
        <v>99</v>
      </c>
      <c r="D656" s="24">
        <v>45146.089583333334</v>
      </c>
      <c r="E656" s="18" t="s">
        <v>96</v>
      </c>
      <c r="F656" s="18" t="s">
        <v>31</v>
      </c>
      <c r="G656" s="18">
        <v>4341</v>
      </c>
      <c r="H656" s="25">
        <f t="shared" si="40"/>
        <v>45146</v>
      </c>
      <c r="I656" s="26">
        <f t="shared" si="41"/>
        <v>8.9583333334303461E-2</v>
      </c>
      <c r="J656" s="18" t="str">
        <f t="shared" si="42"/>
        <v>August</v>
      </c>
      <c r="K656" s="56" t="str">
        <f t="shared" si="43"/>
        <v>Tuesday</v>
      </c>
      <c r="L656" s="18" t="str">
        <f>IF(OR(G656&gt;Answers!I671,G656&lt;Answers!I672),"Outlier","Normal")</f>
        <v>Outlier</v>
      </c>
      <c r="M656" s="18">
        <v>70</v>
      </c>
    </row>
    <row r="657" spans="1:13" ht="20" customHeight="1" x14ac:dyDescent="0.35">
      <c r="A657" s="17">
        <v>461537</v>
      </c>
      <c r="B657" s="18">
        <v>1833</v>
      </c>
      <c r="C657" s="23" t="s">
        <v>106</v>
      </c>
      <c r="D657" s="24">
        <v>44974.072222222225</v>
      </c>
      <c r="E657" s="18" t="s">
        <v>133</v>
      </c>
      <c r="F657" s="18" t="s">
        <v>78</v>
      </c>
      <c r="G657" s="18">
        <v>8344</v>
      </c>
      <c r="H657" s="25">
        <f t="shared" si="40"/>
        <v>44974</v>
      </c>
      <c r="I657" s="26">
        <f t="shared" si="41"/>
        <v>7.2222222224809229E-2</v>
      </c>
      <c r="J657" s="18" t="str">
        <f t="shared" si="42"/>
        <v>February</v>
      </c>
      <c r="K657" s="56" t="str">
        <f t="shared" si="43"/>
        <v>Friday</v>
      </c>
      <c r="L657" s="18" t="str">
        <f>IF(OR(G657&gt;Answers!I672,G657&lt;Answers!I673),"Outlier","Normal")</f>
        <v>Outlier</v>
      </c>
      <c r="M657" s="18">
        <v>29</v>
      </c>
    </row>
    <row r="658" spans="1:13" ht="20" customHeight="1" x14ac:dyDescent="0.35">
      <c r="A658" s="17">
        <v>461731</v>
      </c>
      <c r="B658" s="18">
        <v>685</v>
      </c>
      <c r="C658" s="23" t="s">
        <v>101</v>
      </c>
      <c r="D658" s="24">
        <v>45239.068749999999</v>
      </c>
      <c r="E658" s="18" t="s">
        <v>98</v>
      </c>
      <c r="F658" s="18" t="s">
        <v>77</v>
      </c>
      <c r="G658" s="18">
        <v>5092</v>
      </c>
      <c r="H658" s="25">
        <f t="shared" si="40"/>
        <v>45239</v>
      </c>
      <c r="I658" s="26">
        <f t="shared" si="41"/>
        <v>6.8749999998544808E-2</v>
      </c>
      <c r="J658" s="18" t="str">
        <f t="shared" si="42"/>
        <v>November</v>
      </c>
      <c r="K658" s="56" t="str">
        <f t="shared" si="43"/>
        <v>Thursday</v>
      </c>
      <c r="L658" s="18" t="str">
        <f>IF(OR(G658&gt;Answers!I673,G658&lt;Answers!I674),"Outlier","Normal")</f>
        <v>Outlier</v>
      </c>
      <c r="M658" s="18">
        <v>50</v>
      </c>
    </row>
    <row r="659" spans="1:13" ht="20" customHeight="1" x14ac:dyDescent="0.35">
      <c r="A659" s="17">
        <v>462593</v>
      </c>
      <c r="B659" s="18">
        <v>1971</v>
      </c>
      <c r="C659" s="23" t="s">
        <v>105</v>
      </c>
      <c r="D659" s="24">
        <v>45143.061805555553</v>
      </c>
      <c r="E659" s="18" t="s">
        <v>97</v>
      </c>
      <c r="F659" s="18" t="s">
        <v>64</v>
      </c>
      <c r="G659" s="18">
        <v>5397</v>
      </c>
      <c r="H659" s="25">
        <f t="shared" si="40"/>
        <v>45143</v>
      </c>
      <c r="I659" s="26">
        <f t="shared" si="41"/>
        <v>6.1805555553291924E-2</v>
      </c>
      <c r="J659" s="18" t="str">
        <f t="shared" si="42"/>
        <v>August</v>
      </c>
      <c r="K659" s="56" t="str">
        <f t="shared" si="43"/>
        <v>Saturday</v>
      </c>
      <c r="L659" s="18" t="str">
        <f>IF(OR(G659&gt;Answers!I674,G659&lt;Answers!I675),"Outlier","Normal")</f>
        <v>Outlier</v>
      </c>
      <c r="M659" s="18">
        <v>44</v>
      </c>
    </row>
    <row r="660" spans="1:13" ht="20" customHeight="1" x14ac:dyDescent="0.35">
      <c r="A660" s="17">
        <v>463922</v>
      </c>
      <c r="B660" s="18">
        <v>172</v>
      </c>
      <c r="C660" s="23" t="s">
        <v>99</v>
      </c>
      <c r="D660" s="24">
        <v>45192.045138888891</v>
      </c>
      <c r="E660" s="18" t="s">
        <v>98</v>
      </c>
      <c r="F660" s="18" t="s">
        <v>30</v>
      </c>
      <c r="G660" s="18">
        <v>484</v>
      </c>
      <c r="H660" s="25">
        <f t="shared" si="40"/>
        <v>45192</v>
      </c>
      <c r="I660" s="26">
        <f t="shared" si="41"/>
        <v>4.5138888890505768E-2</v>
      </c>
      <c r="J660" s="18" t="str">
        <f t="shared" si="42"/>
        <v>September</v>
      </c>
      <c r="K660" s="56" t="str">
        <f t="shared" si="43"/>
        <v>Saturday</v>
      </c>
      <c r="L660" s="18" t="str">
        <f>IF(OR(G660&gt;Answers!I675,G660&lt;Answers!I676),"Outlier","Normal")</f>
        <v>Outlier</v>
      </c>
      <c r="M660" s="18">
        <v>36</v>
      </c>
    </row>
    <row r="661" spans="1:13" ht="20" customHeight="1" x14ac:dyDescent="0.35">
      <c r="A661" s="17">
        <v>464531</v>
      </c>
      <c r="B661" s="18">
        <v>1153</v>
      </c>
      <c r="C661" s="23" t="s">
        <v>107</v>
      </c>
      <c r="D661" s="24">
        <v>44971.020833333336</v>
      </c>
      <c r="E661" s="18" t="s">
        <v>96</v>
      </c>
      <c r="F661" s="18" t="s">
        <v>74</v>
      </c>
      <c r="G661" s="18">
        <v>4951</v>
      </c>
      <c r="H661" s="25">
        <f t="shared" si="40"/>
        <v>44971</v>
      </c>
      <c r="I661" s="26">
        <f t="shared" si="41"/>
        <v>2.0833333335758653E-2</v>
      </c>
      <c r="J661" s="18" t="str">
        <f t="shared" si="42"/>
        <v>February</v>
      </c>
      <c r="K661" s="56" t="str">
        <f t="shared" si="43"/>
        <v>Tuesday</v>
      </c>
      <c r="L661" s="18" t="str">
        <f>IF(OR(G661&gt;Answers!I676,G661&lt;Answers!I677),"Outlier","Normal")</f>
        <v>Outlier</v>
      </c>
      <c r="M661" s="18">
        <v>39</v>
      </c>
    </row>
    <row r="662" spans="1:13" ht="20" customHeight="1" x14ac:dyDescent="0.35">
      <c r="A662" s="17">
        <v>464722</v>
      </c>
      <c r="B662" s="18">
        <v>1215</v>
      </c>
      <c r="C662" s="23" t="s">
        <v>99</v>
      </c>
      <c r="D662" s="24">
        <v>44929.042361111111</v>
      </c>
      <c r="E662" s="18" t="s">
        <v>133</v>
      </c>
      <c r="F662" s="18" t="s">
        <v>85</v>
      </c>
      <c r="G662" s="18">
        <v>7137</v>
      </c>
      <c r="H662" s="25">
        <f t="shared" si="40"/>
        <v>44929</v>
      </c>
      <c r="I662" s="26">
        <f t="shared" si="41"/>
        <v>4.2361111110949423E-2</v>
      </c>
      <c r="J662" s="18" t="str">
        <f t="shared" si="42"/>
        <v>January</v>
      </c>
      <c r="K662" s="56" t="str">
        <f t="shared" si="43"/>
        <v>Tuesday</v>
      </c>
      <c r="L662" s="18" t="str">
        <f>IF(OR(G662&gt;Answers!I677,G662&lt;Answers!I678),"Outlier","Normal")</f>
        <v>Outlier</v>
      </c>
      <c r="M662" s="18">
        <v>33</v>
      </c>
    </row>
    <row r="663" spans="1:13" ht="20" customHeight="1" x14ac:dyDescent="0.35">
      <c r="A663" s="17">
        <v>464859</v>
      </c>
      <c r="B663" s="18">
        <v>683</v>
      </c>
      <c r="C663" s="23" t="s">
        <v>101</v>
      </c>
      <c r="D663" s="24">
        <v>44940.984722222223</v>
      </c>
      <c r="E663" s="18" t="s">
        <v>96</v>
      </c>
      <c r="F663" s="18" t="s">
        <v>51</v>
      </c>
      <c r="G663" s="18">
        <v>6431</v>
      </c>
      <c r="H663" s="25">
        <f t="shared" si="40"/>
        <v>44940</v>
      </c>
      <c r="I663" s="26">
        <f t="shared" si="41"/>
        <v>0.98472222222335404</v>
      </c>
      <c r="J663" s="18" t="str">
        <f t="shared" si="42"/>
        <v>January</v>
      </c>
      <c r="K663" s="56" t="str">
        <f t="shared" si="43"/>
        <v>Saturday</v>
      </c>
      <c r="L663" s="18" t="str">
        <f>IF(OR(G663&gt;Answers!I678,G663&lt;Answers!I679),"Outlier","Normal")</f>
        <v>Outlier</v>
      </c>
      <c r="M663" s="18">
        <v>47</v>
      </c>
    </row>
    <row r="664" spans="1:13" ht="20" customHeight="1" x14ac:dyDescent="0.35">
      <c r="A664" s="17">
        <v>466869</v>
      </c>
      <c r="B664" s="18">
        <v>1984</v>
      </c>
      <c r="C664" s="23" t="s">
        <v>101</v>
      </c>
      <c r="D664" s="24">
        <v>44971.597222222219</v>
      </c>
      <c r="E664" s="18" t="s">
        <v>96</v>
      </c>
      <c r="F664" s="18" t="s">
        <v>68</v>
      </c>
      <c r="G664" s="18">
        <v>660</v>
      </c>
      <c r="H664" s="25">
        <f t="shared" si="40"/>
        <v>44971</v>
      </c>
      <c r="I664" s="26">
        <f t="shared" si="41"/>
        <v>0.59722222221898846</v>
      </c>
      <c r="J664" s="18" t="str">
        <f t="shared" si="42"/>
        <v>February</v>
      </c>
      <c r="K664" s="56" t="str">
        <f t="shared" si="43"/>
        <v>Tuesday</v>
      </c>
      <c r="L664" s="18" t="str">
        <f>IF(OR(G664&gt;Answers!I679,G664&lt;Answers!I680),"Outlier","Normal")</f>
        <v>Outlier</v>
      </c>
      <c r="M664" s="18">
        <v>45</v>
      </c>
    </row>
    <row r="665" spans="1:13" ht="20" customHeight="1" x14ac:dyDescent="0.35">
      <c r="A665" s="17">
        <v>467965</v>
      </c>
      <c r="B665" s="18">
        <v>550</v>
      </c>
      <c r="C665" s="23" t="s">
        <v>99</v>
      </c>
      <c r="D665" s="24">
        <v>45201.988194444442</v>
      </c>
      <c r="E665" s="18" t="s">
        <v>133</v>
      </c>
      <c r="F665" s="18" t="s">
        <v>86</v>
      </c>
      <c r="G665" s="18">
        <v>8296</v>
      </c>
      <c r="H665" s="25">
        <f t="shared" si="40"/>
        <v>45201</v>
      </c>
      <c r="I665" s="26">
        <f t="shared" si="41"/>
        <v>0.9881944444423425</v>
      </c>
      <c r="J665" s="18" t="str">
        <f t="shared" si="42"/>
        <v>October</v>
      </c>
      <c r="K665" s="56" t="str">
        <f t="shared" si="43"/>
        <v>Monday</v>
      </c>
      <c r="L665" s="18" t="str">
        <f>IF(OR(G665&gt;Answers!I680,G665&lt;Answers!I681),"Outlier","Normal")</f>
        <v>Outlier</v>
      </c>
      <c r="M665" s="18">
        <v>31</v>
      </c>
    </row>
    <row r="666" spans="1:13" ht="20" customHeight="1" x14ac:dyDescent="0.35">
      <c r="A666" s="17">
        <v>468652</v>
      </c>
      <c r="B666" s="18">
        <v>106</v>
      </c>
      <c r="C666" s="23" t="s">
        <v>101</v>
      </c>
      <c r="D666" s="24">
        <v>45108.018750000003</v>
      </c>
      <c r="E666" s="18" t="s">
        <v>133</v>
      </c>
      <c r="F666" s="18" t="s">
        <v>76</v>
      </c>
      <c r="G666" s="18">
        <v>1982</v>
      </c>
      <c r="H666" s="25">
        <f t="shared" si="40"/>
        <v>45108</v>
      </c>
      <c r="I666" s="26">
        <f t="shared" si="41"/>
        <v>1.8750000002910383E-2</v>
      </c>
      <c r="J666" s="18" t="str">
        <f t="shared" si="42"/>
        <v>July</v>
      </c>
      <c r="K666" s="56" t="str">
        <f t="shared" si="43"/>
        <v>Saturday</v>
      </c>
      <c r="L666" s="18" t="str">
        <f>IF(OR(G666&gt;Answers!I681,G666&lt;Answers!I682),"Outlier","Normal")</f>
        <v>Outlier</v>
      </c>
      <c r="M666" s="18">
        <v>40</v>
      </c>
    </row>
    <row r="667" spans="1:13" ht="20" customHeight="1" x14ac:dyDescent="0.35">
      <c r="A667" s="17">
        <v>471520</v>
      </c>
      <c r="B667" s="18">
        <v>188</v>
      </c>
      <c r="C667" s="23" t="s">
        <v>113</v>
      </c>
      <c r="D667" s="24">
        <v>45182.027083333334</v>
      </c>
      <c r="E667" s="18" t="s">
        <v>98</v>
      </c>
      <c r="F667" s="18" t="s">
        <v>27</v>
      </c>
      <c r="G667" s="18">
        <v>8652</v>
      </c>
      <c r="H667" s="25">
        <f t="shared" si="40"/>
        <v>45182</v>
      </c>
      <c r="I667" s="26">
        <f t="shared" si="41"/>
        <v>2.7083333334303461E-2</v>
      </c>
      <c r="J667" s="18" t="str">
        <f t="shared" si="42"/>
        <v>September</v>
      </c>
      <c r="K667" s="56" t="str">
        <f t="shared" si="43"/>
        <v>Wednesday</v>
      </c>
      <c r="L667" s="18" t="str">
        <f>IF(OR(G667&gt;Answers!I682,G667&lt;Answers!I683),"Outlier","Normal")</f>
        <v>Outlier</v>
      </c>
      <c r="M667" s="18">
        <v>72</v>
      </c>
    </row>
    <row r="668" spans="1:13" ht="20" customHeight="1" x14ac:dyDescent="0.35">
      <c r="A668" s="17">
        <v>471691</v>
      </c>
      <c r="B668" s="18">
        <v>1279</v>
      </c>
      <c r="C668" s="23" t="s">
        <v>99</v>
      </c>
      <c r="D668" s="24">
        <v>45026.072916666664</v>
      </c>
      <c r="E668" s="18" t="s">
        <v>98</v>
      </c>
      <c r="F668" s="18" t="s">
        <v>69</v>
      </c>
      <c r="G668" s="18">
        <v>1314</v>
      </c>
      <c r="H668" s="25">
        <f t="shared" si="40"/>
        <v>45026</v>
      </c>
      <c r="I668" s="26">
        <f t="shared" si="41"/>
        <v>7.2916666664241347E-2</v>
      </c>
      <c r="J668" s="18" t="str">
        <f t="shared" si="42"/>
        <v>April</v>
      </c>
      <c r="K668" s="56" t="str">
        <f t="shared" si="43"/>
        <v>Monday</v>
      </c>
      <c r="L668" s="18" t="str">
        <f>IF(OR(G668&gt;Answers!I683,G668&lt;Answers!I684),"Outlier","Normal")</f>
        <v>Outlier</v>
      </c>
      <c r="M668" s="18">
        <v>52</v>
      </c>
    </row>
    <row r="669" spans="1:13" ht="20" customHeight="1" x14ac:dyDescent="0.35">
      <c r="A669" s="17">
        <v>471801</v>
      </c>
      <c r="B669" s="18">
        <v>878</v>
      </c>
      <c r="C669" s="23" t="s">
        <v>113</v>
      </c>
      <c r="D669" s="24">
        <v>44945.05972222222</v>
      </c>
      <c r="E669" s="18" t="s">
        <v>98</v>
      </c>
      <c r="F669" s="18" t="s">
        <v>43</v>
      </c>
      <c r="G669" s="18">
        <v>1740</v>
      </c>
      <c r="H669" s="25">
        <f t="shared" si="40"/>
        <v>44945</v>
      </c>
      <c r="I669" s="26">
        <f t="shared" si="41"/>
        <v>5.9722222220443655E-2</v>
      </c>
      <c r="J669" s="18" t="str">
        <f t="shared" si="42"/>
        <v>January</v>
      </c>
      <c r="K669" s="56" t="str">
        <f t="shared" si="43"/>
        <v>Thursday</v>
      </c>
      <c r="L669" s="18" t="str">
        <f>IF(OR(G669&gt;Answers!I684,G669&lt;Answers!I685),"Outlier","Normal")</f>
        <v>Outlier</v>
      </c>
      <c r="M669" s="18">
        <v>45</v>
      </c>
    </row>
    <row r="670" spans="1:13" ht="20" customHeight="1" x14ac:dyDescent="0.35">
      <c r="A670" s="17">
        <v>471886</v>
      </c>
      <c r="B670" s="18">
        <v>1583</v>
      </c>
      <c r="C670" s="23" t="s">
        <v>106</v>
      </c>
      <c r="D670" s="24">
        <v>44928.986111111109</v>
      </c>
      <c r="E670" s="18" t="s">
        <v>133</v>
      </c>
      <c r="F670" s="18" t="s">
        <v>43</v>
      </c>
      <c r="G670" s="18">
        <v>4072</v>
      </c>
      <c r="H670" s="25">
        <f t="shared" si="40"/>
        <v>44928</v>
      </c>
      <c r="I670" s="26">
        <f t="shared" si="41"/>
        <v>0.98611111110949423</v>
      </c>
      <c r="J670" s="18" t="str">
        <f t="shared" si="42"/>
        <v>January</v>
      </c>
      <c r="K670" s="56" t="str">
        <f t="shared" si="43"/>
        <v>Monday</v>
      </c>
      <c r="L670" s="18" t="str">
        <f>IF(OR(G670&gt;Answers!I685,G670&lt;Answers!I686),"Outlier","Normal")</f>
        <v>Outlier</v>
      </c>
      <c r="M670" s="18">
        <v>73</v>
      </c>
    </row>
    <row r="671" spans="1:13" ht="20" customHeight="1" x14ac:dyDescent="0.35">
      <c r="A671" s="17">
        <v>472645</v>
      </c>
      <c r="B671" s="18">
        <v>1290</v>
      </c>
      <c r="C671" s="23" t="s">
        <v>99</v>
      </c>
      <c r="D671" s="24">
        <v>45243.058333333334</v>
      </c>
      <c r="E671" s="18" t="s">
        <v>96</v>
      </c>
      <c r="F671" s="18" t="s">
        <v>4</v>
      </c>
      <c r="G671" s="18">
        <v>3018</v>
      </c>
      <c r="H671" s="25">
        <f t="shared" si="40"/>
        <v>45243</v>
      </c>
      <c r="I671" s="26">
        <f t="shared" si="41"/>
        <v>5.8333333334303461E-2</v>
      </c>
      <c r="J671" s="18" t="str">
        <f t="shared" si="42"/>
        <v>November</v>
      </c>
      <c r="K671" s="56" t="str">
        <f t="shared" si="43"/>
        <v>Monday</v>
      </c>
      <c r="L671" s="18" t="str">
        <f>IF(OR(G671&gt;Answers!I686,G671&lt;Answers!I687),"Outlier","Normal")</f>
        <v>Outlier</v>
      </c>
      <c r="M671" s="18">
        <v>31</v>
      </c>
    </row>
    <row r="672" spans="1:13" ht="20" customHeight="1" x14ac:dyDescent="0.35">
      <c r="A672" s="17">
        <v>473503</v>
      </c>
      <c r="B672" s="18">
        <v>1682</v>
      </c>
      <c r="C672" s="23" t="s">
        <v>100</v>
      </c>
      <c r="D672" s="24">
        <v>45146.976388888892</v>
      </c>
      <c r="E672" s="18" t="s">
        <v>133</v>
      </c>
      <c r="F672" s="18" t="s">
        <v>19</v>
      </c>
      <c r="G672" s="18">
        <v>1565</v>
      </c>
      <c r="H672" s="25">
        <f t="shared" si="40"/>
        <v>45146</v>
      </c>
      <c r="I672" s="26">
        <f t="shared" si="41"/>
        <v>0.97638888889196096</v>
      </c>
      <c r="J672" s="18" t="str">
        <f t="shared" si="42"/>
        <v>August</v>
      </c>
      <c r="K672" s="56" t="str">
        <f t="shared" si="43"/>
        <v>Tuesday</v>
      </c>
      <c r="L672" s="18" t="str">
        <f>IF(OR(G672&gt;Answers!I687,G672&lt;Answers!I688),"Outlier","Normal")</f>
        <v>Outlier</v>
      </c>
      <c r="M672" s="18">
        <v>72</v>
      </c>
    </row>
    <row r="673" spans="1:13" ht="20" customHeight="1" x14ac:dyDescent="0.35">
      <c r="A673" s="17">
        <v>474022</v>
      </c>
      <c r="B673" s="18">
        <v>1063</v>
      </c>
      <c r="C673" s="23" t="s">
        <v>113</v>
      </c>
      <c r="D673" s="24">
        <v>44993.952777777777</v>
      </c>
      <c r="E673" s="18" t="s">
        <v>96</v>
      </c>
      <c r="F673" s="18" t="s">
        <v>82</v>
      </c>
      <c r="G673" s="18">
        <v>2476</v>
      </c>
      <c r="H673" s="25">
        <f t="shared" si="40"/>
        <v>44993</v>
      </c>
      <c r="I673" s="26">
        <f t="shared" si="41"/>
        <v>0.95277777777664596</v>
      </c>
      <c r="J673" s="18" t="str">
        <f t="shared" si="42"/>
        <v>March</v>
      </c>
      <c r="K673" s="56" t="str">
        <f t="shared" si="43"/>
        <v>Wednesday</v>
      </c>
      <c r="L673" s="18" t="str">
        <f>IF(OR(G673&gt;Answers!I688,G673&lt;Answers!I689),"Outlier","Normal")</f>
        <v>Outlier</v>
      </c>
      <c r="M673" s="18">
        <v>82</v>
      </c>
    </row>
    <row r="674" spans="1:13" ht="20" customHeight="1" x14ac:dyDescent="0.35">
      <c r="A674" s="17">
        <v>474847</v>
      </c>
      <c r="B674" s="18">
        <v>1316</v>
      </c>
      <c r="C674" s="23" t="s">
        <v>101</v>
      </c>
      <c r="D674" s="24">
        <v>45202.017361111109</v>
      </c>
      <c r="E674" s="18" t="s">
        <v>98</v>
      </c>
      <c r="F674" s="18" t="s">
        <v>15</v>
      </c>
      <c r="G674" s="18">
        <v>4155</v>
      </c>
      <c r="H674" s="25">
        <f t="shared" si="40"/>
        <v>45202</v>
      </c>
      <c r="I674" s="26">
        <f t="shared" si="41"/>
        <v>1.7361111109494232E-2</v>
      </c>
      <c r="J674" s="18" t="str">
        <f t="shared" si="42"/>
        <v>October</v>
      </c>
      <c r="K674" s="56" t="str">
        <f t="shared" si="43"/>
        <v>Tuesday</v>
      </c>
      <c r="L674" s="18" t="str">
        <f>IF(OR(G674&gt;Answers!I689,G674&lt;Answers!I690),"Outlier","Normal")</f>
        <v>Outlier</v>
      </c>
      <c r="M674" s="18">
        <v>70</v>
      </c>
    </row>
    <row r="675" spans="1:13" ht="20" customHeight="1" x14ac:dyDescent="0.35">
      <c r="A675" s="17">
        <v>476585</v>
      </c>
      <c r="B675" s="18">
        <v>645</v>
      </c>
      <c r="C675" s="23" t="s">
        <v>108</v>
      </c>
      <c r="D675" s="24">
        <v>45037.020833333336</v>
      </c>
      <c r="E675" s="18" t="s">
        <v>97</v>
      </c>
      <c r="F675" s="18" t="s">
        <v>66</v>
      </c>
      <c r="G675" s="18">
        <v>7949</v>
      </c>
      <c r="H675" s="25">
        <f t="shared" si="40"/>
        <v>45037</v>
      </c>
      <c r="I675" s="26">
        <f t="shared" si="41"/>
        <v>2.0833333335758653E-2</v>
      </c>
      <c r="J675" s="18" t="str">
        <f t="shared" si="42"/>
        <v>April</v>
      </c>
      <c r="K675" s="56" t="str">
        <f t="shared" si="43"/>
        <v>Friday</v>
      </c>
      <c r="L675" s="18" t="str">
        <f>IF(OR(G675&gt;Answers!I690,G675&lt;Answers!I691),"Outlier","Normal")</f>
        <v>Outlier</v>
      </c>
      <c r="M675" s="18">
        <v>40</v>
      </c>
    </row>
    <row r="676" spans="1:13" ht="20" customHeight="1" x14ac:dyDescent="0.35">
      <c r="A676" s="17">
        <v>477068</v>
      </c>
      <c r="B676" s="18">
        <v>396</v>
      </c>
      <c r="C676" s="23" t="s">
        <v>105</v>
      </c>
      <c r="D676" s="24">
        <v>45188.05</v>
      </c>
      <c r="E676" s="18" t="s">
        <v>97</v>
      </c>
      <c r="F676" s="18" t="s">
        <v>78</v>
      </c>
      <c r="G676" s="18">
        <v>6110</v>
      </c>
      <c r="H676" s="25">
        <f t="shared" si="40"/>
        <v>45188</v>
      </c>
      <c r="I676" s="26">
        <f t="shared" si="41"/>
        <v>5.0000000002910383E-2</v>
      </c>
      <c r="J676" s="18" t="str">
        <f t="shared" si="42"/>
        <v>September</v>
      </c>
      <c r="K676" s="56" t="str">
        <f t="shared" si="43"/>
        <v>Tuesday</v>
      </c>
      <c r="L676" s="18" t="str">
        <f>IF(OR(G676&gt;Answers!I691,G676&lt;Answers!I692),"Outlier","Normal")</f>
        <v>Outlier</v>
      </c>
      <c r="M676" s="18">
        <v>53</v>
      </c>
    </row>
    <row r="677" spans="1:13" ht="20" customHeight="1" x14ac:dyDescent="0.35">
      <c r="A677" s="17">
        <v>477337</v>
      </c>
      <c r="B677" s="18">
        <v>178</v>
      </c>
      <c r="C677" s="23" t="s">
        <v>113</v>
      </c>
      <c r="D677" s="24">
        <v>44950.954861111109</v>
      </c>
      <c r="E677" s="18" t="s">
        <v>97</v>
      </c>
      <c r="F677" s="18" t="s">
        <v>27</v>
      </c>
      <c r="G677" s="18">
        <v>8277</v>
      </c>
      <c r="H677" s="25">
        <f t="shared" si="40"/>
        <v>44950</v>
      </c>
      <c r="I677" s="26">
        <f t="shared" si="41"/>
        <v>0.95486111110949423</v>
      </c>
      <c r="J677" s="18" t="str">
        <f t="shared" si="42"/>
        <v>January</v>
      </c>
      <c r="K677" s="56" t="str">
        <f t="shared" si="43"/>
        <v>Tuesday</v>
      </c>
      <c r="L677" s="18" t="str">
        <f>IF(OR(G677&gt;Answers!I692,G677&lt;Answers!I693),"Outlier","Normal")</f>
        <v>Outlier</v>
      </c>
      <c r="M677" s="18">
        <v>24</v>
      </c>
    </row>
    <row r="678" spans="1:13" ht="20" customHeight="1" x14ac:dyDescent="0.35">
      <c r="A678" s="17">
        <v>477809</v>
      </c>
      <c r="B678" s="18">
        <v>292</v>
      </c>
      <c r="C678" s="23" t="s">
        <v>113</v>
      </c>
      <c r="D678" s="24">
        <v>45150.98333333333</v>
      </c>
      <c r="E678" s="18" t="s">
        <v>97</v>
      </c>
      <c r="F678" s="18" t="s">
        <v>43</v>
      </c>
      <c r="G678" s="18">
        <v>802</v>
      </c>
      <c r="H678" s="25">
        <f t="shared" si="40"/>
        <v>45150</v>
      </c>
      <c r="I678" s="26">
        <f t="shared" si="41"/>
        <v>0.98333333332993789</v>
      </c>
      <c r="J678" s="18" t="str">
        <f t="shared" si="42"/>
        <v>August</v>
      </c>
      <c r="K678" s="56" t="str">
        <f t="shared" si="43"/>
        <v>Saturday</v>
      </c>
      <c r="L678" s="18" t="str">
        <f>IF(OR(G678&gt;Answers!I693,G678&lt;Answers!I694),"Outlier","Normal")</f>
        <v>Outlier</v>
      </c>
      <c r="M678" s="18">
        <v>66</v>
      </c>
    </row>
    <row r="679" spans="1:13" ht="20" customHeight="1" x14ac:dyDescent="0.35">
      <c r="A679" s="17">
        <v>477915</v>
      </c>
      <c r="B679" s="18">
        <v>965</v>
      </c>
      <c r="C679" s="23" t="s">
        <v>101</v>
      </c>
      <c r="D679" s="24">
        <v>45067.018750000003</v>
      </c>
      <c r="E679" s="18" t="s">
        <v>97</v>
      </c>
      <c r="F679" s="18" t="s">
        <v>43</v>
      </c>
      <c r="G679" s="18">
        <v>5391</v>
      </c>
      <c r="H679" s="25">
        <f t="shared" si="40"/>
        <v>45067</v>
      </c>
      <c r="I679" s="26">
        <f t="shared" si="41"/>
        <v>1.8750000002910383E-2</v>
      </c>
      <c r="J679" s="18" t="str">
        <f t="shared" si="42"/>
        <v>May</v>
      </c>
      <c r="K679" s="56" t="str">
        <f t="shared" si="43"/>
        <v>Sunday</v>
      </c>
      <c r="L679" s="18" t="str">
        <f>IF(OR(G679&gt;Answers!I694,G679&lt;Answers!I695),"Outlier","Normal")</f>
        <v>Outlier</v>
      </c>
      <c r="M679" s="18">
        <v>50</v>
      </c>
    </row>
    <row r="680" spans="1:13" ht="20" customHeight="1" x14ac:dyDescent="0.35">
      <c r="A680" s="17">
        <v>478198</v>
      </c>
      <c r="B680" s="18">
        <v>214</v>
      </c>
      <c r="C680" s="23" t="s">
        <v>99</v>
      </c>
      <c r="D680" s="24">
        <v>45220.038888888892</v>
      </c>
      <c r="E680" s="18" t="s">
        <v>96</v>
      </c>
      <c r="F680" s="18" t="s">
        <v>27</v>
      </c>
      <c r="G680" s="18">
        <v>9837</v>
      </c>
      <c r="H680" s="25">
        <f t="shared" si="40"/>
        <v>45220</v>
      </c>
      <c r="I680" s="26">
        <f t="shared" si="41"/>
        <v>3.888888889196096E-2</v>
      </c>
      <c r="J680" s="18" t="str">
        <f t="shared" si="42"/>
        <v>October</v>
      </c>
      <c r="K680" s="56" t="str">
        <f t="shared" si="43"/>
        <v>Saturday</v>
      </c>
      <c r="L680" s="18" t="str">
        <f>IF(OR(G680&gt;Answers!I695,G680&lt;Answers!I696),"Outlier","Normal")</f>
        <v>Outlier</v>
      </c>
      <c r="M680" s="18">
        <v>18</v>
      </c>
    </row>
    <row r="681" spans="1:13" ht="20" customHeight="1" x14ac:dyDescent="0.35">
      <c r="A681" s="17">
        <v>479363</v>
      </c>
      <c r="B681" s="18">
        <v>1343</v>
      </c>
      <c r="C681" s="23" t="s">
        <v>99</v>
      </c>
      <c r="D681" s="24">
        <v>45115.001388888886</v>
      </c>
      <c r="E681" s="18" t="s">
        <v>96</v>
      </c>
      <c r="F681" s="18" t="s">
        <v>18</v>
      </c>
      <c r="G681" s="18">
        <v>1941</v>
      </c>
      <c r="H681" s="25">
        <f t="shared" si="40"/>
        <v>45115</v>
      </c>
      <c r="I681" s="26">
        <f t="shared" si="41"/>
        <v>1.3888888861401938E-3</v>
      </c>
      <c r="J681" s="18" t="str">
        <f t="shared" si="42"/>
        <v>July</v>
      </c>
      <c r="K681" s="56" t="str">
        <f t="shared" si="43"/>
        <v>Saturday</v>
      </c>
      <c r="L681" s="18" t="str">
        <f>IF(OR(G681&gt;Answers!I696,G681&lt;Answers!I697),"Outlier","Normal")</f>
        <v>Outlier</v>
      </c>
      <c r="M681" s="18">
        <v>32</v>
      </c>
    </row>
    <row r="682" spans="1:13" ht="20" customHeight="1" x14ac:dyDescent="0.35">
      <c r="A682" s="17">
        <v>479407</v>
      </c>
      <c r="B682" s="18">
        <v>1399</v>
      </c>
      <c r="C682" s="23" t="s">
        <v>101</v>
      </c>
      <c r="D682" s="24">
        <v>45263.943749999999</v>
      </c>
      <c r="E682" s="18" t="s">
        <v>97</v>
      </c>
      <c r="F682" s="18" t="s">
        <v>44</v>
      </c>
      <c r="G682" s="18">
        <v>1351</v>
      </c>
      <c r="H682" s="25">
        <f t="shared" si="40"/>
        <v>45263</v>
      </c>
      <c r="I682" s="26">
        <f t="shared" si="41"/>
        <v>0.94374999999854481</v>
      </c>
      <c r="J682" s="18" t="str">
        <f t="shared" si="42"/>
        <v>December</v>
      </c>
      <c r="K682" s="56" t="str">
        <f t="shared" si="43"/>
        <v>Sunday</v>
      </c>
      <c r="L682" s="18" t="str">
        <f>IF(OR(G682&gt;Answers!I697,G682&lt;Answers!I698),"Outlier","Normal")</f>
        <v>Outlier</v>
      </c>
      <c r="M682" s="18">
        <v>24</v>
      </c>
    </row>
    <row r="683" spans="1:13" ht="20" customHeight="1" x14ac:dyDescent="0.35">
      <c r="A683" s="17">
        <v>479589</v>
      </c>
      <c r="B683" s="18">
        <v>180</v>
      </c>
      <c r="C683" s="23" t="s">
        <v>99</v>
      </c>
      <c r="D683" s="24">
        <v>45011.991666666669</v>
      </c>
      <c r="E683" s="18" t="s">
        <v>96</v>
      </c>
      <c r="F683" s="18" t="s">
        <v>81</v>
      </c>
      <c r="G683" s="18">
        <v>9486</v>
      </c>
      <c r="H683" s="25">
        <f t="shared" si="40"/>
        <v>45011</v>
      </c>
      <c r="I683" s="26">
        <f t="shared" si="41"/>
        <v>0.99166666666860692</v>
      </c>
      <c r="J683" s="18" t="str">
        <f t="shared" si="42"/>
        <v>March</v>
      </c>
      <c r="K683" s="56" t="str">
        <f t="shared" si="43"/>
        <v>Sunday</v>
      </c>
      <c r="L683" s="18" t="str">
        <f>IF(OR(G683&gt;Answers!I698,G683&lt;Answers!I699),"Outlier","Normal")</f>
        <v>Outlier</v>
      </c>
      <c r="M683" s="18">
        <v>81</v>
      </c>
    </row>
    <row r="684" spans="1:13" ht="20" customHeight="1" x14ac:dyDescent="0.35">
      <c r="A684" s="17">
        <v>480827</v>
      </c>
      <c r="B684" s="18">
        <v>1498</v>
      </c>
      <c r="C684" s="23" t="s">
        <v>109</v>
      </c>
      <c r="D684" s="24">
        <v>44940.004166666666</v>
      </c>
      <c r="E684" s="18" t="s">
        <v>98</v>
      </c>
      <c r="F684" s="18" t="s">
        <v>88</v>
      </c>
      <c r="G684" s="18">
        <v>3032</v>
      </c>
      <c r="H684" s="25">
        <f t="shared" si="40"/>
        <v>44940</v>
      </c>
      <c r="I684" s="26">
        <f t="shared" si="41"/>
        <v>4.166666665696539E-3</v>
      </c>
      <c r="J684" s="18" t="str">
        <f t="shared" si="42"/>
        <v>January</v>
      </c>
      <c r="K684" s="56" t="str">
        <f t="shared" si="43"/>
        <v>Saturday</v>
      </c>
      <c r="L684" s="18" t="str">
        <f>IF(OR(G684&gt;Answers!I699,G684&lt;Answers!I700),"Outlier","Normal")</f>
        <v>Outlier</v>
      </c>
      <c r="M684" s="18">
        <v>75</v>
      </c>
    </row>
    <row r="685" spans="1:13" ht="20" customHeight="1" x14ac:dyDescent="0.35">
      <c r="A685" s="17">
        <v>480878</v>
      </c>
      <c r="B685" s="18">
        <v>1229</v>
      </c>
      <c r="C685" s="23" t="s">
        <v>101</v>
      </c>
      <c r="D685" s="24">
        <v>45072.067361111112</v>
      </c>
      <c r="E685" s="18" t="s">
        <v>133</v>
      </c>
      <c r="F685" s="18" t="s">
        <v>86</v>
      </c>
      <c r="G685" s="18">
        <v>9502</v>
      </c>
      <c r="H685" s="25">
        <f t="shared" si="40"/>
        <v>45072</v>
      </c>
      <c r="I685" s="26">
        <f t="shared" si="41"/>
        <v>6.7361111112404615E-2</v>
      </c>
      <c r="J685" s="18" t="str">
        <f t="shared" si="42"/>
        <v>May</v>
      </c>
      <c r="K685" s="56" t="str">
        <f t="shared" si="43"/>
        <v>Friday</v>
      </c>
      <c r="L685" s="18" t="str">
        <f>IF(OR(G685&gt;Answers!I700,G685&lt;Answers!I701),"Outlier","Normal")</f>
        <v>Outlier</v>
      </c>
      <c r="M685" s="18">
        <v>67</v>
      </c>
    </row>
    <row r="686" spans="1:13" ht="20" customHeight="1" x14ac:dyDescent="0.35">
      <c r="A686" s="17">
        <v>482210</v>
      </c>
      <c r="B686" s="18">
        <v>1507</v>
      </c>
      <c r="C686" s="23" t="s">
        <v>99</v>
      </c>
      <c r="D686" s="24">
        <v>45184.059027777781</v>
      </c>
      <c r="E686" s="18" t="s">
        <v>96</v>
      </c>
      <c r="F686" s="18" t="s">
        <v>8</v>
      </c>
      <c r="G686" s="18">
        <v>4514</v>
      </c>
      <c r="H686" s="25">
        <f t="shared" si="40"/>
        <v>45184</v>
      </c>
      <c r="I686" s="26">
        <f t="shared" si="41"/>
        <v>5.9027777781011537E-2</v>
      </c>
      <c r="J686" s="18" t="str">
        <f t="shared" si="42"/>
        <v>September</v>
      </c>
      <c r="K686" s="56" t="str">
        <f t="shared" si="43"/>
        <v>Friday</v>
      </c>
      <c r="L686" s="18" t="str">
        <f>IF(OR(G686&gt;Answers!I701,G686&lt;Answers!I702),"Outlier","Normal")</f>
        <v>Outlier</v>
      </c>
      <c r="M686" s="18">
        <v>78</v>
      </c>
    </row>
    <row r="687" spans="1:13" ht="20" customHeight="1" x14ac:dyDescent="0.35">
      <c r="A687" s="17">
        <v>482277</v>
      </c>
      <c r="B687" s="18">
        <v>1808</v>
      </c>
      <c r="C687" s="23" t="s">
        <v>107</v>
      </c>
      <c r="D687" s="24">
        <v>45257.963888888888</v>
      </c>
      <c r="E687" s="18" t="s">
        <v>98</v>
      </c>
      <c r="F687" s="18" t="s">
        <v>90</v>
      </c>
      <c r="G687" s="18">
        <v>5415</v>
      </c>
      <c r="H687" s="25">
        <f t="shared" si="40"/>
        <v>45257</v>
      </c>
      <c r="I687" s="26">
        <f t="shared" si="41"/>
        <v>0.96388888888759539</v>
      </c>
      <c r="J687" s="18" t="str">
        <f t="shared" si="42"/>
        <v>November</v>
      </c>
      <c r="K687" s="56" t="str">
        <f t="shared" si="43"/>
        <v>Monday</v>
      </c>
      <c r="L687" s="18" t="str">
        <f>IF(OR(G687&gt;Answers!I702,G687&lt;Answers!I703),"Outlier","Normal")</f>
        <v>Outlier</v>
      </c>
      <c r="M687" s="18">
        <v>28</v>
      </c>
    </row>
    <row r="688" spans="1:13" ht="20" customHeight="1" x14ac:dyDescent="0.35">
      <c r="A688" s="17">
        <v>482282</v>
      </c>
      <c r="B688" s="18">
        <v>852</v>
      </c>
      <c r="C688" s="23" t="s">
        <v>99</v>
      </c>
      <c r="D688" s="24">
        <v>45154.043055555558</v>
      </c>
      <c r="E688" s="18" t="s">
        <v>96</v>
      </c>
      <c r="F688" s="18" t="s">
        <v>43</v>
      </c>
      <c r="G688" s="18">
        <v>348</v>
      </c>
      <c r="H688" s="25">
        <f t="shared" si="40"/>
        <v>45154</v>
      </c>
      <c r="I688" s="26">
        <f t="shared" si="41"/>
        <v>4.3055555557657499E-2</v>
      </c>
      <c r="J688" s="18" t="str">
        <f t="shared" si="42"/>
        <v>August</v>
      </c>
      <c r="K688" s="56" t="str">
        <f t="shared" si="43"/>
        <v>Wednesday</v>
      </c>
      <c r="L688" s="18" t="str">
        <f>IF(OR(G688&gt;Answers!I703,G688&lt;Answers!I704),"Outlier","Normal")</f>
        <v>Outlier</v>
      </c>
      <c r="M688" s="18">
        <v>84</v>
      </c>
    </row>
    <row r="689" spans="1:13" ht="20" customHeight="1" x14ac:dyDescent="0.35">
      <c r="A689" s="17">
        <v>482555</v>
      </c>
      <c r="B689" s="18">
        <v>506</v>
      </c>
      <c r="C689" s="23" t="s">
        <v>99</v>
      </c>
      <c r="D689" s="24">
        <v>44951.697222222225</v>
      </c>
      <c r="E689" s="18" t="s">
        <v>97</v>
      </c>
      <c r="F689" s="18" t="s">
        <v>91</v>
      </c>
      <c r="G689" s="18">
        <v>6355</v>
      </c>
      <c r="H689" s="25">
        <f t="shared" si="40"/>
        <v>44951</v>
      </c>
      <c r="I689" s="26">
        <f t="shared" si="41"/>
        <v>0.69722222222480923</v>
      </c>
      <c r="J689" s="18" t="str">
        <f t="shared" si="42"/>
        <v>January</v>
      </c>
      <c r="K689" s="56" t="str">
        <f t="shared" si="43"/>
        <v>Wednesday</v>
      </c>
      <c r="L689" s="18" t="str">
        <f>IF(OR(G689&gt;Answers!I704,G689&lt;Answers!I705),"Outlier","Normal")</f>
        <v>Outlier</v>
      </c>
      <c r="M689" s="18">
        <v>45</v>
      </c>
    </row>
    <row r="690" spans="1:13" ht="20" customHeight="1" x14ac:dyDescent="0.35">
      <c r="A690" s="17">
        <v>483229</v>
      </c>
      <c r="B690" s="18">
        <v>577</v>
      </c>
      <c r="C690" s="23" t="s">
        <v>100</v>
      </c>
      <c r="D690" s="24">
        <v>44970.046527777777</v>
      </c>
      <c r="E690" s="18" t="s">
        <v>97</v>
      </c>
      <c r="F690" s="18" t="s">
        <v>78</v>
      </c>
      <c r="G690" s="18">
        <v>1958</v>
      </c>
      <c r="H690" s="25">
        <f t="shared" si="40"/>
        <v>44970</v>
      </c>
      <c r="I690" s="26">
        <f t="shared" si="41"/>
        <v>4.6527777776645962E-2</v>
      </c>
      <c r="J690" s="18" t="str">
        <f t="shared" si="42"/>
        <v>February</v>
      </c>
      <c r="K690" s="56" t="str">
        <f t="shared" si="43"/>
        <v>Monday</v>
      </c>
      <c r="L690" s="18" t="str">
        <f>IF(OR(G690&gt;Answers!I705,G690&lt;Answers!I706),"Outlier","Normal")</f>
        <v>Outlier</v>
      </c>
      <c r="M690" s="18">
        <v>74</v>
      </c>
    </row>
    <row r="691" spans="1:13" ht="20" customHeight="1" x14ac:dyDescent="0.35">
      <c r="A691" s="17">
        <v>484489</v>
      </c>
      <c r="B691" s="18">
        <v>439</v>
      </c>
      <c r="C691" s="23" t="s">
        <v>105</v>
      </c>
      <c r="D691" s="24">
        <v>45256.01666666667</v>
      </c>
      <c r="E691" s="18" t="s">
        <v>133</v>
      </c>
      <c r="F691" s="18" t="s">
        <v>29</v>
      </c>
      <c r="G691" s="18">
        <v>6346</v>
      </c>
      <c r="H691" s="25">
        <f t="shared" si="40"/>
        <v>45256</v>
      </c>
      <c r="I691" s="26">
        <f t="shared" si="41"/>
        <v>1.6666666670062114E-2</v>
      </c>
      <c r="J691" s="18" t="str">
        <f t="shared" si="42"/>
        <v>November</v>
      </c>
      <c r="K691" s="56" t="str">
        <f t="shared" si="43"/>
        <v>Sunday</v>
      </c>
      <c r="L691" s="18" t="str">
        <f>IF(OR(G691&gt;Answers!I706,G691&lt;Answers!I707),"Outlier","Normal")</f>
        <v>Outlier</v>
      </c>
      <c r="M691" s="18">
        <v>74</v>
      </c>
    </row>
    <row r="692" spans="1:13" ht="20" customHeight="1" x14ac:dyDescent="0.35">
      <c r="A692" s="17">
        <v>484525</v>
      </c>
      <c r="B692" s="18">
        <v>961</v>
      </c>
      <c r="C692" s="23" t="s">
        <v>99</v>
      </c>
      <c r="D692" s="24">
        <v>45270.996527777781</v>
      </c>
      <c r="E692" s="18" t="s">
        <v>133</v>
      </c>
      <c r="F692" s="18" t="s">
        <v>34</v>
      </c>
      <c r="G692" s="18">
        <v>3218</v>
      </c>
      <c r="H692" s="25">
        <f t="shared" si="40"/>
        <v>45270</v>
      </c>
      <c r="I692" s="26">
        <f t="shared" si="41"/>
        <v>0.99652777778101154</v>
      </c>
      <c r="J692" s="18" t="str">
        <f t="shared" si="42"/>
        <v>December</v>
      </c>
      <c r="K692" s="56" t="str">
        <f t="shared" si="43"/>
        <v>Sunday</v>
      </c>
      <c r="L692" s="18" t="str">
        <f>IF(OR(G692&gt;Answers!I707,G692&lt;Answers!I708),"Outlier","Normal")</f>
        <v>Outlier</v>
      </c>
      <c r="M692" s="18">
        <v>82</v>
      </c>
    </row>
    <row r="693" spans="1:13" ht="20" customHeight="1" x14ac:dyDescent="0.35">
      <c r="A693" s="17">
        <v>484688</v>
      </c>
      <c r="B693" s="18">
        <v>841</v>
      </c>
      <c r="C693" s="23" t="s">
        <v>99</v>
      </c>
      <c r="D693" s="24">
        <v>45068.005555555559</v>
      </c>
      <c r="E693" s="18" t="s">
        <v>97</v>
      </c>
      <c r="F693" s="18" t="s">
        <v>87</v>
      </c>
      <c r="G693" s="18">
        <v>5991</v>
      </c>
      <c r="H693" s="25">
        <f t="shared" si="40"/>
        <v>45068</v>
      </c>
      <c r="I693" s="26">
        <f t="shared" si="41"/>
        <v>5.5555555591126904E-3</v>
      </c>
      <c r="J693" s="18" t="str">
        <f t="shared" si="42"/>
        <v>May</v>
      </c>
      <c r="K693" s="56" t="str">
        <f t="shared" si="43"/>
        <v>Monday</v>
      </c>
      <c r="L693" s="18" t="str">
        <f>IF(OR(G693&gt;Answers!I708,G693&lt;Answers!I709),"Outlier","Normal")</f>
        <v>Outlier</v>
      </c>
      <c r="M693" s="18">
        <v>42</v>
      </c>
    </row>
    <row r="694" spans="1:13" ht="20" customHeight="1" x14ac:dyDescent="0.35">
      <c r="A694" s="17">
        <v>485583</v>
      </c>
      <c r="B694" s="18">
        <v>399</v>
      </c>
      <c r="C694" s="23" t="s">
        <v>113</v>
      </c>
      <c r="D694" s="24">
        <v>45000.064583333333</v>
      </c>
      <c r="E694" s="18" t="s">
        <v>98</v>
      </c>
      <c r="F694" s="18" t="s">
        <v>40</v>
      </c>
      <c r="G694" s="18">
        <v>5485</v>
      </c>
      <c r="H694" s="25">
        <f t="shared" si="40"/>
        <v>45000</v>
      </c>
      <c r="I694" s="26">
        <f t="shared" si="41"/>
        <v>6.4583333332848269E-2</v>
      </c>
      <c r="J694" s="18" t="str">
        <f t="shared" si="42"/>
        <v>March</v>
      </c>
      <c r="K694" s="56" t="str">
        <f t="shared" si="43"/>
        <v>Wednesday</v>
      </c>
      <c r="L694" s="18" t="str">
        <f>IF(OR(G694&gt;Answers!I709,G694&lt;Answers!I710),"Outlier","Normal")</f>
        <v>Outlier</v>
      </c>
      <c r="M694" s="18">
        <v>83</v>
      </c>
    </row>
    <row r="695" spans="1:13" ht="20" customHeight="1" x14ac:dyDescent="0.35">
      <c r="A695" s="17">
        <v>485658</v>
      </c>
      <c r="B695" s="18">
        <v>1222</v>
      </c>
      <c r="C695" s="23" t="s">
        <v>105</v>
      </c>
      <c r="D695" s="24">
        <v>44988.00277777778</v>
      </c>
      <c r="E695" s="18" t="s">
        <v>133</v>
      </c>
      <c r="F695" s="18" t="s">
        <v>69</v>
      </c>
      <c r="G695" s="18">
        <v>6370</v>
      </c>
      <c r="H695" s="25">
        <f t="shared" si="40"/>
        <v>44988</v>
      </c>
      <c r="I695" s="26">
        <f t="shared" si="41"/>
        <v>2.7777777795563452E-3</v>
      </c>
      <c r="J695" s="18" t="str">
        <f t="shared" si="42"/>
        <v>March</v>
      </c>
      <c r="K695" s="56" t="str">
        <f t="shared" si="43"/>
        <v>Friday</v>
      </c>
      <c r="L695" s="18" t="str">
        <f>IF(OR(G695&gt;Answers!I710,G695&lt;Answers!I711),"Outlier","Normal")</f>
        <v>Outlier</v>
      </c>
      <c r="M695" s="18">
        <v>58</v>
      </c>
    </row>
    <row r="696" spans="1:13" ht="20" customHeight="1" x14ac:dyDescent="0.35">
      <c r="A696" s="17">
        <v>487191</v>
      </c>
      <c r="B696" s="18">
        <v>404</v>
      </c>
      <c r="C696" s="23" t="s">
        <v>109</v>
      </c>
      <c r="D696" s="24">
        <v>44964.040277777778</v>
      </c>
      <c r="E696" s="18" t="s">
        <v>133</v>
      </c>
      <c r="F696" s="18" t="s">
        <v>85</v>
      </c>
      <c r="G696" s="18">
        <v>4492</v>
      </c>
      <c r="H696" s="25">
        <f t="shared" si="40"/>
        <v>44964</v>
      </c>
      <c r="I696" s="26">
        <f t="shared" si="41"/>
        <v>4.0277777778101154E-2</v>
      </c>
      <c r="J696" s="18" t="str">
        <f t="shared" si="42"/>
        <v>February</v>
      </c>
      <c r="K696" s="56" t="str">
        <f t="shared" si="43"/>
        <v>Tuesday</v>
      </c>
      <c r="L696" s="18" t="str">
        <f>IF(OR(G696&gt;Answers!I711,G696&lt;Answers!I712),"Outlier","Normal")</f>
        <v>Outlier</v>
      </c>
      <c r="M696" s="18">
        <v>26</v>
      </c>
    </row>
    <row r="697" spans="1:13" ht="20" customHeight="1" x14ac:dyDescent="0.35">
      <c r="A697" s="17">
        <v>488698</v>
      </c>
      <c r="B697" s="18">
        <v>1714</v>
      </c>
      <c r="C697" s="23" t="s">
        <v>105</v>
      </c>
      <c r="D697" s="24">
        <v>44996.052083333336</v>
      </c>
      <c r="E697" s="18" t="s">
        <v>98</v>
      </c>
      <c r="F697" s="18" t="s">
        <v>43</v>
      </c>
      <c r="G697" s="18">
        <v>5107</v>
      </c>
      <c r="H697" s="25">
        <f t="shared" si="40"/>
        <v>44996</v>
      </c>
      <c r="I697" s="26">
        <f t="shared" si="41"/>
        <v>5.2083333335758653E-2</v>
      </c>
      <c r="J697" s="18" t="str">
        <f t="shared" si="42"/>
        <v>March</v>
      </c>
      <c r="K697" s="56" t="str">
        <f t="shared" si="43"/>
        <v>Saturday</v>
      </c>
      <c r="L697" s="18" t="str">
        <f>IF(OR(G697&gt;Answers!I712,G697&lt;Answers!I713),"Outlier","Normal")</f>
        <v>Outlier</v>
      </c>
      <c r="M697" s="18">
        <v>33</v>
      </c>
    </row>
    <row r="698" spans="1:13" ht="20" customHeight="1" x14ac:dyDescent="0.35">
      <c r="A698" s="17">
        <v>489692</v>
      </c>
      <c r="B698" s="18">
        <v>1249</v>
      </c>
      <c r="C698" s="23" t="s">
        <v>99</v>
      </c>
      <c r="D698" s="24">
        <v>45192.015972222223</v>
      </c>
      <c r="E698" s="18" t="s">
        <v>133</v>
      </c>
      <c r="F698" s="18" t="s">
        <v>81</v>
      </c>
      <c r="G698" s="18">
        <v>9580</v>
      </c>
      <c r="H698" s="25">
        <f t="shared" si="40"/>
        <v>45192</v>
      </c>
      <c r="I698" s="26">
        <f t="shared" si="41"/>
        <v>1.5972222223354038E-2</v>
      </c>
      <c r="J698" s="18" t="str">
        <f t="shared" si="42"/>
        <v>September</v>
      </c>
      <c r="K698" s="56" t="str">
        <f t="shared" si="43"/>
        <v>Saturday</v>
      </c>
      <c r="L698" s="18" t="str">
        <f>IF(OR(G698&gt;Answers!I713,G698&lt;Answers!I714),"Outlier","Normal")</f>
        <v>Outlier</v>
      </c>
      <c r="M698" s="18">
        <v>76</v>
      </c>
    </row>
    <row r="699" spans="1:13" ht="20" customHeight="1" x14ac:dyDescent="0.35">
      <c r="A699" s="17">
        <v>489835</v>
      </c>
      <c r="B699" s="18">
        <v>974</v>
      </c>
      <c r="C699" s="23" t="s">
        <v>100</v>
      </c>
      <c r="D699" s="24">
        <v>45208.05972222222</v>
      </c>
      <c r="E699" s="18" t="s">
        <v>96</v>
      </c>
      <c r="F699" s="18" t="s">
        <v>71</v>
      </c>
      <c r="G699" s="18">
        <v>6589</v>
      </c>
      <c r="H699" s="25">
        <f t="shared" si="40"/>
        <v>45208</v>
      </c>
      <c r="I699" s="26">
        <f t="shared" si="41"/>
        <v>5.9722222220443655E-2</v>
      </c>
      <c r="J699" s="18" t="str">
        <f t="shared" si="42"/>
        <v>October</v>
      </c>
      <c r="K699" s="56" t="str">
        <f t="shared" si="43"/>
        <v>Monday</v>
      </c>
      <c r="L699" s="18" t="str">
        <f>IF(OR(G699&gt;Answers!I714,G699&lt;Answers!I715),"Outlier","Normal")</f>
        <v>Outlier</v>
      </c>
      <c r="M699" s="18">
        <v>60</v>
      </c>
    </row>
    <row r="700" spans="1:13" ht="20" customHeight="1" x14ac:dyDescent="0.35">
      <c r="A700" s="17">
        <v>490691</v>
      </c>
      <c r="B700" s="18">
        <v>1658</v>
      </c>
      <c r="C700" s="23" t="s">
        <v>99</v>
      </c>
      <c r="D700" s="24">
        <v>45290.052777777775</v>
      </c>
      <c r="E700" s="18" t="s">
        <v>97</v>
      </c>
      <c r="F700" s="18" t="s">
        <v>7</v>
      </c>
      <c r="G700" s="18">
        <v>6947</v>
      </c>
      <c r="H700" s="25">
        <f t="shared" si="40"/>
        <v>45290</v>
      </c>
      <c r="I700" s="26">
        <f t="shared" si="41"/>
        <v>5.2777777775190771E-2</v>
      </c>
      <c r="J700" s="18" t="str">
        <f t="shared" si="42"/>
        <v>December</v>
      </c>
      <c r="K700" s="56" t="str">
        <f t="shared" si="43"/>
        <v>Saturday</v>
      </c>
      <c r="L700" s="18" t="str">
        <f>IF(OR(G700&gt;Answers!I715,G700&lt;Answers!I716),"Outlier","Normal")</f>
        <v>Outlier</v>
      </c>
      <c r="M700" s="18">
        <v>41</v>
      </c>
    </row>
    <row r="701" spans="1:13" ht="20" customHeight="1" x14ac:dyDescent="0.35">
      <c r="A701" s="17">
        <v>491960</v>
      </c>
      <c r="B701" s="18">
        <v>564</v>
      </c>
      <c r="C701" s="23" t="s">
        <v>99</v>
      </c>
      <c r="D701" s="24">
        <v>45117.005555555559</v>
      </c>
      <c r="E701" s="18" t="s">
        <v>96</v>
      </c>
      <c r="F701" s="18" t="s">
        <v>27</v>
      </c>
      <c r="G701" s="18">
        <v>1650</v>
      </c>
      <c r="H701" s="25">
        <f t="shared" si="40"/>
        <v>45117</v>
      </c>
      <c r="I701" s="26">
        <f t="shared" si="41"/>
        <v>5.5555555591126904E-3</v>
      </c>
      <c r="J701" s="18" t="str">
        <f t="shared" si="42"/>
        <v>July</v>
      </c>
      <c r="K701" s="56" t="str">
        <f t="shared" si="43"/>
        <v>Monday</v>
      </c>
      <c r="L701" s="18" t="str">
        <f>IF(OR(G701&gt;Answers!I716,G701&lt;Answers!I717),"Outlier","Normal")</f>
        <v>Outlier</v>
      </c>
      <c r="M701" s="18">
        <v>83</v>
      </c>
    </row>
    <row r="702" spans="1:13" ht="20" customHeight="1" x14ac:dyDescent="0.35">
      <c r="A702" s="17">
        <v>492855</v>
      </c>
      <c r="B702" s="18">
        <v>1294</v>
      </c>
      <c r="C702" s="23" t="s">
        <v>100</v>
      </c>
      <c r="D702" s="24">
        <v>45285.959722222222</v>
      </c>
      <c r="E702" s="18" t="s">
        <v>97</v>
      </c>
      <c r="F702" s="18" t="s">
        <v>65</v>
      </c>
      <c r="G702" s="18">
        <v>9532</v>
      </c>
      <c r="H702" s="25">
        <f t="shared" si="40"/>
        <v>45285</v>
      </c>
      <c r="I702" s="26">
        <f t="shared" si="41"/>
        <v>0.95972222222189885</v>
      </c>
      <c r="J702" s="18" t="str">
        <f t="shared" si="42"/>
        <v>December</v>
      </c>
      <c r="K702" s="56" t="str">
        <f t="shared" si="43"/>
        <v>Monday</v>
      </c>
      <c r="L702" s="18" t="str">
        <f>IF(OR(G702&gt;Answers!I717,G702&lt;Answers!I718),"Outlier","Normal")</f>
        <v>Outlier</v>
      </c>
      <c r="M702" s="18">
        <v>54</v>
      </c>
    </row>
    <row r="703" spans="1:13" ht="20" customHeight="1" x14ac:dyDescent="0.35">
      <c r="A703" s="17">
        <v>492948</v>
      </c>
      <c r="B703" s="18">
        <v>1109</v>
      </c>
      <c r="C703" s="23" t="s">
        <v>113</v>
      </c>
      <c r="D703" s="24">
        <v>45160.036805555559</v>
      </c>
      <c r="E703" s="18" t="s">
        <v>98</v>
      </c>
      <c r="F703" s="18" t="s">
        <v>24</v>
      </c>
      <c r="G703" s="18">
        <v>709</v>
      </c>
      <c r="H703" s="25">
        <f t="shared" si="40"/>
        <v>45160</v>
      </c>
      <c r="I703" s="26">
        <f t="shared" si="41"/>
        <v>3.680555555911269E-2</v>
      </c>
      <c r="J703" s="18" t="str">
        <f t="shared" si="42"/>
        <v>August</v>
      </c>
      <c r="K703" s="56" t="str">
        <f t="shared" si="43"/>
        <v>Tuesday</v>
      </c>
      <c r="L703" s="18" t="str">
        <f>IF(OR(G703&gt;Answers!I718,G703&lt;Answers!I719),"Outlier","Normal")</f>
        <v>Outlier</v>
      </c>
      <c r="M703" s="18">
        <v>86</v>
      </c>
    </row>
    <row r="704" spans="1:13" ht="20" customHeight="1" x14ac:dyDescent="0.35">
      <c r="A704" s="17">
        <v>493043</v>
      </c>
      <c r="B704" s="18">
        <v>1357</v>
      </c>
      <c r="C704" s="23" t="s">
        <v>111</v>
      </c>
      <c r="D704" s="24">
        <v>45181.954861111109</v>
      </c>
      <c r="E704" s="18" t="s">
        <v>96</v>
      </c>
      <c r="F704" s="18" t="s">
        <v>27</v>
      </c>
      <c r="G704" s="18">
        <v>852</v>
      </c>
      <c r="H704" s="25">
        <f t="shared" si="40"/>
        <v>45181</v>
      </c>
      <c r="I704" s="26">
        <f t="shared" si="41"/>
        <v>0.95486111110949423</v>
      </c>
      <c r="J704" s="18" t="str">
        <f t="shared" si="42"/>
        <v>September</v>
      </c>
      <c r="K704" s="56" t="str">
        <f t="shared" si="43"/>
        <v>Tuesday</v>
      </c>
      <c r="L704" s="18" t="str">
        <f>IF(OR(G704&gt;Answers!I719,G704&lt;Answers!I720),"Outlier","Normal")</f>
        <v>Outlier</v>
      </c>
      <c r="M704" s="18">
        <v>43</v>
      </c>
    </row>
    <row r="705" spans="1:13" ht="20" customHeight="1" x14ac:dyDescent="0.35">
      <c r="A705" s="17">
        <v>493111</v>
      </c>
      <c r="B705" s="18">
        <v>1962</v>
      </c>
      <c r="C705" s="23" t="s">
        <v>99</v>
      </c>
      <c r="D705" s="24">
        <v>44935.963888888888</v>
      </c>
      <c r="E705" s="18" t="s">
        <v>97</v>
      </c>
      <c r="F705" s="18" t="s">
        <v>66</v>
      </c>
      <c r="G705" s="18">
        <v>6279</v>
      </c>
      <c r="H705" s="25">
        <f t="shared" si="40"/>
        <v>44935</v>
      </c>
      <c r="I705" s="26">
        <f t="shared" si="41"/>
        <v>0.96388888888759539</v>
      </c>
      <c r="J705" s="18" t="str">
        <f t="shared" si="42"/>
        <v>January</v>
      </c>
      <c r="K705" s="56" t="str">
        <f t="shared" si="43"/>
        <v>Monday</v>
      </c>
      <c r="L705" s="18" t="str">
        <f>IF(OR(G705&gt;Answers!I720,G705&lt;Answers!I721),"Outlier","Normal")</f>
        <v>Outlier</v>
      </c>
      <c r="M705" s="18">
        <v>23</v>
      </c>
    </row>
    <row r="706" spans="1:13" ht="20" customHeight="1" x14ac:dyDescent="0.35">
      <c r="A706" s="17">
        <v>493809</v>
      </c>
      <c r="B706" s="18">
        <v>799</v>
      </c>
      <c r="C706" s="23" t="s">
        <v>99</v>
      </c>
      <c r="D706" s="24">
        <v>44969.083333333336</v>
      </c>
      <c r="E706" s="18" t="s">
        <v>133</v>
      </c>
      <c r="F706" s="18" t="s">
        <v>78</v>
      </c>
      <c r="G706" s="18">
        <v>8809</v>
      </c>
      <c r="H706" s="25">
        <f t="shared" si="40"/>
        <v>44969</v>
      </c>
      <c r="I706" s="26">
        <f t="shared" si="41"/>
        <v>8.3333333335758653E-2</v>
      </c>
      <c r="J706" s="18" t="str">
        <f t="shared" si="42"/>
        <v>February</v>
      </c>
      <c r="K706" s="56" t="str">
        <f t="shared" si="43"/>
        <v>Sunday</v>
      </c>
      <c r="L706" s="18" t="str">
        <f>IF(OR(G706&gt;Answers!I721,G706&lt;Answers!I722),"Outlier","Normal")</f>
        <v>Outlier</v>
      </c>
      <c r="M706" s="18">
        <v>59</v>
      </c>
    </row>
    <row r="707" spans="1:13" ht="20" customHeight="1" x14ac:dyDescent="0.35">
      <c r="A707" s="17">
        <v>493810</v>
      </c>
      <c r="B707" s="18">
        <v>1040</v>
      </c>
      <c r="C707" s="23" t="s">
        <v>113</v>
      </c>
      <c r="D707" s="24">
        <v>45122.958333333336</v>
      </c>
      <c r="E707" s="18" t="s">
        <v>97</v>
      </c>
      <c r="F707" s="18" t="s">
        <v>77</v>
      </c>
      <c r="G707" s="18">
        <v>1550</v>
      </c>
      <c r="H707" s="25">
        <f t="shared" ref="H707:H770" si="44">INT(D707)</f>
        <v>45122</v>
      </c>
      <c r="I707" s="26">
        <f t="shared" ref="I707:I770" si="45">MOD(D707,1)</f>
        <v>0.95833333333575865</v>
      </c>
      <c r="J707" s="18" t="str">
        <f t="shared" ref="J707:J770" si="46">TEXT(D707,"mmmm")</f>
        <v>July</v>
      </c>
      <c r="K707" s="56" t="str">
        <f t="shared" ref="K707:K770" si="47">TEXT(D707,"dddd")</f>
        <v>Saturday</v>
      </c>
      <c r="L707" s="18" t="str">
        <f>IF(OR(G707&gt;Answers!I722,G707&lt;Answers!I723),"Outlier","Normal")</f>
        <v>Outlier</v>
      </c>
      <c r="M707" s="18">
        <v>63</v>
      </c>
    </row>
    <row r="708" spans="1:13" ht="20" customHeight="1" x14ac:dyDescent="0.35">
      <c r="A708" s="17">
        <v>495154</v>
      </c>
      <c r="B708" s="18">
        <v>1911</v>
      </c>
      <c r="C708" s="23" t="s">
        <v>101</v>
      </c>
      <c r="D708" s="24">
        <v>44991.996527777781</v>
      </c>
      <c r="E708" s="18" t="s">
        <v>97</v>
      </c>
      <c r="F708" s="18" t="s">
        <v>64</v>
      </c>
      <c r="G708" s="18">
        <v>5800</v>
      </c>
      <c r="H708" s="25">
        <f t="shared" si="44"/>
        <v>44991</v>
      </c>
      <c r="I708" s="26">
        <f t="shared" si="45"/>
        <v>0.99652777778101154</v>
      </c>
      <c r="J708" s="18" t="str">
        <f t="shared" si="46"/>
        <v>March</v>
      </c>
      <c r="K708" s="56" t="str">
        <f t="shared" si="47"/>
        <v>Monday</v>
      </c>
      <c r="L708" s="18" t="str">
        <f>IF(OR(G708&gt;Answers!I723,G708&lt;Answers!I724),"Outlier","Normal")</f>
        <v>Outlier</v>
      </c>
      <c r="M708" s="18">
        <v>78</v>
      </c>
    </row>
    <row r="709" spans="1:13" ht="20" customHeight="1" x14ac:dyDescent="0.35">
      <c r="A709" s="17">
        <v>495680</v>
      </c>
      <c r="B709" s="18">
        <v>276</v>
      </c>
      <c r="C709" s="23" t="s">
        <v>113</v>
      </c>
      <c r="D709" s="24">
        <v>45103.03402777778</v>
      </c>
      <c r="E709" s="18" t="s">
        <v>97</v>
      </c>
      <c r="F709" s="18" t="s">
        <v>30</v>
      </c>
      <c r="G709" s="18">
        <v>2665</v>
      </c>
      <c r="H709" s="25">
        <f t="shared" si="44"/>
        <v>45103</v>
      </c>
      <c r="I709" s="26">
        <f t="shared" si="45"/>
        <v>3.4027777779556345E-2</v>
      </c>
      <c r="J709" s="18" t="str">
        <f t="shared" si="46"/>
        <v>June</v>
      </c>
      <c r="K709" s="56" t="str">
        <f t="shared" si="47"/>
        <v>Monday</v>
      </c>
      <c r="L709" s="18" t="str">
        <f>IF(OR(G709&gt;Answers!I724,G709&lt;Answers!I725),"Outlier","Normal")</f>
        <v>Outlier</v>
      </c>
      <c r="M709" s="18">
        <v>59</v>
      </c>
    </row>
    <row r="710" spans="1:13" ht="20" customHeight="1" x14ac:dyDescent="0.35">
      <c r="A710" s="17">
        <v>497302</v>
      </c>
      <c r="B710" s="18">
        <v>1539</v>
      </c>
      <c r="C710" s="23" t="s">
        <v>99</v>
      </c>
      <c r="D710" s="24">
        <v>45177.978472222225</v>
      </c>
      <c r="E710" s="18" t="s">
        <v>98</v>
      </c>
      <c r="F710" s="18" t="s">
        <v>53</v>
      </c>
      <c r="G710" s="18">
        <v>7579</v>
      </c>
      <c r="H710" s="25">
        <f t="shared" si="44"/>
        <v>45177</v>
      </c>
      <c r="I710" s="26">
        <f t="shared" si="45"/>
        <v>0.97847222222480923</v>
      </c>
      <c r="J710" s="18" t="str">
        <f t="shared" si="46"/>
        <v>September</v>
      </c>
      <c r="K710" s="56" t="str">
        <f t="shared" si="47"/>
        <v>Friday</v>
      </c>
      <c r="L710" s="18" t="str">
        <f>IF(OR(G710&gt;Answers!I725,G710&lt;Answers!I726),"Outlier","Normal")</f>
        <v>Outlier</v>
      </c>
      <c r="M710" s="18">
        <v>73</v>
      </c>
    </row>
    <row r="711" spans="1:13" ht="20" customHeight="1" x14ac:dyDescent="0.35">
      <c r="A711" s="17">
        <v>497663</v>
      </c>
      <c r="B711" s="18">
        <v>596</v>
      </c>
      <c r="C711" s="23" t="s">
        <v>102</v>
      </c>
      <c r="D711" s="24">
        <v>45236.002083333333</v>
      </c>
      <c r="E711" s="18" t="s">
        <v>96</v>
      </c>
      <c r="F711" s="18" t="s">
        <v>85</v>
      </c>
      <c r="G711" s="18">
        <v>6580</v>
      </c>
      <c r="H711" s="25">
        <f t="shared" si="44"/>
        <v>45236</v>
      </c>
      <c r="I711" s="26">
        <f t="shared" si="45"/>
        <v>2.0833333328482695E-3</v>
      </c>
      <c r="J711" s="18" t="str">
        <f t="shared" si="46"/>
        <v>November</v>
      </c>
      <c r="K711" s="56" t="str">
        <f t="shared" si="47"/>
        <v>Monday</v>
      </c>
      <c r="L711" s="18" t="str">
        <f>IF(OR(G711&gt;Answers!I726,G711&lt;Answers!I727),"Outlier","Normal")</f>
        <v>Outlier</v>
      </c>
      <c r="M711" s="18">
        <v>66</v>
      </c>
    </row>
    <row r="712" spans="1:13" ht="20" customHeight="1" x14ac:dyDescent="0.35">
      <c r="A712" s="17">
        <v>498278</v>
      </c>
      <c r="B712" s="18">
        <v>540</v>
      </c>
      <c r="C712" s="23" t="s">
        <v>101</v>
      </c>
      <c r="D712" s="24">
        <v>45090.046527777777</v>
      </c>
      <c r="E712" s="18" t="s">
        <v>96</v>
      </c>
      <c r="F712" s="18" t="s">
        <v>51</v>
      </c>
      <c r="G712" s="18">
        <v>4974</v>
      </c>
      <c r="H712" s="25">
        <f t="shared" si="44"/>
        <v>45090</v>
      </c>
      <c r="I712" s="26">
        <f t="shared" si="45"/>
        <v>4.6527777776645962E-2</v>
      </c>
      <c r="J712" s="18" t="str">
        <f t="shared" si="46"/>
        <v>June</v>
      </c>
      <c r="K712" s="56" t="str">
        <f t="shared" si="47"/>
        <v>Tuesday</v>
      </c>
      <c r="L712" s="18" t="str">
        <f>IF(OR(G712&gt;Answers!I727,G712&lt;Answers!I728),"Outlier","Normal")</f>
        <v>Outlier</v>
      </c>
      <c r="M712" s="18">
        <v>27</v>
      </c>
    </row>
    <row r="713" spans="1:13" ht="20" customHeight="1" x14ac:dyDescent="0.35">
      <c r="A713" s="17">
        <v>498746</v>
      </c>
      <c r="B713" s="18">
        <v>1475</v>
      </c>
      <c r="C713" s="23" t="s">
        <v>105</v>
      </c>
      <c r="D713" s="24">
        <v>45080.006249999999</v>
      </c>
      <c r="E713" s="18" t="s">
        <v>97</v>
      </c>
      <c r="F713" s="18" t="s">
        <v>68</v>
      </c>
      <c r="G713" s="18">
        <v>6335</v>
      </c>
      <c r="H713" s="25">
        <f t="shared" si="44"/>
        <v>45080</v>
      </c>
      <c r="I713" s="26">
        <f t="shared" si="45"/>
        <v>6.2499999985448085E-3</v>
      </c>
      <c r="J713" s="18" t="str">
        <f t="shared" si="46"/>
        <v>June</v>
      </c>
      <c r="K713" s="56" t="str">
        <f t="shared" si="47"/>
        <v>Saturday</v>
      </c>
      <c r="L713" s="18" t="str">
        <f>IF(OR(G713&gt;Answers!I728,G713&lt;Answers!I729),"Outlier","Normal")</f>
        <v>Outlier</v>
      </c>
      <c r="M713" s="18">
        <v>25</v>
      </c>
    </row>
    <row r="714" spans="1:13" ht="20" customHeight="1" x14ac:dyDescent="0.35">
      <c r="A714" s="17">
        <v>499145</v>
      </c>
      <c r="B714" s="18">
        <v>61</v>
      </c>
      <c r="C714" s="23" t="s">
        <v>105</v>
      </c>
      <c r="D714" s="24">
        <v>45168.95416666667</v>
      </c>
      <c r="E714" s="18" t="s">
        <v>98</v>
      </c>
      <c r="F714" s="18" t="s">
        <v>43</v>
      </c>
      <c r="G714" s="18">
        <v>165</v>
      </c>
      <c r="H714" s="25">
        <f t="shared" si="44"/>
        <v>45168</v>
      </c>
      <c r="I714" s="26">
        <f t="shared" si="45"/>
        <v>0.95416666667006211</v>
      </c>
      <c r="J714" s="18" t="str">
        <f t="shared" si="46"/>
        <v>August</v>
      </c>
      <c r="K714" s="56" t="str">
        <f t="shared" si="47"/>
        <v>Wednesday</v>
      </c>
      <c r="L714" s="18" t="str">
        <f>IF(OR(G714&gt;Answers!I729,G714&lt;Answers!I730),"Outlier","Normal")</f>
        <v>Outlier</v>
      </c>
      <c r="M714" s="18">
        <v>47</v>
      </c>
    </row>
    <row r="715" spans="1:13" ht="20" customHeight="1" x14ac:dyDescent="0.35">
      <c r="A715" s="17">
        <v>499301</v>
      </c>
      <c r="B715" s="18">
        <v>125</v>
      </c>
      <c r="C715" s="23" t="s">
        <v>105</v>
      </c>
      <c r="D715" s="24">
        <v>45215.061111111114</v>
      </c>
      <c r="E715" s="18" t="s">
        <v>98</v>
      </c>
      <c r="F715" s="18" t="s">
        <v>27</v>
      </c>
      <c r="G715" s="18">
        <v>8557</v>
      </c>
      <c r="H715" s="25">
        <f t="shared" si="44"/>
        <v>45215</v>
      </c>
      <c r="I715" s="26">
        <f t="shared" si="45"/>
        <v>6.1111111113859806E-2</v>
      </c>
      <c r="J715" s="18" t="str">
        <f t="shared" si="46"/>
        <v>October</v>
      </c>
      <c r="K715" s="56" t="str">
        <f t="shared" si="47"/>
        <v>Monday</v>
      </c>
      <c r="L715" s="18" t="str">
        <f>IF(OR(G715&gt;Answers!I730,G715&lt;Answers!I731),"Outlier","Normal")</f>
        <v>Outlier</v>
      </c>
      <c r="M715" s="18">
        <v>58</v>
      </c>
    </row>
    <row r="716" spans="1:13" ht="20" customHeight="1" x14ac:dyDescent="0.35">
      <c r="A716" s="17">
        <v>499444</v>
      </c>
      <c r="B716" s="18">
        <v>122</v>
      </c>
      <c r="C716" s="23" t="s">
        <v>105</v>
      </c>
      <c r="D716" s="24">
        <v>45131.002083333333</v>
      </c>
      <c r="E716" s="18" t="s">
        <v>98</v>
      </c>
      <c r="F716" s="18" t="s">
        <v>69</v>
      </c>
      <c r="G716" s="18">
        <v>9615</v>
      </c>
      <c r="H716" s="25">
        <f t="shared" si="44"/>
        <v>45131</v>
      </c>
      <c r="I716" s="26">
        <f t="shared" si="45"/>
        <v>2.0833333328482695E-3</v>
      </c>
      <c r="J716" s="18" t="str">
        <f t="shared" si="46"/>
        <v>July</v>
      </c>
      <c r="K716" s="56" t="str">
        <f t="shared" si="47"/>
        <v>Monday</v>
      </c>
      <c r="L716" s="18" t="str">
        <f>IF(OR(G716&gt;Answers!I731,G716&lt;Answers!I732),"Outlier","Normal")</f>
        <v>Outlier</v>
      </c>
      <c r="M716" s="18">
        <v>41</v>
      </c>
    </row>
    <row r="717" spans="1:13" ht="20" customHeight="1" x14ac:dyDescent="0.35">
      <c r="A717" s="17">
        <v>500116</v>
      </c>
      <c r="B717" s="18">
        <v>1317</v>
      </c>
      <c r="C717" s="23" t="s">
        <v>100</v>
      </c>
      <c r="D717" s="24">
        <v>45072.044444444444</v>
      </c>
      <c r="E717" s="18" t="s">
        <v>96</v>
      </c>
      <c r="F717" s="18" t="s">
        <v>43</v>
      </c>
      <c r="G717" s="18">
        <v>4269</v>
      </c>
      <c r="H717" s="25">
        <f t="shared" si="44"/>
        <v>45072</v>
      </c>
      <c r="I717" s="26">
        <f t="shared" si="45"/>
        <v>4.4444444443797693E-2</v>
      </c>
      <c r="J717" s="18" t="str">
        <f t="shared" si="46"/>
        <v>May</v>
      </c>
      <c r="K717" s="56" t="str">
        <f t="shared" si="47"/>
        <v>Friday</v>
      </c>
      <c r="L717" s="18" t="str">
        <f>IF(OR(G717&gt;Answers!I732,G717&lt;Answers!I733),"Outlier","Normal")</f>
        <v>Outlier</v>
      </c>
      <c r="M717" s="18">
        <v>54</v>
      </c>
    </row>
    <row r="718" spans="1:13" ht="20" customHeight="1" x14ac:dyDescent="0.35">
      <c r="A718" s="17">
        <v>500630</v>
      </c>
      <c r="B718" s="18">
        <v>548</v>
      </c>
      <c r="C718" s="23" t="s">
        <v>99</v>
      </c>
      <c r="D718" s="24">
        <v>45091.020138888889</v>
      </c>
      <c r="E718" s="18" t="s">
        <v>96</v>
      </c>
      <c r="F718" s="18" t="s">
        <v>22</v>
      </c>
      <c r="G718" s="18">
        <v>3906</v>
      </c>
      <c r="H718" s="25">
        <f t="shared" si="44"/>
        <v>45091</v>
      </c>
      <c r="I718" s="26">
        <f t="shared" si="45"/>
        <v>2.0138888889050577E-2</v>
      </c>
      <c r="J718" s="18" t="str">
        <f t="shared" si="46"/>
        <v>June</v>
      </c>
      <c r="K718" s="56" t="str">
        <f t="shared" si="47"/>
        <v>Wednesday</v>
      </c>
      <c r="L718" s="18" t="str">
        <f>IF(OR(G718&gt;Answers!I733,G718&lt;Answers!I734),"Outlier","Normal")</f>
        <v>Outlier</v>
      </c>
      <c r="M718" s="18">
        <v>48</v>
      </c>
    </row>
    <row r="719" spans="1:13" ht="20" customHeight="1" x14ac:dyDescent="0.35">
      <c r="A719" s="17">
        <v>501314</v>
      </c>
      <c r="B719" s="18">
        <v>319</v>
      </c>
      <c r="C719" s="23" t="s">
        <v>113</v>
      </c>
      <c r="D719" s="24">
        <v>44963.950694444444</v>
      </c>
      <c r="E719" s="18" t="s">
        <v>98</v>
      </c>
      <c r="F719" s="18" t="s">
        <v>4</v>
      </c>
      <c r="G719" s="18">
        <v>2512</v>
      </c>
      <c r="H719" s="25">
        <f t="shared" si="44"/>
        <v>44963</v>
      </c>
      <c r="I719" s="26">
        <f t="shared" si="45"/>
        <v>0.95069444444379769</v>
      </c>
      <c r="J719" s="18" t="str">
        <f t="shared" si="46"/>
        <v>February</v>
      </c>
      <c r="K719" s="56" t="str">
        <f t="shared" si="47"/>
        <v>Monday</v>
      </c>
      <c r="L719" s="18" t="str">
        <f>IF(OR(G719&gt;Answers!I734,G719&lt;Answers!I735),"Outlier","Normal")</f>
        <v>Outlier</v>
      </c>
      <c r="M719" s="18">
        <v>39</v>
      </c>
    </row>
    <row r="720" spans="1:13" ht="20" customHeight="1" x14ac:dyDescent="0.35">
      <c r="A720" s="17">
        <v>502404</v>
      </c>
      <c r="B720" s="18">
        <v>62</v>
      </c>
      <c r="C720" s="23" t="s">
        <v>99</v>
      </c>
      <c r="D720" s="24">
        <v>44973.993750000001</v>
      </c>
      <c r="E720" s="18" t="s">
        <v>97</v>
      </c>
      <c r="F720" s="18" t="s">
        <v>19</v>
      </c>
      <c r="G720" s="18">
        <v>3368</v>
      </c>
      <c r="H720" s="25">
        <f t="shared" si="44"/>
        <v>44973</v>
      </c>
      <c r="I720" s="26">
        <f t="shared" si="45"/>
        <v>0.99375000000145519</v>
      </c>
      <c r="J720" s="18" t="str">
        <f t="shared" si="46"/>
        <v>February</v>
      </c>
      <c r="K720" s="56" t="str">
        <f t="shared" si="47"/>
        <v>Thursday</v>
      </c>
      <c r="L720" s="18" t="str">
        <f>IF(OR(G720&gt;Answers!I735,G720&lt;Answers!I736),"Outlier","Normal")</f>
        <v>Outlier</v>
      </c>
      <c r="M720" s="18">
        <v>42</v>
      </c>
    </row>
    <row r="721" spans="1:13" ht="20" customHeight="1" x14ac:dyDescent="0.35">
      <c r="A721" s="17">
        <v>503957</v>
      </c>
      <c r="B721" s="18">
        <v>1442</v>
      </c>
      <c r="C721" s="23" t="s">
        <v>99</v>
      </c>
      <c r="D721" s="24">
        <v>45187.04583333333</v>
      </c>
      <c r="E721" s="18" t="s">
        <v>97</v>
      </c>
      <c r="F721" s="18" t="s">
        <v>35</v>
      </c>
      <c r="G721" s="18">
        <v>2938</v>
      </c>
      <c r="H721" s="25">
        <f t="shared" si="44"/>
        <v>45187</v>
      </c>
      <c r="I721" s="26">
        <f t="shared" si="45"/>
        <v>4.5833333329937886E-2</v>
      </c>
      <c r="J721" s="18" t="str">
        <f t="shared" si="46"/>
        <v>September</v>
      </c>
      <c r="K721" s="56" t="str">
        <f t="shared" si="47"/>
        <v>Monday</v>
      </c>
      <c r="L721" s="18" t="str">
        <f>IF(OR(G721&gt;Answers!I736,G721&lt;Answers!I737),"Outlier","Normal")</f>
        <v>Outlier</v>
      </c>
      <c r="M721" s="18">
        <v>82</v>
      </c>
    </row>
    <row r="722" spans="1:13" ht="20" customHeight="1" x14ac:dyDescent="0.35">
      <c r="A722" s="17">
        <v>504071</v>
      </c>
      <c r="B722" s="18">
        <v>1811</v>
      </c>
      <c r="C722" s="23" t="s">
        <v>99</v>
      </c>
      <c r="D722" s="24">
        <v>45152.022222222222</v>
      </c>
      <c r="E722" s="18" t="s">
        <v>133</v>
      </c>
      <c r="F722" s="18" t="s">
        <v>15</v>
      </c>
      <c r="G722" s="18">
        <v>2261</v>
      </c>
      <c r="H722" s="25">
        <f t="shared" si="44"/>
        <v>45152</v>
      </c>
      <c r="I722" s="26">
        <f t="shared" si="45"/>
        <v>2.2222222221898846E-2</v>
      </c>
      <c r="J722" s="18" t="str">
        <f t="shared" si="46"/>
        <v>August</v>
      </c>
      <c r="K722" s="56" t="str">
        <f t="shared" si="47"/>
        <v>Monday</v>
      </c>
      <c r="L722" s="18" t="str">
        <f>IF(OR(G722&gt;Answers!I737,G722&lt;Answers!I738),"Outlier","Normal")</f>
        <v>Outlier</v>
      </c>
      <c r="M722" s="18">
        <v>79</v>
      </c>
    </row>
    <row r="723" spans="1:13" ht="20" customHeight="1" x14ac:dyDescent="0.35">
      <c r="A723" s="17">
        <v>504938</v>
      </c>
      <c r="B723" s="18">
        <v>84</v>
      </c>
      <c r="C723" s="23" t="s">
        <v>99</v>
      </c>
      <c r="D723" s="24">
        <v>45117.98333333333</v>
      </c>
      <c r="E723" s="18" t="s">
        <v>98</v>
      </c>
      <c r="F723" s="18" t="s">
        <v>28</v>
      </c>
      <c r="G723" s="18">
        <v>6541</v>
      </c>
      <c r="H723" s="25">
        <f t="shared" si="44"/>
        <v>45117</v>
      </c>
      <c r="I723" s="26">
        <f t="shared" si="45"/>
        <v>0.98333333332993789</v>
      </c>
      <c r="J723" s="18" t="str">
        <f t="shared" si="46"/>
        <v>July</v>
      </c>
      <c r="K723" s="56" t="str">
        <f t="shared" si="47"/>
        <v>Monday</v>
      </c>
      <c r="L723" s="18" t="str">
        <f>IF(OR(G723&gt;Answers!I738,G723&lt;Answers!I739),"Outlier","Normal")</f>
        <v>Outlier</v>
      </c>
      <c r="M723" s="18">
        <v>85</v>
      </c>
    </row>
    <row r="724" spans="1:13" ht="20" customHeight="1" x14ac:dyDescent="0.35">
      <c r="A724" s="17">
        <v>505298</v>
      </c>
      <c r="B724" s="18">
        <v>1854</v>
      </c>
      <c r="C724" s="23" t="s">
        <v>99</v>
      </c>
      <c r="D724" s="24">
        <v>45111.023611111108</v>
      </c>
      <c r="E724" s="18" t="s">
        <v>96</v>
      </c>
      <c r="F724" s="18" t="s">
        <v>78</v>
      </c>
      <c r="G724" s="18">
        <v>7393</v>
      </c>
      <c r="H724" s="25">
        <f t="shared" si="44"/>
        <v>45111</v>
      </c>
      <c r="I724" s="26">
        <f t="shared" si="45"/>
        <v>2.361111110803904E-2</v>
      </c>
      <c r="J724" s="18" t="str">
        <f t="shared" si="46"/>
        <v>July</v>
      </c>
      <c r="K724" s="56" t="str">
        <f t="shared" si="47"/>
        <v>Tuesday</v>
      </c>
      <c r="L724" s="18" t="str">
        <f>IF(OR(G724&gt;Answers!I739,G724&lt;Answers!I740),"Outlier","Normal")</f>
        <v>Outlier</v>
      </c>
      <c r="M724" s="18">
        <v>87</v>
      </c>
    </row>
    <row r="725" spans="1:13" ht="20" customHeight="1" x14ac:dyDescent="0.35">
      <c r="A725" s="17">
        <v>506188</v>
      </c>
      <c r="B725" s="18">
        <v>515</v>
      </c>
      <c r="C725" s="23" t="s">
        <v>105</v>
      </c>
      <c r="D725" s="24">
        <v>44970.025000000001</v>
      </c>
      <c r="E725" s="18" t="s">
        <v>96</v>
      </c>
      <c r="F725" s="18" t="s">
        <v>27</v>
      </c>
      <c r="G725" s="18">
        <v>2177</v>
      </c>
      <c r="H725" s="25">
        <f t="shared" si="44"/>
        <v>44970</v>
      </c>
      <c r="I725" s="26">
        <f t="shared" si="45"/>
        <v>2.5000000001455192E-2</v>
      </c>
      <c r="J725" s="18" t="str">
        <f t="shared" si="46"/>
        <v>February</v>
      </c>
      <c r="K725" s="56" t="str">
        <f t="shared" si="47"/>
        <v>Monday</v>
      </c>
      <c r="L725" s="18" t="str">
        <f>IF(OR(G725&gt;Answers!I740,G725&lt;Answers!I741),"Outlier","Normal")</f>
        <v>Outlier</v>
      </c>
      <c r="M725" s="18">
        <v>37</v>
      </c>
    </row>
    <row r="726" spans="1:13" ht="20" customHeight="1" x14ac:dyDescent="0.35">
      <c r="A726" s="17">
        <v>506560</v>
      </c>
      <c r="B726" s="18">
        <v>301</v>
      </c>
      <c r="C726" s="23" t="s">
        <v>113</v>
      </c>
      <c r="D726" s="24">
        <v>44952.013888888891</v>
      </c>
      <c r="E726" s="18" t="s">
        <v>97</v>
      </c>
      <c r="F726" s="18" t="s">
        <v>46</v>
      </c>
      <c r="G726" s="18">
        <v>2071</v>
      </c>
      <c r="H726" s="25">
        <f t="shared" si="44"/>
        <v>44952</v>
      </c>
      <c r="I726" s="26">
        <f t="shared" si="45"/>
        <v>1.3888888890505768E-2</v>
      </c>
      <c r="J726" s="18" t="str">
        <f t="shared" si="46"/>
        <v>January</v>
      </c>
      <c r="K726" s="56" t="str">
        <f t="shared" si="47"/>
        <v>Thursday</v>
      </c>
      <c r="L726" s="18" t="str">
        <f>IF(OR(G726&gt;Answers!I741,G726&lt;Answers!I742),"Outlier","Normal")</f>
        <v>Outlier</v>
      </c>
      <c r="M726" s="18">
        <v>46</v>
      </c>
    </row>
    <row r="727" spans="1:13" ht="20" customHeight="1" x14ac:dyDescent="0.35">
      <c r="A727" s="17">
        <v>506882</v>
      </c>
      <c r="B727" s="18">
        <v>197</v>
      </c>
      <c r="C727" s="23" t="s">
        <v>99</v>
      </c>
      <c r="D727" s="24">
        <v>45232.05972222222</v>
      </c>
      <c r="E727" s="18" t="s">
        <v>98</v>
      </c>
      <c r="F727" s="18" t="s">
        <v>27</v>
      </c>
      <c r="G727" s="18">
        <v>3087</v>
      </c>
      <c r="H727" s="25">
        <f t="shared" si="44"/>
        <v>45232</v>
      </c>
      <c r="I727" s="26">
        <f t="shared" si="45"/>
        <v>5.9722222220443655E-2</v>
      </c>
      <c r="J727" s="18" t="str">
        <f t="shared" si="46"/>
        <v>November</v>
      </c>
      <c r="K727" s="56" t="str">
        <f t="shared" si="47"/>
        <v>Thursday</v>
      </c>
      <c r="L727" s="18" t="str">
        <f>IF(OR(G727&gt;Answers!I742,G727&lt;Answers!I743),"Outlier","Normal")</f>
        <v>Outlier</v>
      </c>
      <c r="M727" s="18">
        <v>38</v>
      </c>
    </row>
    <row r="728" spans="1:13" ht="20" customHeight="1" x14ac:dyDescent="0.35">
      <c r="A728" s="17">
        <v>507043</v>
      </c>
      <c r="B728" s="18">
        <v>933</v>
      </c>
      <c r="C728" s="23" t="s">
        <v>99</v>
      </c>
      <c r="D728" s="24">
        <v>45126.073611111111</v>
      </c>
      <c r="E728" s="18" t="s">
        <v>133</v>
      </c>
      <c r="F728" s="18" t="s">
        <v>27</v>
      </c>
      <c r="G728" s="18">
        <v>6796</v>
      </c>
      <c r="H728" s="25">
        <f t="shared" si="44"/>
        <v>45126</v>
      </c>
      <c r="I728" s="26">
        <f t="shared" si="45"/>
        <v>7.3611111110949423E-2</v>
      </c>
      <c r="J728" s="18" t="str">
        <f t="shared" si="46"/>
        <v>July</v>
      </c>
      <c r="K728" s="56" t="str">
        <f t="shared" si="47"/>
        <v>Wednesday</v>
      </c>
      <c r="L728" s="18" t="str">
        <f>IF(OR(G728&gt;Answers!I743,G728&lt;Answers!I744),"Outlier","Normal")</f>
        <v>Outlier</v>
      </c>
      <c r="M728" s="18">
        <v>24</v>
      </c>
    </row>
    <row r="729" spans="1:13" ht="20" customHeight="1" x14ac:dyDescent="0.35">
      <c r="A729" s="17">
        <v>508458</v>
      </c>
      <c r="B729" s="18">
        <v>864</v>
      </c>
      <c r="C729" s="23" t="s">
        <v>99</v>
      </c>
      <c r="D729" s="24">
        <v>45086.057638888888</v>
      </c>
      <c r="E729" s="18" t="s">
        <v>98</v>
      </c>
      <c r="F729" s="18" t="s">
        <v>18</v>
      </c>
      <c r="G729" s="18">
        <v>1522</v>
      </c>
      <c r="H729" s="25">
        <f t="shared" si="44"/>
        <v>45086</v>
      </c>
      <c r="I729" s="26">
        <f t="shared" si="45"/>
        <v>5.7638888887595385E-2</v>
      </c>
      <c r="J729" s="18" t="str">
        <f t="shared" si="46"/>
        <v>June</v>
      </c>
      <c r="K729" s="56" t="str">
        <f t="shared" si="47"/>
        <v>Friday</v>
      </c>
      <c r="L729" s="18" t="str">
        <f>IF(OR(G729&gt;Answers!I744,G729&lt;Answers!I745),"Outlier","Normal")</f>
        <v>Outlier</v>
      </c>
      <c r="M729" s="18">
        <v>78</v>
      </c>
    </row>
    <row r="730" spans="1:13" ht="20" customHeight="1" x14ac:dyDescent="0.35">
      <c r="A730" s="17">
        <v>508989</v>
      </c>
      <c r="B730" s="18">
        <v>1307</v>
      </c>
      <c r="C730" s="23" t="s">
        <v>100</v>
      </c>
      <c r="D730" s="24">
        <v>44988.04583333333</v>
      </c>
      <c r="E730" s="18" t="s">
        <v>96</v>
      </c>
      <c r="F730" s="18" t="s">
        <v>76</v>
      </c>
      <c r="G730" s="18">
        <v>3733</v>
      </c>
      <c r="H730" s="25">
        <f t="shared" si="44"/>
        <v>44988</v>
      </c>
      <c r="I730" s="26">
        <f t="shared" si="45"/>
        <v>4.5833333329937886E-2</v>
      </c>
      <c r="J730" s="18" t="str">
        <f t="shared" si="46"/>
        <v>March</v>
      </c>
      <c r="K730" s="56" t="str">
        <f t="shared" si="47"/>
        <v>Friday</v>
      </c>
      <c r="L730" s="18" t="str">
        <f>IF(OR(G730&gt;Answers!I745,G730&lt;Answers!I746),"Outlier","Normal")</f>
        <v>Outlier</v>
      </c>
      <c r="M730" s="18">
        <v>78</v>
      </c>
    </row>
    <row r="731" spans="1:13" ht="20" customHeight="1" x14ac:dyDescent="0.35">
      <c r="A731" s="17">
        <v>509663</v>
      </c>
      <c r="B731" s="18">
        <v>1437</v>
      </c>
      <c r="C731" s="23" t="s">
        <v>99</v>
      </c>
      <c r="D731" s="24">
        <v>45102.002083333333</v>
      </c>
      <c r="E731" s="18" t="s">
        <v>97</v>
      </c>
      <c r="F731" s="18" t="s">
        <v>81</v>
      </c>
      <c r="G731" s="18">
        <v>6211</v>
      </c>
      <c r="H731" s="25">
        <f t="shared" si="44"/>
        <v>45102</v>
      </c>
      <c r="I731" s="26">
        <f t="shared" si="45"/>
        <v>2.0833333328482695E-3</v>
      </c>
      <c r="J731" s="18" t="str">
        <f t="shared" si="46"/>
        <v>June</v>
      </c>
      <c r="K731" s="56" t="str">
        <f t="shared" si="47"/>
        <v>Sunday</v>
      </c>
      <c r="L731" s="18" t="str">
        <f>IF(OR(G731&gt;Answers!I746,G731&lt;Answers!I747),"Outlier","Normal")</f>
        <v>Outlier</v>
      </c>
      <c r="M731" s="18">
        <v>80</v>
      </c>
    </row>
    <row r="732" spans="1:13" ht="20" customHeight="1" x14ac:dyDescent="0.35">
      <c r="A732" s="17">
        <v>510478</v>
      </c>
      <c r="B732" s="18">
        <v>12</v>
      </c>
      <c r="C732" s="23" t="s">
        <v>105</v>
      </c>
      <c r="D732" s="24">
        <v>44998.968055555553</v>
      </c>
      <c r="E732" s="18" t="s">
        <v>97</v>
      </c>
      <c r="F732" s="18" t="s">
        <v>88</v>
      </c>
      <c r="G732" s="18">
        <v>4788</v>
      </c>
      <c r="H732" s="25">
        <f t="shared" si="44"/>
        <v>44998</v>
      </c>
      <c r="I732" s="26">
        <f t="shared" si="45"/>
        <v>0.96805555555329192</v>
      </c>
      <c r="J732" s="18" t="str">
        <f t="shared" si="46"/>
        <v>March</v>
      </c>
      <c r="K732" s="56" t="str">
        <f t="shared" si="47"/>
        <v>Monday</v>
      </c>
      <c r="L732" s="18" t="str">
        <f>IF(OR(G732&gt;Answers!I747,G732&lt;Answers!I748),"Outlier","Normal")</f>
        <v>Outlier</v>
      </c>
      <c r="M732" s="18">
        <v>65</v>
      </c>
    </row>
    <row r="733" spans="1:13" ht="20" customHeight="1" x14ac:dyDescent="0.35">
      <c r="A733" s="17">
        <v>510541</v>
      </c>
      <c r="B733" s="18">
        <v>1007</v>
      </c>
      <c r="C733" s="23" t="s">
        <v>99</v>
      </c>
      <c r="D733" s="24">
        <v>44988.007638888892</v>
      </c>
      <c r="E733" s="18" t="s">
        <v>133</v>
      </c>
      <c r="F733" s="18" t="s">
        <v>86</v>
      </c>
      <c r="G733" s="18">
        <v>8601</v>
      </c>
      <c r="H733" s="25">
        <f t="shared" si="44"/>
        <v>44988</v>
      </c>
      <c r="I733" s="26">
        <f t="shared" si="45"/>
        <v>7.6388888919609599E-3</v>
      </c>
      <c r="J733" s="18" t="str">
        <f t="shared" si="46"/>
        <v>March</v>
      </c>
      <c r="K733" s="56" t="str">
        <f t="shared" si="47"/>
        <v>Friday</v>
      </c>
      <c r="L733" s="18" t="str">
        <f>IF(OR(G733&gt;Answers!I748,G733&lt;Answers!I749),"Outlier","Normal")</f>
        <v>Outlier</v>
      </c>
      <c r="M733" s="18">
        <v>62</v>
      </c>
    </row>
    <row r="734" spans="1:13" ht="20" customHeight="1" x14ac:dyDescent="0.35">
      <c r="A734" s="17">
        <v>510910</v>
      </c>
      <c r="B734" s="18">
        <v>1461</v>
      </c>
      <c r="C734" s="23" t="s">
        <v>99</v>
      </c>
      <c r="D734" s="24">
        <v>44929.981944444444</v>
      </c>
      <c r="E734" s="18" t="s">
        <v>133</v>
      </c>
      <c r="F734" s="18" t="s">
        <v>8</v>
      </c>
      <c r="G734" s="18">
        <v>1323</v>
      </c>
      <c r="H734" s="25">
        <f t="shared" si="44"/>
        <v>44929</v>
      </c>
      <c r="I734" s="26">
        <f t="shared" si="45"/>
        <v>0.98194444444379769</v>
      </c>
      <c r="J734" s="18" t="str">
        <f t="shared" si="46"/>
        <v>January</v>
      </c>
      <c r="K734" s="56" t="str">
        <f t="shared" si="47"/>
        <v>Tuesday</v>
      </c>
      <c r="L734" s="18" t="str">
        <f>IF(OR(G734&gt;Answers!I749,G734&lt;Answers!I750),"Outlier","Normal")</f>
        <v>Outlier</v>
      </c>
      <c r="M734" s="18">
        <v>77</v>
      </c>
    </row>
    <row r="735" spans="1:13" ht="20" customHeight="1" x14ac:dyDescent="0.35">
      <c r="A735" s="17">
        <v>510973</v>
      </c>
      <c r="B735" s="18">
        <v>679</v>
      </c>
      <c r="C735" s="23" t="s">
        <v>106</v>
      </c>
      <c r="D735" s="24">
        <v>44976.044444444444</v>
      </c>
      <c r="E735" s="18" t="s">
        <v>96</v>
      </c>
      <c r="F735" s="18" t="s">
        <v>90</v>
      </c>
      <c r="G735" s="18">
        <v>7192</v>
      </c>
      <c r="H735" s="25">
        <f t="shared" si="44"/>
        <v>44976</v>
      </c>
      <c r="I735" s="26">
        <f t="shared" si="45"/>
        <v>4.4444444443797693E-2</v>
      </c>
      <c r="J735" s="18" t="str">
        <f t="shared" si="46"/>
        <v>February</v>
      </c>
      <c r="K735" s="56" t="str">
        <f t="shared" si="47"/>
        <v>Sunday</v>
      </c>
      <c r="L735" s="18" t="str">
        <f>IF(OR(G735&gt;Answers!I750,G735&lt;Answers!I751),"Outlier","Normal")</f>
        <v>Outlier</v>
      </c>
      <c r="M735" s="18">
        <v>34</v>
      </c>
    </row>
    <row r="736" spans="1:13" ht="20" customHeight="1" x14ac:dyDescent="0.35">
      <c r="A736" s="17">
        <v>511431</v>
      </c>
      <c r="B736" s="18">
        <v>1125</v>
      </c>
      <c r="C736" s="23" t="s">
        <v>106</v>
      </c>
      <c r="D736" s="24">
        <v>45145.065972222219</v>
      </c>
      <c r="E736" s="18" t="s">
        <v>97</v>
      </c>
      <c r="F736" s="18" t="s">
        <v>43</v>
      </c>
      <c r="G736" s="18">
        <v>1624</v>
      </c>
      <c r="H736" s="25">
        <f t="shared" si="44"/>
        <v>45145</v>
      </c>
      <c r="I736" s="26">
        <f t="shared" si="45"/>
        <v>6.5972222218988463E-2</v>
      </c>
      <c r="J736" s="18" t="str">
        <f t="shared" si="46"/>
        <v>August</v>
      </c>
      <c r="K736" s="56" t="str">
        <f t="shared" si="47"/>
        <v>Monday</v>
      </c>
      <c r="L736" s="18" t="str">
        <f>IF(OR(G736&gt;Answers!I751,G736&lt;Answers!I752),"Outlier","Normal")</f>
        <v>Outlier</v>
      </c>
      <c r="M736" s="18">
        <v>18</v>
      </c>
    </row>
    <row r="737" spans="1:13" ht="20" customHeight="1" x14ac:dyDescent="0.35">
      <c r="A737" s="17">
        <v>512440</v>
      </c>
      <c r="B737" s="18">
        <v>99</v>
      </c>
      <c r="C737" s="23" t="s">
        <v>101</v>
      </c>
      <c r="D737" s="24">
        <v>45084.03125</v>
      </c>
      <c r="E737" s="18" t="s">
        <v>97</v>
      </c>
      <c r="F737" s="18" t="s">
        <v>91</v>
      </c>
      <c r="G737" s="18">
        <v>4280</v>
      </c>
      <c r="H737" s="25">
        <f t="shared" si="44"/>
        <v>45084</v>
      </c>
      <c r="I737" s="26">
        <f t="shared" si="45"/>
        <v>3.125E-2</v>
      </c>
      <c r="J737" s="18" t="str">
        <f t="shared" si="46"/>
        <v>June</v>
      </c>
      <c r="K737" s="56" t="str">
        <f t="shared" si="47"/>
        <v>Wednesday</v>
      </c>
      <c r="L737" s="18" t="str">
        <f>IF(OR(G737&gt;Answers!I752,G737&lt;Answers!I753),"Outlier","Normal")</f>
        <v>Outlier</v>
      </c>
      <c r="M737" s="18">
        <v>79</v>
      </c>
    </row>
    <row r="738" spans="1:13" ht="20" customHeight="1" x14ac:dyDescent="0.35">
      <c r="A738" s="17">
        <v>513417</v>
      </c>
      <c r="B738" s="18">
        <v>1836</v>
      </c>
      <c r="C738" s="23" t="s">
        <v>100</v>
      </c>
      <c r="D738" s="24">
        <v>45190.033333333333</v>
      </c>
      <c r="E738" s="18" t="s">
        <v>96</v>
      </c>
      <c r="F738" s="18" t="s">
        <v>78</v>
      </c>
      <c r="G738" s="18">
        <v>2613</v>
      </c>
      <c r="H738" s="25">
        <f t="shared" si="44"/>
        <v>45190</v>
      </c>
      <c r="I738" s="26">
        <f t="shared" si="45"/>
        <v>3.3333333332848269E-2</v>
      </c>
      <c r="J738" s="18" t="str">
        <f t="shared" si="46"/>
        <v>September</v>
      </c>
      <c r="K738" s="56" t="str">
        <f t="shared" si="47"/>
        <v>Thursday</v>
      </c>
      <c r="L738" s="18" t="str">
        <f>IF(OR(G738&gt;Answers!I753,G738&lt;Answers!I754),"Outlier","Normal")</f>
        <v>Outlier</v>
      </c>
      <c r="M738" s="18">
        <v>36</v>
      </c>
    </row>
    <row r="739" spans="1:13" ht="20" customHeight="1" x14ac:dyDescent="0.35">
      <c r="A739" s="17">
        <v>513459</v>
      </c>
      <c r="B739" s="18">
        <v>961</v>
      </c>
      <c r="C739" s="23" t="s">
        <v>99</v>
      </c>
      <c r="D739" s="24">
        <v>44966.004166666666</v>
      </c>
      <c r="E739" s="18" t="s">
        <v>96</v>
      </c>
      <c r="F739" s="18" t="s">
        <v>29</v>
      </c>
      <c r="G739" s="18">
        <v>9907</v>
      </c>
      <c r="H739" s="25">
        <f t="shared" si="44"/>
        <v>44966</v>
      </c>
      <c r="I739" s="26">
        <f t="shared" si="45"/>
        <v>4.166666665696539E-3</v>
      </c>
      <c r="J739" s="18" t="str">
        <f t="shared" si="46"/>
        <v>February</v>
      </c>
      <c r="K739" s="56" t="str">
        <f t="shared" si="47"/>
        <v>Thursday</v>
      </c>
      <c r="L739" s="18" t="str">
        <f>IF(OR(G739&gt;Answers!I754,G739&lt;Answers!I755),"Outlier","Normal")</f>
        <v>Outlier</v>
      </c>
      <c r="M739" s="18">
        <v>82</v>
      </c>
    </row>
    <row r="740" spans="1:13" ht="20" customHeight="1" x14ac:dyDescent="0.35">
      <c r="A740" s="17">
        <v>514198</v>
      </c>
      <c r="B740" s="18">
        <v>1617</v>
      </c>
      <c r="C740" s="23" t="s">
        <v>104</v>
      </c>
      <c r="D740" s="24">
        <v>45253.051388888889</v>
      </c>
      <c r="E740" s="18" t="s">
        <v>96</v>
      </c>
      <c r="F740" s="18" t="s">
        <v>34</v>
      </c>
      <c r="G740" s="18">
        <v>9711</v>
      </c>
      <c r="H740" s="25">
        <f t="shared" si="44"/>
        <v>45253</v>
      </c>
      <c r="I740" s="26">
        <f t="shared" si="45"/>
        <v>5.1388888889050577E-2</v>
      </c>
      <c r="J740" s="18" t="str">
        <f t="shared" si="46"/>
        <v>November</v>
      </c>
      <c r="K740" s="56" t="str">
        <f t="shared" si="47"/>
        <v>Thursday</v>
      </c>
      <c r="L740" s="18" t="str">
        <f>IF(OR(G740&gt;Answers!I755,G740&lt;Answers!I756),"Outlier","Normal")</f>
        <v>Outlier</v>
      </c>
      <c r="M740" s="18">
        <v>50</v>
      </c>
    </row>
    <row r="741" spans="1:13" ht="20" customHeight="1" x14ac:dyDescent="0.35">
      <c r="A741" s="17">
        <v>514550</v>
      </c>
      <c r="B741" s="18">
        <v>178</v>
      </c>
      <c r="C741" s="23" t="s">
        <v>113</v>
      </c>
      <c r="D741" s="24">
        <v>45078.067361111112</v>
      </c>
      <c r="E741" s="18" t="s">
        <v>97</v>
      </c>
      <c r="F741" s="18" t="s">
        <v>68</v>
      </c>
      <c r="G741" s="18">
        <v>9871</v>
      </c>
      <c r="H741" s="25">
        <f t="shared" si="44"/>
        <v>45078</v>
      </c>
      <c r="I741" s="26">
        <f t="shared" si="45"/>
        <v>6.7361111112404615E-2</v>
      </c>
      <c r="J741" s="18" t="str">
        <f t="shared" si="46"/>
        <v>June</v>
      </c>
      <c r="K741" s="56" t="str">
        <f t="shared" si="47"/>
        <v>Thursday</v>
      </c>
      <c r="L741" s="18" t="str">
        <f>IF(OR(G741&gt;Answers!I756,G741&lt;Answers!I757),"Outlier","Normal")</f>
        <v>Outlier</v>
      </c>
      <c r="M741" s="18">
        <v>24</v>
      </c>
    </row>
    <row r="742" spans="1:13" ht="20" customHeight="1" x14ac:dyDescent="0.35">
      <c r="A742" s="17">
        <v>515145</v>
      </c>
      <c r="B742" s="18">
        <v>667</v>
      </c>
      <c r="C742" s="23" t="s">
        <v>100</v>
      </c>
      <c r="D742" s="24">
        <v>45251.938194444447</v>
      </c>
      <c r="E742" s="18" t="s">
        <v>96</v>
      </c>
      <c r="F742" s="18" t="s">
        <v>40</v>
      </c>
      <c r="G742" s="18">
        <v>6458</v>
      </c>
      <c r="H742" s="25">
        <f t="shared" si="44"/>
        <v>45251</v>
      </c>
      <c r="I742" s="26">
        <f t="shared" si="45"/>
        <v>0.93819444444670808</v>
      </c>
      <c r="J742" s="18" t="str">
        <f t="shared" si="46"/>
        <v>November</v>
      </c>
      <c r="K742" s="56" t="str">
        <f t="shared" si="47"/>
        <v>Tuesday</v>
      </c>
      <c r="L742" s="18" t="str">
        <f>IF(OR(G742&gt;Answers!I757,G742&lt;Answers!I758),"Outlier","Normal")</f>
        <v>Outlier</v>
      </c>
      <c r="M742" s="18">
        <v>64</v>
      </c>
    </row>
    <row r="743" spans="1:13" ht="20" customHeight="1" x14ac:dyDescent="0.35">
      <c r="A743" s="17">
        <v>515694</v>
      </c>
      <c r="B743" s="18">
        <v>1034</v>
      </c>
      <c r="C743" s="23" t="s">
        <v>107</v>
      </c>
      <c r="D743" s="24">
        <v>45262.0625</v>
      </c>
      <c r="E743" s="18" t="s">
        <v>96</v>
      </c>
      <c r="F743" s="18" t="s">
        <v>69</v>
      </c>
      <c r="G743" s="18">
        <v>462</v>
      </c>
      <c r="H743" s="25">
        <f t="shared" si="44"/>
        <v>45262</v>
      </c>
      <c r="I743" s="26">
        <f t="shared" si="45"/>
        <v>6.25E-2</v>
      </c>
      <c r="J743" s="18" t="str">
        <f t="shared" si="46"/>
        <v>December</v>
      </c>
      <c r="K743" s="56" t="str">
        <f t="shared" si="47"/>
        <v>Saturday</v>
      </c>
      <c r="L743" s="18" t="str">
        <f>IF(OR(G743&gt;Answers!I758,G743&lt;Answers!I759),"Outlier","Normal")</f>
        <v>Outlier</v>
      </c>
      <c r="M743" s="18">
        <v>31</v>
      </c>
    </row>
    <row r="744" spans="1:13" ht="20" customHeight="1" x14ac:dyDescent="0.35">
      <c r="A744" s="17">
        <v>517514</v>
      </c>
      <c r="B744" s="18">
        <v>459</v>
      </c>
      <c r="C744" s="23" t="s">
        <v>107</v>
      </c>
      <c r="D744" s="24">
        <v>45029.954861111109</v>
      </c>
      <c r="E744" s="18" t="s">
        <v>96</v>
      </c>
      <c r="F744" s="18" t="s">
        <v>42</v>
      </c>
      <c r="G744" s="18">
        <v>1379</v>
      </c>
      <c r="H744" s="25">
        <f t="shared" si="44"/>
        <v>45029</v>
      </c>
      <c r="I744" s="26">
        <f t="shared" si="45"/>
        <v>0.95486111110949423</v>
      </c>
      <c r="J744" s="18" t="str">
        <f t="shared" si="46"/>
        <v>April</v>
      </c>
      <c r="K744" s="56" t="str">
        <f t="shared" si="47"/>
        <v>Thursday</v>
      </c>
      <c r="L744" s="18" t="str">
        <f>IF(OR(G744&gt;Answers!I759,G744&lt;Answers!I760),"Outlier","Normal")</f>
        <v>Outlier</v>
      </c>
      <c r="M744" s="18">
        <v>30</v>
      </c>
    </row>
    <row r="745" spans="1:13" ht="20" customHeight="1" x14ac:dyDescent="0.35">
      <c r="A745" s="17">
        <v>517568</v>
      </c>
      <c r="B745" s="18">
        <v>1475</v>
      </c>
      <c r="C745" s="23" t="s">
        <v>105</v>
      </c>
      <c r="D745" s="24">
        <v>45200.020833333336</v>
      </c>
      <c r="E745" s="18" t="s">
        <v>96</v>
      </c>
      <c r="F745" s="18" t="s">
        <v>43</v>
      </c>
      <c r="G745" s="18">
        <v>794</v>
      </c>
      <c r="H745" s="25">
        <f t="shared" si="44"/>
        <v>45200</v>
      </c>
      <c r="I745" s="26">
        <f t="shared" si="45"/>
        <v>2.0833333335758653E-2</v>
      </c>
      <c r="J745" s="18" t="str">
        <f t="shared" si="46"/>
        <v>October</v>
      </c>
      <c r="K745" s="56" t="str">
        <f t="shared" si="47"/>
        <v>Sunday</v>
      </c>
      <c r="L745" s="18" t="str">
        <f>IF(OR(G745&gt;Answers!I760,G745&lt;Answers!I761),"Outlier","Normal")</f>
        <v>Outlier</v>
      </c>
      <c r="M745" s="18">
        <v>25</v>
      </c>
    </row>
    <row r="746" spans="1:13" ht="20" customHeight="1" x14ac:dyDescent="0.35">
      <c r="A746" s="17">
        <v>517712</v>
      </c>
      <c r="B746" s="18">
        <v>817</v>
      </c>
      <c r="C746" s="23" t="s">
        <v>99</v>
      </c>
      <c r="D746" s="24">
        <v>45158.039583333331</v>
      </c>
      <c r="E746" s="18" t="s">
        <v>96</v>
      </c>
      <c r="F746" s="18" t="s">
        <v>44</v>
      </c>
      <c r="G746" s="18">
        <v>8560</v>
      </c>
      <c r="H746" s="25">
        <f t="shared" si="44"/>
        <v>45158</v>
      </c>
      <c r="I746" s="26">
        <f t="shared" si="45"/>
        <v>3.9583333331393078E-2</v>
      </c>
      <c r="J746" s="18" t="str">
        <f t="shared" si="46"/>
        <v>August</v>
      </c>
      <c r="K746" s="56" t="str">
        <f t="shared" si="47"/>
        <v>Sunday</v>
      </c>
      <c r="L746" s="18" t="str">
        <f>IF(OR(G746&gt;Answers!I761,G746&lt;Answers!I762),"Outlier","Normal")</f>
        <v>Outlier</v>
      </c>
      <c r="M746" s="18">
        <v>39</v>
      </c>
    </row>
    <row r="747" spans="1:13" ht="20" customHeight="1" x14ac:dyDescent="0.35">
      <c r="A747" s="17">
        <v>519130</v>
      </c>
      <c r="B747" s="18">
        <v>1036</v>
      </c>
      <c r="C747" s="23" t="s">
        <v>113</v>
      </c>
      <c r="D747" s="24">
        <v>45197.024305555555</v>
      </c>
      <c r="E747" s="18" t="s">
        <v>98</v>
      </c>
      <c r="F747" s="18" t="s">
        <v>81</v>
      </c>
      <c r="G747" s="18">
        <v>6750</v>
      </c>
      <c r="H747" s="25">
        <f t="shared" si="44"/>
        <v>45197</v>
      </c>
      <c r="I747" s="26">
        <f t="shared" si="45"/>
        <v>2.4305555554747116E-2</v>
      </c>
      <c r="J747" s="18" t="str">
        <f t="shared" si="46"/>
        <v>September</v>
      </c>
      <c r="K747" s="56" t="str">
        <f t="shared" si="47"/>
        <v>Thursday</v>
      </c>
      <c r="L747" s="18" t="str">
        <f>IF(OR(G747&gt;Answers!I762,G747&lt;Answers!I763),"Outlier","Normal")</f>
        <v>Outlier</v>
      </c>
      <c r="M747" s="18">
        <v>29</v>
      </c>
    </row>
    <row r="748" spans="1:13" ht="20" customHeight="1" x14ac:dyDescent="0.35">
      <c r="A748" s="17">
        <v>520080</v>
      </c>
      <c r="B748" s="18">
        <v>922</v>
      </c>
      <c r="C748" s="23" t="s">
        <v>110</v>
      </c>
      <c r="D748" s="24">
        <v>45217.06527777778</v>
      </c>
      <c r="E748" s="18" t="s">
        <v>133</v>
      </c>
      <c r="F748" s="18" t="s">
        <v>71</v>
      </c>
      <c r="G748" s="18">
        <v>917</v>
      </c>
      <c r="H748" s="25">
        <f t="shared" si="44"/>
        <v>45217</v>
      </c>
      <c r="I748" s="26">
        <f t="shared" si="45"/>
        <v>6.5277777779556345E-2</v>
      </c>
      <c r="J748" s="18" t="str">
        <f t="shared" si="46"/>
        <v>October</v>
      </c>
      <c r="K748" s="56" t="str">
        <f t="shared" si="47"/>
        <v>Wednesday</v>
      </c>
      <c r="L748" s="18" t="str">
        <f>IF(OR(G748&gt;Answers!I763,G748&lt;Answers!I764),"Outlier","Normal")</f>
        <v>Outlier</v>
      </c>
      <c r="M748" s="18">
        <v>31</v>
      </c>
    </row>
    <row r="749" spans="1:13" ht="20" customHeight="1" x14ac:dyDescent="0.35">
      <c r="A749" s="17">
        <v>520860</v>
      </c>
      <c r="B749" s="18">
        <v>848</v>
      </c>
      <c r="C749" s="23" t="s">
        <v>99</v>
      </c>
      <c r="D749" s="24">
        <v>44949.943749999999</v>
      </c>
      <c r="E749" s="18" t="s">
        <v>97</v>
      </c>
      <c r="F749" s="18" t="s">
        <v>6</v>
      </c>
      <c r="G749" s="18">
        <v>7161</v>
      </c>
      <c r="H749" s="25">
        <f t="shared" si="44"/>
        <v>44949</v>
      </c>
      <c r="I749" s="26">
        <f t="shared" si="45"/>
        <v>0.94374999999854481</v>
      </c>
      <c r="J749" s="18" t="str">
        <f t="shared" si="46"/>
        <v>January</v>
      </c>
      <c r="K749" s="56" t="str">
        <f t="shared" si="47"/>
        <v>Monday</v>
      </c>
      <c r="L749" s="18" t="str">
        <f>IF(OR(G749&gt;Answers!I764,G749&lt;Answers!I765),"Outlier","Normal")</f>
        <v>Outlier</v>
      </c>
      <c r="M749" s="18">
        <v>44</v>
      </c>
    </row>
    <row r="750" spans="1:13" ht="20" customHeight="1" x14ac:dyDescent="0.35">
      <c r="A750" s="17">
        <v>520868</v>
      </c>
      <c r="B750" s="18">
        <v>1941</v>
      </c>
      <c r="C750" s="23" t="s">
        <v>105</v>
      </c>
      <c r="D750" s="24">
        <v>45254.029861111114</v>
      </c>
      <c r="E750" s="18" t="s">
        <v>96</v>
      </c>
      <c r="F750" s="18" t="s">
        <v>7</v>
      </c>
      <c r="G750" s="18">
        <v>870</v>
      </c>
      <c r="H750" s="25">
        <f t="shared" si="44"/>
        <v>45254</v>
      </c>
      <c r="I750" s="26">
        <f t="shared" si="45"/>
        <v>2.9861111113859806E-2</v>
      </c>
      <c r="J750" s="18" t="str">
        <f t="shared" si="46"/>
        <v>November</v>
      </c>
      <c r="K750" s="56" t="str">
        <f t="shared" si="47"/>
        <v>Friday</v>
      </c>
      <c r="L750" s="18" t="str">
        <f>IF(OR(G750&gt;Answers!I765,G750&lt;Answers!I766),"Outlier","Normal")</f>
        <v>Outlier</v>
      </c>
      <c r="M750" s="18">
        <v>86</v>
      </c>
    </row>
    <row r="751" spans="1:13" ht="20" customHeight="1" x14ac:dyDescent="0.35">
      <c r="A751" s="17">
        <v>521015</v>
      </c>
      <c r="B751" s="18">
        <v>1351</v>
      </c>
      <c r="C751" s="23" t="s">
        <v>105</v>
      </c>
      <c r="D751" s="24">
        <v>45020.04791666667</v>
      </c>
      <c r="E751" s="18" t="s">
        <v>98</v>
      </c>
      <c r="F751" s="18" t="s">
        <v>27</v>
      </c>
      <c r="G751" s="18">
        <v>9200</v>
      </c>
      <c r="H751" s="25">
        <f t="shared" si="44"/>
        <v>45020</v>
      </c>
      <c r="I751" s="26">
        <f t="shared" si="45"/>
        <v>4.7916666670062114E-2</v>
      </c>
      <c r="J751" s="18" t="str">
        <f t="shared" si="46"/>
        <v>April</v>
      </c>
      <c r="K751" s="56" t="str">
        <f t="shared" si="47"/>
        <v>Tuesday</v>
      </c>
      <c r="L751" s="18" t="str">
        <f>IF(OR(G751&gt;Answers!I766,G751&lt;Answers!I767),"Outlier","Normal")</f>
        <v>Outlier</v>
      </c>
      <c r="M751" s="18">
        <v>42</v>
      </c>
    </row>
    <row r="752" spans="1:13" ht="20" customHeight="1" x14ac:dyDescent="0.35">
      <c r="A752" s="17">
        <v>521330</v>
      </c>
      <c r="B752" s="18">
        <v>1714</v>
      </c>
      <c r="C752" s="23" t="s">
        <v>105</v>
      </c>
      <c r="D752" s="24">
        <v>45144.97152777778</v>
      </c>
      <c r="E752" s="18" t="s">
        <v>98</v>
      </c>
      <c r="F752" s="18" t="s">
        <v>43</v>
      </c>
      <c r="G752" s="18">
        <v>9321</v>
      </c>
      <c r="H752" s="25">
        <f t="shared" si="44"/>
        <v>45144</v>
      </c>
      <c r="I752" s="26">
        <f t="shared" si="45"/>
        <v>0.97152777777955635</v>
      </c>
      <c r="J752" s="18" t="str">
        <f t="shared" si="46"/>
        <v>August</v>
      </c>
      <c r="K752" s="56" t="str">
        <f t="shared" si="47"/>
        <v>Sunday</v>
      </c>
      <c r="L752" s="18" t="str">
        <f>IF(OR(G752&gt;Answers!I767,G752&lt;Answers!I768),"Outlier","Normal")</f>
        <v>Outlier</v>
      </c>
      <c r="M752" s="18">
        <v>33</v>
      </c>
    </row>
    <row r="753" spans="1:13" ht="20" customHeight="1" x14ac:dyDescent="0.35">
      <c r="A753" s="17">
        <v>521761</v>
      </c>
      <c r="B753" s="18">
        <v>1504</v>
      </c>
      <c r="C753" s="23" t="s">
        <v>100</v>
      </c>
      <c r="D753" s="24">
        <v>45113.975694444445</v>
      </c>
      <c r="E753" s="18" t="s">
        <v>133</v>
      </c>
      <c r="F753" s="18" t="s">
        <v>69</v>
      </c>
      <c r="G753" s="18">
        <v>4462</v>
      </c>
      <c r="H753" s="25">
        <f t="shared" si="44"/>
        <v>45113</v>
      </c>
      <c r="I753" s="26">
        <f t="shared" si="45"/>
        <v>0.97569444444525288</v>
      </c>
      <c r="J753" s="18" t="str">
        <f t="shared" si="46"/>
        <v>July</v>
      </c>
      <c r="K753" s="56" t="str">
        <f t="shared" si="47"/>
        <v>Thursday</v>
      </c>
      <c r="L753" s="18" t="str">
        <f>IF(OR(G753&gt;Answers!I768,G753&lt;Answers!I769),"Outlier","Normal")</f>
        <v>Outlier</v>
      </c>
      <c r="M753" s="18">
        <v>33</v>
      </c>
    </row>
    <row r="754" spans="1:13" ht="20" customHeight="1" x14ac:dyDescent="0.35">
      <c r="A754" s="17">
        <v>522201</v>
      </c>
      <c r="B754" s="18">
        <v>760</v>
      </c>
      <c r="C754" s="23" t="s">
        <v>113</v>
      </c>
      <c r="D754" s="24">
        <v>45240.990277777775</v>
      </c>
      <c r="E754" s="18" t="s">
        <v>96</v>
      </c>
      <c r="F754" s="18" t="s">
        <v>24</v>
      </c>
      <c r="G754" s="18">
        <v>9296</v>
      </c>
      <c r="H754" s="25">
        <f t="shared" si="44"/>
        <v>45240</v>
      </c>
      <c r="I754" s="26">
        <f t="shared" si="45"/>
        <v>0.99027777777519077</v>
      </c>
      <c r="J754" s="18" t="str">
        <f t="shared" si="46"/>
        <v>November</v>
      </c>
      <c r="K754" s="56" t="str">
        <f t="shared" si="47"/>
        <v>Friday</v>
      </c>
      <c r="L754" s="18" t="str">
        <f>IF(OR(G754&gt;Answers!I769,G754&lt;Answers!I770),"Outlier","Normal")</f>
        <v>Outlier</v>
      </c>
      <c r="M754" s="18">
        <v>22</v>
      </c>
    </row>
    <row r="755" spans="1:13" ht="20" customHeight="1" x14ac:dyDescent="0.35">
      <c r="A755" s="17">
        <v>525192</v>
      </c>
      <c r="B755" s="18">
        <v>1484</v>
      </c>
      <c r="C755" s="23" t="s">
        <v>99</v>
      </c>
      <c r="D755" s="24">
        <v>44952.006249999999</v>
      </c>
      <c r="E755" s="18" t="s">
        <v>96</v>
      </c>
      <c r="F755" s="18" t="s">
        <v>21</v>
      </c>
      <c r="G755" s="18">
        <v>2431</v>
      </c>
      <c r="H755" s="25">
        <f t="shared" si="44"/>
        <v>44952</v>
      </c>
      <c r="I755" s="26">
        <f t="shared" si="45"/>
        <v>6.2499999985448085E-3</v>
      </c>
      <c r="J755" s="18" t="str">
        <f t="shared" si="46"/>
        <v>January</v>
      </c>
      <c r="K755" s="56" t="str">
        <f t="shared" si="47"/>
        <v>Thursday</v>
      </c>
      <c r="L755" s="18" t="str">
        <f>IF(OR(G755&gt;Answers!I770,G755&lt;Answers!I771),"Outlier","Normal")</f>
        <v>Outlier</v>
      </c>
      <c r="M755" s="18">
        <v>84</v>
      </c>
    </row>
    <row r="756" spans="1:13" ht="20" customHeight="1" x14ac:dyDescent="0.35">
      <c r="A756" s="17">
        <v>525405</v>
      </c>
      <c r="B756" s="18">
        <v>796</v>
      </c>
      <c r="C756" s="23" t="s">
        <v>102</v>
      </c>
      <c r="D756" s="24">
        <v>44943.010416666664</v>
      </c>
      <c r="E756" s="18" t="s">
        <v>98</v>
      </c>
      <c r="F756" s="18" t="s">
        <v>66</v>
      </c>
      <c r="G756" s="18">
        <v>6640</v>
      </c>
      <c r="H756" s="25">
        <f t="shared" si="44"/>
        <v>44943</v>
      </c>
      <c r="I756" s="26">
        <f t="shared" si="45"/>
        <v>1.0416666664241347E-2</v>
      </c>
      <c r="J756" s="18" t="str">
        <f t="shared" si="46"/>
        <v>January</v>
      </c>
      <c r="K756" s="56" t="str">
        <f t="shared" si="47"/>
        <v>Tuesday</v>
      </c>
      <c r="L756" s="18" t="str">
        <f>IF(OR(G756&gt;Answers!I771,G756&lt;Answers!I772),"Outlier","Normal")</f>
        <v>Outlier</v>
      </c>
      <c r="M756" s="18">
        <v>27</v>
      </c>
    </row>
    <row r="757" spans="1:13" ht="20" customHeight="1" x14ac:dyDescent="0.35">
      <c r="A757" s="17">
        <v>525500</v>
      </c>
      <c r="B757" s="18">
        <v>299</v>
      </c>
      <c r="C757" s="23" t="s">
        <v>113</v>
      </c>
      <c r="D757" s="24">
        <v>45111.05</v>
      </c>
      <c r="E757" s="18" t="s">
        <v>96</v>
      </c>
      <c r="F757" s="18" t="s">
        <v>29</v>
      </c>
      <c r="G757" s="18">
        <v>9056</v>
      </c>
      <c r="H757" s="25">
        <f t="shared" si="44"/>
        <v>45111</v>
      </c>
      <c r="I757" s="26">
        <f t="shared" si="45"/>
        <v>5.0000000002910383E-2</v>
      </c>
      <c r="J757" s="18" t="str">
        <f t="shared" si="46"/>
        <v>July</v>
      </c>
      <c r="K757" s="56" t="str">
        <f t="shared" si="47"/>
        <v>Tuesday</v>
      </c>
      <c r="L757" s="18" t="str">
        <f>IF(OR(G757&gt;Answers!I772,G757&lt;Answers!I773),"Outlier","Normal")</f>
        <v>Outlier</v>
      </c>
      <c r="M757" s="18">
        <v>58</v>
      </c>
    </row>
    <row r="758" spans="1:13" ht="20" customHeight="1" x14ac:dyDescent="0.35">
      <c r="A758" s="17">
        <v>525782</v>
      </c>
      <c r="B758" s="18">
        <v>833</v>
      </c>
      <c r="C758" s="23" t="s">
        <v>110</v>
      </c>
      <c r="D758" s="24">
        <v>45079.01666666667</v>
      </c>
      <c r="E758" s="18" t="s">
        <v>96</v>
      </c>
      <c r="F758" s="18" t="s">
        <v>9</v>
      </c>
      <c r="G758" s="18">
        <v>257</v>
      </c>
      <c r="H758" s="25">
        <f t="shared" si="44"/>
        <v>45079</v>
      </c>
      <c r="I758" s="26">
        <f t="shared" si="45"/>
        <v>1.6666666670062114E-2</v>
      </c>
      <c r="J758" s="18" t="str">
        <f t="shared" si="46"/>
        <v>June</v>
      </c>
      <c r="K758" s="56" t="str">
        <f t="shared" si="47"/>
        <v>Friday</v>
      </c>
      <c r="L758" s="18" t="str">
        <f>IF(OR(G758&gt;Answers!I773,G758&lt;Answers!I774),"Outlier","Normal")</f>
        <v>Outlier</v>
      </c>
      <c r="M758" s="18">
        <v>52</v>
      </c>
    </row>
    <row r="759" spans="1:13" ht="20" customHeight="1" x14ac:dyDescent="0.35">
      <c r="A759" s="17">
        <v>528569</v>
      </c>
      <c r="B759" s="18">
        <v>1993</v>
      </c>
      <c r="C759" s="23" t="s">
        <v>99</v>
      </c>
      <c r="D759" s="24">
        <v>45103.070833333331</v>
      </c>
      <c r="E759" s="18" t="s">
        <v>97</v>
      </c>
      <c r="F759" s="18" t="s">
        <v>64</v>
      </c>
      <c r="G759" s="18">
        <v>613</v>
      </c>
      <c r="H759" s="25">
        <f t="shared" si="44"/>
        <v>45103</v>
      </c>
      <c r="I759" s="26">
        <f t="shared" si="45"/>
        <v>7.0833333331393078E-2</v>
      </c>
      <c r="J759" s="18" t="str">
        <f t="shared" si="46"/>
        <v>June</v>
      </c>
      <c r="K759" s="56" t="str">
        <f t="shared" si="47"/>
        <v>Monday</v>
      </c>
      <c r="L759" s="18" t="str">
        <f>IF(OR(G759&gt;Answers!I774,G759&lt;Answers!I775),"Outlier","Normal")</f>
        <v>Outlier</v>
      </c>
      <c r="M759" s="18">
        <v>61</v>
      </c>
    </row>
    <row r="760" spans="1:13" ht="20" customHeight="1" x14ac:dyDescent="0.35">
      <c r="A760" s="17">
        <v>529245</v>
      </c>
      <c r="B760" s="18">
        <v>650</v>
      </c>
      <c r="C760" s="23" t="s">
        <v>100</v>
      </c>
      <c r="D760" s="24">
        <v>44973.015972222223</v>
      </c>
      <c r="E760" s="18" t="s">
        <v>133</v>
      </c>
      <c r="F760" s="18" t="s">
        <v>30</v>
      </c>
      <c r="G760" s="18">
        <v>1465</v>
      </c>
      <c r="H760" s="25">
        <f t="shared" si="44"/>
        <v>44973</v>
      </c>
      <c r="I760" s="26">
        <f t="shared" si="45"/>
        <v>1.5972222223354038E-2</v>
      </c>
      <c r="J760" s="18" t="str">
        <f t="shared" si="46"/>
        <v>February</v>
      </c>
      <c r="K760" s="56" t="str">
        <f t="shared" si="47"/>
        <v>Thursday</v>
      </c>
      <c r="L760" s="18" t="str">
        <f>IF(OR(G760&gt;Answers!I775,G760&lt;Answers!I776),"Outlier","Normal")</f>
        <v>Outlier</v>
      </c>
      <c r="M760" s="18">
        <v>38</v>
      </c>
    </row>
    <row r="761" spans="1:13" ht="20" customHeight="1" x14ac:dyDescent="0.35">
      <c r="A761" s="17">
        <v>529816</v>
      </c>
      <c r="B761" s="18">
        <v>424</v>
      </c>
      <c r="C761" s="23" t="s">
        <v>105</v>
      </c>
      <c r="D761" s="24">
        <v>45173.992361111108</v>
      </c>
      <c r="E761" s="18" t="s">
        <v>98</v>
      </c>
      <c r="F761" s="18" t="s">
        <v>53</v>
      </c>
      <c r="G761" s="18">
        <v>4135</v>
      </c>
      <c r="H761" s="25">
        <f t="shared" si="44"/>
        <v>45173</v>
      </c>
      <c r="I761" s="26">
        <f t="shared" si="45"/>
        <v>0.99236111110803904</v>
      </c>
      <c r="J761" s="18" t="str">
        <f t="shared" si="46"/>
        <v>September</v>
      </c>
      <c r="K761" s="56" t="str">
        <f t="shared" si="47"/>
        <v>Monday</v>
      </c>
      <c r="L761" s="18" t="str">
        <f>IF(OR(G761&gt;Answers!I776,G761&lt;Answers!I777),"Outlier","Normal")</f>
        <v>Outlier</v>
      </c>
      <c r="M761" s="18">
        <v>66</v>
      </c>
    </row>
    <row r="762" spans="1:13" ht="20" customHeight="1" x14ac:dyDescent="0.35">
      <c r="A762" s="17">
        <v>530067</v>
      </c>
      <c r="B762" s="18">
        <v>1126</v>
      </c>
      <c r="C762" s="23" t="s">
        <v>100</v>
      </c>
      <c r="D762" s="24">
        <v>45155.053472222222</v>
      </c>
      <c r="E762" s="18" t="s">
        <v>96</v>
      </c>
      <c r="F762" s="18" t="s">
        <v>85</v>
      </c>
      <c r="G762" s="18">
        <v>8259</v>
      </c>
      <c r="H762" s="25">
        <f t="shared" si="44"/>
        <v>45155</v>
      </c>
      <c r="I762" s="26">
        <f t="shared" si="45"/>
        <v>5.3472222221898846E-2</v>
      </c>
      <c r="J762" s="18" t="str">
        <f t="shared" si="46"/>
        <v>August</v>
      </c>
      <c r="K762" s="56" t="str">
        <f t="shared" si="47"/>
        <v>Thursday</v>
      </c>
      <c r="L762" s="18" t="str">
        <f>IF(OR(G762&gt;Answers!I777,G762&lt;Answers!I778),"Outlier","Normal")</f>
        <v>Outlier</v>
      </c>
      <c r="M762" s="18">
        <v>65</v>
      </c>
    </row>
    <row r="763" spans="1:13" ht="20" customHeight="1" x14ac:dyDescent="0.35">
      <c r="A763" s="17">
        <v>531173</v>
      </c>
      <c r="B763" s="18">
        <v>27</v>
      </c>
      <c r="C763" s="23" t="s">
        <v>99</v>
      </c>
      <c r="D763" s="24">
        <v>45146.083333333336</v>
      </c>
      <c r="E763" s="18" t="s">
        <v>97</v>
      </c>
      <c r="F763" s="18" t="s">
        <v>34</v>
      </c>
      <c r="G763" s="18">
        <v>9787</v>
      </c>
      <c r="H763" s="25">
        <f t="shared" si="44"/>
        <v>45146</v>
      </c>
      <c r="I763" s="26">
        <f t="shared" si="45"/>
        <v>8.3333333335758653E-2</v>
      </c>
      <c r="J763" s="18" t="str">
        <f t="shared" si="46"/>
        <v>August</v>
      </c>
      <c r="K763" s="56" t="str">
        <f t="shared" si="47"/>
        <v>Tuesday</v>
      </c>
      <c r="L763" s="18" t="str">
        <f>IF(OR(G763&gt;Answers!I778,G763&lt;Answers!I779),"Outlier","Normal")</f>
        <v>Outlier</v>
      </c>
      <c r="M763" s="18">
        <v>66</v>
      </c>
    </row>
    <row r="764" spans="1:13" ht="20" customHeight="1" x14ac:dyDescent="0.35">
      <c r="A764" s="17">
        <v>531700</v>
      </c>
      <c r="B764" s="18">
        <v>925</v>
      </c>
      <c r="C764" s="23" t="s">
        <v>99</v>
      </c>
      <c r="D764" s="24">
        <v>45082.035416666666</v>
      </c>
      <c r="E764" s="18" t="s">
        <v>97</v>
      </c>
      <c r="F764" s="18" t="s">
        <v>68</v>
      </c>
      <c r="G764" s="18">
        <v>8597</v>
      </c>
      <c r="H764" s="25">
        <f t="shared" si="44"/>
        <v>45082</v>
      </c>
      <c r="I764" s="26">
        <f t="shared" si="45"/>
        <v>3.5416666665696539E-2</v>
      </c>
      <c r="J764" s="18" t="str">
        <f t="shared" si="46"/>
        <v>June</v>
      </c>
      <c r="K764" s="56" t="str">
        <f t="shared" si="47"/>
        <v>Monday</v>
      </c>
      <c r="L764" s="18" t="str">
        <f>IF(OR(G764&gt;Answers!I779,G764&lt;Answers!I780),"Outlier","Normal")</f>
        <v>Outlier</v>
      </c>
      <c r="M764" s="18">
        <v>34</v>
      </c>
    </row>
    <row r="765" spans="1:13" ht="20" customHeight="1" x14ac:dyDescent="0.35">
      <c r="A765" s="17">
        <v>532196</v>
      </c>
      <c r="B765" s="18">
        <v>1019</v>
      </c>
      <c r="C765" s="23" t="s">
        <v>107</v>
      </c>
      <c r="D765" s="24">
        <v>45207.033333333333</v>
      </c>
      <c r="E765" s="18" t="s">
        <v>96</v>
      </c>
      <c r="F765" s="18" t="s">
        <v>69</v>
      </c>
      <c r="G765" s="18">
        <v>3019</v>
      </c>
      <c r="H765" s="25">
        <f t="shared" si="44"/>
        <v>45207</v>
      </c>
      <c r="I765" s="26">
        <f t="shared" si="45"/>
        <v>3.3333333332848269E-2</v>
      </c>
      <c r="J765" s="18" t="str">
        <f t="shared" si="46"/>
        <v>October</v>
      </c>
      <c r="K765" s="56" t="str">
        <f t="shared" si="47"/>
        <v>Sunday</v>
      </c>
      <c r="L765" s="18" t="str">
        <f>IF(OR(G765&gt;Answers!I780,G765&lt;Answers!I781),"Outlier","Normal")</f>
        <v>Outlier</v>
      </c>
      <c r="M765" s="18">
        <v>64</v>
      </c>
    </row>
    <row r="766" spans="1:13" ht="20" customHeight="1" x14ac:dyDescent="0.35">
      <c r="A766" s="17">
        <v>532654</v>
      </c>
      <c r="B766" s="18">
        <v>1948</v>
      </c>
      <c r="C766" s="23" t="s">
        <v>99</v>
      </c>
      <c r="D766" s="24">
        <v>45239.068055555559</v>
      </c>
      <c r="E766" s="18" t="s">
        <v>98</v>
      </c>
      <c r="F766" s="18" t="s">
        <v>43</v>
      </c>
      <c r="G766" s="18">
        <v>3310</v>
      </c>
      <c r="H766" s="25">
        <f t="shared" si="44"/>
        <v>45239</v>
      </c>
      <c r="I766" s="26">
        <f t="shared" si="45"/>
        <v>6.805555555911269E-2</v>
      </c>
      <c r="J766" s="18" t="str">
        <f t="shared" si="46"/>
        <v>November</v>
      </c>
      <c r="K766" s="56" t="str">
        <f t="shared" si="47"/>
        <v>Thursday</v>
      </c>
      <c r="L766" s="18" t="str">
        <f>IF(OR(G766&gt;Answers!I781,G766&lt;Answers!I782),"Outlier","Normal")</f>
        <v>Outlier</v>
      </c>
      <c r="M766" s="18">
        <v>79</v>
      </c>
    </row>
    <row r="767" spans="1:13" ht="20" customHeight="1" x14ac:dyDescent="0.35">
      <c r="A767" s="17">
        <v>533187</v>
      </c>
      <c r="B767" s="18">
        <v>1510</v>
      </c>
      <c r="C767" s="23" t="s">
        <v>103</v>
      </c>
      <c r="D767" s="24">
        <v>44998.044444444444</v>
      </c>
      <c r="E767" s="18" t="s">
        <v>96</v>
      </c>
      <c r="F767" s="18" t="s">
        <v>27</v>
      </c>
      <c r="G767" s="18">
        <v>825</v>
      </c>
      <c r="H767" s="25">
        <f t="shared" si="44"/>
        <v>44998</v>
      </c>
      <c r="I767" s="26">
        <f t="shared" si="45"/>
        <v>4.4444444443797693E-2</v>
      </c>
      <c r="J767" s="18" t="str">
        <f t="shared" si="46"/>
        <v>March</v>
      </c>
      <c r="K767" s="56" t="str">
        <f t="shared" si="47"/>
        <v>Monday</v>
      </c>
      <c r="L767" s="18" t="str">
        <f>IF(OR(G767&gt;Answers!I782,G767&lt;Answers!I783),"Outlier","Normal")</f>
        <v>Outlier</v>
      </c>
      <c r="M767" s="18">
        <v>23</v>
      </c>
    </row>
    <row r="768" spans="1:13" ht="20" customHeight="1" x14ac:dyDescent="0.35">
      <c r="A768" s="17">
        <v>533511</v>
      </c>
      <c r="B768" s="18">
        <v>615</v>
      </c>
      <c r="C768" s="23" t="s">
        <v>100</v>
      </c>
      <c r="D768" s="24">
        <v>45008.00277777778</v>
      </c>
      <c r="E768" s="18" t="s">
        <v>98</v>
      </c>
      <c r="F768" s="18" t="s">
        <v>69</v>
      </c>
      <c r="G768" s="18">
        <v>4159</v>
      </c>
      <c r="H768" s="25">
        <f t="shared" si="44"/>
        <v>45008</v>
      </c>
      <c r="I768" s="26">
        <f t="shared" si="45"/>
        <v>2.7777777795563452E-3</v>
      </c>
      <c r="J768" s="18" t="str">
        <f t="shared" si="46"/>
        <v>March</v>
      </c>
      <c r="K768" s="56" t="str">
        <f t="shared" si="47"/>
        <v>Thursday</v>
      </c>
      <c r="L768" s="18" t="str">
        <f>IF(OR(G768&gt;Answers!I783,G768&lt;Answers!I784),"Outlier","Normal")</f>
        <v>Outlier</v>
      </c>
      <c r="M768" s="18">
        <v>53</v>
      </c>
    </row>
    <row r="769" spans="1:13" ht="20" customHeight="1" x14ac:dyDescent="0.35">
      <c r="A769" s="17">
        <v>533763</v>
      </c>
      <c r="B769" s="18">
        <v>1008</v>
      </c>
      <c r="C769" s="23" t="s">
        <v>106</v>
      </c>
      <c r="D769" s="24">
        <v>45103.020138888889</v>
      </c>
      <c r="E769" s="18" t="s">
        <v>97</v>
      </c>
      <c r="F769" s="18" t="s">
        <v>43</v>
      </c>
      <c r="G769" s="18">
        <v>4873</v>
      </c>
      <c r="H769" s="25">
        <f t="shared" si="44"/>
        <v>45103</v>
      </c>
      <c r="I769" s="26">
        <f t="shared" si="45"/>
        <v>2.0138888889050577E-2</v>
      </c>
      <c r="J769" s="18" t="str">
        <f t="shared" si="46"/>
        <v>June</v>
      </c>
      <c r="K769" s="56" t="str">
        <f t="shared" si="47"/>
        <v>Monday</v>
      </c>
      <c r="L769" s="18" t="str">
        <f>IF(OR(G769&gt;Answers!I784,G769&lt;Answers!I785),"Outlier","Normal")</f>
        <v>Outlier</v>
      </c>
      <c r="M769" s="18">
        <v>27</v>
      </c>
    </row>
    <row r="770" spans="1:13" ht="20" customHeight="1" x14ac:dyDescent="0.35">
      <c r="A770" s="17">
        <v>533914</v>
      </c>
      <c r="B770" s="18">
        <v>1884</v>
      </c>
      <c r="C770" s="23" t="s">
        <v>99</v>
      </c>
      <c r="D770" s="24">
        <v>45076.955555555556</v>
      </c>
      <c r="E770" s="18" t="s">
        <v>96</v>
      </c>
      <c r="F770" s="18" t="s">
        <v>22</v>
      </c>
      <c r="G770" s="18">
        <v>5436</v>
      </c>
      <c r="H770" s="25">
        <f t="shared" si="44"/>
        <v>45076</v>
      </c>
      <c r="I770" s="26">
        <f t="shared" si="45"/>
        <v>0.95555555555620231</v>
      </c>
      <c r="J770" s="18" t="str">
        <f t="shared" si="46"/>
        <v>May</v>
      </c>
      <c r="K770" s="56" t="str">
        <f t="shared" si="47"/>
        <v>Tuesday</v>
      </c>
      <c r="L770" s="18" t="str">
        <f>IF(OR(G770&gt;Answers!I785,G770&lt;Answers!I786),"Outlier","Normal")</f>
        <v>Outlier</v>
      </c>
      <c r="M770" s="18">
        <v>31</v>
      </c>
    </row>
    <row r="771" spans="1:13" ht="20" customHeight="1" x14ac:dyDescent="0.35">
      <c r="A771" s="17">
        <v>534259</v>
      </c>
      <c r="B771" s="18">
        <v>249</v>
      </c>
      <c r="C771" s="23" t="s">
        <v>99</v>
      </c>
      <c r="D771" s="24">
        <v>45049.96875</v>
      </c>
      <c r="E771" s="18" t="s">
        <v>96</v>
      </c>
      <c r="F771" s="18" t="s">
        <v>41</v>
      </c>
      <c r="G771" s="18">
        <v>3939</v>
      </c>
      <c r="H771" s="25">
        <f t="shared" ref="H771:H834" si="48">INT(D771)</f>
        <v>45049</v>
      </c>
      <c r="I771" s="26">
        <f t="shared" ref="I771:I834" si="49">MOD(D771,1)</f>
        <v>0.96875</v>
      </c>
      <c r="J771" s="18" t="str">
        <f t="shared" ref="J771:J834" si="50">TEXT(D771,"mmmm")</f>
        <v>May</v>
      </c>
      <c r="K771" s="56" t="str">
        <f t="shared" ref="K771:K834" si="51">TEXT(D771,"dddd")</f>
        <v>Wednesday</v>
      </c>
      <c r="L771" s="18" t="str">
        <f>IF(OR(G771&gt;Answers!I786,G771&lt;Answers!I787),"Outlier","Normal")</f>
        <v>Outlier</v>
      </c>
      <c r="M771" s="18">
        <v>58</v>
      </c>
    </row>
    <row r="772" spans="1:13" ht="20" customHeight="1" x14ac:dyDescent="0.35">
      <c r="A772" s="17">
        <v>534263</v>
      </c>
      <c r="B772" s="18">
        <v>109</v>
      </c>
      <c r="C772" s="23" t="s">
        <v>99</v>
      </c>
      <c r="D772" s="24">
        <v>45093.023611111108</v>
      </c>
      <c r="E772" s="18" t="s">
        <v>97</v>
      </c>
      <c r="F772" s="18" t="s">
        <v>19</v>
      </c>
      <c r="G772" s="18">
        <v>3129</v>
      </c>
      <c r="H772" s="25">
        <f t="shared" si="48"/>
        <v>45093</v>
      </c>
      <c r="I772" s="26">
        <f t="shared" si="49"/>
        <v>2.361111110803904E-2</v>
      </c>
      <c r="J772" s="18" t="str">
        <f t="shared" si="50"/>
        <v>June</v>
      </c>
      <c r="K772" s="56" t="str">
        <f t="shared" si="51"/>
        <v>Friday</v>
      </c>
      <c r="L772" s="18" t="str">
        <f>IF(OR(G772&gt;Answers!I787,G772&lt;Answers!I788),"Outlier","Normal")</f>
        <v>Outlier</v>
      </c>
      <c r="M772" s="18">
        <v>32</v>
      </c>
    </row>
    <row r="773" spans="1:13" ht="20" customHeight="1" x14ac:dyDescent="0.35">
      <c r="A773" s="17">
        <v>534708</v>
      </c>
      <c r="B773" s="18">
        <v>854</v>
      </c>
      <c r="C773" s="23" t="s">
        <v>99</v>
      </c>
      <c r="D773" s="24">
        <v>45179.036111111112</v>
      </c>
      <c r="E773" s="18" t="s">
        <v>96</v>
      </c>
      <c r="F773" s="18" t="s">
        <v>35</v>
      </c>
      <c r="G773" s="18">
        <v>577</v>
      </c>
      <c r="H773" s="25">
        <f t="shared" si="48"/>
        <v>45179</v>
      </c>
      <c r="I773" s="26">
        <f t="shared" si="49"/>
        <v>3.6111111112404615E-2</v>
      </c>
      <c r="J773" s="18" t="str">
        <f t="shared" si="50"/>
        <v>September</v>
      </c>
      <c r="K773" s="56" t="str">
        <f t="shared" si="51"/>
        <v>Sunday</v>
      </c>
      <c r="L773" s="18" t="str">
        <f>IF(OR(G773&gt;Answers!I788,G773&lt;Answers!I789),"Outlier","Normal")</f>
        <v>Outlier</v>
      </c>
      <c r="M773" s="18">
        <v>61</v>
      </c>
    </row>
    <row r="774" spans="1:13" ht="20" customHeight="1" x14ac:dyDescent="0.35">
      <c r="A774" s="17">
        <v>535104</v>
      </c>
      <c r="B774" s="18">
        <v>324</v>
      </c>
      <c r="C774" s="23" t="s">
        <v>101</v>
      </c>
      <c r="D774" s="24">
        <v>45229.967361111114</v>
      </c>
      <c r="E774" s="18" t="s">
        <v>133</v>
      </c>
      <c r="F774" s="18" t="s">
        <v>44</v>
      </c>
      <c r="G774" s="18">
        <v>7237</v>
      </c>
      <c r="H774" s="25">
        <f t="shared" si="48"/>
        <v>45229</v>
      </c>
      <c r="I774" s="26">
        <f t="shared" si="49"/>
        <v>0.96736111111385981</v>
      </c>
      <c r="J774" s="18" t="str">
        <f t="shared" si="50"/>
        <v>October</v>
      </c>
      <c r="K774" s="56" t="str">
        <f t="shared" si="51"/>
        <v>Monday</v>
      </c>
      <c r="L774" s="18" t="str">
        <f>IF(OR(G774&gt;Answers!I789,G774&lt;Answers!I790),"Outlier","Normal")</f>
        <v>Outlier</v>
      </c>
      <c r="M774" s="18">
        <v>28</v>
      </c>
    </row>
    <row r="775" spans="1:13" ht="20" customHeight="1" x14ac:dyDescent="0.35">
      <c r="A775" s="17">
        <v>535213</v>
      </c>
      <c r="B775" s="18">
        <v>998</v>
      </c>
      <c r="C775" s="23" t="s">
        <v>103</v>
      </c>
      <c r="D775" s="24">
        <v>45158.04583333333</v>
      </c>
      <c r="E775" s="18" t="s">
        <v>98</v>
      </c>
      <c r="F775" s="18" t="s">
        <v>28</v>
      </c>
      <c r="G775" s="18">
        <v>1196</v>
      </c>
      <c r="H775" s="25">
        <f t="shared" si="48"/>
        <v>45158</v>
      </c>
      <c r="I775" s="26">
        <f t="shared" si="49"/>
        <v>4.5833333329937886E-2</v>
      </c>
      <c r="J775" s="18" t="str">
        <f t="shared" si="50"/>
        <v>August</v>
      </c>
      <c r="K775" s="56" t="str">
        <f t="shared" si="51"/>
        <v>Sunday</v>
      </c>
      <c r="L775" s="18" t="str">
        <f>IF(OR(G775&gt;Answers!I790,G775&lt;Answers!I791),"Outlier","Normal")</f>
        <v>Outlier</v>
      </c>
      <c r="M775" s="18">
        <v>89</v>
      </c>
    </row>
    <row r="776" spans="1:13" ht="20" customHeight="1" x14ac:dyDescent="0.35">
      <c r="A776" s="17">
        <v>535352</v>
      </c>
      <c r="B776" s="18">
        <v>622</v>
      </c>
      <c r="C776" s="23" t="s">
        <v>113</v>
      </c>
      <c r="D776" s="24">
        <v>45130.976388888892</v>
      </c>
      <c r="E776" s="18" t="s">
        <v>98</v>
      </c>
      <c r="F776" s="18" t="s">
        <v>14</v>
      </c>
      <c r="G776" s="18">
        <v>9155</v>
      </c>
      <c r="H776" s="25">
        <f t="shared" si="48"/>
        <v>45130</v>
      </c>
      <c r="I776" s="26">
        <f t="shared" si="49"/>
        <v>0.97638888889196096</v>
      </c>
      <c r="J776" s="18" t="str">
        <f t="shared" si="50"/>
        <v>July</v>
      </c>
      <c r="K776" s="56" t="str">
        <f t="shared" si="51"/>
        <v>Sunday</v>
      </c>
      <c r="L776" s="18" t="str">
        <f>IF(OR(G776&gt;Answers!I791,G776&lt;Answers!I792),"Outlier","Normal")</f>
        <v>Outlier</v>
      </c>
      <c r="M776" s="18">
        <v>71</v>
      </c>
    </row>
    <row r="777" spans="1:13" ht="20" customHeight="1" x14ac:dyDescent="0.35">
      <c r="A777" s="17">
        <v>536530</v>
      </c>
      <c r="B777" s="18">
        <v>738</v>
      </c>
      <c r="C777" s="23" t="s">
        <v>100</v>
      </c>
      <c r="D777" s="24">
        <v>45043.998611111114</v>
      </c>
      <c r="E777" s="18" t="s">
        <v>133</v>
      </c>
      <c r="F777" s="18" t="s">
        <v>43</v>
      </c>
      <c r="G777" s="18">
        <v>891</v>
      </c>
      <c r="H777" s="25">
        <f t="shared" si="48"/>
        <v>45043</v>
      </c>
      <c r="I777" s="26">
        <f t="shared" si="49"/>
        <v>0.99861111111385981</v>
      </c>
      <c r="J777" s="18" t="str">
        <f t="shared" si="50"/>
        <v>April</v>
      </c>
      <c r="K777" s="56" t="str">
        <f t="shared" si="51"/>
        <v>Thursday</v>
      </c>
      <c r="L777" s="18" t="str">
        <f>IF(OR(G777&gt;Answers!I792,G777&lt;Answers!I793),"Outlier","Normal")</f>
        <v>Outlier</v>
      </c>
      <c r="M777" s="18">
        <v>25</v>
      </c>
    </row>
    <row r="778" spans="1:13" ht="20" customHeight="1" x14ac:dyDescent="0.35">
      <c r="A778" s="17">
        <v>537418</v>
      </c>
      <c r="B778" s="18">
        <v>51</v>
      </c>
      <c r="C778" s="23" t="s">
        <v>99</v>
      </c>
      <c r="D778" s="24">
        <v>45128.940972222219</v>
      </c>
      <c r="E778" s="18" t="s">
        <v>133</v>
      </c>
      <c r="F778" s="18" t="s">
        <v>46</v>
      </c>
      <c r="G778" s="18">
        <v>7284</v>
      </c>
      <c r="H778" s="25">
        <f t="shared" si="48"/>
        <v>45128</v>
      </c>
      <c r="I778" s="26">
        <f t="shared" si="49"/>
        <v>0.94097222221898846</v>
      </c>
      <c r="J778" s="18" t="str">
        <f t="shared" si="50"/>
        <v>July</v>
      </c>
      <c r="K778" s="56" t="str">
        <f t="shared" si="51"/>
        <v>Friday</v>
      </c>
      <c r="L778" s="18" t="str">
        <f>IF(OR(G778&gt;Answers!I793,G778&lt;Answers!I794),"Outlier","Normal")</f>
        <v>Outlier</v>
      </c>
      <c r="M778" s="18">
        <v>63</v>
      </c>
    </row>
    <row r="779" spans="1:13" ht="20" customHeight="1" x14ac:dyDescent="0.35">
      <c r="A779" s="17">
        <v>537514</v>
      </c>
      <c r="B779" s="18">
        <v>12</v>
      </c>
      <c r="C779" s="23" t="s">
        <v>105</v>
      </c>
      <c r="D779" s="24">
        <v>45207.039583333331</v>
      </c>
      <c r="E779" s="18" t="s">
        <v>98</v>
      </c>
      <c r="F779" s="18" t="s">
        <v>8</v>
      </c>
      <c r="G779" s="18">
        <v>8747</v>
      </c>
      <c r="H779" s="25">
        <f t="shared" si="48"/>
        <v>45207</v>
      </c>
      <c r="I779" s="26">
        <f t="shared" si="49"/>
        <v>3.9583333331393078E-2</v>
      </c>
      <c r="J779" s="18" t="str">
        <f t="shared" si="50"/>
        <v>October</v>
      </c>
      <c r="K779" s="56" t="str">
        <f t="shared" si="51"/>
        <v>Sunday</v>
      </c>
      <c r="L779" s="18" t="str">
        <f>IF(OR(G779&gt;Answers!I794,G779&lt;Answers!I795),"Outlier","Normal")</f>
        <v>Outlier</v>
      </c>
      <c r="M779" s="18">
        <v>65</v>
      </c>
    </row>
    <row r="780" spans="1:13" ht="20" customHeight="1" x14ac:dyDescent="0.35">
      <c r="A780" s="17">
        <v>537900</v>
      </c>
      <c r="B780" s="18">
        <v>1009</v>
      </c>
      <c r="C780" s="23" t="s">
        <v>99</v>
      </c>
      <c r="D780" s="24">
        <v>44936.011805555558</v>
      </c>
      <c r="E780" s="18" t="s">
        <v>133</v>
      </c>
      <c r="F780" s="18" t="s">
        <v>46</v>
      </c>
      <c r="G780" s="18">
        <v>3462</v>
      </c>
      <c r="H780" s="25">
        <f t="shared" si="48"/>
        <v>44936</v>
      </c>
      <c r="I780" s="26">
        <f t="shared" si="49"/>
        <v>1.1805555557657499E-2</v>
      </c>
      <c r="J780" s="18" t="str">
        <f t="shared" si="50"/>
        <v>January</v>
      </c>
      <c r="K780" s="56" t="str">
        <f t="shared" si="51"/>
        <v>Tuesday</v>
      </c>
      <c r="L780" s="18" t="str">
        <f>IF(OR(G780&gt;Answers!I795,G780&lt;Answers!I796),"Outlier","Normal")</f>
        <v>Outlier</v>
      </c>
      <c r="M780" s="18">
        <v>44</v>
      </c>
    </row>
    <row r="781" spans="1:13" ht="20" customHeight="1" x14ac:dyDescent="0.35">
      <c r="A781" s="17">
        <v>538560</v>
      </c>
      <c r="B781" s="18">
        <v>31</v>
      </c>
      <c r="C781" s="23" t="s">
        <v>99</v>
      </c>
      <c r="D781" s="24">
        <v>45231.01458333333</v>
      </c>
      <c r="E781" s="18" t="s">
        <v>97</v>
      </c>
      <c r="F781" s="18" t="s">
        <v>27</v>
      </c>
      <c r="G781" s="18">
        <v>9928</v>
      </c>
      <c r="H781" s="25">
        <f t="shared" si="48"/>
        <v>45231</v>
      </c>
      <c r="I781" s="26">
        <f t="shared" si="49"/>
        <v>1.4583333329937886E-2</v>
      </c>
      <c r="J781" s="18" t="str">
        <f t="shared" si="50"/>
        <v>November</v>
      </c>
      <c r="K781" s="56" t="str">
        <f t="shared" si="51"/>
        <v>Wednesday</v>
      </c>
      <c r="L781" s="18" t="str">
        <f>IF(OR(G781&gt;Answers!I796,G781&lt;Answers!I797),"Outlier","Normal")</f>
        <v>Outlier</v>
      </c>
      <c r="M781" s="18">
        <v>22</v>
      </c>
    </row>
    <row r="782" spans="1:13" ht="20" customHeight="1" x14ac:dyDescent="0.35">
      <c r="A782" s="17">
        <v>539212</v>
      </c>
      <c r="B782" s="18">
        <v>488</v>
      </c>
      <c r="C782" s="23" t="s">
        <v>99</v>
      </c>
      <c r="D782" s="24">
        <v>45259.077777777777</v>
      </c>
      <c r="E782" s="18" t="s">
        <v>133</v>
      </c>
      <c r="F782" s="18" t="s">
        <v>18</v>
      </c>
      <c r="G782" s="18">
        <v>8345</v>
      </c>
      <c r="H782" s="25">
        <f t="shared" si="48"/>
        <v>45259</v>
      </c>
      <c r="I782" s="26">
        <f t="shared" si="49"/>
        <v>7.7777777776645962E-2</v>
      </c>
      <c r="J782" s="18" t="str">
        <f t="shared" si="50"/>
        <v>November</v>
      </c>
      <c r="K782" s="56" t="str">
        <f t="shared" si="51"/>
        <v>Wednesday</v>
      </c>
      <c r="L782" s="18" t="str">
        <f>IF(OR(G782&gt;Answers!I797,G782&lt;Answers!I798),"Outlier","Normal")</f>
        <v>Outlier</v>
      </c>
      <c r="M782" s="18">
        <v>19</v>
      </c>
    </row>
    <row r="783" spans="1:13" ht="20" customHeight="1" x14ac:dyDescent="0.35">
      <c r="A783" s="17">
        <v>539679</v>
      </c>
      <c r="B783" s="18">
        <v>668</v>
      </c>
      <c r="C783" s="23" t="s">
        <v>100</v>
      </c>
      <c r="D783" s="24">
        <v>45053.019444444442</v>
      </c>
      <c r="E783" s="18" t="s">
        <v>98</v>
      </c>
      <c r="F783" s="18" t="s">
        <v>90</v>
      </c>
      <c r="G783" s="18">
        <v>24</v>
      </c>
      <c r="H783" s="25">
        <f t="shared" si="48"/>
        <v>45053</v>
      </c>
      <c r="I783" s="26">
        <f t="shared" si="49"/>
        <v>1.9444444442342501E-2</v>
      </c>
      <c r="J783" s="18" t="str">
        <f t="shared" si="50"/>
        <v>May</v>
      </c>
      <c r="K783" s="56" t="str">
        <f t="shared" si="51"/>
        <v>Sunday</v>
      </c>
      <c r="L783" s="18" t="str">
        <f>IF(OR(G783&gt;Answers!I798,G783&lt;Answers!I799),"Outlier","Normal")</f>
        <v>Outlier</v>
      </c>
      <c r="M783" s="18">
        <v>90</v>
      </c>
    </row>
    <row r="784" spans="1:13" ht="20" customHeight="1" x14ac:dyDescent="0.35">
      <c r="A784" s="17">
        <v>540823</v>
      </c>
      <c r="B784" s="18">
        <v>306</v>
      </c>
      <c r="C784" s="23" t="s">
        <v>113</v>
      </c>
      <c r="D784" s="24">
        <v>45260.015277777777</v>
      </c>
      <c r="E784" s="18" t="s">
        <v>97</v>
      </c>
      <c r="F784" s="18" t="s">
        <v>14</v>
      </c>
      <c r="G784" s="18">
        <v>3011</v>
      </c>
      <c r="H784" s="25">
        <f t="shared" si="48"/>
        <v>45260</v>
      </c>
      <c r="I784" s="26">
        <f t="shared" si="49"/>
        <v>1.5277777776645962E-2</v>
      </c>
      <c r="J784" s="18" t="str">
        <f t="shared" si="50"/>
        <v>November</v>
      </c>
      <c r="K784" s="56" t="str">
        <f t="shared" si="51"/>
        <v>Thursday</v>
      </c>
      <c r="L784" s="18" t="str">
        <f>IF(OR(G784&gt;Answers!I799,G784&lt;Answers!I800),"Outlier","Normal")</f>
        <v>Outlier</v>
      </c>
      <c r="M784" s="18">
        <v>20</v>
      </c>
    </row>
    <row r="785" spans="1:13" ht="20" customHeight="1" x14ac:dyDescent="0.35">
      <c r="A785" s="17">
        <v>541612</v>
      </c>
      <c r="B785" s="18">
        <v>248</v>
      </c>
      <c r="C785" s="23" t="s">
        <v>99</v>
      </c>
      <c r="D785" s="24">
        <v>45236.018055555556</v>
      </c>
      <c r="E785" s="18" t="s">
        <v>97</v>
      </c>
      <c r="F785" s="18" t="s">
        <v>27</v>
      </c>
      <c r="G785" s="18">
        <v>3155</v>
      </c>
      <c r="H785" s="25">
        <f t="shared" si="48"/>
        <v>45236</v>
      </c>
      <c r="I785" s="26">
        <f t="shared" si="49"/>
        <v>1.8055555556202307E-2</v>
      </c>
      <c r="J785" s="18" t="str">
        <f t="shared" si="50"/>
        <v>November</v>
      </c>
      <c r="K785" s="56" t="str">
        <f t="shared" si="51"/>
        <v>Monday</v>
      </c>
      <c r="L785" s="18" t="str">
        <f>IF(OR(G785&gt;Answers!I800,G785&lt;Answers!I801),"Outlier","Normal")</f>
        <v>Outlier</v>
      </c>
      <c r="M785" s="18">
        <v>47</v>
      </c>
    </row>
    <row r="786" spans="1:13" ht="20" customHeight="1" x14ac:dyDescent="0.35">
      <c r="A786" s="17">
        <v>541737</v>
      </c>
      <c r="B786" s="18">
        <v>1365</v>
      </c>
      <c r="C786" s="23" t="s">
        <v>99</v>
      </c>
      <c r="D786" s="24">
        <v>45283.015972222223</v>
      </c>
      <c r="E786" s="18" t="s">
        <v>133</v>
      </c>
      <c r="F786" s="18" t="s">
        <v>7</v>
      </c>
      <c r="G786" s="18">
        <v>1362</v>
      </c>
      <c r="H786" s="25">
        <f t="shared" si="48"/>
        <v>45283</v>
      </c>
      <c r="I786" s="26">
        <f t="shared" si="49"/>
        <v>1.5972222223354038E-2</v>
      </c>
      <c r="J786" s="18" t="str">
        <f t="shared" si="50"/>
        <v>December</v>
      </c>
      <c r="K786" s="56" t="str">
        <f t="shared" si="51"/>
        <v>Saturday</v>
      </c>
      <c r="L786" s="18" t="str">
        <f>IF(OR(G786&gt;Answers!I801,G786&lt;Answers!I802),"Outlier","Normal")</f>
        <v>Outlier</v>
      </c>
      <c r="M786" s="18">
        <v>53</v>
      </c>
    </row>
    <row r="787" spans="1:13" ht="20" customHeight="1" x14ac:dyDescent="0.35">
      <c r="A787" s="17">
        <v>541762</v>
      </c>
      <c r="B787" s="18">
        <v>1492</v>
      </c>
      <c r="C787" s="23" t="s">
        <v>99</v>
      </c>
      <c r="D787" s="24">
        <v>45135.998611111114</v>
      </c>
      <c r="E787" s="18" t="s">
        <v>98</v>
      </c>
      <c r="F787" s="18" t="s">
        <v>9</v>
      </c>
      <c r="G787" s="18">
        <v>5062</v>
      </c>
      <c r="H787" s="25">
        <f t="shared" si="48"/>
        <v>45135</v>
      </c>
      <c r="I787" s="26">
        <f t="shared" si="49"/>
        <v>0.99861111111385981</v>
      </c>
      <c r="J787" s="18" t="str">
        <f t="shared" si="50"/>
        <v>July</v>
      </c>
      <c r="K787" s="56" t="str">
        <f t="shared" si="51"/>
        <v>Friday</v>
      </c>
      <c r="L787" s="18" t="str">
        <f>IF(OR(G787&gt;Answers!I802,G787&lt;Answers!I803),"Outlier","Normal")</f>
        <v>Outlier</v>
      </c>
      <c r="M787" s="18">
        <v>78</v>
      </c>
    </row>
    <row r="788" spans="1:13" ht="20" customHeight="1" x14ac:dyDescent="0.35">
      <c r="A788" s="17">
        <v>541964</v>
      </c>
      <c r="B788" s="18">
        <v>465</v>
      </c>
      <c r="C788" s="23" t="s">
        <v>99</v>
      </c>
      <c r="D788" s="24">
        <v>45221.99722222222</v>
      </c>
      <c r="E788" s="18" t="s">
        <v>133</v>
      </c>
      <c r="F788" s="18" t="s">
        <v>48</v>
      </c>
      <c r="G788" s="18">
        <v>3372</v>
      </c>
      <c r="H788" s="25">
        <f t="shared" si="48"/>
        <v>45221</v>
      </c>
      <c r="I788" s="26">
        <f t="shared" si="49"/>
        <v>0.99722222222044365</v>
      </c>
      <c r="J788" s="18" t="str">
        <f t="shared" si="50"/>
        <v>October</v>
      </c>
      <c r="K788" s="56" t="str">
        <f t="shared" si="51"/>
        <v>Sunday</v>
      </c>
      <c r="L788" s="18" t="str">
        <f>IF(OR(G788&gt;Answers!I803,G788&lt;Answers!I804),"Outlier","Normal")</f>
        <v>Outlier</v>
      </c>
      <c r="M788" s="18">
        <v>49</v>
      </c>
    </row>
    <row r="789" spans="1:13" ht="20" customHeight="1" x14ac:dyDescent="0.35">
      <c r="A789" s="17">
        <v>542381</v>
      </c>
      <c r="B789" s="18">
        <v>1767</v>
      </c>
      <c r="C789" s="23" t="s">
        <v>100</v>
      </c>
      <c r="D789" s="24">
        <v>45286.009027777778</v>
      </c>
      <c r="E789" s="18" t="s">
        <v>133</v>
      </c>
      <c r="F789" s="18" t="s">
        <v>14</v>
      </c>
      <c r="G789" s="18">
        <v>6198</v>
      </c>
      <c r="H789" s="25">
        <f t="shared" si="48"/>
        <v>45286</v>
      </c>
      <c r="I789" s="26">
        <f t="shared" si="49"/>
        <v>9.0277777781011537E-3</v>
      </c>
      <c r="J789" s="18" t="str">
        <f t="shared" si="50"/>
        <v>December</v>
      </c>
      <c r="K789" s="56" t="str">
        <f t="shared" si="51"/>
        <v>Tuesday</v>
      </c>
      <c r="L789" s="18" t="str">
        <f>IF(OR(G789&gt;Answers!I804,G789&lt;Answers!I805),"Outlier","Normal")</f>
        <v>Outlier</v>
      </c>
      <c r="M789" s="18">
        <v>52</v>
      </c>
    </row>
    <row r="790" spans="1:13" ht="20" customHeight="1" x14ac:dyDescent="0.35">
      <c r="A790" s="17">
        <v>543294</v>
      </c>
      <c r="B790" s="18">
        <v>1504</v>
      </c>
      <c r="C790" s="23" t="s">
        <v>100</v>
      </c>
      <c r="D790" s="24">
        <v>45182.018750000003</v>
      </c>
      <c r="E790" s="18" t="s">
        <v>133</v>
      </c>
      <c r="F790" s="18" t="s">
        <v>61</v>
      </c>
      <c r="G790" s="18">
        <v>3639</v>
      </c>
      <c r="H790" s="25">
        <f t="shared" si="48"/>
        <v>45182</v>
      </c>
      <c r="I790" s="26">
        <f t="shared" si="49"/>
        <v>1.8750000002910383E-2</v>
      </c>
      <c r="J790" s="18" t="str">
        <f t="shared" si="50"/>
        <v>September</v>
      </c>
      <c r="K790" s="56" t="str">
        <f t="shared" si="51"/>
        <v>Wednesday</v>
      </c>
      <c r="L790" s="18" t="str">
        <f>IF(OR(G790&gt;Answers!I805,G790&lt;Answers!I806),"Outlier","Normal")</f>
        <v>Outlier</v>
      </c>
      <c r="M790" s="18">
        <v>33</v>
      </c>
    </row>
    <row r="791" spans="1:13" ht="20" customHeight="1" x14ac:dyDescent="0.35">
      <c r="A791" s="17">
        <v>543420</v>
      </c>
      <c r="B791" s="18">
        <v>1942</v>
      </c>
      <c r="C791" s="23" t="s">
        <v>99</v>
      </c>
      <c r="D791" s="24">
        <v>45092.989583333336</v>
      </c>
      <c r="E791" s="18" t="s">
        <v>98</v>
      </c>
      <c r="F791" s="18" t="s">
        <v>65</v>
      </c>
      <c r="G791" s="18">
        <v>4380</v>
      </c>
      <c r="H791" s="25">
        <f t="shared" si="48"/>
        <v>45092</v>
      </c>
      <c r="I791" s="26">
        <f t="shared" si="49"/>
        <v>0.98958333333575865</v>
      </c>
      <c r="J791" s="18" t="str">
        <f t="shared" si="50"/>
        <v>June</v>
      </c>
      <c r="K791" s="56" t="str">
        <f t="shared" si="51"/>
        <v>Thursday</v>
      </c>
      <c r="L791" s="18" t="str">
        <f>IF(OR(G791&gt;Answers!I806,G791&lt;Answers!I807),"Outlier","Normal")</f>
        <v>Outlier</v>
      </c>
      <c r="M791" s="18">
        <v>30</v>
      </c>
    </row>
    <row r="792" spans="1:13" ht="20" customHeight="1" x14ac:dyDescent="0.35">
      <c r="A792" s="17">
        <v>543688</v>
      </c>
      <c r="B792" s="18">
        <v>1393</v>
      </c>
      <c r="C792" s="23" t="s">
        <v>107</v>
      </c>
      <c r="D792" s="24">
        <v>45146.023611111108</v>
      </c>
      <c r="E792" s="18" t="s">
        <v>98</v>
      </c>
      <c r="F792" s="18" t="s">
        <v>17</v>
      </c>
      <c r="G792" s="18">
        <v>9836</v>
      </c>
      <c r="H792" s="25">
        <f t="shared" si="48"/>
        <v>45146</v>
      </c>
      <c r="I792" s="26">
        <f t="shared" si="49"/>
        <v>2.361111110803904E-2</v>
      </c>
      <c r="J792" s="18" t="str">
        <f t="shared" si="50"/>
        <v>August</v>
      </c>
      <c r="K792" s="56" t="str">
        <f t="shared" si="51"/>
        <v>Tuesday</v>
      </c>
      <c r="L792" s="18" t="str">
        <f>IF(OR(G792&gt;Answers!I807,G792&lt;Answers!I808),"Outlier","Normal")</f>
        <v>Outlier</v>
      </c>
      <c r="M792" s="18">
        <v>76</v>
      </c>
    </row>
    <row r="793" spans="1:13" ht="20" customHeight="1" x14ac:dyDescent="0.35">
      <c r="A793" s="17">
        <v>544608</v>
      </c>
      <c r="B793" s="18">
        <v>643</v>
      </c>
      <c r="C793" s="23" t="s">
        <v>113</v>
      </c>
      <c r="D793" s="24">
        <v>45192.080555555556</v>
      </c>
      <c r="E793" s="18" t="s">
        <v>97</v>
      </c>
      <c r="F793" s="18" t="s">
        <v>18</v>
      </c>
      <c r="G793" s="18">
        <v>3678</v>
      </c>
      <c r="H793" s="25">
        <f t="shared" si="48"/>
        <v>45192</v>
      </c>
      <c r="I793" s="26">
        <f t="shared" si="49"/>
        <v>8.0555555556202307E-2</v>
      </c>
      <c r="J793" s="18" t="str">
        <f t="shared" si="50"/>
        <v>September</v>
      </c>
      <c r="K793" s="56" t="str">
        <f t="shared" si="51"/>
        <v>Saturday</v>
      </c>
      <c r="L793" s="18" t="str">
        <f>IF(OR(G793&gt;Answers!I808,G793&lt;Answers!I809),"Outlier","Normal")</f>
        <v>Outlier</v>
      </c>
      <c r="M793" s="18">
        <v>39</v>
      </c>
    </row>
    <row r="794" spans="1:13" ht="20" customHeight="1" x14ac:dyDescent="0.35">
      <c r="A794" s="17">
        <v>544675</v>
      </c>
      <c r="B794" s="18">
        <v>459</v>
      </c>
      <c r="C794" s="23" t="s">
        <v>107</v>
      </c>
      <c r="D794" s="24">
        <v>45059.078472222223</v>
      </c>
      <c r="E794" s="18" t="s">
        <v>133</v>
      </c>
      <c r="F794" s="18" t="s">
        <v>89</v>
      </c>
      <c r="G794" s="18">
        <v>6757</v>
      </c>
      <c r="H794" s="25">
        <f t="shared" si="48"/>
        <v>45059</v>
      </c>
      <c r="I794" s="26">
        <f t="shared" si="49"/>
        <v>7.8472222223354038E-2</v>
      </c>
      <c r="J794" s="18" t="str">
        <f t="shared" si="50"/>
        <v>May</v>
      </c>
      <c r="K794" s="56" t="str">
        <f t="shared" si="51"/>
        <v>Saturday</v>
      </c>
      <c r="L794" s="18" t="str">
        <f>IF(OR(G794&gt;Answers!I809,G794&lt;Answers!I810),"Outlier","Normal")</f>
        <v>Outlier</v>
      </c>
      <c r="M794" s="18">
        <v>30</v>
      </c>
    </row>
    <row r="795" spans="1:13" ht="20" customHeight="1" x14ac:dyDescent="0.35">
      <c r="A795" s="17">
        <v>545696</v>
      </c>
      <c r="B795" s="18">
        <v>1682</v>
      </c>
      <c r="C795" s="23" t="s">
        <v>100</v>
      </c>
      <c r="D795" s="24">
        <v>45085.045138888891</v>
      </c>
      <c r="E795" s="18" t="s">
        <v>97</v>
      </c>
      <c r="F795" s="18" t="s">
        <v>79</v>
      </c>
      <c r="G795" s="18">
        <v>9120</v>
      </c>
      <c r="H795" s="25">
        <f t="shared" si="48"/>
        <v>45085</v>
      </c>
      <c r="I795" s="26">
        <f t="shared" si="49"/>
        <v>4.5138888890505768E-2</v>
      </c>
      <c r="J795" s="18" t="str">
        <f t="shared" si="50"/>
        <v>June</v>
      </c>
      <c r="K795" s="56" t="str">
        <f t="shared" si="51"/>
        <v>Thursday</v>
      </c>
      <c r="L795" s="18" t="str">
        <f>IF(OR(G795&gt;Answers!I810,G795&lt;Answers!I811),"Outlier","Normal")</f>
        <v>Outlier</v>
      </c>
      <c r="M795" s="18">
        <v>72</v>
      </c>
    </row>
    <row r="796" spans="1:13" ht="20" customHeight="1" x14ac:dyDescent="0.35">
      <c r="A796" s="17">
        <v>546278</v>
      </c>
      <c r="B796" s="18">
        <v>1510</v>
      </c>
      <c r="C796" s="23" t="s">
        <v>103</v>
      </c>
      <c r="D796" s="24">
        <v>45081.047222222223</v>
      </c>
      <c r="E796" s="18" t="s">
        <v>133</v>
      </c>
      <c r="F796" s="18" t="s">
        <v>51</v>
      </c>
      <c r="G796" s="18">
        <v>5853</v>
      </c>
      <c r="H796" s="25">
        <f t="shared" si="48"/>
        <v>45081</v>
      </c>
      <c r="I796" s="26">
        <f t="shared" si="49"/>
        <v>4.7222222223354038E-2</v>
      </c>
      <c r="J796" s="18" t="str">
        <f t="shared" si="50"/>
        <v>June</v>
      </c>
      <c r="K796" s="56" t="str">
        <f t="shared" si="51"/>
        <v>Sunday</v>
      </c>
      <c r="L796" s="18" t="str">
        <f>IF(OR(G796&gt;Answers!I811,G796&lt;Answers!I812),"Outlier","Normal")</f>
        <v>Outlier</v>
      </c>
      <c r="M796" s="18">
        <v>23</v>
      </c>
    </row>
    <row r="797" spans="1:13" ht="20" customHeight="1" x14ac:dyDescent="0.35">
      <c r="A797" s="17">
        <v>546758</v>
      </c>
      <c r="B797" s="18">
        <v>1844</v>
      </c>
      <c r="C797" s="23" t="s">
        <v>106</v>
      </c>
      <c r="D797" s="24">
        <v>45140.03125</v>
      </c>
      <c r="E797" s="18" t="s">
        <v>96</v>
      </c>
      <c r="F797" s="18" t="s">
        <v>22</v>
      </c>
      <c r="G797" s="18">
        <v>316</v>
      </c>
      <c r="H797" s="25">
        <f t="shared" si="48"/>
        <v>45140</v>
      </c>
      <c r="I797" s="26">
        <f t="shared" si="49"/>
        <v>3.125E-2</v>
      </c>
      <c r="J797" s="18" t="str">
        <f t="shared" si="50"/>
        <v>August</v>
      </c>
      <c r="K797" s="56" t="str">
        <f t="shared" si="51"/>
        <v>Wednesday</v>
      </c>
      <c r="L797" s="18" t="str">
        <f>IF(OR(G797&gt;Answers!I812,G797&lt;Answers!I813),"Outlier","Normal")</f>
        <v>Outlier</v>
      </c>
      <c r="M797" s="18">
        <v>88</v>
      </c>
    </row>
    <row r="798" spans="1:13" ht="20" customHeight="1" x14ac:dyDescent="0.35">
      <c r="A798" s="17">
        <v>546839</v>
      </c>
      <c r="B798" s="18">
        <v>1566</v>
      </c>
      <c r="C798" s="23" t="s">
        <v>99</v>
      </c>
      <c r="D798" s="24">
        <v>45270.039583333331</v>
      </c>
      <c r="E798" s="18" t="s">
        <v>133</v>
      </c>
      <c r="F798" s="18" t="s">
        <v>52</v>
      </c>
      <c r="G798" s="18">
        <v>8639</v>
      </c>
      <c r="H798" s="25">
        <f t="shared" si="48"/>
        <v>45270</v>
      </c>
      <c r="I798" s="26">
        <f t="shared" si="49"/>
        <v>3.9583333331393078E-2</v>
      </c>
      <c r="J798" s="18" t="str">
        <f t="shared" si="50"/>
        <v>December</v>
      </c>
      <c r="K798" s="56" t="str">
        <f t="shared" si="51"/>
        <v>Sunday</v>
      </c>
      <c r="L798" s="18" t="str">
        <f>IF(OR(G798&gt;Answers!I813,G798&lt;Answers!I814),"Outlier","Normal")</f>
        <v>Outlier</v>
      </c>
      <c r="M798" s="18">
        <v>64</v>
      </c>
    </row>
    <row r="799" spans="1:13" ht="20" customHeight="1" x14ac:dyDescent="0.35">
      <c r="A799" s="17">
        <v>547144</v>
      </c>
      <c r="B799" s="18">
        <v>1666</v>
      </c>
      <c r="C799" s="23" t="s">
        <v>105</v>
      </c>
      <c r="D799" s="24">
        <v>44940.043055555558</v>
      </c>
      <c r="E799" s="18" t="s">
        <v>97</v>
      </c>
      <c r="F799" s="18" t="s">
        <v>39</v>
      </c>
      <c r="G799" s="18">
        <v>5455</v>
      </c>
      <c r="H799" s="25">
        <f t="shared" si="48"/>
        <v>44940</v>
      </c>
      <c r="I799" s="26">
        <f t="shared" si="49"/>
        <v>4.3055555557657499E-2</v>
      </c>
      <c r="J799" s="18" t="str">
        <f t="shared" si="50"/>
        <v>January</v>
      </c>
      <c r="K799" s="56" t="str">
        <f t="shared" si="51"/>
        <v>Saturday</v>
      </c>
      <c r="L799" s="18" t="str">
        <f>IF(OR(G799&gt;Answers!I814,G799&lt;Answers!I815),"Outlier","Normal")</f>
        <v>Outlier</v>
      </c>
      <c r="M799" s="18">
        <v>21</v>
      </c>
    </row>
    <row r="800" spans="1:13" ht="20" customHeight="1" x14ac:dyDescent="0.35">
      <c r="A800" s="17">
        <v>547283</v>
      </c>
      <c r="B800" s="18">
        <v>1363</v>
      </c>
      <c r="C800" s="23" t="s">
        <v>100</v>
      </c>
      <c r="D800" s="24">
        <v>45040.00277777778</v>
      </c>
      <c r="E800" s="18" t="s">
        <v>133</v>
      </c>
      <c r="F800" s="18" t="s">
        <v>92</v>
      </c>
      <c r="G800" s="18">
        <v>2149</v>
      </c>
      <c r="H800" s="25">
        <f t="shared" si="48"/>
        <v>45040</v>
      </c>
      <c r="I800" s="26">
        <f t="shared" si="49"/>
        <v>2.7777777795563452E-3</v>
      </c>
      <c r="J800" s="18" t="str">
        <f t="shared" si="50"/>
        <v>April</v>
      </c>
      <c r="K800" s="56" t="str">
        <f t="shared" si="51"/>
        <v>Monday</v>
      </c>
      <c r="L800" s="18" t="str">
        <f>IF(OR(G800&gt;Answers!I815,G800&lt;Answers!I816),"Outlier","Normal")</f>
        <v>Outlier</v>
      </c>
      <c r="M800" s="18">
        <v>81</v>
      </c>
    </row>
    <row r="801" spans="1:13" ht="20" customHeight="1" x14ac:dyDescent="0.35">
      <c r="A801" s="17">
        <v>548423</v>
      </c>
      <c r="B801" s="18">
        <v>1109</v>
      </c>
      <c r="C801" s="23" t="s">
        <v>113</v>
      </c>
      <c r="D801" s="24">
        <v>45190.052777777775</v>
      </c>
      <c r="E801" s="18" t="s">
        <v>96</v>
      </c>
      <c r="F801" s="18" t="s">
        <v>32</v>
      </c>
      <c r="G801" s="18">
        <v>3958</v>
      </c>
      <c r="H801" s="25">
        <f t="shared" si="48"/>
        <v>45190</v>
      </c>
      <c r="I801" s="26">
        <f t="shared" si="49"/>
        <v>5.2777777775190771E-2</v>
      </c>
      <c r="J801" s="18" t="str">
        <f t="shared" si="50"/>
        <v>September</v>
      </c>
      <c r="K801" s="56" t="str">
        <f t="shared" si="51"/>
        <v>Thursday</v>
      </c>
      <c r="L801" s="18" t="str">
        <f>IF(OR(G801&gt;Answers!I816,G801&lt;Answers!I817),"Outlier","Normal")</f>
        <v>Outlier</v>
      </c>
      <c r="M801" s="18">
        <v>86</v>
      </c>
    </row>
    <row r="802" spans="1:13" ht="20" customHeight="1" x14ac:dyDescent="0.35">
      <c r="A802" s="17">
        <v>548714</v>
      </c>
      <c r="B802" s="18">
        <v>1156</v>
      </c>
      <c r="C802" s="23" t="s">
        <v>103</v>
      </c>
      <c r="D802" s="24">
        <v>45099.021527777775</v>
      </c>
      <c r="E802" s="18" t="s">
        <v>97</v>
      </c>
      <c r="F802" s="18" t="s">
        <v>27</v>
      </c>
      <c r="G802" s="18">
        <v>6145</v>
      </c>
      <c r="H802" s="25">
        <f t="shared" si="48"/>
        <v>45099</v>
      </c>
      <c r="I802" s="26">
        <f t="shared" si="49"/>
        <v>2.1527777775190771E-2</v>
      </c>
      <c r="J802" s="18" t="str">
        <f t="shared" si="50"/>
        <v>June</v>
      </c>
      <c r="K802" s="56" t="str">
        <f t="shared" si="51"/>
        <v>Thursday</v>
      </c>
      <c r="L802" s="18" t="str">
        <f>IF(OR(G802&gt;Answers!I817,G802&lt;Answers!I818),"Outlier","Normal")</f>
        <v>Outlier</v>
      </c>
      <c r="M802" s="18">
        <v>35</v>
      </c>
    </row>
    <row r="803" spans="1:13" ht="20" customHeight="1" x14ac:dyDescent="0.35">
      <c r="A803" s="17">
        <v>549930</v>
      </c>
      <c r="B803" s="18">
        <v>685</v>
      </c>
      <c r="C803" s="23" t="s">
        <v>101</v>
      </c>
      <c r="D803" s="24">
        <v>45103.995833333334</v>
      </c>
      <c r="E803" s="18" t="s">
        <v>97</v>
      </c>
      <c r="F803" s="18" t="s">
        <v>5</v>
      </c>
      <c r="G803" s="18">
        <v>8311</v>
      </c>
      <c r="H803" s="25">
        <f t="shared" si="48"/>
        <v>45103</v>
      </c>
      <c r="I803" s="26">
        <f t="shared" si="49"/>
        <v>0.99583333333430346</v>
      </c>
      <c r="J803" s="18" t="str">
        <f t="shared" si="50"/>
        <v>June</v>
      </c>
      <c r="K803" s="56" t="str">
        <f t="shared" si="51"/>
        <v>Monday</v>
      </c>
      <c r="L803" s="18" t="str">
        <f>IF(OR(G803&gt;Answers!I818,G803&lt;Answers!I819),"Outlier","Normal")</f>
        <v>Outlier</v>
      </c>
      <c r="M803" s="18">
        <v>50</v>
      </c>
    </row>
    <row r="804" spans="1:13" ht="20" customHeight="1" x14ac:dyDescent="0.35">
      <c r="A804" s="17">
        <v>550510</v>
      </c>
      <c r="B804" s="18">
        <v>536</v>
      </c>
      <c r="C804" s="23" t="s">
        <v>109</v>
      </c>
      <c r="D804" s="24">
        <v>45036.982638888891</v>
      </c>
      <c r="E804" s="18" t="s">
        <v>133</v>
      </c>
      <c r="F804" s="18" t="s">
        <v>16</v>
      </c>
      <c r="G804" s="18">
        <v>4540</v>
      </c>
      <c r="H804" s="25">
        <f t="shared" si="48"/>
        <v>45036</v>
      </c>
      <c r="I804" s="26">
        <f t="shared" si="49"/>
        <v>0.98263888889050577</v>
      </c>
      <c r="J804" s="18" t="str">
        <f t="shared" si="50"/>
        <v>April</v>
      </c>
      <c r="K804" s="56" t="str">
        <f t="shared" si="51"/>
        <v>Thursday</v>
      </c>
      <c r="L804" s="18" t="str">
        <f>IF(OR(G804&gt;Answers!I819,G804&lt;Answers!I820),"Outlier","Normal")</f>
        <v>Outlier</v>
      </c>
      <c r="M804" s="18">
        <v>69</v>
      </c>
    </row>
    <row r="805" spans="1:13" ht="20" customHeight="1" x14ac:dyDescent="0.35">
      <c r="A805" s="17">
        <v>551810</v>
      </c>
      <c r="B805" s="18">
        <v>477</v>
      </c>
      <c r="C805" s="23" t="s">
        <v>101</v>
      </c>
      <c r="D805" s="24">
        <v>45085.024305555555</v>
      </c>
      <c r="E805" s="18" t="s">
        <v>97</v>
      </c>
      <c r="F805" s="18" t="s">
        <v>74</v>
      </c>
      <c r="G805" s="18">
        <v>8174</v>
      </c>
      <c r="H805" s="25">
        <f t="shared" si="48"/>
        <v>45085</v>
      </c>
      <c r="I805" s="26">
        <f t="shared" si="49"/>
        <v>2.4305555554747116E-2</v>
      </c>
      <c r="J805" s="18" t="str">
        <f t="shared" si="50"/>
        <v>June</v>
      </c>
      <c r="K805" s="56" t="str">
        <f t="shared" si="51"/>
        <v>Thursday</v>
      </c>
      <c r="L805" s="18" t="str">
        <f>IF(OR(G805&gt;Answers!I820,G805&lt;Answers!I821),"Outlier","Normal")</f>
        <v>Outlier</v>
      </c>
      <c r="M805" s="18">
        <v>31</v>
      </c>
    </row>
    <row r="806" spans="1:13" ht="20" customHeight="1" x14ac:dyDescent="0.35">
      <c r="A806" s="17">
        <v>551997</v>
      </c>
      <c r="B806" s="18">
        <v>1620</v>
      </c>
      <c r="C806" s="23" t="s">
        <v>99</v>
      </c>
      <c r="D806" s="24">
        <v>45195.973611111112</v>
      </c>
      <c r="E806" s="18" t="s">
        <v>133</v>
      </c>
      <c r="F806" s="18" t="s">
        <v>4</v>
      </c>
      <c r="G806" s="18">
        <v>5017</v>
      </c>
      <c r="H806" s="25">
        <f t="shared" si="48"/>
        <v>45195</v>
      </c>
      <c r="I806" s="26">
        <f t="shared" si="49"/>
        <v>0.97361111111240461</v>
      </c>
      <c r="J806" s="18" t="str">
        <f t="shared" si="50"/>
        <v>September</v>
      </c>
      <c r="K806" s="56" t="str">
        <f t="shared" si="51"/>
        <v>Tuesday</v>
      </c>
      <c r="L806" s="18" t="str">
        <f>IF(OR(G806&gt;Answers!I821,G806&lt;Answers!I822),"Outlier","Normal")</f>
        <v>Outlier</v>
      </c>
      <c r="M806" s="18">
        <v>61</v>
      </c>
    </row>
    <row r="807" spans="1:13" ht="20" customHeight="1" x14ac:dyDescent="0.35">
      <c r="A807" s="17">
        <v>552382</v>
      </c>
      <c r="B807" s="18">
        <v>375</v>
      </c>
      <c r="C807" s="23" t="s">
        <v>101</v>
      </c>
      <c r="D807" s="24">
        <v>45048.020138888889</v>
      </c>
      <c r="E807" s="18" t="s">
        <v>98</v>
      </c>
      <c r="F807" s="18" t="s">
        <v>14</v>
      </c>
      <c r="G807" s="18">
        <v>626</v>
      </c>
      <c r="H807" s="25">
        <f t="shared" si="48"/>
        <v>45048</v>
      </c>
      <c r="I807" s="26">
        <f t="shared" si="49"/>
        <v>2.0138888889050577E-2</v>
      </c>
      <c r="J807" s="18" t="str">
        <f t="shared" si="50"/>
        <v>May</v>
      </c>
      <c r="K807" s="56" t="str">
        <f t="shared" si="51"/>
        <v>Tuesday</v>
      </c>
      <c r="L807" s="18" t="str">
        <f>IF(OR(G807&gt;Answers!I822,G807&lt;Answers!I823),"Outlier","Normal")</f>
        <v>Outlier</v>
      </c>
      <c r="M807" s="18">
        <v>45</v>
      </c>
    </row>
    <row r="808" spans="1:13" ht="20" customHeight="1" x14ac:dyDescent="0.35">
      <c r="A808" s="17">
        <v>552420</v>
      </c>
      <c r="B808" s="18">
        <v>31</v>
      </c>
      <c r="C808" s="23" t="s">
        <v>99</v>
      </c>
      <c r="D808" s="24">
        <v>45131.981249999997</v>
      </c>
      <c r="E808" s="18" t="s">
        <v>96</v>
      </c>
      <c r="F808" s="18" t="s">
        <v>6</v>
      </c>
      <c r="G808" s="18">
        <v>3937</v>
      </c>
      <c r="H808" s="25">
        <f t="shared" si="48"/>
        <v>45131</v>
      </c>
      <c r="I808" s="26">
        <f t="shared" si="49"/>
        <v>0.98124999999708962</v>
      </c>
      <c r="J808" s="18" t="str">
        <f t="shared" si="50"/>
        <v>July</v>
      </c>
      <c r="K808" s="56" t="str">
        <f t="shared" si="51"/>
        <v>Monday</v>
      </c>
      <c r="L808" s="18" t="str">
        <f>IF(OR(G808&gt;Answers!I823,G808&lt;Answers!I824),"Outlier","Normal")</f>
        <v>Outlier</v>
      </c>
      <c r="M808" s="18">
        <v>22</v>
      </c>
    </row>
    <row r="809" spans="1:13" ht="20" customHeight="1" x14ac:dyDescent="0.35">
      <c r="A809" s="17">
        <v>552683</v>
      </c>
      <c r="B809" s="18">
        <v>131</v>
      </c>
      <c r="C809" s="23" t="s">
        <v>107</v>
      </c>
      <c r="D809" s="24">
        <v>45054.05972222222</v>
      </c>
      <c r="E809" s="18" t="s">
        <v>96</v>
      </c>
      <c r="F809" s="18" t="s">
        <v>7</v>
      </c>
      <c r="G809" s="18">
        <v>6578</v>
      </c>
      <c r="H809" s="25">
        <f t="shared" si="48"/>
        <v>45054</v>
      </c>
      <c r="I809" s="26">
        <f t="shared" si="49"/>
        <v>5.9722222220443655E-2</v>
      </c>
      <c r="J809" s="18" t="str">
        <f t="shared" si="50"/>
        <v>May</v>
      </c>
      <c r="K809" s="56" t="str">
        <f t="shared" si="51"/>
        <v>Monday</v>
      </c>
      <c r="L809" s="18" t="str">
        <f>IF(OR(G809&gt;Answers!I824,G809&lt;Answers!I825),"Outlier","Normal")</f>
        <v>Outlier</v>
      </c>
      <c r="M809" s="18">
        <v>90</v>
      </c>
    </row>
    <row r="810" spans="1:13" ht="20" customHeight="1" x14ac:dyDescent="0.35">
      <c r="A810" s="17">
        <v>554150</v>
      </c>
      <c r="B810" s="18">
        <v>343</v>
      </c>
      <c r="C810" s="23" t="s">
        <v>113</v>
      </c>
      <c r="D810" s="24">
        <v>45051.002083333333</v>
      </c>
      <c r="E810" s="18" t="s">
        <v>98</v>
      </c>
      <c r="F810" s="18" t="s">
        <v>8</v>
      </c>
      <c r="G810" s="18">
        <v>1090</v>
      </c>
      <c r="H810" s="25">
        <f t="shared" si="48"/>
        <v>45051</v>
      </c>
      <c r="I810" s="26">
        <f t="shared" si="49"/>
        <v>2.0833333328482695E-3</v>
      </c>
      <c r="J810" s="18" t="str">
        <f t="shared" si="50"/>
        <v>May</v>
      </c>
      <c r="K810" s="56" t="str">
        <f t="shared" si="51"/>
        <v>Friday</v>
      </c>
      <c r="L810" s="18" t="str">
        <f>IF(OR(G810&gt;Answers!I825,G810&lt;Answers!I826),"Outlier","Normal")</f>
        <v>Outlier</v>
      </c>
      <c r="M810" s="18">
        <v>88</v>
      </c>
    </row>
    <row r="811" spans="1:13" ht="20" customHeight="1" x14ac:dyDescent="0.35">
      <c r="A811" s="17">
        <v>556001</v>
      </c>
      <c r="B811" s="18">
        <v>395</v>
      </c>
      <c r="C811" s="23" t="s">
        <v>113</v>
      </c>
      <c r="D811" s="24">
        <v>44954.012499999997</v>
      </c>
      <c r="E811" s="18" t="s">
        <v>96</v>
      </c>
      <c r="F811" s="18" t="s">
        <v>9</v>
      </c>
      <c r="G811" s="18">
        <v>8901</v>
      </c>
      <c r="H811" s="25">
        <f t="shared" si="48"/>
        <v>44954</v>
      </c>
      <c r="I811" s="26">
        <f t="shared" si="49"/>
        <v>1.2499999997089617E-2</v>
      </c>
      <c r="J811" s="18" t="str">
        <f t="shared" si="50"/>
        <v>January</v>
      </c>
      <c r="K811" s="56" t="str">
        <f t="shared" si="51"/>
        <v>Saturday</v>
      </c>
      <c r="L811" s="18" t="str">
        <f>IF(OR(G811&gt;Answers!I826,G811&lt;Answers!I827),"Outlier","Normal")</f>
        <v>Outlier</v>
      </c>
      <c r="M811" s="18">
        <v>22</v>
      </c>
    </row>
    <row r="812" spans="1:13" ht="20" customHeight="1" x14ac:dyDescent="0.35">
      <c r="A812" s="17">
        <v>556930</v>
      </c>
      <c r="B812" s="18">
        <v>1847</v>
      </c>
      <c r="C812" s="23" t="s">
        <v>100</v>
      </c>
      <c r="D812" s="24">
        <v>44940.015972222223</v>
      </c>
      <c r="E812" s="18" t="s">
        <v>98</v>
      </c>
      <c r="F812" s="18" t="s">
        <v>10</v>
      </c>
      <c r="G812" s="18">
        <v>1675</v>
      </c>
      <c r="H812" s="25">
        <f t="shared" si="48"/>
        <v>44940</v>
      </c>
      <c r="I812" s="26">
        <f t="shared" si="49"/>
        <v>1.5972222223354038E-2</v>
      </c>
      <c r="J812" s="18" t="str">
        <f t="shared" si="50"/>
        <v>January</v>
      </c>
      <c r="K812" s="56" t="str">
        <f t="shared" si="51"/>
        <v>Saturday</v>
      </c>
      <c r="L812" s="18" t="str">
        <f>IF(OR(G812&gt;Answers!I827,G812&lt;Answers!I828),"Outlier","Normal")</f>
        <v>Outlier</v>
      </c>
      <c r="M812" s="18">
        <v>33</v>
      </c>
    </row>
    <row r="813" spans="1:13" ht="20" customHeight="1" x14ac:dyDescent="0.35">
      <c r="A813" s="17">
        <v>557919</v>
      </c>
      <c r="B813" s="18">
        <v>736</v>
      </c>
      <c r="C813" s="23" t="s">
        <v>99</v>
      </c>
      <c r="D813" s="24">
        <v>45237.07708333333</v>
      </c>
      <c r="E813" s="18" t="s">
        <v>133</v>
      </c>
      <c r="F813" s="18" t="s">
        <v>11</v>
      </c>
      <c r="G813" s="18">
        <v>1848</v>
      </c>
      <c r="H813" s="25">
        <f t="shared" si="48"/>
        <v>45237</v>
      </c>
      <c r="I813" s="26">
        <f t="shared" si="49"/>
        <v>7.7083333329937886E-2</v>
      </c>
      <c r="J813" s="18" t="str">
        <f t="shared" si="50"/>
        <v>November</v>
      </c>
      <c r="K813" s="56" t="str">
        <f t="shared" si="51"/>
        <v>Tuesday</v>
      </c>
      <c r="L813" s="18" t="str">
        <f>IF(OR(G813&gt;Answers!I828,G813&lt;Answers!I829),"Outlier","Normal")</f>
        <v>Outlier</v>
      </c>
      <c r="M813" s="18">
        <v>50</v>
      </c>
    </row>
    <row r="814" spans="1:13" ht="20" customHeight="1" x14ac:dyDescent="0.35">
      <c r="A814" s="17">
        <v>558573</v>
      </c>
      <c r="B814" s="18">
        <v>342</v>
      </c>
      <c r="C814" s="23" t="s">
        <v>113</v>
      </c>
      <c r="D814" s="24">
        <v>45192.024305555555</v>
      </c>
      <c r="E814" s="18" t="s">
        <v>96</v>
      </c>
      <c r="F814" s="18" t="s">
        <v>12</v>
      </c>
      <c r="G814" s="18">
        <v>2278</v>
      </c>
      <c r="H814" s="25">
        <f t="shared" si="48"/>
        <v>45192</v>
      </c>
      <c r="I814" s="26">
        <f t="shared" si="49"/>
        <v>2.4305555554747116E-2</v>
      </c>
      <c r="J814" s="18" t="str">
        <f t="shared" si="50"/>
        <v>September</v>
      </c>
      <c r="K814" s="56" t="str">
        <f t="shared" si="51"/>
        <v>Saturday</v>
      </c>
      <c r="L814" s="18" t="str">
        <f>IF(OR(G814&gt;Answers!I829,G814&lt;Answers!I830),"Outlier","Normal")</f>
        <v>Outlier</v>
      </c>
      <c r="M814" s="18">
        <v>65</v>
      </c>
    </row>
    <row r="815" spans="1:13" ht="20" customHeight="1" x14ac:dyDescent="0.35">
      <c r="A815" s="17">
        <v>559015</v>
      </c>
      <c r="B815" s="18">
        <v>785</v>
      </c>
      <c r="C815" s="23" t="s">
        <v>111</v>
      </c>
      <c r="D815" s="24">
        <v>45059.031944444447</v>
      </c>
      <c r="E815" s="18" t="s">
        <v>96</v>
      </c>
      <c r="F815" s="18" t="s">
        <v>48</v>
      </c>
      <c r="G815" s="18">
        <v>9196</v>
      </c>
      <c r="H815" s="25">
        <f t="shared" si="48"/>
        <v>45059</v>
      </c>
      <c r="I815" s="26">
        <f t="shared" si="49"/>
        <v>3.1944444446708076E-2</v>
      </c>
      <c r="J815" s="18" t="str">
        <f t="shared" si="50"/>
        <v>May</v>
      </c>
      <c r="K815" s="56" t="str">
        <f t="shared" si="51"/>
        <v>Saturday</v>
      </c>
      <c r="L815" s="18" t="str">
        <f>IF(OR(G815&gt;Answers!I830,G815&lt;Answers!I831),"Outlier","Normal")</f>
        <v>Outlier</v>
      </c>
      <c r="M815" s="18">
        <v>44</v>
      </c>
    </row>
    <row r="816" spans="1:13" ht="20" customHeight="1" x14ac:dyDescent="0.35">
      <c r="A816" s="17">
        <v>559948</v>
      </c>
      <c r="B816" s="18">
        <v>1548</v>
      </c>
      <c r="C816" s="23" t="s">
        <v>100</v>
      </c>
      <c r="D816" s="24">
        <v>45177.979166666664</v>
      </c>
      <c r="E816" s="18" t="s">
        <v>133</v>
      </c>
      <c r="F816" s="18" t="s">
        <v>14</v>
      </c>
      <c r="G816" s="18">
        <v>1404</v>
      </c>
      <c r="H816" s="25">
        <f t="shared" si="48"/>
        <v>45177</v>
      </c>
      <c r="I816" s="26">
        <f t="shared" si="49"/>
        <v>0.97916666666424135</v>
      </c>
      <c r="J816" s="18" t="str">
        <f t="shared" si="50"/>
        <v>September</v>
      </c>
      <c r="K816" s="56" t="str">
        <f t="shared" si="51"/>
        <v>Friday</v>
      </c>
      <c r="L816" s="18" t="str">
        <f>IF(OR(G816&gt;Answers!I831,G816&lt;Answers!I832),"Outlier","Normal")</f>
        <v>Outlier</v>
      </c>
      <c r="M816" s="18">
        <v>46</v>
      </c>
    </row>
    <row r="817" spans="1:13" ht="20" customHeight="1" x14ac:dyDescent="0.35">
      <c r="A817" s="17">
        <v>560179</v>
      </c>
      <c r="B817" s="18">
        <v>1615</v>
      </c>
      <c r="C817" s="23" t="s">
        <v>105</v>
      </c>
      <c r="D817" s="24">
        <v>45112.044444444444</v>
      </c>
      <c r="E817" s="18" t="s">
        <v>133</v>
      </c>
      <c r="F817" s="18" t="s">
        <v>49</v>
      </c>
      <c r="G817" s="18">
        <v>227</v>
      </c>
      <c r="H817" s="25">
        <f t="shared" si="48"/>
        <v>45112</v>
      </c>
      <c r="I817" s="26">
        <f t="shared" si="49"/>
        <v>4.4444444443797693E-2</v>
      </c>
      <c r="J817" s="18" t="str">
        <f t="shared" si="50"/>
        <v>July</v>
      </c>
      <c r="K817" s="56" t="str">
        <f t="shared" si="51"/>
        <v>Wednesday</v>
      </c>
      <c r="L817" s="18" t="str">
        <f>IF(OR(G817&gt;Answers!I832,G817&lt;Answers!I833),"Outlier","Normal")</f>
        <v>Outlier</v>
      </c>
      <c r="M817" s="18">
        <v>64</v>
      </c>
    </row>
    <row r="818" spans="1:13" ht="20" customHeight="1" x14ac:dyDescent="0.35">
      <c r="A818" s="17">
        <v>560929</v>
      </c>
      <c r="B818" s="18">
        <v>995</v>
      </c>
      <c r="C818" s="23" t="s">
        <v>100</v>
      </c>
      <c r="D818" s="24">
        <v>44947.002083333333</v>
      </c>
      <c r="E818" s="18" t="s">
        <v>96</v>
      </c>
      <c r="F818" s="18" t="s">
        <v>16</v>
      </c>
      <c r="G818" s="18">
        <v>2792</v>
      </c>
      <c r="H818" s="25">
        <f t="shared" si="48"/>
        <v>44947</v>
      </c>
      <c r="I818" s="26">
        <f t="shared" si="49"/>
        <v>2.0833333328482695E-3</v>
      </c>
      <c r="J818" s="18" t="str">
        <f t="shared" si="50"/>
        <v>January</v>
      </c>
      <c r="K818" s="56" t="str">
        <f t="shared" si="51"/>
        <v>Saturday</v>
      </c>
      <c r="L818" s="18" t="str">
        <f>IF(OR(G818&gt;Answers!I833,G818&lt;Answers!I834),"Outlier","Normal")</f>
        <v>Outlier</v>
      </c>
      <c r="M818" s="18">
        <v>82</v>
      </c>
    </row>
    <row r="819" spans="1:13" ht="20" customHeight="1" x14ac:dyDescent="0.35">
      <c r="A819" s="17">
        <v>561027</v>
      </c>
      <c r="B819" s="18">
        <v>185</v>
      </c>
      <c r="C819" s="23" t="s">
        <v>104</v>
      </c>
      <c r="D819" s="24">
        <v>45255.055555555555</v>
      </c>
      <c r="E819" s="18" t="s">
        <v>133</v>
      </c>
      <c r="F819" s="18" t="s">
        <v>17</v>
      </c>
      <c r="G819" s="18">
        <v>9534</v>
      </c>
      <c r="H819" s="25">
        <f t="shared" si="48"/>
        <v>45255</v>
      </c>
      <c r="I819" s="26">
        <f t="shared" si="49"/>
        <v>5.5555555554747116E-2</v>
      </c>
      <c r="J819" s="18" t="str">
        <f t="shared" si="50"/>
        <v>November</v>
      </c>
      <c r="K819" s="56" t="str">
        <f t="shared" si="51"/>
        <v>Saturday</v>
      </c>
      <c r="L819" s="18" t="str">
        <f>IF(OR(G819&gt;Answers!I834,G819&lt;Answers!I835),"Outlier","Normal")</f>
        <v>Outlier</v>
      </c>
      <c r="M819" s="18">
        <v>86</v>
      </c>
    </row>
    <row r="820" spans="1:13" ht="20" customHeight="1" x14ac:dyDescent="0.35">
      <c r="A820" s="17">
        <v>561399</v>
      </c>
      <c r="B820" s="18">
        <v>761</v>
      </c>
      <c r="C820" s="23" t="s">
        <v>108</v>
      </c>
      <c r="D820" s="24">
        <v>45225.033333333333</v>
      </c>
      <c r="E820" s="18" t="s">
        <v>96</v>
      </c>
      <c r="F820" s="18" t="s">
        <v>18</v>
      </c>
      <c r="G820" s="18">
        <v>6729</v>
      </c>
      <c r="H820" s="25">
        <f t="shared" si="48"/>
        <v>45225</v>
      </c>
      <c r="I820" s="26">
        <f t="shared" si="49"/>
        <v>3.3333333332848269E-2</v>
      </c>
      <c r="J820" s="18" t="str">
        <f t="shared" si="50"/>
        <v>October</v>
      </c>
      <c r="K820" s="56" t="str">
        <f t="shared" si="51"/>
        <v>Thursday</v>
      </c>
      <c r="L820" s="18" t="str">
        <f>IF(OR(G820&gt;Answers!I835,G820&lt;Answers!I836),"Outlier","Normal")</f>
        <v>Outlier</v>
      </c>
      <c r="M820" s="18">
        <v>42</v>
      </c>
    </row>
    <row r="821" spans="1:13" ht="20" customHeight="1" x14ac:dyDescent="0.35">
      <c r="A821" s="17">
        <v>561511</v>
      </c>
      <c r="B821" s="18">
        <v>690</v>
      </c>
      <c r="C821" s="23" t="s">
        <v>109</v>
      </c>
      <c r="D821" s="24">
        <v>45261.052083333336</v>
      </c>
      <c r="E821" s="18" t="s">
        <v>96</v>
      </c>
      <c r="F821" s="18" t="s">
        <v>19</v>
      </c>
      <c r="G821" s="18">
        <v>6808</v>
      </c>
      <c r="H821" s="25">
        <f t="shared" si="48"/>
        <v>45261</v>
      </c>
      <c r="I821" s="26">
        <f t="shared" si="49"/>
        <v>5.2083333335758653E-2</v>
      </c>
      <c r="J821" s="18" t="str">
        <f t="shared" si="50"/>
        <v>December</v>
      </c>
      <c r="K821" s="56" t="str">
        <f t="shared" si="51"/>
        <v>Friday</v>
      </c>
      <c r="L821" s="18" t="str">
        <f>IF(OR(G821&gt;Answers!I836,G821&lt;Answers!I837),"Outlier","Normal")</f>
        <v>Outlier</v>
      </c>
      <c r="M821" s="18">
        <v>37</v>
      </c>
    </row>
    <row r="822" spans="1:13" ht="20" customHeight="1" x14ac:dyDescent="0.35">
      <c r="A822" s="17">
        <v>561728</v>
      </c>
      <c r="B822" s="18">
        <v>1193</v>
      </c>
      <c r="C822" s="23" t="s">
        <v>107</v>
      </c>
      <c r="D822" s="24">
        <v>45011.959722222222</v>
      </c>
      <c r="E822" s="18" t="s">
        <v>98</v>
      </c>
      <c r="F822" s="18" t="s">
        <v>50</v>
      </c>
      <c r="G822" s="18">
        <v>9790</v>
      </c>
      <c r="H822" s="25">
        <f t="shared" si="48"/>
        <v>45011</v>
      </c>
      <c r="I822" s="26">
        <f t="shared" si="49"/>
        <v>0.95972222222189885</v>
      </c>
      <c r="J822" s="18" t="str">
        <f t="shared" si="50"/>
        <v>March</v>
      </c>
      <c r="K822" s="56" t="str">
        <f t="shared" si="51"/>
        <v>Sunday</v>
      </c>
      <c r="L822" s="18" t="str">
        <f>IF(OR(G822&gt;Answers!I837,G822&lt;Answers!I838),"Outlier","Normal")</f>
        <v>Outlier</v>
      </c>
      <c r="M822" s="18">
        <v>69</v>
      </c>
    </row>
    <row r="823" spans="1:13" ht="20" customHeight="1" x14ac:dyDescent="0.35">
      <c r="A823" s="17">
        <v>561976</v>
      </c>
      <c r="B823" s="18">
        <v>286</v>
      </c>
      <c r="C823" s="23" t="s">
        <v>99</v>
      </c>
      <c r="D823" s="24">
        <v>45020.010416666664</v>
      </c>
      <c r="E823" s="18" t="s">
        <v>96</v>
      </c>
      <c r="F823" s="18" t="s">
        <v>51</v>
      </c>
      <c r="G823" s="18">
        <v>3146</v>
      </c>
      <c r="H823" s="25">
        <f t="shared" si="48"/>
        <v>45020</v>
      </c>
      <c r="I823" s="26">
        <f t="shared" si="49"/>
        <v>1.0416666664241347E-2</v>
      </c>
      <c r="J823" s="18" t="str">
        <f t="shared" si="50"/>
        <v>April</v>
      </c>
      <c r="K823" s="56" t="str">
        <f t="shared" si="51"/>
        <v>Tuesday</v>
      </c>
      <c r="L823" s="18" t="str">
        <f>IF(OR(G823&gt;Answers!I838,G823&lt;Answers!I839),"Outlier","Normal")</f>
        <v>Outlier</v>
      </c>
      <c r="M823" s="18">
        <v>79</v>
      </c>
    </row>
    <row r="824" spans="1:13" ht="20" customHeight="1" x14ac:dyDescent="0.35">
      <c r="A824" s="17">
        <v>562295</v>
      </c>
      <c r="B824" s="18">
        <v>853</v>
      </c>
      <c r="C824" s="23" t="s">
        <v>99</v>
      </c>
      <c r="D824" s="24">
        <v>45128.001388888886</v>
      </c>
      <c r="E824" s="18" t="s">
        <v>133</v>
      </c>
      <c r="F824" s="18" t="s">
        <v>22</v>
      </c>
      <c r="G824" s="18">
        <v>3046</v>
      </c>
      <c r="H824" s="25">
        <f t="shared" si="48"/>
        <v>45128</v>
      </c>
      <c r="I824" s="26">
        <f t="shared" si="49"/>
        <v>1.3888888861401938E-3</v>
      </c>
      <c r="J824" s="18" t="str">
        <f t="shared" si="50"/>
        <v>July</v>
      </c>
      <c r="K824" s="56" t="str">
        <f t="shared" si="51"/>
        <v>Friday</v>
      </c>
      <c r="L824" s="18" t="str">
        <f>IF(OR(G824&gt;Answers!I839,G824&lt;Answers!I840),"Outlier","Normal")</f>
        <v>Outlier</v>
      </c>
      <c r="M824" s="18">
        <v>57</v>
      </c>
    </row>
    <row r="825" spans="1:13" ht="20" customHeight="1" x14ac:dyDescent="0.35">
      <c r="A825" s="17">
        <v>563443</v>
      </c>
      <c r="B825" s="18">
        <v>173</v>
      </c>
      <c r="C825" s="23" t="s">
        <v>113</v>
      </c>
      <c r="D825" s="24">
        <v>45228.025000000001</v>
      </c>
      <c r="E825" s="18" t="s">
        <v>96</v>
      </c>
      <c r="F825" s="18" t="s">
        <v>4</v>
      </c>
      <c r="G825" s="18">
        <v>8023</v>
      </c>
      <c r="H825" s="25">
        <f t="shared" si="48"/>
        <v>45228</v>
      </c>
      <c r="I825" s="26">
        <f t="shared" si="49"/>
        <v>2.5000000001455192E-2</v>
      </c>
      <c r="J825" s="18" t="str">
        <f t="shared" si="50"/>
        <v>October</v>
      </c>
      <c r="K825" s="56" t="str">
        <f t="shared" si="51"/>
        <v>Sunday</v>
      </c>
      <c r="L825" s="18" t="str">
        <f>IF(OR(G825&gt;Answers!I840,G825&lt;Answers!I841),"Outlier","Normal")</f>
        <v>Outlier</v>
      </c>
      <c r="M825" s="18">
        <v>59</v>
      </c>
    </row>
    <row r="826" spans="1:13" ht="20" customHeight="1" x14ac:dyDescent="0.35">
      <c r="A826" s="17">
        <v>563575</v>
      </c>
      <c r="B826" s="18">
        <v>947</v>
      </c>
      <c r="C826" s="23" t="s">
        <v>101</v>
      </c>
      <c r="D826" s="24">
        <v>45021.986805555556</v>
      </c>
      <c r="E826" s="18" t="s">
        <v>97</v>
      </c>
      <c r="F826" s="18" t="s">
        <v>39</v>
      </c>
      <c r="G826" s="18">
        <v>2260</v>
      </c>
      <c r="H826" s="25">
        <f t="shared" si="48"/>
        <v>45021</v>
      </c>
      <c r="I826" s="26">
        <f t="shared" si="49"/>
        <v>0.98680555555620231</v>
      </c>
      <c r="J826" s="18" t="str">
        <f t="shared" si="50"/>
        <v>April</v>
      </c>
      <c r="K826" s="56" t="str">
        <f t="shared" si="51"/>
        <v>Wednesday</v>
      </c>
      <c r="L826" s="18" t="str">
        <f>IF(OR(G826&gt;Answers!I841,G826&lt;Answers!I842),"Outlier","Normal")</f>
        <v>Outlier</v>
      </c>
      <c r="M826" s="18">
        <v>22</v>
      </c>
    </row>
    <row r="827" spans="1:13" ht="20" customHeight="1" x14ac:dyDescent="0.35">
      <c r="A827" s="17">
        <v>564076</v>
      </c>
      <c r="B827" s="18">
        <v>1862</v>
      </c>
      <c r="C827" s="23" t="s">
        <v>101</v>
      </c>
      <c r="D827" s="24">
        <v>45076.993750000001</v>
      </c>
      <c r="E827" s="18" t="s">
        <v>97</v>
      </c>
      <c r="F827" s="18" t="s">
        <v>9</v>
      </c>
      <c r="G827" s="18">
        <v>7241</v>
      </c>
      <c r="H827" s="25">
        <f t="shared" si="48"/>
        <v>45076</v>
      </c>
      <c r="I827" s="26">
        <f t="shared" si="49"/>
        <v>0.99375000000145519</v>
      </c>
      <c r="J827" s="18" t="str">
        <f t="shared" si="50"/>
        <v>May</v>
      </c>
      <c r="K827" s="56" t="str">
        <f t="shared" si="51"/>
        <v>Tuesday</v>
      </c>
      <c r="L827" s="18" t="str">
        <f>IF(OR(G827&gt;Answers!I842,G827&lt;Answers!I843),"Outlier","Normal")</f>
        <v>Outlier</v>
      </c>
      <c r="M827" s="18">
        <v>70</v>
      </c>
    </row>
    <row r="828" spans="1:13" ht="20" customHeight="1" x14ac:dyDescent="0.35">
      <c r="A828" s="17">
        <v>564478</v>
      </c>
      <c r="B828" s="18">
        <v>1827</v>
      </c>
      <c r="C828" s="23" t="s">
        <v>99</v>
      </c>
      <c r="D828" s="24">
        <v>44967.020138888889</v>
      </c>
      <c r="E828" s="18" t="s">
        <v>96</v>
      </c>
      <c r="F828" s="18" t="s">
        <v>32</v>
      </c>
      <c r="G828" s="18">
        <v>4891</v>
      </c>
      <c r="H828" s="25">
        <f t="shared" si="48"/>
        <v>44967</v>
      </c>
      <c r="I828" s="26">
        <f t="shared" si="49"/>
        <v>2.0138888889050577E-2</v>
      </c>
      <c r="J828" s="18" t="str">
        <f t="shared" si="50"/>
        <v>February</v>
      </c>
      <c r="K828" s="56" t="str">
        <f t="shared" si="51"/>
        <v>Friday</v>
      </c>
      <c r="L828" s="18" t="str">
        <f>IF(OR(G828&gt;Answers!I843,G828&lt;Answers!I844),"Outlier","Normal")</f>
        <v>Outlier</v>
      </c>
      <c r="M828" s="18">
        <v>61</v>
      </c>
    </row>
    <row r="829" spans="1:13" ht="20" customHeight="1" x14ac:dyDescent="0.35">
      <c r="A829" s="17">
        <v>565068</v>
      </c>
      <c r="B829" s="18">
        <v>1689</v>
      </c>
      <c r="C829" s="23" t="s">
        <v>101</v>
      </c>
      <c r="D829" s="24">
        <v>45087.972916666666</v>
      </c>
      <c r="E829" s="18" t="s">
        <v>133</v>
      </c>
      <c r="F829" s="18" t="s">
        <v>41</v>
      </c>
      <c r="G829" s="18">
        <v>1282</v>
      </c>
      <c r="H829" s="25">
        <f t="shared" si="48"/>
        <v>45087</v>
      </c>
      <c r="I829" s="26">
        <f t="shared" si="49"/>
        <v>0.97291666666569654</v>
      </c>
      <c r="J829" s="18" t="str">
        <f t="shared" si="50"/>
        <v>June</v>
      </c>
      <c r="K829" s="56" t="str">
        <f t="shared" si="51"/>
        <v>Saturday</v>
      </c>
      <c r="L829" s="18" t="str">
        <f>IF(OR(G829&gt;Answers!I844,G829&lt;Answers!I845),"Outlier","Normal")</f>
        <v>Outlier</v>
      </c>
      <c r="M829" s="18">
        <v>50</v>
      </c>
    </row>
    <row r="830" spans="1:13" ht="20" customHeight="1" x14ac:dyDescent="0.35">
      <c r="A830" s="17">
        <v>565931</v>
      </c>
      <c r="B830" s="18">
        <v>256</v>
      </c>
      <c r="C830" s="23" t="s">
        <v>101</v>
      </c>
      <c r="D830" s="24">
        <v>45129.013888888891</v>
      </c>
      <c r="E830" s="18" t="s">
        <v>133</v>
      </c>
      <c r="F830" s="18" t="s">
        <v>13</v>
      </c>
      <c r="G830" s="18">
        <v>9251</v>
      </c>
      <c r="H830" s="25">
        <f t="shared" si="48"/>
        <v>45129</v>
      </c>
      <c r="I830" s="26">
        <f t="shared" si="49"/>
        <v>1.3888888890505768E-2</v>
      </c>
      <c r="J830" s="18" t="str">
        <f t="shared" si="50"/>
        <v>July</v>
      </c>
      <c r="K830" s="56" t="str">
        <f t="shared" si="51"/>
        <v>Saturday</v>
      </c>
      <c r="L830" s="18" t="str">
        <f>IF(OR(G830&gt;Answers!I845,G830&lt;Answers!I846),"Outlier","Normal")</f>
        <v>Outlier</v>
      </c>
      <c r="M830" s="18">
        <v>72</v>
      </c>
    </row>
    <row r="831" spans="1:13" ht="20" customHeight="1" x14ac:dyDescent="0.35">
      <c r="A831" s="17">
        <v>566436</v>
      </c>
      <c r="B831" s="18">
        <v>1406</v>
      </c>
      <c r="C831" s="23" t="s">
        <v>101</v>
      </c>
      <c r="D831" s="24">
        <v>45277.938888888886</v>
      </c>
      <c r="E831" s="18" t="s">
        <v>96</v>
      </c>
      <c r="F831" s="18" t="s">
        <v>27</v>
      </c>
      <c r="G831" s="18">
        <v>806</v>
      </c>
      <c r="H831" s="25">
        <f t="shared" si="48"/>
        <v>45277</v>
      </c>
      <c r="I831" s="26">
        <f t="shared" si="49"/>
        <v>0.93888888888614019</v>
      </c>
      <c r="J831" s="18" t="str">
        <f t="shared" si="50"/>
        <v>December</v>
      </c>
      <c r="K831" s="56" t="str">
        <f t="shared" si="51"/>
        <v>Sunday</v>
      </c>
      <c r="L831" s="18" t="str">
        <f>IF(OR(G831&gt;Answers!I846,G831&lt;Answers!I847),"Outlier","Normal")</f>
        <v>Outlier</v>
      </c>
      <c r="M831" s="18">
        <v>18</v>
      </c>
    </row>
    <row r="832" spans="1:13" ht="20" customHeight="1" x14ac:dyDescent="0.35">
      <c r="A832" s="17">
        <v>566985</v>
      </c>
      <c r="B832" s="18">
        <v>146</v>
      </c>
      <c r="C832" s="23" t="s">
        <v>103</v>
      </c>
      <c r="D832" s="24">
        <v>45104.033333333333</v>
      </c>
      <c r="E832" s="18" t="s">
        <v>96</v>
      </c>
      <c r="F832" s="18" t="s">
        <v>76</v>
      </c>
      <c r="G832" s="18">
        <v>3344</v>
      </c>
      <c r="H832" s="25">
        <f t="shared" si="48"/>
        <v>45104</v>
      </c>
      <c r="I832" s="26">
        <f t="shared" si="49"/>
        <v>3.3333333332848269E-2</v>
      </c>
      <c r="J832" s="18" t="str">
        <f t="shared" si="50"/>
        <v>June</v>
      </c>
      <c r="K832" s="56" t="str">
        <f t="shared" si="51"/>
        <v>Tuesday</v>
      </c>
      <c r="L832" s="18" t="str">
        <f>IF(OR(G832&gt;Answers!I847,G832&lt;Answers!I848),"Outlier","Normal")</f>
        <v>Outlier</v>
      </c>
      <c r="M832" s="18">
        <v>85</v>
      </c>
    </row>
    <row r="833" spans="1:13" ht="20" customHeight="1" x14ac:dyDescent="0.35">
      <c r="A833" s="17">
        <v>568627</v>
      </c>
      <c r="B833" s="18">
        <v>428</v>
      </c>
      <c r="C833" s="23" t="s">
        <v>101</v>
      </c>
      <c r="D833" s="24">
        <v>44965.959027777775</v>
      </c>
      <c r="E833" s="18" t="s">
        <v>133</v>
      </c>
      <c r="F833" s="18" t="s">
        <v>81</v>
      </c>
      <c r="G833" s="18">
        <v>8884</v>
      </c>
      <c r="H833" s="25">
        <f t="shared" si="48"/>
        <v>44965</v>
      </c>
      <c r="I833" s="26">
        <f t="shared" si="49"/>
        <v>0.95902777777519077</v>
      </c>
      <c r="J833" s="18" t="str">
        <f t="shared" si="50"/>
        <v>February</v>
      </c>
      <c r="K833" s="56" t="str">
        <f t="shared" si="51"/>
        <v>Wednesday</v>
      </c>
      <c r="L833" s="18" t="str">
        <f>IF(OR(G833&gt;Answers!I848,G833&lt;Answers!I849),"Outlier","Normal")</f>
        <v>Outlier</v>
      </c>
      <c r="M833" s="18">
        <v>87</v>
      </c>
    </row>
    <row r="834" spans="1:13" ht="20" customHeight="1" x14ac:dyDescent="0.35">
      <c r="A834" s="17">
        <v>568799</v>
      </c>
      <c r="B834" s="18">
        <v>1429</v>
      </c>
      <c r="C834" s="23" t="s">
        <v>104</v>
      </c>
      <c r="D834" s="24">
        <v>45210.993750000001</v>
      </c>
      <c r="E834" s="18" t="s">
        <v>96</v>
      </c>
      <c r="F834" s="18" t="s">
        <v>14</v>
      </c>
      <c r="G834" s="18">
        <v>9085</v>
      </c>
      <c r="H834" s="25">
        <f t="shared" si="48"/>
        <v>45210</v>
      </c>
      <c r="I834" s="26">
        <f t="shared" si="49"/>
        <v>0.99375000000145519</v>
      </c>
      <c r="J834" s="18" t="str">
        <f t="shared" si="50"/>
        <v>October</v>
      </c>
      <c r="K834" s="56" t="str">
        <f t="shared" si="51"/>
        <v>Wednesday</v>
      </c>
      <c r="L834" s="18" t="str">
        <f>IF(OR(G834&gt;Answers!I849,G834&lt;Answers!I850),"Outlier","Normal")</f>
        <v>Outlier</v>
      </c>
      <c r="M834" s="18">
        <v>47</v>
      </c>
    </row>
    <row r="835" spans="1:13" ht="20" customHeight="1" x14ac:dyDescent="0.35">
      <c r="A835" s="17">
        <v>568873</v>
      </c>
      <c r="B835" s="18">
        <v>435</v>
      </c>
      <c r="C835" s="23" t="s">
        <v>113</v>
      </c>
      <c r="D835" s="24">
        <v>45031.945138888892</v>
      </c>
      <c r="E835" s="18" t="s">
        <v>96</v>
      </c>
      <c r="F835" s="18" t="s">
        <v>24</v>
      </c>
      <c r="G835" s="18">
        <v>8247</v>
      </c>
      <c r="H835" s="25">
        <f t="shared" ref="H835:H898" si="52">INT(D835)</f>
        <v>45031</v>
      </c>
      <c r="I835" s="26">
        <f t="shared" ref="I835:I898" si="53">MOD(D835,1)</f>
        <v>0.94513888889196096</v>
      </c>
      <c r="J835" s="18" t="str">
        <f t="shared" ref="J835:J898" si="54">TEXT(D835,"mmmm")</f>
        <v>April</v>
      </c>
      <c r="K835" s="56" t="str">
        <f t="shared" ref="K835:K898" si="55">TEXT(D835,"dddd")</f>
        <v>Saturday</v>
      </c>
      <c r="L835" s="18" t="str">
        <f>IF(OR(G835&gt;Answers!I850,G835&lt;Answers!I851),"Outlier","Normal")</f>
        <v>Outlier</v>
      </c>
      <c r="M835" s="18">
        <v>89</v>
      </c>
    </row>
    <row r="836" spans="1:13" ht="20" customHeight="1" x14ac:dyDescent="0.35">
      <c r="A836" s="17">
        <v>568908</v>
      </c>
      <c r="B836" s="18">
        <v>1297</v>
      </c>
      <c r="C836" s="23" t="s">
        <v>99</v>
      </c>
      <c r="D836" s="24">
        <v>45073.952777777777</v>
      </c>
      <c r="E836" s="18" t="s">
        <v>96</v>
      </c>
      <c r="F836" s="18" t="s">
        <v>86</v>
      </c>
      <c r="G836" s="18">
        <v>3377</v>
      </c>
      <c r="H836" s="25">
        <f t="shared" si="52"/>
        <v>45073</v>
      </c>
      <c r="I836" s="26">
        <f t="shared" si="53"/>
        <v>0.95277777777664596</v>
      </c>
      <c r="J836" s="18" t="str">
        <f t="shared" si="54"/>
        <v>May</v>
      </c>
      <c r="K836" s="56" t="str">
        <f t="shared" si="55"/>
        <v>Saturday</v>
      </c>
      <c r="L836" s="18" t="str">
        <f>IF(OR(G836&gt;Answers!I851,G836&lt;Answers!I852),"Outlier","Normal")</f>
        <v>Outlier</v>
      </c>
      <c r="M836" s="18">
        <v>86</v>
      </c>
    </row>
    <row r="837" spans="1:13" ht="20" customHeight="1" x14ac:dyDescent="0.35">
      <c r="A837" s="17">
        <v>569033</v>
      </c>
      <c r="B837" s="18">
        <v>674</v>
      </c>
      <c r="C837" s="23" t="s">
        <v>99</v>
      </c>
      <c r="D837" s="24">
        <v>45230.99722222222</v>
      </c>
      <c r="E837" s="18" t="s">
        <v>98</v>
      </c>
      <c r="F837" s="18" t="s">
        <v>8</v>
      </c>
      <c r="G837" s="18">
        <v>8931</v>
      </c>
      <c r="H837" s="25">
        <f t="shared" si="52"/>
        <v>45230</v>
      </c>
      <c r="I837" s="26">
        <f t="shared" si="53"/>
        <v>0.99722222222044365</v>
      </c>
      <c r="J837" s="18" t="str">
        <f t="shared" si="54"/>
        <v>October</v>
      </c>
      <c r="K837" s="56" t="str">
        <f t="shared" si="55"/>
        <v>Tuesday</v>
      </c>
      <c r="L837" s="18" t="str">
        <f>IF(OR(G837&gt;Answers!I852,G837&lt;Answers!I853),"Outlier","Normal")</f>
        <v>Outlier</v>
      </c>
      <c r="M837" s="18">
        <v>71</v>
      </c>
    </row>
    <row r="838" spans="1:13" ht="20" customHeight="1" x14ac:dyDescent="0.35">
      <c r="A838" s="17">
        <v>569318</v>
      </c>
      <c r="B838" s="18">
        <v>30</v>
      </c>
      <c r="C838" s="23" t="s">
        <v>100</v>
      </c>
      <c r="D838" s="24">
        <v>44972.0625</v>
      </c>
      <c r="E838" s="18" t="s">
        <v>96</v>
      </c>
      <c r="F838" s="18" t="s">
        <v>90</v>
      </c>
      <c r="G838" s="18">
        <v>3887</v>
      </c>
      <c r="H838" s="25">
        <f t="shared" si="52"/>
        <v>44972</v>
      </c>
      <c r="I838" s="26">
        <f t="shared" si="53"/>
        <v>6.25E-2</v>
      </c>
      <c r="J838" s="18" t="str">
        <f t="shared" si="54"/>
        <v>February</v>
      </c>
      <c r="K838" s="56" t="str">
        <f t="shared" si="55"/>
        <v>Wednesday</v>
      </c>
      <c r="L838" s="18" t="str">
        <f>IF(OR(G838&gt;Answers!I853,G838&lt;Answers!I854),"Outlier","Normal")</f>
        <v>Outlier</v>
      </c>
      <c r="M838" s="18">
        <v>72</v>
      </c>
    </row>
    <row r="839" spans="1:13" ht="20" customHeight="1" x14ac:dyDescent="0.35">
      <c r="A839" s="17">
        <v>569689</v>
      </c>
      <c r="B839" s="18">
        <v>1492</v>
      </c>
      <c r="C839" s="23" t="s">
        <v>99</v>
      </c>
      <c r="D839" s="24">
        <v>45227.072916666664</v>
      </c>
      <c r="E839" s="18" t="s">
        <v>98</v>
      </c>
      <c r="F839" s="18" t="s">
        <v>43</v>
      </c>
      <c r="G839" s="18">
        <v>2171</v>
      </c>
      <c r="H839" s="25">
        <f t="shared" si="52"/>
        <v>45227</v>
      </c>
      <c r="I839" s="26">
        <f t="shared" si="53"/>
        <v>7.2916666664241347E-2</v>
      </c>
      <c r="J839" s="18" t="str">
        <f t="shared" si="54"/>
        <v>October</v>
      </c>
      <c r="K839" s="56" t="str">
        <f t="shared" si="55"/>
        <v>Saturday</v>
      </c>
      <c r="L839" s="18" t="str">
        <f>IF(OR(G839&gt;Answers!I854,G839&lt;Answers!I855),"Outlier","Normal")</f>
        <v>Outlier</v>
      </c>
      <c r="M839" s="18">
        <v>78</v>
      </c>
    </row>
    <row r="840" spans="1:13" ht="20" customHeight="1" x14ac:dyDescent="0.35">
      <c r="A840" s="17">
        <v>570816</v>
      </c>
      <c r="B840" s="18">
        <v>1266</v>
      </c>
      <c r="C840" s="23" t="s">
        <v>99</v>
      </c>
      <c r="D840" s="24">
        <v>44927.123611111114</v>
      </c>
      <c r="E840" s="18" t="s">
        <v>98</v>
      </c>
      <c r="F840" s="18" t="s">
        <v>91</v>
      </c>
      <c r="G840" s="18">
        <v>1195</v>
      </c>
      <c r="H840" s="25">
        <f t="shared" si="52"/>
        <v>44927</v>
      </c>
      <c r="I840" s="26">
        <f t="shared" si="53"/>
        <v>0.12361111111385981</v>
      </c>
      <c r="J840" s="18" t="str">
        <f t="shared" si="54"/>
        <v>January</v>
      </c>
      <c r="K840" s="56" t="str">
        <f t="shared" si="55"/>
        <v>Sunday</v>
      </c>
      <c r="L840" s="18" t="str">
        <f>IF(OR(G840&gt;Answers!I855,G840&lt;Answers!I856),"Outlier","Normal")</f>
        <v>Outlier</v>
      </c>
      <c r="M840" s="18">
        <v>42</v>
      </c>
    </row>
    <row r="841" spans="1:13" ht="20" customHeight="1" x14ac:dyDescent="0.35">
      <c r="A841" s="17">
        <v>571316</v>
      </c>
      <c r="B841" s="18">
        <v>1052</v>
      </c>
      <c r="C841" s="23" t="s">
        <v>109</v>
      </c>
      <c r="D841" s="24">
        <v>45064.082638888889</v>
      </c>
      <c r="E841" s="18" t="s">
        <v>98</v>
      </c>
      <c r="F841" s="18" t="s">
        <v>27</v>
      </c>
      <c r="G841" s="18">
        <v>1658</v>
      </c>
      <c r="H841" s="25">
        <f t="shared" si="52"/>
        <v>45064</v>
      </c>
      <c r="I841" s="26">
        <f t="shared" si="53"/>
        <v>8.2638888889050577E-2</v>
      </c>
      <c r="J841" s="18" t="str">
        <f t="shared" si="54"/>
        <v>May</v>
      </c>
      <c r="K841" s="56" t="str">
        <f t="shared" si="55"/>
        <v>Thursday</v>
      </c>
      <c r="L841" s="18" t="str">
        <f>IF(OR(G841&gt;Answers!I856,G841&lt;Answers!I857),"Outlier","Normal")</f>
        <v>Outlier</v>
      </c>
      <c r="M841" s="18">
        <v>66</v>
      </c>
    </row>
    <row r="842" spans="1:13" ht="20" customHeight="1" x14ac:dyDescent="0.35">
      <c r="A842" s="17">
        <v>571695</v>
      </c>
      <c r="B842" s="18">
        <v>53</v>
      </c>
      <c r="C842" s="23" t="s">
        <v>99</v>
      </c>
      <c r="D842" s="24">
        <v>45140.027083333334</v>
      </c>
      <c r="E842" s="18" t="s">
        <v>97</v>
      </c>
      <c r="F842" s="18" t="s">
        <v>29</v>
      </c>
      <c r="G842" s="18">
        <v>832</v>
      </c>
      <c r="H842" s="25">
        <f t="shared" si="52"/>
        <v>45140</v>
      </c>
      <c r="I842" s="26">
        <f t="shared" si="53"/>
        <v>2.7083333334303461E-2</v>
      </c>
      <c r="J842" s="18" t="str">
        <f t="shared" si="54"/>
        <v>August</v>
      </c>
      <c r="K842" s="56" t="str">
        <f t="shared" si="55"/>
        <v>Wednesday</v>
      </c>
      <c r="L842" s="18" t="str">
        <f>IF(OR(G842&gt;Answers!I857,G842&lt;Answers!I858),"Outlier","Normal")</f>
        <v>Outlier</v>
      </c>
      <c r="M842" s="18">
        <v>62</v>
      </c>
    </row>
    <row r="843" spans="1:13" ht="20" customHeight="1" x14ac:dyDescent="0.35">
      <c r="A843" s="17">
        <v>571764</v>
      </c>
      <c r="B843" s="18">
        <v>568</v>
      </c>
      <c r="C843" s="23" t="s">
        <v>100</v>
      </c>
      <c r="D843" s="24">
        <v>45146.008333333331</v>
      </c>
      <c r="E843" s="18" t="s">
        <v>96</v>
      </c>
      <c r="F843" s="18" t="s">
        <v>34</v>
      </c>
      <c r="G843" s="18">
        <v>1895</v>
      </c>
      <c r="H843" s="25">
        <f t="shared" si="52"/>
        <v>45146</v>
      </c>
      <c r="I843" s="26">
        <f t="shared" si="53"/>
        <v>8.333333331393078E-3</v>
      </c>
      <c r="J843" s="18" t="str">
        <f t="shared" si="54"/>
        <v>August</v>
      </c>
      <c r="K843" s="56" t="str">
        <f t="shared" si="55"/>
        <v>Tuesday</v>
      </c>
      <c r="L843" s="18" t="str">
        <f>IF(OR(G843&gt;Answers!I858,G843&lt;Answers!I859),"Outlier","Normal")</f>
        <v>Outlier</v>
      </c>
      <c r="M843" s="18">
        <v>82</v>
      </c>
    </row>
    <row r="844" spans="1:13" ht="20" customHeight="1" x14ac:dyDescent="0.35">
      <c r="A844" s="17">
        <v>572221</v>
      </c>
      <c r="B844" s="18">
        <v>1253</v>
      </c>
      <c r="C844" s="23" t="s">
        <v>99</v>
      </c>
      <c r="D844" s="24">
        <v>45132.977083333331</v>
      </c>
      <c r="E844" s="18" t="s">
        <v>133</v>
      </c>
      <c r="F844" s="18" t="s">
        <v>27</v>
      </c>
      <c r="G844" s="18">
        <v>9800</v>
      </c>
      <c r="H844" s="25">
        <f t="shared" si="52"/>
        <v>45132</v>
      </c>
      <c r="I844" s="26">
        <f t="shared" si="53"/>
        <v>0.97708333333139308</v>
      </c>
      <c r="J844" s="18" t="str">
        <f t="shared" si="54"/>
        <v>July</v>
      </c>
      <c r="K844" s="56" t="str">
        <f t="shared" si="55"/>
        <v>Tuesday</v>
      </c>
      <c r="L844" s="18" t="str">
        <f>IF(OR(G844&gt;Answers!I859,G844&lt;Answers!I860),"Outlier","Normal")</f>
        <v>Outlier</v>
      </c>
      <c r="M844" s="18">
        <v>79</v>
      </c>
    </row>
    <row r="845" spans="1:13" ht="20" customHeight="1" x14ac:dyDescent="0.35">
      <c r="A845" s="17">
        <v>572449</v>
      </c>
      <c r="B845" s="18">
        <v>43</v>
      </c>
      <c r="C845" s="23" t="s">
        <v>106</v>
      </c>
      <c r="D845" s="24">
        <v>45047.995833333334</v>
      </c>
      <c r="E845" s="18" t="s">
        <v>98</v>
      </c>
      <c r="F845" s="18" t="s">
        <v>87</v>
      </c>
      <c r="G845" s="18">
        <v>2289</v>
      </c>
      <c r="H845" s="25">
        <f t="shared" si="52"/>
        <v>45047</v>
      </c>
      <c r="I845" s="26">
        <f t="shared" si="53"/>
        <v>0.99583333333430346</v>
      </c>
      <c r="J845" s="18" t="str">
        <f t="shared" si="54"/>
        <v>May</v>
      </c>
      <c r="K845" s="56" t="str">
        <f t="shared" si="55"/>
        <v>Monday</v>
      </c>
      <c r="L845" s="18" t="str">
        <f>IF(OR(G845&gt;Answers!I860,G845&lt;Answers!I861),"Outlier","Normal")</f>
        <v>Outlier</v>
      </c>
      <c r="M845" s="18">
        <v>55</v>
      </c>
    </row>
    <row r="846" spans="1:13" ht="20" customHeight="1" x14ac:dyDescent="0.35">
      <c r="A846" s="17">
        <v>573127</v>
      </c>
      <c r="B846" s="18">
        <v>1960</v>
      </c>
      <c r="C846" s="23" t="s">
        <v>111</v>
      </c>
      <c r="D846" s="24">
        <v>45277.938194444447</v>
      </c>
      <c r="E846" s="18" t="s">
        <v>96</v>
      </c>
      <c r="F846" s="18" t="s">
        <v>40</v>
      </c>
      <c r="G846" s="18">
        <v>7588</v>
      </c>
      <c r="H846" s="25">
        <f t="shared" si="52"/>
        <v>45277</v>
      </c>
      <c r="I846" s="26">
        <f t="shared" si="53"/>
        <v>0.93819444444670808</v>
      </c>
      <c r="J846" s="18" t="str">
        <f t="shared" si="54"/>
        <v>December</v>
      </c>
      <c r="K846" s="56" t="str">
        <f t="shared" si="55"/>
        <v>Sunday</v>
      </c>
      <c r="L846" s="18" t="str">
        <f>IF(OR(G846&gt;Answers!I861,G846&lt;Answers!I862),"Outlier","Normal")</f>
        <v>Outlier</v>
      </c>
      <c r="M846" s="18">
        <v>33</v>
      </c>
    </row>
    <row r="847" spans="1:13" ht="20" customHeight="1" x14ac:dyDescent="0.35">
      <c r="A847" s="17">
        <v>573331</v>
      </c>
      <c r="B847" s="18">
        <v>1045</v>
      </c>
      <c r="C847" s="23" t="s">
        <v>105</v>
      </c>
      <c r="D847" s="24">
        <v>45201.054861111108</v>
      </c>
      <c r="E847" s="18" t="s">
        <v>98</v>
      </c>
      <c r="F847" s="18" t="s">
        <v>11</v>
      </c>
      <c r="G847" s="18">
        <v>8506</v>
      </c>
      <c r="H847" s="25">
        <f t="shared" si="52"/>
        <v>45201</v>
      </c>
      <c r="I847" s="26">
        <f t="shared" si="53"/>
        <v>5.486111110803904E-2</v>
      </c>
      <c r="J847" s="18" t="str">
        <f t="shared" si="54"/>
        <v>October</v>
      </c>
      <c r="K847" s="56" t="str">
        <f t="shared" si="55"/>
        <v>Monday</v>
      </c>
      <c r="L847" s="18" t="str">
        <f>IF(OR(G847&gt;Answers!I862,G847&lt;Answers!I863),"Outlier","Normal")</f>
        <v>Outlier</v>
      </c>
      <c r="M847" s="18">
        <v>19</v>
      </c>
    </row>
    <row r="848" spans="1:13" ht="20" customHeight="1" x14ac:dyDescent="0.35">
      <c r="A848" s="17">
        <v>573406</v>
      </c>
      <c r="B848" s="18">
        <v>695</v>
      </c>
      <c r="C848" s="23" t="s">
        <v>100</v>
      </c>
      <c r="D848" s="24">
        <v>45188.998611111114</v>
      </c>
      <c r="E848" s="18" t="s">
        <v>96</v>
      </c>
      <c r="F848" s="18" t="s">
        <v>42</v>
      </c>
      <c r="G848" s="18">
        <v>989</v>
      </c>
      <c r="H848" s="25">
        <f t="shared" si="52"/>
        <v>45188</v>
      </c>
      <c r="I848" s="26">
        <f t="shared" si="53"/>
        <v>0.99861111111385981</v>
      </c>
      <c r="J848" s="18" t="str">
        <f t="shared" si="54"/>
        <v>September</v>
      </c>
      <c r="K848" s="56" t="str">
        <f t="shared" si="55"/>
        <v>Tuesday</v>
      </c>
      <c r="L848" s="18" t="str">
        <f>IF(OR(G848&gt;Answers!I863,G848&lt;Answers!I864),"Outlier","Normal")</f>
        <v>Outlier</v>
      </c>
      <c r="M848" s="18">
        <v>25</v>
      </c>
    </row>
    <row r="849" spans="1:13" ht="20" customHeight="1" x14ac:dyDescent="0.35">
      <c r="A849" s="17">
        <v>573466</v>
      </c>
      <c r="B849" s="18">
        <v>1010</v>
      </c>
      <c r="C849" s="23" t="s">
        <v>105</v>
      </c>
      <c r="D849" s="24">
        <v>45153.01666666667</v>
      </c>
      <c r="E849" s="18" t="s">
        <v>98</v>
      </c>
      <c r="F849" s="18" t="s">
        <v>43</v>
      </c>
      <c r="G849" s="18">
        <v>8552</v>
      </c>
      <c r="H849" s="25">
        <f t="shared" si="52"/>
        <v>45153</v>
      </c>
      <c r="I849" s="26">
        <f t="shared" si="53"/>
        <v>1.6666666670062114E-2</v>
      </c>
      <c r="J849" s="18" t="str">
        <f t="shared" si="54"/>
        <v>August</v>
      </c>
      <c r="K849" s="56" t="str">
        <f t="shared" si="55"/>
        <v>Tuesday</v>
      </c>
      <c r="L849" s="18" t="str">
        <f>IF(OR(G849&gt;Answers!I864,G849&lt;Answers!I865),"Outlier","Normal")</f>
        <v>Outlier</v>
      </c>
      <c r="M849" s="18">
        <v>28</v>
      </c>
    </row>
    <row r="850" spans="1:13" ht="20" customHeight="1" x14ac:dyDescent="0.35">
      <c r="A850" s="17">
        <v>573585</v>
      </c>
      <c r="B850" s="18">
        <v>97</v>
      </c>
      <c r="C850" s="23" t="s">
        <v>99</v>
      </c>
      <c r="D850" s="24">
        <v>45065.986805555556</v>
      </c>
      <c r="E850" s="18" t="s">
        <v>133</v>
      </c>
      <c r="F850" s="18" t="s">
        <v>44</v>
      </c>
      <c r="G850" s="18">
        <v>3551</v>
      </c>
      <c r="H850" s="25">
        <f t="shared" si="52"/>
        <v>45065</v>
      </c>
      <c r="I850" s="26">
        <f t="shared" si="53"/>
        <v>0.98680555555620231</v>
      </c>
      <c r="J850" s="18" t="str">
        <f t="shared" si="54"/>
        <v>May</v>
      </c>
      <c r="K850" s="56" t="str">
        <f t="shared" si="55"/>
        <v>Friday</v>
      </c>
      <c r="L850" s="18" t="str">
        <f>IF(OR(G850&gt;Answers!I865,G850&lt;Answers!I866),"Outlier","Normal")</f>
        <v>Outlier</v>
      </c>
      <c r="M850" s="18">
        <v>84</v>
      </c>
    </row>
    <row r="851" spans="1:13" ht="20" customHeight="1" x14ac:dyDescent="0.35">
      <c r="A851" s="17">
        <v>573613</v>
      </c>
      <c r="B851" s="18">
        <v>1477</v>
      </c>
      <c r="C851" s="23" t="s">
        <v>105</v>
      </c>
      <c r="D851" s="24">
        <v>45156.053472222222</v>
      </c>
      <c r="E851" s="18" t="s">
        <v>97</v>
      </c>
      <c r="F851" s="18" t="s">
        <v>81</v>
      </c>
      <c r="G851" s="18">
        <v>7954</v>
      </c>
      <c r="H851" s="25">
        <f t="shared" si="52"/>
        <v>45156</v>
      </c>
      <c r="I851" s="26">
        <f t="shared" si="53"/>
        <v>5.3472222221898846E-2</v>
      </c>
      <c r="J851" s="18" t="str">
        <f t="shared" si="54"/>
        <v>August</v>
      </c>
      <c r="K851" s="56" t="str">
        <f t="shared" si="55"/>
        <v>Friday</v>
      </c>
      <c r="L851" s="18" t="str">
        <f>IF(OR(G851&gt;Answers!I866,G851&lt;Answers!I867),"Outlier","Normal")</f>
        <v>Outlier</v>
      </c>
      <c r="M851" s="18">
        <v>73</v>
      </c>
    </row>
    <row r="852" spans="1:13" ht="20" customHeight="1" x14ac:dyDescent="0.35">
      <c r="A852" s="17">
        <v>573756</v>
      </c>
      <c r="B852" s="18">
        <v>1900</v>
      </c>
      <c r="C852" s="23" t="s">
        <v>106</v>
      </c>
      <c r="D852" s="24">
        <v>45179.052083333336</v>
      </c>
      <c r="E852" s="18" t="s">
        <v>133</v>
      </c>
      <c r="F852" s="18" t="s">
        <v>14</v>
      </c>
      <c r="G852" s="18">
        <v>7244</v>
      </c>
      <c r="H852" s="25">
        <f t="shared" si="52"/>
        <v>45179</v>
      </c>
      <c r="I852" s="26">
        <f t="shared" si="53"/>
        <v>5.2083333335758653E-2</v>
      </c>
      <c r="J852" s="18" t="str">
        <f t="shared" si="54"/>
        <v>September</v>
      </c>
      <c r="K852" s="56" t="str">
        <f t="shared" si="55"/>
        <v>Sunday</v>
      </c>
      <c r="L852" s="18" t="str">
        <f>IF(OR(G852&gt;Answers!I867,G852&lt;Answers!I868),"Outlier","Normal")</f>
        <v>Outlier</v>
      </c>
      <c r="M852" s="18">
        <v>28</v>
      </c>
    </row>
    <row r="853" spans="1:13" ht="20" customHeight="1" x14ac:dyDescent="0.35">
      <c r="A853" s="17">
        <v>574480</v>
      </c>
      <c r="B853" s="18">
        <v>1907</v>
      </c>
      <c r="C853" s="23" t="s">
        <v>101</v>
      </c>
      <c r="D853" s="24">
        <v>45197.015972222223</v>
      </c>
      <c r="E853" s="18" t="s">
        <v>133</v>
      </c>
      <c r="F853" s="18" t="s">
        <v>6</v>
      </c>
      <c r="G853" s="18">
        <v>6577</v>
      </c>
      <c r="H853" s="25">
        <f t="shared" si="52"/>
        <v>45197</v>
      </c>
      <c r="I853" s="26">
        <f t="shared" si="53"/>
        <v>1.5972222223354038E-2</v>
      </c>
      <c r="J853" s="18" t="str">
        <f t="shared" si="54"/>
        <v>September</v>
      </c>
      <c r="K853" s="56" t="str">
        <f t="shared" si="55"/>
        <v>Thursday</v>
      </c>
      <c r="L853" s="18" t="str">
        <f>IF(OR(G853&gt;Answers!I868,G853&lt;Answers!I869),"Outlier","Normal")</f>
        <v>Outlier</v>
      </c>
      <c r="M853" s="18">
        <v>83</v>
      </c>
    </row>
    <row r="854" spans="1:13" ht="20" customHeight="1" x14ac:dyDescent="0.35">
      <c r="A854" s="17">
        <v>574845</v>
      </c>
      <c r="B854" s="18">
        <v>357</v>
      </c>
      <c r="C854" s="23" t="s">
        <v>103</v>
      </c>
      <c r="D854" s="24">
        <v>45266.986111111109</v>
      </c>
      <c r="E854" s="18" t="s">
        <v>96</v>
      </c>
      <c r="F854" s="18" t="s">
        <v>7</v>
      </c>
      <c r="G854" s="18">
        <v>1101</v>
      </c>
      <c r="H854" s="25">
        <f t="shared" si="52"/>
        <v>45266</v>
      </c>
      <c r="I854" s="26">
        <f t="shared" si="53"/>
        <v>0.98611111110949423</v>
      </c>
      <c r="J854" s="18" t="str">
        <f t="shared" si="54"/>
        <v>December</v>
      </c>
      <c r="K854" s="56" t="str">
        <f t="shared" si="55"/>
        <v>Wednesday</v>
      </c>
      <c r="L854" s="18" t="str">
        <f>IF(OR(G854&gt;Answers!I869,G854&lt;Answers!I870),"Outlier","Normal")</f>
        <v>Outlier</v>
      </c>
      <c r="M854" s="18">
        <v>70</v>
      </c>
    </row>
    <row r="855" spans="1:13" ht="20" customHeight="1" x14ac:dyDescent="0.35">
      <c r="A855" s="17">
        <v>575162</v>
      </c>
      <c r="B855" s="18">
        <v>1040</v>
      </c>
      <c r="C855" s="23" t="s">
        <v>113</v>
      </c>
      <c r="D855" s="24">
        <v>45251.96875</v>
      </c>
      <c r="E855" s="18" t="s">
        <v>98</v>
      </c>
      <c r="F855" s="18" t="s">
        <v>27</v>
      </c>
      <c r="G855" s="18">
        <v>1854</v>
      </c>
      <c r="H855" s="25">
        <f t="shared" si="52"/>
        <v>45251</v>
      </c>
      <c r="I855" s="26">
        <f t="shared" si="53"/>
        <v>0.96875</v>
      </c>
      <c r="J855" s="18" t="str">
        <f t="shared" si="54"/>
        <v>November</v>
      </c>
      <c r="K855" s="56" t="str">
        <f t="shared" si="55"/>
        <v>Tuesday</v>
      </c>
      <c r="L855" s="18" t="str">
        <f>IF(OR(G855&gt;Answers!I870,G855&lt;Answers!I871),"Outlier","Normal")</f>
        <v>Outlier</v>
      </c>
      <c r="M855" s="18">
        <v>63</v>
      </c>
    </row>
    <row r="856" spans="1:13" ht="20" customHeight="1" x14ac:dyDescent="0.35">
      <c r="A856" s="17">
        <v>576171</v>
      </c>
      <c r="B856" s="18">
        <v>707</v>
      </c>
      <c r="C856" s="23" t="s">
        <v>100</v>
      </c>
      <c r="D856" s="24">
        <v>45231.98333333333</v>
      </c>
      <c r="E856" s="18" t="s">
        <v>133</v>
      </c>
      <c r="F856" s="18" t="s">
        <v>43</v>
      </c>
      <c r="G856" s="18">
        <v>9989</v>
      </c>
      <c r="H856" s="25">
        <f t="shared" si="52"/>
        <v>45231</v>
      </c>
      <c r="I856" s="26">
        <f t="shared" si="53"/>
        <v>0.98333333332993789</v>
      </c>
      <c r="J856" s="18" t="str">
        <f t="shared" si="54"/>
        <v>November</v>
      </c>
      <c r="K856" s="56" t="str">
        <f t="shared" si="55"/>
        <v>Wednesday</v>
      </c>
      <c r="L856" s="18" t="str">
        <f>IF(OR(G856&gt;Answers!I871,G856&lt;Answers!I872),"Outlier","Normal")</f>
        <v>Outlier</v>
      </c>
      <c r="M856" s="18">
        <v>23</v>
      </c>
    </row>
    <row r="857" spans="1:13" ht="20" customHeight="1" x14ac:dyDescent="0.35">
      <c r="A857" s="17">
        <v>576486</v>
      </c>
      <c r="B857" s="18">
        <v>842</v>
      </c>
      <c r="C857" s="23" t="s">
        <v>100</v>
      </c>
      <c r="D857" s="24">
        <v>45097.068749999999</v>
      </c>
      <c r="E857" s="18" t="s">
        <v>96</v>
      </c>
      <c r="F857" s="18" t="s">
        <v>43</v>
      </c>
      <c r="G857" s="18">
        <v>2847</v>
      </c>
      <c r="H857" s="25">
        <f t="shared" si="52"/>
        <v>45097</v>
      </c>
      <c r="I857" s="26">
        <f t="shared" si="53"/>
        <v>6.8749999998544808E-2</v>
      </c>
      <c r="J857" s="18" t="str">
        <f t="shared" si="54"/>
        <v>June</v>
      </c>
      <c r="K857" s="56" t="str">
        <f t="shared" si="55"/>
        <v>Tuesday</v>
      </c>
      <c r="L857" s="18" t="str">
        <f>IF(OR(G857&gt;Answers!I872,G857&lt;Answers!I873),"Outlier","Normal")</f>
        <v>Outlier</v>
      </c>
      <c r="M857" s="18">
        <v>41</v>
      </c>
    </row>
    <row r="858" spans="1:13" ht="20" customHeight="1" x14ac:dyDescent="0.35">
      <c r="A858" s="17">
        <v>577243</v>
      </c>
      <c r="B858" s="18">
        <v>1283</v>
      </c>
      <c r="C858" s="23" t="s">
        <v>99</v>
      </c>
      <c r="D858" s="24">
        <v>44957.058333333334</v>
      </c>
      <c r="E858" s="18" t="s">
        <v>96</v>
      </c>
      <c r="F858" s="18" t="s">
        <v>49</v>
      </c>
      <c r="G858" s="18">
        <v>4138</v>
      </c>
      <c r="H858" s="25">
        <f t="shared" si="52"/>
        <v>44957</v>
      </c>
      <c r="I858" s="26">
        <f t="shared" si="53"/>
        <v>5.8333333334303461E-2</v>
      </c>
      <c r="J858" s="18" t="str">
        <f t="shared" si="54"/>
        <v>January</v>
      </c>
      <c r="K858" s="56" t="str">
        <f t="shared" si="55"/>
        <v>Tuesday</v>
      </c>
      <c r="L858" s="18" t="str">
        <f>IF(OR(G858&gt;Answers!I873,G858&lt;Answers!I874),"Outlier","Normal")</f>
        <v>Outlier</v>
      </c>
      <c r="M858" s="18">
        <v>30</v>
      </c>
    </row>
    <row r="859" spans="1:13" ht="20" customHeight="1" x14ac:dyDescent="0.35">
      <c r="A859" s="17">
        <v>581118</v>
      </c>
      <c r="B859" s="18">
        <v>1199</v>
      </c>
      <c r="C859" s="23" t="s">
        <v>107</v>
      </c>
      <c r="D859" s="24">
        <v>45257.015277777777</v>
      </c>
      <c r="E859" s="18" t="s">
        <v>98</v>
      </c>
      <c r="F859" s="18" t="s">
        <v>50</v>
      </c>
      <c r="G859" s="18">
        <v>3254</v>
      </c>
      <c r="H859" s="25">
        <f t="shared" si="52"/>
        <v>45257</v>
      </c>
      <c r="I859" s="26">
        <f t="shared" si="53"/>
        <v>1.5277777776645962E-2</v>
      </c>
      <c r="J859" s="18" t="str">
        <f t="shared" si="54"/>
        <v>November</v>
      </c>
      <c r="K859" s="56" t="str">
        <f t="shared" si="55"/>
        <v>Monday</v>
      </c>
      <c r="L859" s="18" t="str">
        <f>IF(OR(G859&gt;Answers!I874,G859&lt;Answers!I875),"Outlier","Normal")</f>
        <v>Outlier</v>
      </c>
      <c r="M859" s="18">
        <v>38</v>
      </c>
    </row>
    <row r="860" spans="1:13" ht="20" customHeight="1" x14ac:dyDescent="0.35">
      <c r="A860" s="17">
        <v>581573</v>
      </c>
      <c r="B860" s="18">
        <v>1670</v>
      </c>
      <c r="C860" s="23" t="s">
        <v>99</v>
      </c>
      <c r="D860" s="24">
        <v>45146.04583333333</v>
      </c>
      <c r="E860" s="18" t="s">
        <v>97</v>
      </c>
      <c r="F860" s="18" t="s">
        <v>5</v>
      </c>
      <c r="G860" s="18">
        <v>8547</v>
      </c>
      <c r="H860" s="25">
        <f t="shared" si="52"/>
        <v>45146</v>
      </c>
      <c r="I860" s="26">
        <f t="shared" si="53"/>
        <v>4.5833333329937886E-2</v>
      </c>
      <c r="J860" s="18" t="str">
        <f t="shared" si="54"/>
        <v>August</v>
      </c>
      <c r="K860" s="56" t="str">
        <f t="shared" si="55"/>
        <v>Tuesday</v>
      </c>
      <c r="L860" s="18" t="str">
        <f>IF(OR(G860&gt;Answers!I875,G860&lt;Answers!I876),"Outlier","Normal")</f>
        <v>Outlier</v>
      </c>
      <c r="M860" s="18">
        <v>80</v>
      </c>
    </row>
    <row r="861" spans="1:13" ht="20" customHeight="1" x14ac:dyDescent="0.35">
      <c r="A861" s="17">
        <v>581918</v>
      </c>
      <c r="B861" s="18">
        <v>1617</v>
      </c>
      <c r="C861" s="23" t="s">
        <v>104</v>
      </c>
      <c r="D861" s="24">
        <v>45231.033333333333</v>
      </c>
      <c r="E861" s="18" t="s">
        <v>96</v>
      </c>
      <c r="F861" s="18" t="s">
        <v>46</v>
      </c>
      <c r="G861" s="18">
        <v>6030</v>
      </c>
      <c r="H861" s="25">
        <f t="shared" si="52"/>
        <v>45231</v>
      </c>
      <c r="I861" s="26">
        <f t="shared" si="53"/>
        <v>3.3333333332848269E-2</v>
      </c>
      <c r="J861" s="18" t="str">
        <f t="shared" si="54"/>
        <v>November</v>
      </c>
      <c r="K861" s="56" t="str">
        <f t="shared" si="55"/>
        <v>Wednesday</v>
      </c>
      <c r="L861" s="18" t="str">
        <f>IF(OR(G861&gt;Answers!I876,G861&lt;Answers!I877),"Outlier","Normal")</f>
        <v>Outlier</v>
      </c>
      <c r="M861" s="18">
        <v>50</v>
      </c>
    </row>
    <row r="862" spans="1:13" ht="20" customHeight="1" x14ac:dyDescent="0.35">
      <c r="A862" s="17">
        <v>582139</v>
      </c>
      <c r="B862" s="18">
        <v>170</v>
      </c>
      <c r="C862" s="23" t="s">
        <v>107</v>
      </c>
      <c r="D862" s="24">
        <v>45195.089583333334</v>
      </c>
      <c r="E862" s="18" t="s">
        <v>97</v>
      </c>
      <c r="F862" s="18" t="s">
        <v>82</v>
      </c>
      <c r="G862" s="18">
        <v>2002</v>
      </c>
      <c r="H862" s="25">
        <f t="shared" si="52"/>
        <v>45195</v>
      </c>
      <c r="I862" s="26">
        <f t="shared" si="53"/>
        <v>8.9583333334303461E-2</v>
      </c>
      <c r="J862" s="18" t="str">
        <f t="shared" si="54"/>
        <v>September</v>
      </c>
      <c r="K862" s="56" t="str">
        <f t="shared" si="55"/>
        <v>Tuesday</v>
      </c>
      <c r="L862" s="18" t="str">
        <f>IF(OR(G862&gt;Answers!I877,G862&lt;Answers!I878),"Outlier","Normal")</f>
        <v>Outlier</v>
      </c>
      <c r="M862" s="18">
        <v>83</v>
      </c>
    </row>
    <row r="863" spans="1:13" ht="20" customHeight="1" x14ac:dyDescent="0.35">
      <c r="A863" s="17">
        <v>583059</v>
      </c>
      <c r="B863" s="18">
        <v>786</v>
      </c>
      <c r="C863" s="23" t="s">
        <v>108</v>
      </c>
      <c r="D863" s="24">
        <v>45240.952777777777</v>
      </c>
      <c r="E863" s="18" t="s">
        <v>98</v>
      </c>
      <c r="F863" s="18" t="s">
        <v>17</v>
      </c>
      <c r="G863" s="18">
        <v>6333</v>
      </c>
      <c r="H863" s="25">
        <f t="shared" si="52"/>
        <v>45240</v>
      </c>
      <c r="I863" s="26">
        <f t="shared" si="53"/>
        <v>0.95277777777664596</v>
      </c>
      <c r="J863" s="18" t="str">
        <f t="shared" si="54"/>
        <v>November</v>
      </c>
      <c r="K863" s="56" t="str">
        <f t="shared" si="55"/>
        <v>Friday</v>
      </c>
      <c r="L863" s="18" t="str">
        <f>IF(OR(G863&gt;Answers!I878,G863&lt;Answers!I879),"Outlier","Normal")</f>
        <v>Outlier</v>
      </c>
      <c r="M863" s="18">
        <v>61</v>
      </c>
    </row>
    <row r="864" spans="1:13" ht="20" customHeight="1" x14ac:dyDescent="0.35">
      <c r="A864" s="17">
        <v>583129</v>
      </c>
      <c r="B864" s="18">
        <v>575</v>
      </c>
      <c r="C864" s="23" t="s">
        <v>113</v>
      </c>
      <c r="D864" s="24">
        <v>45248.953472222223</v>
      </c>
      <c r="E864" s="18" t="s">
        <v>133</v>
      </c>
      <c r="F864" s="18" t="s">
        <v>11</v>
      </c>
      <c r="G864" s="18">
        <v>7035</v>
      </c>
      <c r="H864" s="25">
        <f t="shared" si="52"/>
        <v>45248</v>
      </c>
      <c r="I864" s="26">
        <f t="shared" si="53"/>
        <v>0.95347222222335404</v>
      </c>
      <c r="J864" s="18" t="str">
        <f t="shared" si="54"/>
        <v>November</v>
      </c>
      <c r="K864" s="56" t="str">
        <f t="shared" si="55"/>
        <v>Saturday</v>
      </c>
      <c r="L864" s="18" t="str">
        <f>IF(OR(G864&gt;Answers!I879,G864&lt;Answers!I880),"Outlier","Normal")</f>
        <v>Outlier</v>
      </c>
      <c r="M864" s="18">
        <v>85</v>
      </c>
    </row>
    <row r="865" spans="1:13" ht="20" customHeight="1" x14ac:dyDescent="0.35">
      <c r="A865" s="17">
        <v>584321</v>
      </c>
      <c r="B865" s="18">
        <v>1108</v>
      </c>
      <c r="C865" s="23" t="s">
        <v>113</v>
      </c>
      <c r="D865" s="24">
        <v>44986.977777777778</v>
      </c>
      <c r="E865" s="18" t="s">
        <v>97</v>
      </c>
      <c r="F865" s="18" t="s">
        <v>44</v>
      </c>
      <c r="G865" s="18">
        <v>6956</v>
      </c>
      <c r="H865" s="25">
        <f t="shared" si="52"/>
        <v>44986</v>
      </c>
      <c r="I865" s="26">
        <f t="shared" si="53"/>
        <v>0.97777777777810115</v>
      </c>
      <c r="J865" s="18" t="str">
        <f t="shared" si="54"/>
        <v>March</v>
      </c>
      <c r="K865" s="56" t="str">
        <f t="shared" si="55"/>
        <v>Wednesday</v>
      </c>
      <c r="L865" s="18" t="str">
        <f>IF(OR(G865&gt;Answers!I880,G865&lt;Answers!I881),"Outlier","Normal")</f>
        <v>Outlier</v>
      </c>
      <c r="M865" s="18">
        <v>47</v>
      </c>
    </row>
    <row r="866" spans="1:13" ht="20" customHeight="1" x14ac:dyDescent="0.35">
      <c r="A866" s="17">
        <v>585445</v>
      </c>
      <c r="B866" s="18">
        <v>1665</v>
      </c>
      <c r="C866" s="23" t="s">
        <v>110</v>
      </c>
      <c r="D866" s="24">
        <v>45113.992361111108</v>
      </c>
      <c r="E866" s="18" t="s">
        <v>133</v>
      </c>
      <c r="F866" s="18" t="s">
        <v>78</v>
      </c>
      <c r="G866" s="18">
        <v>7479</v>
      </c>
      <c r="H866" s="25">
        <f t="shared" si="52"/>
        <v>45113</v>
      </c>
      <c r="I866" s="26">
        <f t="shared" si="53"/>
        <v>0.99236111110803904</v>
      </c>
      <c r="J866" s="18" t="str">
        <f t="shared" si="54"/>
        <v>July</v>
      </c>
      <c r="K866" s="56" t="str">
        <f t="shared" si="55"/>
        <v>Thursday</v>
      </c>
      <c r="L866" s="18" t="str">
        <f>IF(OR(G866&gt;Answers!I881,G866&lt;Answers!I882),"Outlier","Normal")</f>
        <v>Outlier</v>
      </c>
      <c r="M866" s="18">
        <v>19</v>
      </c>
    </row>
    <row r="867" spans="1:13" ht="20" customHeight="1" x14ac:dyDescent="0.35">
      <c r="A867" s="17">
        <v>585596</v>
      </c>
      <c r="B867" s="18">
        <v>1447</v>
      </c>
      <c r="C867" s="23" t="s">
        <v>106</v>
      </c>
      <c r="D867" s="24">
        <v>45205.025000000001</v>
      </c>
      <c r="E867" s="18" t="s">
        <v>133</v>
      </c>
      <c r="F867" s="18" t="s">
        <v>27</v>
      </c>
      <c r="G867" s="18">
        <v>8848</v>
      </c>
      <c r="H867" s="25">
        <f t="shared" si="52"/>
        <v>45205</v>
      </c>
      <c r="I867" s="26">
        <f t="shared" si="53"/>
        <v>2.5000000001455192E-2</v>
      </c>
      <c r="J867" s="18" t="str">
        <f t="shared" si="54"/>
        <v>October</v>
      </c>
      <c r="K867" s="56" t="str">
        <f t="shared" si="55"/>
        <v>Friday</v>
      </c>
      <c r="L867" s="18" t="str">
        <f>IF(OR(G867&gt;Answers!I882,G867&lt;Answers!I883),"Outlier","Normal")</f>
        <v>Outlier</v>
      </c>
      <c r="M867" s="18">
        <v>20</v>
      </c>
    </row>
    <row r="868" spans="1:13" ht="20" customHeight="1" x14ac:dyDescent="0.35">
      <c r="A868" s="17">
        <v>585616</v>
      </c>
      <c r="B868" s="18">
        <v>318</v>
      </c>
      <c r="C868" s="23" t="s">
        <v>113</v>
      </c>
      <c r="D868" s="24">
        <v>44966.01666666667</v>
      </c>
      <c r="E868" s="18" t="s">
        <v>96</v>
      </c>
      <c r="F868" s="18" t="s">
        <v>59</v>
      </c>
      <c r="G868" s="18">
        <v>7526</v>
      </c>
      <c r="H868" s="25">
        <f t="shared" si="52"/>
        <v>44966</v>
      </c>
      <c r="I868" s="26">
        <f t="shared" si="53"/>
        <v>1.6666666670062114E-2</v>
      </c>
      <c r="J868" s="18" t="str">
        <f t="shared" si="54"/>
        <v>February</v>
      </c>
      <c r="K868" s="56" t="str">
        <f t="shared" si="55"/>
        <v>Thursday</v>
      </c>
      <c r="L868" s="18" t="str">
        <f>IF(OR(G868&gt;Answers!I883,G868&lt;Answers!I884),"Outlier","Normal")</f>
        <v>Outlier</v>
      </c>
      <c r="M868" s="18">
        <v>35</v>
      </c>
    </row>
    <row r="869" spans="1:13" ht="20" customHeight="1" x14ac:dyDescent="0.35">
      <c r="A869" s="17">
        <v>585826</v>
      </c>
      <c r="B869" s="18">
        <v>988</v>
      </c>
      <c r="C869" s="23" t="s">
        <v>99</v>
      </c>
      <c r="D869" s="24">
        <v>45285.065972222219</v>
      </c>
      <c r="E869" s="18" t="s">
        <v>96</v>
      </c>
      <c r="F869" s="18" t="s">
        <v>87</v>
      </c>
      <c r="G869" s="18">
        <v>6591</v>
      </c>
      <c r="H869" s="25">
        <f t="shared" si="52"/>
        <v>45285</v>
      </c>
      <c r="I869" s="26">
        <f t="shared" si="53"/>
        <v>6.5972222218988463E-2</v>
      </c>
      <c r="J869" s="18" t="str">
        <f t="shared" si="54"/>
        <v>December</v>
      </c>
      <c r="K869" s="56" t="str">
        <f t="shared" si="55"/>
        <v>Monday</v>
      </c>
      <c r="L869" s="18" t="str">
        <f>IF(OR(G869&gt;Answers!I884,G869&lt;Answers!I885),"Outlier","Normal")</f>
        <v>Outlier</v>
      </c>
      <c r="M869" s="18">
        <v>62</v>
      </c>
    </row>
    <row r="870" spans="1:13" ht="20" customHeight="1" x14ac:dyDescent="0.35">
      <c r="A870" s="17">
        <v>585827</v>
      </c>
      <c r="B870" s="18">
        <v>156</v>
      </c>
      <c r="C870" s="23" t="s">
        <v>100</v>
      </c>
      <c r="D870" s="24">
        <v>44944.984722222223</v>
      </c>
      <c r="E870" s="18" t="s">
        <v>98</v>
      </c>
      <c r="F870" s="18" t="s">
        <v>26</v>
      </c>
      <c r="G870" s="18">
        <v>3966</v>
      </c>
      <c r="H870" s="25">
        <f t="shared" si="52"/>
        <v>44944</v>
      </c>
      <c r="I870" s="26">
        <f t="shared" si="53"/>
        <v>0.98472222222335404</v>
      </c>
      <c r="J870" s="18" t="str">
        <f t="shared" si="54"/>
        <v>January</v>
      </c>
      <c r="K870" s="56" t="str">
        <f t="shared" si="55"/>
        <v>Wednesday</v>
      </c>
      <c r="L870" s="18" t="str">
        <f>IF(OR(G870&gt;Answers!I885,G870&lt;Answers!I886),"Outlier","Normal")</f>
        <v>Outlier</v>
      </c>
      <c r="M870" s="18">
        <v>32</v>
      </c>
    </row>
    <row r="871" spans="1:13" ht="20" customHeight="1" x14ac:dyDescent="0.35">
      <c r="A871" s="17">
        <v>587346</v>
      </c>
      <c r="B871" s="18">
        <v>1703</v>
      </c>
      <c r="C871" s="23" t="s">
        <v>100</v>
      </c>
      <c r="D871" s="24">
        <v>45154.070138888892</v>
      </c>
      <c r="E871" s="18" t="s">
        <v>96</v>
      </c>
      <c r="F871" s="18" t="s">
        <v>74</v>
      </c>
      <c r="G871" s="18">
        <v>6858</v>
      </c>
      <c r="H871" s="25">
        <f t="shared" si="52"/>
        <v>45154</v>
      </c>
      <c r="I871" s="26">
        <f t="shared" si="53"/>
        <v>7.013888889196096E-2</v>
      </c>
      <c r="J871" s="18" t="str">
        <f t="shared" si="54"/>
        <v>August</v>
      </c>
      <c r="K871" s="56" t="str">
        <f t="shared" si="55"/>
        <v>Wednesday</v>
      </c>
      <c r="L871" s="18" t="str">
        <f>IF(OR(G871&gt;Answers!I886,G871&lt;Answers!I887),"Outlier","Normal")</f>
        <v>Outlier</v>
      </c>
      <c r="M871" s="18">
        <v>85</v>
      </c>
    </row>
    <row r="872" spans="1:13" ht="20" customHeight="1" x14ac:dyDescent="0.35">
      <c r="A872" s="17">
        <v>587721</v>
      </c>
      <c r="B872" s="18">
        <v>417</v>
      </c>
      <c r="C872" s="23" t="s">
        <v>100</v>
      </c>
      <c r="D872" s="24">
        <v>44966.068055555559</v>
      </c>
      <c r="E872" s="18" t="s">
        <v>96</v>
      </c>
      <c r="F872" s="18" t="s">
        <v>88</v>
      </c>
      <c r="G872" s="18">
        <v>1430</v>
      </c>
      <c r="H872" s="25">
        <f t="shared" si="52"/>
        <v>44966</v>
      </c>
      <c r="I872" s="26">
        <f t="shared" si="53"/>
        <v>6.805555555911269E-2</v>
      </c>
      <c r="J872" s="18" t="str">
        <f t="shared" si="54"/>
        <v>February</v>
      </c>
      <c r="K872" s="56" t="str">
        <f t="shared" si="55"/>
        <v>Thursday</v>
      </c>
      <c r="L872" s="18" t="str">
        <f>IF(OR(G872&gt;Answers!I887,G872&lt;Answers!I888),"Outlier","Normal")</f>
        <v>Outlier</v>
      </c>
      <c r="M872" s="18">
        <v>53</v>
      </c>
    </row>
    <row r="873" spans="1:13" ht="20" customHeight="1" x14ac:dyDescent="0.35">
      <c r="A873" s="17">
        <v>588329</v>
      </c>
      <c r="B873" s="18">
        <v>1170</v>
      </c>
      <c r="C873" s="23" t="s">
        <v>109</v>
      </c>
      <c r="D873" s="24">
        <v>45170.076388888891</v>
      </c>
      <c r="E873" s="18" t="s">
        <v>96</v>
      </c>
      <c r="F873" s="18" t="s">
        <v>73</v>
      </c>
      <c r="G873" s="18">
        <v>987</v>
      </c>
      <c r="H873" s="25">
        <f t="shared" si="52"/>
        <v>45170</v>
      </c>
      <c r="I873" s="26">
        <f t="shared" si="53"/>
        <v>7.6388888890505768E-2</v>
      </c>
      <c r="J873" s="18" t="str">
        <f t="shared" si="54"/>
        <v>September</v>
      </c>
      <c r="K873" s="56" t="str">
        <f t="shared" si="55"/>
        <v>Friday</v>
      </c>
      <c r="L873" s="18" t="str">
        <f>IF(OR(G873&gt;Answers!I888,G873&lt;Answers!I889),"Outlier","Normal")</f>
        <v>Outlier</v>
      </c>
      <c r="M873" s="18">
        <v>65</v>
      </c>
    </row>
    <row r="874" spans="1:13" ht="20" customHeight="1" x14ac:dyDescent="0.35">
      <c r="A874" s="17">
        <v>588451</v>
      </c>
      <c r="B874" s="18">
        <v>1647</v>
      </c>
      <c r="C874" s="23" t="s">
        <v>99</v>
      </c>
      <c r="D874" s="24">
        <v>44963.018055555556</v>
      </c>
      <c r="E874" s="18" t="s">
        <v>133</v>
      </c>
      <c r="F874" s="18" t="s">
        <v>89</v>
      </c>
      <c r="G874" s="18">
        <v>987</v>
      </c>
      <c r="H874" s="25">
        <f t="shared" si="52"/>
        <v>44963</v>
      </c>
      <c r="I874" s="26">
        <f t="shared" si="53"/>
        <v>1.8055555556202307E-2</v>
      </c>
      <c r="J874" s="18" t="str">
        <f t="shared" si="54"/>
        <v>February</v>
      </c>
      <c r="K874" s="56" t="str">
        <f t="shared" si="55"/>
        <v>Monday</v>
      </c>
      <c r="L874" s="18" t="str">
        <f>IF(OR(G874&gt;Answers!I889,G874&lt;Answers!I890),"Outlier","Normal")</f>
        <v>Outlier</v>
      </c>
      <c r="M874" s="18">
        <v>22</v>
      </c>
    </row>
    <row r="875" spans="1:13" ht="20" customHeight="1" x14ac:dyDescent="0.35">
      <c r="A875" s="17">
        <v>588548</v>
      </c>
      <c r="B875" s="18">
        <v>442</v>
      </c>
      <c r="C875" s="23" t="s">
        <v>99</v>
      </c>
      <c r="D875" s="24">
        <v>45002.029166666667</v>
      </c>
      <c r="E875" s="18" t="s">
        <v>133</v>
      </c>
      <c r="F875" s="18" t="s">
        <v>27</v>
      </c>
      <c r="G875" s="18">
        <v>4334</v>
      </c>
      <c r="H875" s="25">
        <f t="shared" si="52"/>
        <v>45002</v>
      </c>
      <c r="I875" s="26">
        <f t="shared" si="53"/>
        <v>2.9166666667151731E-2</v>
      </c>
      <c r="J875" s="18" t="str">
        <f t="shared" si="54"/>
        <v>March</v>
      </c>
      <c r="K875" s="56" t="str">
        <f t="shared" si="55"/>
        <v>Friday</v>
      </c>
      <c r="L875" s="18" t="str">
        <f>IF(OR(G875&gt;Answers!I890,G875&lt;Answers!I891),"Outlier","Normal")</f>
        <v>Outlier</v>
      </c>
      <c r="M875" s="18">
        <v>62</v>
      </c>
    </row>
    <row r="876" spans="1:13" ht="20" customHeight="1" x14ac:dyDescent="0.35">
      <c r="A876" s="17">
        <v>588588</v>
      </c>
      <c r="B876" s="18">
        <v>548</v>
      </c>
      <c r="C876" s="23" t="s">
        <v>99</v>
      </c>
      <c r="D876" s="24">
        <v>45169.018750000003</v>
      </c>
      <c r="E876" s="18" t="s">
        <v>133</v>
      </c>
      <c r="F876" s="18" t="s">
        <v>25</v>
      </c>
      <c r="G876" s="18">
        <v>1656</v>
      </c>
      <c r="H876" s="25">
        <f t="shared" si="52"/>
        <v>45169</v>
      </c>
      <c r="I876" s="26">
        <f t="shared" si="53"/>
        <v>1.8750000002910383E-2</v>
      </c>
      <c r="J876" s="18" t="str">
        <f t="shared" si="54"/>
        <v>August</v>
      </c>
      <c r="K876" s="56" t="str">
        <f t="shared" si="55"/>
        <v>Thursday</v>
      </c>
      <c r="L876" s="18" t="str">
        <f>IF(OR(G876&gt;Answers!I891,G876&lt;Answers!I892),"Outlier","Normal")</f>
        <v>Outlier</v>
      </c>
      <c r="M876" s="18">
        <v>48</v>
      </c>
    </row>
    <row r="877" spans="1:13" ht="20" customHeight="1" x14ac:dyDescent="0.35">
      <c r="A877" s="17">
        <v>588686</v>
      </c>
      <c r="B877" s="18">
        <v>1224</v>
      </c>
      <c r="C877" s="23" t="s">
        <v>100</v>
      </c>
      <c r="D877" s="24">
        <v>45124.970138888886</v>
      </c>
      <c r="E877" s="18" t="s">
        <v>98</v>
      </c>
      <c r="F877" s="18" t="s">
        <v>49</v>
      </c>
      <c r="G877" s="18">
        <v>9207</v>
      </c>
      <c r="H877" s="25">
        <f t="shared" si="52"/>
        <v>45124</v>
      </c>
      <c r="I877" s="26">
        <f t="shared" si="53"/>
        <v>0.97013888888614019</v>
      </c>
      <c r="J877" s="18" t="str">
        <f t="shared" si="54"/>
        <v>July</v>
      </c>
      <c r="K877" s="56" t="str">
        <f t="shared" si="55"/>
        <v>Monday</v>
      </c>
      <c r="L877" s="18" t="str">
        <f>IF(OR(G877&gt;Answers!I892,G877&lt;Answers!I893),"Outlier","Normal")</f>
        <v>Outlier</v>
      </c>
      <c r="M877" s="18">
        <v>71</v>
      </c>
    </row>
    <row r="878" spans="1:13" ht="20" customHeight="1" x14ac:dyDescent="0.35">
      <c r="A878" s="17">
        <v>588730</v>
      </c>
      <c r="B878" s="18">
        <v>40</v>
      </c>
      <c r="C878" s="23" t="s">
        <v>101</v>
      </c>
      <c r="D878" s="24">
        <v>45163.013888888891</v>
      </c>
      <c r="E878" s="18" t="s">
        <v>96</v>
      </c>
      <c r="F878" s="18" t="s">
        <v>5</v>
      </c>
      <c r="G878" s="18">
        <v>238</v>
      </c>
      <c r="H878" s="25">
        <f t="shared" si="52"/>
        <v>45163</v>
      </c>
      <c r="I878" s="26">
        <f t="shared" si="53"/>
        <v>1.3888888890505768E-2</v>
      </c>
      <c r="J878" s="18" t="str">
        <f t="shared" si="54"/>
        <v>August</v>
      </c>
      <c r="K878" s="56" t="str">
        <f t="shared" si="55"/>
        <v>Friday</v>
      </c>
      <c r="L878" s="18" t="str">
        <f>IF(OR(G878&gt;Answers!I893,G878&lt;Answers!I894),"Outlier","Normal")</f>
        <v>Outlier</v>
      </c>
      <c r="M878" s="18">
        <v>37</v>
      </c>
    </row>
    <row r="879" spans="1:13" ht="20" customHeight="1" x14ac:dyDescent="0.35">
      <c r="A879" s="17">
        <v>589161</v>
      </c>
      <c r="B879" s="18">
        <v>1613</v>
      </c>
      <c r="C879" s="23" t="s">
        <v>99</v>
      </c>
      <c r="D879" s="24">
        <v>45290.995833333334</v>
      </c>
      <c r="E879" s="18" t="s">
        <v>98</v>
      </c>
      <c r="F879" s="18" t="s">
        <v>94</v>
      </c>
      <c r="G879" s="18">
        <v>3750</v>
      </c>
      <c r="H879" s="25">
        <f t="shared" si="52"/>
        <v>45290</v>
      </c>
      <c r="I879" s="26">
        <f t="shared" si="53"/>
        <v>0.99583333333430346</v>
      </c>
      <c r="J879" s="18" t="str">
        <f t="shared" si="54"/>
        <v>December</v>
      </c>
      <c r="K879" s="56" t="str">
        <f t="shared" si="55"/>
        <v>Saturday</v>
      </c>
      <c r="L879" s="18" t="str">
        <f>IF(OR(G879&gt;Answers!I894,G879&lt;Answers!I895),"Outlier","Normal")</f>
        <v>Outlier</v>
      </c>
      <c r="M879" s="18">
        <v>71</v>
      </c>
    </row>
    <row r="880" spans="1:13" ht="20" customHeight="1" x14ac:dyDescent="0.35">
      <c r="A880" s="17">
        <v>590513</v>
      </c>
      <c r="B880" s="18">
        <v>1139</v>
      </c>
      <c r="C880" s="23" t="s">
        <v>99</v>
      </c>
      <c r="D880" s="24">
        <v>45152.965277777781</v>
      </c>
      <c r="E880" s="18" t="s">
        <v>133</v>
      </c>
      <c r="F880" s="18" t="s">
        <v>27</v>
      </c>
      <c r="G880" s="18">
        <v>4446</v>
      </c>
      <c r="H880" s="25">
        <f t="shared" si="52"/>
        <v>45152</v>
      </c>
      <c r="I880" s="26">
        <f t="shared" si="53"/>
        <v>0.96527777778101154</v>
      </c>
      <c r="J880" s="18" t="str">
        <f t="shared" si="54"/>
        <v>August</v>
      </c>
      <c r="K880" s="56" t="str">
        <f t="shared" si="55"/>
        <v>Monday</v>
      </c>
      <c r="L880" s="18" t="str">
        <f>IF(OR(G880&gt;Answers!I895,G880&lt;Answers!I896),"Outlier","Normal")</f>
        <v>Outlier</v>
      </c>
      <c r="M880" s="18">
        <v>84</v>
      </c>
    </row>
    <row r="881" spans="1:13" ht="20" customHeight="1" x14ac:dyDescent="0.35">
      <c r="A881" s="17">
        <v>590748</v>
      </c>
      <c r="B881" s="18">
        <v>1695</v>
      </c>
      <c r="C881" s="23" t="s">
        <v>105</v>
      </c>
      <c r="D881" s="24">
        <v>44937.944444444445</v>
      </c>
      <c r="E881" s="18" t="s">
        <v>96</v>
      </c>
      <c r="F881" s="18" t="s">
        <v>65</v>
      </c>
      <c r="G881" s="18">
        <v>4390</v>
      </c>
      <c r="H881" s="25">
        <f t="shared" si="52"/>
        <v>44937</v>
      </c>
      <c r="I881" s="26">
        <f t="shared" si="53"/>
        <v>0.94444444444525288</v>
      </c>
      <c r="J881" s="18" t="str">
        <f t="shared" si="54"/>
        <v>January</v>
      </c>
      <c r="K881" s="56" t="str">
        <f t="shared" si="55"/>
        <v>Wednesday</v>
      </c>
      <c r="L881" s="18" t="str">
        <f>IF(OR(G881&gt;Answers!I896,G881&lt;Answers!I897),"Outlier","Normal")</f>
        <v>Outlier</v>
      </c>
      <c r="M881" s="18">
        <v>37</v>
      </c>
    </row>
    <row r="882" spans="1:13" ht="20" customHeight="1" x14ac:dyDescent="0.35">
      <c r="A882" s="17">
        <v>590947</v>
      </c>
      <c r="B882" s="18">
        <v>1745</v>
      </c>
      <c r="C882" s="23" t="s">
        <v>99</v>
      </c>
      <c r="D882" s="24">
        <v>45039.038888888892</v>
      </c>
      <c r="E882" s="18" t="s">
        <v>98</v>
      </c>
      <c r="F882" s="18" t="s">
        <v>23</v>
      </c>
      <c r="G882" s="18">
        <v>7772</v>
      </c>
      <c r="H882" s="25">
        <f t="shared" si="52"/>
        <v>45039</v>
      </c>
      <c r="I882" s="26">
        <f t="shared" si="53"/>
        <v>3.888888889196096E-2</v>
      </c>
      <c r="J882" s="18" t="str">
        <f t="shared" si="54"/>
        <v>April</v>
      </c>
      <c r="K882" s="56" t="str">
        <f t="shared" si="55"/>
        <v>Sunday</v>
      </c>
      <c r="L882" s="18" t="str">
        <f>IF(OR(G882&gt;Answers!I897,G882&lt;Answers!I898),"Outlier","Normal")</f>
        <v>Outlier</v>
      </c>
      <c r="M882" s="18">
        <v>54</v>
      </c>
    </row>
    <row r="883" spans="1:13" ht="20" customHeight="1" x14ac:dyDescent="0.35">
      <c r="A883" s="17">
        <v>591570</v>
      </c>
      <c r="B883" s="18">
        <v>419</v>
      </c>
      <c r="C883" s="23" t="s">
        <v>100</v>
      </c>
      <c r="D883" s="24">
        <v>45260.0625</v>
      </c>
      <c r="E883" s="18" t="s">
        <v>133</v>
      </c>
      <c r="F883" s="18" t="s">
        <v>21</v>
      </c>
      <c r="G883" s="18">
        <v>8740</v>
      </c>
      <c r="H883" s="25">
        <f t="shared" si="52"/>
        <v>45260</v>
      </c>
      <c r="I883" s="26">
        <f t="shared" si="53"/>
        <v>6.25E-2</v>
      </c>
      <c r="J883" s="18" t="str">
        <f t="shared" si="54"/>
        <v>November</v>
      </c>
      <c r="K883" s="56" t="str">
        <f t="shared" si="55"/>
        <v>Thursday</v>
      </c>
      <c r="L883" s="18" t="str">
        <f>IF(OR(G883&gt;Answers!I898,G883&lt;Answers!I899),"Outlier","Normal")</f>
        <v>Outlier</v>
      </c>
      <c r="M883" s="18">
        <v>66</v>
      </c>
    </row>
    <row r="884" spans="1:13" ht="20" customHeight="1" x14ac:dyDescent="0.35">
      <c r="A884" s="17">
        <v>591821</v>
      </c>
      <c r="B884" s="18">
        <v>359</v>
      </c>
      <c r="C884" s="23" t="s">
        <v>100</v>
      </c>
      <c r="D884" s="24">
        <v>45016.019444444442</v>
      </c>
      <c r="E884" s="18" t="s">
        <v>97</v>
      </c>
      <c r="F884" s="18" t="s">
        <v>28</v>
      </c>
      <c r="G884" s="18">
        <v>8262</v>
      </c>
      <c r="H884" s="25">
        <f t="shared" si="52"/>
        <v>45016</v>
      </c>
      <c r="I884" s="26">
        <f t="shared" si="53"/>
        <v>1.9444444442342501E-2</v>
      </c>
      <c r="J884" s="18" t="str">
        <f t="shared" si="54"/>
        <v>March</v>
      </c>
      <c r="K884" s="56" t="str">
        <f t="shared" si="55"/>
        <v>Friday</v>
      </c>
      <c r="L884" s="18" t="str">
        <f>IF(OR(G884&gt;Answers!I899,G884&lt;Answers!I900),"Outlier","Normal")</f>
        <v>Outlier</v>
      </c>
      <c r="M884" s="18">
        <v>37</v>
      </c>
    </row>
    <row r="885" spans="1:13" ht="20" customHeight="1" x14ac:dyDescent="0.35">
      <c r="A885" s="17">
        <v>592435</v>
      </c>
      <c r="B885" s="18">
        <v>1386</v>
      </c>
      <c r="C885" s="23" t="s">
        <v>104</v>
      </c>
      <c r="D885" s="24">
        <v>44963.994444444441</v>
      </c>
      <c r="E885" s="18" t="s">
        <v>133</v>
      </c>
      <c r="F885" s="18" t="s">
        <v>29</v>
      </c>
      <c r="G885" s="18">
        <v>2381</v>
      </c>
      <c r="H885" s="25">
        <f t="shared" si="52"/>
        <v>44963</v>
      </c>
      <c r="I885" s="26">
        <f t="shared" si="53"/>
        <v>0.99444444444088731</v>
      </c>
      <c r="J885" s="18" t="str">
        <f t="shared" si="54"/>
        <v>February</v>
      </c>
      <c r="K885" s="56" t="str">
        <f t="shared" si="55"/>
        <v>Monday</v>
      </c>
      <c r="L885" s="18" t="str">
        <f>IF(OR(G885&gt;Answers!I900,G885&lt;Answers!I901),"Outlier","Normal")</f>
        <v>Outlier</v>
      </c>
      <c r="M885" s="18">
        <v>18</v>
      </c>
    </row>
    <row r="886" spans="1:13" ht="20" customHeight="1" x14ac:dyDescent="0.35">
      <c r="A886" s="17">
        <v>592705</v>
      </c>
      <c r="B886" s="18">
        <v>987</v>
      </c>
      <c r="C886" s="23" t="s">
        <v>99</v>
      </c>
      <c r="D886" s="24">
        <v>45040.071527777778</v>
      </c>
      <c r="E886" s="18" t="s">
        <v>97</v>
      </c>
      <c r="F886" s="18" t="s">
        <v>24</v>
      </c>
      <c r="G886" s="18">
        <v>5893</v>
      </c>
      <c r="H886" s="25">
        <f t="shared" si="52"/>
        <v>45040</v>
      </c>
      <c r="I886" s="26">
        <f t="shared" si="53"/>
        <v>7.1527777778101154E-2</v>
      </c>
      <c r="J886" s="18" t="str">
        <f t="shared" si="54"/>
        <v>April</v>
      </c>
      <c r="K886" s="56" t="str">
        <f t="shared" si="55"/>
        <v>Monday</v>
      </c>
      <c r="L886" s="18" t="str">
        <f>IF(OR(G886&gt;Answers!I901,G886&lt;Answers!I902),"Outlier","Normal")</f>
        <v>Outlier</v>
      </c>
      <c r="M886" s="18">
        <v>23</v>
      </c>
    </row>
    <row r="887" spans="1:13" ht="20" customHeight="1" x14ac:dyDescent="0.35">
      <c r="A887" s="17">
        <v>593188</v>
      </c>
      <c r="B887" s="18">
        <v>1615</v>
      </c>
      <c r="C887" s="23" t="s">
        <v>105</v>
      </c>
      <c r="D887" s="24">
        <v>45268.01458333333</v>
      </c>
      <c r="E887" s="18" t="s">
        <v>133</v>
      </c>
      <c r="F887" s="18" t="s">
        <v>30</v>
      </c>
      <c r="G887" s="18">
        <v>9830</v>
      </c>
      <c r="H887" s="25">
        <f t="shared" si="52"/>
        <v>45268</v>
      </c>
      <c r="I887" s="26">
        <f t="shared" si="53"/>
        <v>1.4583333329937886E-2</v>
      </c>
      <c r="J887" s="18" t="str">
        <f t="shared" si="54"/>
        <v>December</v>
      </c>
      <c r="K887" s="56" t="str">
        <f t="shared" si="55"/>
        <v>Friday</v>
      </c>
      <c r="L887" s="18" t="str">
        <f>IF(OR(G887&gt;Answers!I902,G887&lt;Answers!I903),"Outlier","Normal")</f>
        <v>Outlier</v>
      </c>
      <c r="M887" s="18">
        <v>64</v>
      </c>
    </row>
    <row r="888" spans="1:13" ht="20" customHeight="1" x14ac:dyDescent="0.35">
      <c r="A888" s="17">
        <v>593240</v>
      </c>
      <c r="B888" s="18">
        <v>672</v>
      </c>
      <c r="C888" s="23" t="s">
        <v>99</v>
      </c>
      <c r="D888" s="24">
        <v>45265.026388888888</v>
      </c>
      <c r="E888" s="18" t="s">
        <v>133</v>
      </c>
      <c r="F888" s="18" t="s">
        <v>31</v>
      </c>
      <c r="G888" s="18">
        <v>7472</v>
      </c>
      <c r="H888" s="25">
        <f t="shared" si="52"/>
        <v>45265</v>
      </c>
      <c r="I888" s="26">
        <f t="shared" si="53"/>
        <v>2.6388888887595385E-2</v>
      </c>
      <c r="J888" s="18" t="str">
        <f t="shared" si="54"/>
        <v>December</v>
      </c>
      <c r="K888" s="56" t="str">
        <f t="shared" si="55"/>
        <v>Tuesday</v>
      </c>
      <c r="L888" s="18" t="str">
        <f>IF(OR(G888&gt;Answers!I903,G888&lt;Answers!I904),"Outlier","Normal")</f>
        <v>Outlier</v>
      </c>
      <c r="M888" s="18">
        <v>78</v>
      </c>
    </row>
    <row r="889" spans="1:13" ht="20" customHeight="1" x14ac:dyDescent="0.35">
      <c r="A889" s="17">
        <v>593583</v>
      </c>
      <c r="B889" s="18">
        <v>513</v>
      </c>
      <c r="C889" s="23" t="s">
        <v>99</v>
      </c>
      <c r="D889" s="24">
        <v>45160.047222222223</v>
      </c>
      <c r="E889" s="18" t="s">
        <v>96</v>
      </c>
      <c r="F889" s="18" t="s">
        <v>32</v>
      </c>
      <c r="G889" s="18">
        <v>9848</v>
      </c>
      <c r="H889" s="25">
        <f t="shared" si="52"/>
        <v>45160</v>
      </c>
      <c r="I889" s="26">
        <f t="shared" si="53"/>
        <v>4.7222222223354038E-2</v>
      </c>
      <c r="J889" s="18" t="str">
        <f t="shared" si="54"/>
        <v>August</v>
      </c>
      <c r="K889" s="56" t="str">
        <f t="shared" si="55"/>
        <v>Tuesday</v>
      </c>
      <c r="L889" s="18" t="str">
        <f>IF(OR(G889&gt;Answers!I904,G889&lt;Answers!I905),"Outlier","Normal")</f>
        <v>Outlier</v>
      </c>
      <c r="M889" s="18">
        <v>29</v>
      </c>
    </row>
    <row r="890" spans="1:13" ht="20" customHeight="1" x14ac:dyDescent="0.35">
      <c r="A890" s="17">
        <v>593879</v>
      </c>
      <c r="B890" s="18">
        <v>907</v>
      </c>
      <c r="C890" s="23" t="s">
        <v>108</v>
      </c>
      <c r="D890" s="24">
        <v>45081.066666666666</v>
      </c>
      <c r="E890" s="18" t="s">
        <v>96</v>
      </c>
      <c r="F890" s="18" t="s">
        <v>33</v>
      </c>
      <c r="G890" s="18">
        <v>5944</v>
      </c>
      <c r="H890" s="25">
        <f t="shared" si="52"/>
        <v>45081</v>
      </c>
      <c r="I890" s="26">
        <f t="shared" si="53"/>
        <v>6.6666666665696539E-2</v>
      </c>
      <c r="J890" s="18" t="str">
        <f t="shared" si="54"/>
        <v>June</v>
      </c>
      <c r="K890" s="56" t="str">
        <f t="shared" si="55"/>
        <v>Sunday</v>
      </c>
      <c r="L890" s="18" t="str">
        <f>IF(OR(G890&gt;Answers!I905,G890&lt;Answers!I906),"Outlier","Normal")</f>
        <v>Outlier</v>
      </c>
      <c r="M890" s="18">
        <v>55</v>
      </c>
    </row>
    <row r="891" spans="1:13" ht="20" customHeight="1" x14ac:dyDescent="0.35">
      <c r="A891" s="17">
        <v>595005</v>
      </c>
      <c r="B891" s="18">
        <v>377</v>
      </c>
      <c r="C891" s="23" t="s">
        <v>113</v>
      </c>
      <c r="D891" s="24">
        <v>45208.075694444444</v>
      </c>
      <c r="E891" s="18" t="s">
        <v>96</v>
      </c>
      <c r="F891" s="18" t="s">
        <v>91</v>
      </c>
      <c r="G891" s="18">
        <v>1845</v>
      </c>
      <c r="H891" s="25">
        <f t="shared" si="52"/>
        <v>45208</v>
      </c>
      <c r="I891" s="26">
        <f t="shared" si="53"/>
        <v>7.5694444443797693E-2</v>
      </c>
      <c r="J891" s="18" t="str">
        <f t="shared" si="54"/>
        <v>October</v>
      </c>
      <c r="K891" s="56" t="str">
        <f t="shared" si="55"/>
        <v>Monday</v>
      </c>
      <c r="L891" s="18" t="str">
        <f>IF(OR(G891&gt;Answers!I906,G891&lt;Answers!I907),"Outlier","Normal")</f>
        <v>Outlier</v>
      </c>
      <c r="M891" s="18">
        <v>56</v>
      </c>
    </row>
    <row r="892" spans="1:13" ht="20" customHeight="1" x14ac:dyDescent="0.35">
      <c r="A892" s="17">
        <v>595284</v>
      </c>
      <c r="B892" s="18">
        <v>1391</v>
      </c>
      <c r="C892" s="23" t="s">
        <v>99</v>
      </c>
      <c r="D892" s="24">
        <v>45223.023611111108</v>
      </c>
      <c r="E892" s="18" t="s">
        <v>98</v>
      </c>
      <c r="F892" s="18" t="s">
        <v>35</v>
      </c>
      <c r="G892" s="18">
        <v>8604</v>
      </c>
      <c r="H892" s="25">
        <f t="shared" si="52"/>
        <v>45223</v>
      </c>
      <c r="I892" s="26">
        <f t="shared" si="53"/>
        <v>2.361111110803904E-2</v>
      </c>
      <c r="J892" s="18" t="str">
        <f t="shared" si="54"/>
        <v>October</v>
      </c>
      <c r="K892" s="56" t="str">
        <f t="shared" si="55"/>
        <v>Tuesday</v>
      </c>
      <c r="L892" s="18" t="str">
        <f>IF(OR(G892&gt;Answers!I907,G892&lt;Answers!I908),"Outlier","Normal")</f>
        <v>Outlier</v>
      </c>
      <c r="M892" s="18">
        <v>61</v>
      </c>
    </row>
    <row r="893" spans="1:13" ht="20" customHeight="1" x14ac:dyDescent="0.35">
      <c r="A893" s="17">
        <v>595446</v>
      </c>
      <c r="B893" s="18">
        <v>1488</v>
      </c>
      <c r="C893" s="23" t="s">
        <v>99</v>
      </c>
      <c r="D893" s="24">
        <v>45073.968055555553</v>
      </c>
      <c r="E893" s="18" t="s">
        <v>96</v>
      </c>
      <c r="F893" s="18" t="s">
        <v>36</v>
      </c>
      <c r="G893" s="18">
        <v>3770</v>
      </c>
      <c r="H893" s="25">
        <f t="shared" si="52"/>
        <v>45073</v>
      </c>
      <c r="I893" s="26">
        <f t="shared" si="53"/>
        <v>0.96805555555329192</v>
      </c>
      <c r="J893" s="18" t="str">
        <f t="shared" si="54"/>
        <v>May</v>
      </c>
      <c r="K893" s="56" t="str">
        <f t="shared" si="55"/>
        <v>Saturday</v>
      </c>
      <c r="L893" s="18" t="str">
        <f>IF(OR(G893&gt;Answers!I908,G893&lt;Answers!I909),"Outlier","Normal")</f>
        <v>Outlier</v>
      </c>
      <c r="M893" s="18">
        <v>35</v>
      </c>
    </row>
    <row r="894" spans="1:13" ht="20" customHeight="1" x14ac:dyDescent="0.35">
      <c r="A894" s="17">
        <v>595956</v>
      </c>
      <c r="B894" s="18">
        <v>1501</v>
      </c>
      <c r="C894" s="23" t="s">
        <v>99</v>
      </c>
      <c r="D894" s="24">
        <v>44943.069444444445</v>
      </c>
      <c r="E894" s="18" t="s">
        <v>97</v>
      </c>
      <c r="F894" s="18" t="s">
        <v>37</v>
      </c>
      <c r="G894" s="18">
        <v>3537</v>
      </c>
      <c r="H894" s="25">
        <f t="shared" si="52"/>
        <v>44943</v>
      </c>
      <c r="I894" s="26">
        <f t="shared" si="53"/>
        <v>6.9444444445252884E-2</v>
      </c>
      <c r="J894" s="18" t="str">
        <f t="shared" si="54"/>
        <v>January</v>
      </c>
      <c r="K894" s="56" t="str">
        <f t="shared" si="55"/>
        <v>Tuesday</v>
      </c>
      <c r="L894" s="18" t="str">
        <f>IF(OR(G894&gt;Answers!I909,G894&lt;Answers!I910),"Outlier","Normal")</f>
        <v>Outlier</v>
      </c>
      <c r="M894" s="18">
        <v>51</v>
      </c>
    </row>
    <row r="895" spans="1:13" ht="20" customHeight="1" x14ac:dyDescent="0.35">
      <c r="A895" s="17">
        <v>596143</v>
      </c>
      <c r="B895" s="18">
        <v>1576</v>
      </c>
      <c r="C895" s="23" t="s">
        <v>99</v>
      </c>
      <c r="D895" s="24">
        <v>45107.076388888891</v>
      </c>
      <c r="E895" s="18" t="s">
        <v>97</v>
      </c>
      <c r="F895" s="18" t="s">
        <v>27</v>
      </c>
      <c r="G895" s="18">
        <v>1558</v>
      </c>
      <c r="H895" s="25">
        <f t="shared" si="52"/>
        <v>45107</v>
      </c>
      <c r="I895" s="26">
        <f t="shared" si="53"/>
        <v>7.6388888890505768E-2</v>
      </c>
      <c r="J895" s="18" t="str">
        <f t="shared" si="54"/>
        <v>June</v>
      </c>
      <c r="K895" s="56" t="str">
        <f t="shared" si="55"/>
        <v>Friday</v>
      </c>
      <c r="L895" s="18" t="str">
        <f>IF(OR(G895&gt;Answers!I910,G895&lt;Answers!I911),"Outlier","Normal")</f>
        <v>Outlier</v>
      </c>
      <c r="M895" s="18">
        <v>70</v>
      </c>
    </row>
    <row r="896" spans="1:13" ht="20" customHeight="1" x14ac:dyDescent="0.35">
      <c r="A896" s="17">
        <v>596235</v>
      </c>
      <c r="B896" s="18">
        <v>1857</v>
      </c>
      <c r="C896" s="23" t="s">
        <v>100</v>
      </c>
      <c r="D896" s="24">
        <v>45227.027777777781</v>
      </c>
      <c r="E896" s="18" t="s">
        <v>98</v>
      </c>
      <c r="F896" s="18" t="s">
        <v>65</v>
      </c>
      <c r="G896" s="18">
        <v>657</v>
      </c>
      <c r="H896" s="25">
        <f t="shared" si="52"/>
        <v>45227</v>
      </c>
      <c r="I896" s="26">
        <f t="shared" si="53"/>
        <v>2.7777777781011537E-2</v>
      </c>
      <c r="J896" s="18" t="str">
        <f t="shared" si="54"/>
        <v>October</v>
      </c>
      <c r="K896" s="56" t="str">
        <f t="shared" si="55"/>
        <v>Saturday</v>
      </c>
      <c r="L896" s="18" t="str">
        <f>IF(OR(G896&gt;Answers!I911,G896&lt;Answers!I912),"Outlier","Normal")</f>
        <v>Outlier</v>
      </c>
      <c r="M896" s="18">
        <v>75</v>
      </c>
    </row>
    <row r="897" spans="1:13" ht="20" customHeight="1" x14ac:dyDescent="0.35">
      <c r="A897" s="17">
        <v>596287</v>
      </c>
      <c r="B897" s="18">
        <v>516</v>
      </c>
      <c r="C897" s="23" t="s">
        <v>100</v>
      </c>
      <c r="D897" s="24">
        <v>45172.035416666666</v>
      </c>
      <c r="E897" s="18" t="s">
        <v>98</v>
      </c>
      <c r="F897" s="18" t="s">
        <v>24</v>
      </c>
      <c r="G897" s="18">
        <v>5995</v>
      </c>
      <c r="H897" s="25">
        <f t="shared" si="52"/>
        <v>45172</v>
      </c>
      <c r="I897" s="26">
        <f t="shared" si="53"/>
        <v>3.5416666665696539E-2</v>
      </c>
      <c r="J897" s="18" t="str">
        <f t="shared" si="54"/>
        <v>September</v>
      </c>
      <c r="K897" s="56" t="str">
        <f t="shared" si="55"/>
        <v>Sunday</v>
      </c>
      <c r="L897" s="18" t="str">
        <f>IF(OR(G897&gt;Answers!I912,G897&lt;Answers!I913),"Outlier","Normal")</f>
        <v>Outlier</v>
      </c>
      <c r="M897" s="18">
        <v>51</v>
      </c>
    </row>
    <row r="898" spans="1:13" ht="20" customHeight="1" x14ac:dyDescent="0.35">
      <c r="A898" s="17">
        <v>597539</v>
      </c>
      <c r="B898" s="18">
        <v>31</v>
      </c>
      <c r="C898" s="23" t="s">
        <v>99</v>
      </c>
      <c r="D898" s="24">
        <v>45161.050694444442</v>
      </c>
      <c r="E898" s="18" t="s">
        <v>133</v>
      </c>
      <c r="F898" s="18" t="s">
        <v>40</v>
      </c>
      <c r="G898" s="18">
        <v>6892</v>
      </c>
      <c r="H898" s="25">
        <f t="shared" si="52"/>
        <v>45161</v>
      </c>
      <c r="I898" s="26">
        <f t="shared" si="53"/>
        <v>5.0694444442342501E-2</v>
      </c>
      <c r="J898" s="18" t="str">
        <f t="shared" si="54"/>
        <v>August</v>
      </c>
      <c r="K898" s="56" t="str">
        <f t="shared" si="55"/>
        <v>Wednesday</v>
      </c>
      <c r="L898" s="18" t="str">
        <f>IF(OR(G898&gt;Answers!I913,G898&lt;Answers!I914),"Outlier","Normal")</f>
        <v>Outlier</v>
      </c>
      <c r="M898" s="18">
        <v>22</v>
      </c>
    </row>
    <row r="899" spans="1:13" ht="20" customHeight="1" x14ac:dyDescent="0.35">
      <c r="A899" s="17">
        <v>598766</v>
      </c>
      <c r="B899" s="18">
        <v>426</v>
      </c>
      <c r="C899" s="23" t="s">
        <v>106</v>
      </c>
      <c r="D899" s="24">
        <v>44999.975694444445</v>
      </c>
      <c r="E899" s="18" t="s">
        <v>133</v>
      </c>
      <c r="F899" s="18" t="s">
        <v>41</v>
      </c>
      <c r="G899" s="18">
        <v>6288</v>
      </c>
      <c r="H899" s="25">
        <f t="shared" ref="H899:H962" si="56">INT(D899)</f>
        <v>44999</v>
      </c>
      <c r="I899" s="26">
        <f t="shared" ref="I899:I962" si="57">MOD(D899,1)</f>
        <v>0.97569444444525288</v>
      </c>
      <c r="J899" s="18" t="str">
        <f t="shared" ref="J899:J962" si="58">TEXT(D899,"mmmm")</f>
        <v>March</v>
      </c>
      <c r="K899" s="56" t="str">
        <f t="shared" ref="K899:K962" si="59">TEXT(D899,"dddd")</f>
        <v>Tuesday</v>
      </c>
      <c r="L899" s="18" t="str">
        <f>IF(OR(G899&gt;Answers!I914,G899&lt;Answers!I915),"Outlier","Normal")</f>
        <v>Outlier</v>
      </c>
      <c r="M899" s="18">
        <v>78</v>
      </c>
    </row>
    <row r="900" spans="1:13" ht="20" customHeight="1" x14ac:dyDescent="0.35">
      <c r="A900" s="17">
        <v>599162</v>
      </c>
      <c r="B900" s="18">
        <v>818</v>
      </c>
      <c r="C900" s="23" t="s">
        <v>100</v>
      </c>
      <c r="D900" s="24">
        <v>45015.004861111112</v>
      </c>
      <c r="E900" s="18" t="s">
        <v>98</v>
      </c>
      <c r="F900" s="18" t="s">
        <v>42</v>
      </c>
      <c r="G900" s="18">
        <v>6921</v>
      </c>
      <c r="H900" s="25">
        <f t="shared" si="56"/>
        <v>45015</v>
      </c>
      <c r="I900" s="26">
        <f t="shared" si="57"/>
        <v>4.8611111124046147E-3</v>
      </c>
      <c r="J900" s="18" t="str">
        <f t="shared" si="58"/>
        <v>March</v>
      </c>
      <c r="K900" s="56" t="str">
        <f t="shared" si="59"/>
        <v>Thursday</v>
      </c>
      <c r="L900" s="18" t="str">
        <f>IF(OR(G900&gt;Answers!I915,G900&lt;Answers!I916),"Outlier","Normal")</f>
        <v>Outlier</v>
      </c>
      <c r="M900" s="18">
        <v>87</v>
      </c>
    </row>
    <row r="901" spans="1:13" ht="20" customHeight="1" x14ac:dyDescent="0.35">
      <c r="A901" s="17">
        <v>600465</v>
      </c>
      <c r="B901" s="18">
        <v>1845</v>
      </c>
      <c r="C901" s="23" t="s">
        <v>102</v>
      </c>
      <c r="D901" s="24">
        <v>44940.068055555559</v>
      </c>
      <c r="E901" s="18" t="s">
        <v>133</v>
      </c>
      <c r="F901" s="18" t="s">
        <v>43</v>
      </c>
      <c r="G901" s="18">
        <v>4278</v>
      </c>
      <c r="H901" s="25">
        <f t="shared" si="56"/>
        <v>44940</v>
      </c>
      <c r="I901" s="26">
        <f t="shared" si="57"/>
        <v>6.805555555911269E-2</v>
      </c>
      <c r="J901" s="18" t="str">
        <f t="shared" si="58"/>
        <v>January</v>
      </c>
      <c r="K901" s="56" t="str">
        <f t="shared" si="59"/>
        <v>Saturday</v>
      </c>
      <c r="L901" s="18" t="str">
        <f>IF(OR(G901&gt;Answers!I916,G901&lt;Answers!I917),"Outlier","Normal")</f>
        <v>Outlier</v>
      </c>
      <c r="M901" s="18">
        <v>83</v>
      </c>
    </row>
    <row r="902" spans="1:13" ht="20" customHeight="1" x14ac:dyDescent="0.35">
      <c r="A902" s="17">
        <v>600527</v>
      </c>
      <c r="B902" s="18">
        <v>278</v>
      </c>
      <c r="C902" s="23" t="s">
        <v>99</v>
      </c>
      <c r="D902" s="24">
        <v>45164.969444444447</v>
      </c>
      <c r="E902" s="18" t="s">
        <v>133</v>
      </c>
      <c r="F902" s="18" t="s">
        <v>44</v>
      </c>
      <c r="G902" s="18">
        <v>8597</v>
      </c>
      <c r="H902" s="25">
        <f t="shared" si="56"/>
        <v>45164</v>
      </c>
      <c r="I902" s="26">
        <f t="shared" si="57"/>
        <v>0.96944444444670808</v>
      </c>
      <c r="J902" s="18" t="str">
        <f t="shared" si="58"/>
        <v>August</v>
      </c>
      <c r="K902" s="56" t="str">
        <f t="shared" si="59"/>
        <v>Saturday</v>
      </c>
      <c r="L902" s="18" t="str">
        <f>IF(OR(G902&gt;Answers!I917,G902&lt;Answers!I918),"Outlier","Normal")</f>
        <v>Outlier</v>
      </c>
      <c r="M902" s="18">
        <v>26</v>
      </c>
    </row>
    <row r="903" spans="1:13" ht="20" customHeight="1" x14ac:dyDescent="0.35">
      <c r="A903" s="17">
        <v>602342</v>
      </c>
      <c r="B903" s="18">
        <v>1391</v>
      </c>
      <c r="C903" s="23" t="s">
        <v>99</v>
      </c>
      <c r="D903" s="24">
        <v>45274.990972222222</v>
      </c>
      <c r="E903" s="18" t="s">
        <v>97</v>
      </c>
      <c r="F903" s="18" t="s">
        <v>12</v>
      </c>
      <c r="G903" s="18">
        <v>4602</v>
      </c>
      <c r="H903" s="25">
        <f t="shared" si="56"/>
        <v>45274</v>
      </c>
      <c r="I903" s="26">
        <f t="shared" si="57"/>
        <v>0.99097222222189885</v>
      </c>
      <c r="J903" s="18" t="str">
        <f t="shared" si="58"/>
        <v>December</v>
      </c>
      <c r="K903" s="56" t="str">
        <f t="shared" si="59"/>
        <v>Thursday</v>
      </c>
      <c r="L903" s="18" t="str">
        <f>IF(OR(G903&gt;Answers!I918,G903&lt;Answers!I919),"Outlier","Normal")</f>
        <v>Outlier</v>
      </c>
      <c r="M903" s="18">
        <v>61</v>
      </c>
    </row>
    <row r="904" spans="1:13" ht="20" customHeight="1" x14ac:dyDescent="0.35">
      <c r="A904" s="17">
        <v>602695</v>
      </c>
      <c r="B904" s="18">
        <v>773</v>
      </c>
      <c r="C904" s="23" t="s">
        <v>99</v>
      </c>
      <c r="D904" s="24">
        <v>45123.997916666667</v>
      </c>
      <c r="E904" s="18" t="s">
        <v>96</v>
      </c>
      <c r="F904" s="18" t="s">
        <v>14</v>
      </c>
      <c r="G904" s="18">
        <v>469</v>
      </c>
      <c r="H904" s="25">
        <f t="shared" si="56"/>
        <v>45123</v>
      </c>
      <c r="I904" s="26">
        <f t="shared" si="57"/>
        <v>0.99791666666715173</v>
      </c>
      <c r="J904" s="18" t="str">
        <f t="shared" si="58"/>
        <v>July</v>
      </c>
      <c r="K904" s="56" t="str">
        <f t="shared" si="59"/>
        <v>Sunday</v>
      </c>
      <c r="L904" s="18" t="str">
        <f>IF(OR(G904&gt;Answers!I919,G904&lt;Answers!I920),"Outlier","Normal")</f>
        <v>Outlier</v>
      </c>
      <c r="M904" s="18">
        <v>77</v>
      </c>
    </row>
    <row r="905" spans="1:13" ht="20" customHeight="1" x14ac:dyDescent="0.35">
      <c r="A905" s="17">
        <v>602700</v>
      </c>
      <c r="B905" s="18">
        <v>214</v>
      </c>
      <c r="C905" s="23" t="s">
        <v>99</v>
      </c>
      <c r="D905" s="24">
        <v>45115.087500000001</v>
      </c>
      <c r="E905" s="18" t="s">
        <v>96</v>
      </c>
      <c r="F905" s="18" t="s">
        <v>43</v>
      </c>
      <c r="G905" s="18">
        <v>8209</v>
      </c>
      <c r="H905" s="25">
        <f t="shared" si="56"/>
        <v>45115</v>
      </c>
      <c r="I905" s="26">
        <f t="shared" si="57"/>
        <v>8.7500000001455192E-2</v>
      </c>
      <c r="J905" s="18" t="str">
        <f t="shared" si="58"/>
        <v>July</v>
      </c>
      <c r="K905" s="56" t="str">
        <f t="shared" si="59"/>
        <v>Saturday</v>
      </c>
      <c r="L905" s="18" t="str">
        <f>IF(OR(G905&gt;Answers!I920,G905&lt;Answers!I921),"Outlier","Normal")</f>
        <v>Outlier</v>
      </c>
      <c r="M905" s="18">
        <v>18</v>
      </c>
    </row>
    <row r="906" spans="1:13" ht="20" customHeight="1" x14ac:dyDescent="0.35">
      <c r="A906" s="17">
        <v>603758</v>
      </c>
      <c r="B906" s="18">
        <v>1940</v>
      </c>
      <c r="C906" s="23" t="s">
        <v>105</v>
      </c>
      <c r="D906" s="24">
        <v>45057.081250000003</v>
      </c>
      <c r="E906" s="18" t="s">
        <v>96</v>
      </c>
      <c r="F906" s="18" t="s">
        <v>45</v>
      </c>
      <c r="G906" s="18">
        <v>6181</v>
      </c>
      <c r="H906" s="25">
        <f t="shared" si="56"/>
        <v>45057</v>
      </c>
      <c r="I906" s="26">
        <f t="shared" si="57"/>
        <v>8.1250000002910383E-2</v>
      </c>
      <c r="J906" s="18" t="str">
        <f t="shared" si="58"/>
        <v>May</v>
      </c>
      <c r="K906" s="56" t="str">
        <f t="shared" si="59"/>
        <v>Thursday</v>
      </c>
      <c r="L906" s="18" t="str">
        <f>IF(OR(G906&gt;Answers!I921,G906&lt;Answers!I922),"Outlier","Normal")</f>
        <v>Outlier</v>
      </c>
      <c r="M906" s="18">
        <v>46</v>
      </c>
    </row>
    <row r="907" spans="1:13" ht="20" customHeight="1" x14ac:dyDescent="0.35">
      <c r="A907" s="17">
        <v>603855</v>
      </c>
      <c r="B907" s="18">
        <v>1895</v>
      </c>
      <c r="C907" s="23" t="s">
        <v>100</v>
      </c>
      <c r="D907" s="24">
        <v>45125.943749999999</v>
      </c>
      <c r="E907" s="18" t="s">
        <v>98</v>
      </c>
      <c r="F907" s="18" t="s">
        <v>8</v>
      </c>
      <c r="G907" s="18">
        <v>4237</v>
      </c>
      <c r="H907" s="25">
        <f t="shared" si="56"/>
        <v>45125</v>
      </c>
      <c r="I907" s="26">
        <f t="shared" si="57"/>
        <v>0.94374999999854481</v>
      </c>
      <c r="J907" s="18" t="str">
        <f t="shared" si="58"/>
        <v>July</v>
      </c>
      <c r="K907" s="56" t="str">
        <f t="shared" si="59"/>
        <v>Tuesday</v>
      </c>
      <c r="L907" s="18" t="str">
        <f>IF(OR(G907&gt;Answers!I922,G907&lt;Answers!I923),"Outlier","Normal")</f>
        <v>Outlier</v>
      </c>
      <c r="M907" s="18">
        <v>60</v>
      </c>
    </row>
    <row r="908" spans="1:13" ht="20" customHeight="1" x14ac:dyDescent="0.35">
      <c r="A908" s="17">
        <v>603880</v>
      </c>
      <c r="B908" s="18">
        <v>1516</v>
      </c>
      <c r="C908" s="23" t="s">
        <v>103</v>
      </c>
      <c r="D908" s="24">
        <v>44962.067361111112</v>
      </c>
      <c r="E908" s="18" t="s">
        <v>98</v>
      </c>
      <c r="F908" s="18" t="s">
        <v>46</v>
      </c>
      <c r="G908" s="18">
        <v>4019</v>
      </c>
      <c r="H908" s="25">
        <f t="shared" si="56"/>
        <v>44962</v>
      </c>
      <c r="I908" s="26">
        <f t="shared" si="57"/>
        <v>6.7361111112404615E-2</v>
      </c>
      <c r="J908" s="18" t="str">
        <f t="shared" si="58"/>
        <v>February</v>
      </c>
      <c r="K908" s="56" t="str">
        <f t="shared" si="59"/>
        <v>Sunday</v>
      </c>
      <c r="L908" s="18" t="str">
        <f>IF(OR(G908&gt;Answers!I923,G908&lt;Answers!I924),"Outlier","Normal")</f>
        <v>Outlier</v>
      </c>
      <c r="M908" s="18">
        <v>25</v>
      </c>
    </row>
    <row r="909" spans="1:13" ht="20" customHeight="1" x14ac:dyDescent="0.35">
      <c r="A909" s="17">
        <v>604405</v>
      </c>
      <c r="B909" s="18">
        <v>36</v>
      </c>
      <c r="C909" s="23" t="s">
        <v>99</v>
      </c>
      <c r="D909" s="24">
        <v>45238.036805555559</v>
      </c>
      <c r="E909" s="18" t="s">
        <v>98</v>
      </c>
      <c r="F909" s="18" t="s">
        <v>60</v>
      </c>
      <c r="G909" s="18">
        <v>6944</v>
      </c>
      <c r="H909" s="25">
        <f t="shared" si="56"/>
        <v>45238</v>
      </c>
      <c r="I909" s="26">
        <f t="shared" si="57"/>
        <v>3.680555555911269E-2</v>
      </c>
      <c r="J909" s="18" t="str">
        <f t="shared" si="58"/>
        <v>November</v>
      </c>
      <c r="K909" s="56" t="str">
        <f t="shared" si="59"/>
        <v>Wednesday</v>
      </c>
      <c r="L909" s="18" t="str">
        <f>IF(OR(G909&gt;Answers!I924,G909&lt;Answers!I925),"Outlier","Normal")</f>
        <v>Outlier</v>
      </c>
      <c r="M909" s="18">
        <v>63</v>
      </c>
    </row>
    <row r="910" spans="1:13" ht="20" customHeight="1" x14ac:dyDescent="0.35">
      <c r="A910" s="17">
        <v>604805</v>
      </c>
      <c r="B910" s="18">
        <v>246</v>
      </c>
      <c r="C910" s="23" t="s">
        <v>100</v>
      </c>
      <c r="D910" s="24">
        <v>45150.071527777778</v>
      </c>
      <c r="E910" s="18" t="s">
        <v>96</v>
      </c>
      <c r="F910" s="18" t="s">
        <v>21</v>
      </c>
      <c r="G910" s="18">
        <v>4349</v>
      </c>
      <c r="H910" s="25">
        <f t="shared" si="56"/>
        <v>45150</v>
      </c>
      <c r="I910" s="26">
        <f t="shared" si="57"/>
        <v>7.1527777778101154E-2</v>
      </c>
      <c r="J910" s="18" t="str">
        <f t="shared" si="58"/>
        <v>August</v>
      </c>
      <c r="K910" s="56" t="str">
        <f t="shared" si="59"/>
        <v>Saturday</v>
      </c>
      <c r="L910" s="18" t="str">
        <f>IF(OR(G910&gt;Answers!I925,G910&lt;Answers!I926),"Outlier","Normal")</f>
        <v>Outlier</v>
      </c>
      <c r="M910" s="18">
        <v>67</v>
      </c>
    </row>
    <row r="911" spans="1:13" ht="20" customHeight="1" x14ac:dyDescent="0.35">
      <c r="A911" s="17">
        <v>606775</v>
      </c>
      <c r="B911" s="18">
        <v>834</v>
      </c>
      <c r="C911" s="23" t="s">
        <v>102</v>
      </c>
      <c r="D911" s="24">
        <v>44982.994444444441</v>
      </c>
      <c r="E911" s="18" t="s">
        <v>96</v>
      </c>
      <c r="F911" s="18" t="s">
        <v>12</v>
      </c>
      <c r="G911" s="18">
        <v>7873</v>
      </c>
      <c r="H911" s="25">
        <f t="shared" si="56"/>
        <v>44982</v>
      </c>
      <c r="I911" s="26">
        <f t="shared" si="57"/>
        <v>0.99444444444088731</v>
      </c>
      <c r="J911" s="18" t="str">
        <f t="shared" si="58"/>
        <v>February</v>
      </c>
      <c r="K911" s="56" t="str">
        <f t="shared" si="59"/>
        <v>Saturday</v>
      </c>
      <c r="L911" s="18" t="str">
        <f>IF(OR(G911&gt;Answers!I926,G911&lt;Answers!I927),"Outlier","Normal")</f>
        <v>Outlier</v>
      </c>
      <c r="M911" s="18">
        <v>76</v>
      </c>
    </row>
    <row r="912" spans="1:13" ht="20" customHeight="1" x14ac:dyDescent="0.35">
      <c r="A912" s="17">
        <v>607197</v>
      </c>
      <c r="B912" s="18">
        <v>330</v>
      </c>
      <c r="C912" s="23" t="s">
        <v>113</v>
      </c>
      <c r="D912" s="24">
        <v>45278.976388888892</v>
      </c>
      <c r="E912" s="18" t="s">
        <v>98</v>
      </c>
      <c r="F912" s="18" t="s">
        <v>29</v>
      </c>
      <c r="G912" s="18">
        <v>793</v>
      </c>
      <c r="H912" s="25">
        <f t="shared" si="56"/>
        <v>45278</v>
      </c>
      <c r="I912" s="26">
        <f t="shared" si="57"/>
        <v>0.97638888889196096</v>
      </c>
      <c r="J912" s="18" t="str">
        <f t="shared" si="58"/>
        <v>December</v>
      </c>
      <c r="K912" s="56" t="str">
        <f t="shared" si="59"/>
        <v>Monday</v>
      </c>
      <c r="L912" s="18" t="str">
        <f>IF(OR(G912&gt;Answers!I927,G912&lt;Answers!I928),"Outlier","Normal")</f>
        <v>Outlier</v>
      </c>
      <c r="M912" s="18">
        <v>43</v>
      </c>
    </row>
    <row r="913" spans="1:13" ht="20" customHeight="1" x14ac:dyDescent="0.35">
      <c r="A913" s="17">
        <v>608204</v>
      </c>
      <c r="B913" s="18">
        <v>1791</v>
      </c>
      <c r="C913" s="23" t="s">
        <v>99</v>
      </c>
      <c r="D913" s="24">
        <v>45158.042361111111</v>
      </c>
      <c r="E913" s="18" t="s">
        <v>97</v>
      </c>
      <c r="F913" s="18" t="s">
        <v>24</v>
      </c>
      <c r="G913" s="18">
        <v>1936</v>
      </c>
      <c r="H913" s="25">
        <f t="shared" si="56"/>
        <v>45158</v>
      </c>
      <c r="I913" s="26">
        <f t="shared" si="57"/>
        <v>4.2361111110949423E-2</v>
      </c>
      <c r="J913" s="18" t="str">
        <f t="shared" si="58"/>
        <v>August</v>
      </c>
      <c r="K913" s="56" t="str">
        <f t="shared" si="59"/>
        <v>Sunday</v>
      </c>
      <c r="L913" s="18" t="str">
        <f>IF(OR(G913&gt;Answers!I928,G913&lt;Answers!I929),"Outlier","Normal")</f>
        <v>Outlier</v>
      </c>
      <c r="M913" s="18">
        <v>33</v>
      </c>
    </row>
    <row r="914" spans="1:13" ht="20" customHeight="1" x14ac:dyDescent="0.35">
      <c r="A914" s="17">
        <v>608296</v>
      </c>
      <c r="B914" s="18">
        <v>1745</v>
      </c>
      <c r="C914" s="23" t="s">
        <v>99</v>
      </c>
      <c r="D914" s="24">
        <v>45044.048611111109</v>
      </c>
      <c r="E914" s="18" t="s">
        <v>97</v>
      </c>
      <c r="F914" s="18" t="s">
        <v>30</v>
      </c>
      <c r="G914" s="18">
        <v>9769</v>
      </c>
      <c r="H914" s="25">
        <f t="shared" si="56"/>
        <v>45044</v>
      </c>
      <c r="I914" s="26">
        <f t="shared" si="57"/>
        <v>4.8611111109494232E-2</v>
      </c>
      <c r="J914" s="18" t="str">
        <f t="shared" si="58"/>
        <v>April</v>
      </c>
      <c r="K914" s="56" t="str">
        <f t="shared" si="59"/>
        <v>Friday</v>
      </c>
      <c r="L914" s="18" t="str">
        <f>IF(OR(G914&gt;Answers!I929,G914&lt;Answers!I930),"Outlier","Normal")</f>
        <v>Outlier</v>
      </c>
      <c r="M914" s="18">
        <v>54</v>
      </c>
    </row>
    <row r="915" spans="1:13" ht="20" customHeight="1" x14ac:dyDescent="0.35">
      <c r="A915" s="17">
        <v>609243</v>
      </c>
      <c r="B915" s="18">
        <v>1400</v>
      </c>
      <c r="C915" s="23" t="s">
        <v>99</v>
      </c>
      <c r="D915" s="24">
        <v>45183.025694444441</v>
      </c>
      <c r="E915" s="18" t="s">
        <v>97</v>
      </c>
      <c r="F915" s="18" t="s">
        <v>31</v>
      </c>
      <c r="G915" s="18">
        <v>7072</v>
      </c>
      <c r="H915" s="25">
        <f t="shared" si="56"/>
        <v>45183</v>
      </c>
      <c r="I915" s="26">
        <f t="shared" si="57"/>
        <v>2.569444444088731E-2</v>
      </c>
      <c r="J915" s="18" t="str">
        <f t="shared" si="58"/>
        <v>September</v>
      </c>
      <c r="K915" s="56" t="str">
        <f t="shared" si="59"/>
        <v>Thursday</v>
      </c>
      <c r="L915" s="18" t="str">
        <f>IF(OR(G915&gt;Answers!I930,G915&lt;Answers!I931),"Outlier","Normal")</f>
        <v>Outlier</v>
      </c>
      <c r="M915" s="18">
        <v>34</v>
      </c>
    </row>
    <row r="916" spans="1:13" ht="20" customHeight="1" x14ac:dyDescent="0.35">
      <c r="A916" s="17">
        <v>609375</v>
      </c>
      <c r="B916" s="18">
        <v>612</v>
      </c>
      <c r="C916" s="23" t="s">
        <v>99</v>
      </c>
      <c r="D916" s="24">
        <v>45042.007638888892</v>
      </c>
      <c r="E916" s="18" t="s">
        <v>96</v>
      </c>
      <c r="F916" s="18" t="s">
        <v>90</v>
      </c>
      <c r="G916" s="18">
        <v>9567</v>
      </c>
      <c r="H916" s="25">
        <f t="shared" si="56"/>
        <v>45042</v>
      </c>
      <c r="I916" s="26">
        <f t="shared" si="57"/>
        <v>7.6388888919609599E-3</v>
      </c>
      <c r="J916" s="18" t="str">
        <f t="shared" si="58"/>
        <v>April</v>
      </c>
      <c r="K916" s="56" t="str">
        <f t="shared" si="59"/>
        <v>Wednesday</v>
      </c>
      <c r="L916" s="18" t="str">
        <f>IF(OR(G916&gt;Answers!I931,G916&lt;Answers!I932),"Outlier","Normal")</f>
        <v>Outlier</v>
      </c>
      <c r="M916" s="18">
        <v>18</v>
      </c>
    </row>
    <row r="917" spans="1:13" ht="20" customHeight="1" x14ac:dyDescent="0.35">
      <c r="A917" s="17">
        <v>609984</v>
      </c>
      <c r="B917" s="18">
        <v>1488</v>
      </c>
      <c r="C917" s="23" t="s">
        <v>99</v>
      </c>
      <c r="D917" s="24">
        <v>45049.04791666667</v>
      </c>
      <c r="E917" s="18" t="s">
        <v>96</v>
      </c>
      <c r="F917" s="18" t="s">
        <v>33</v>
      </c>
      <c r="G917" s="18">
        <v>4417</v>
      </c>
      <c r="H917" s="25">
        <f t="shared" si="56"/>
        <v>45049</v>
      </c>
      <c r="I917" s="26">
        <f t="shared" si="57"/>
        <v>4.7916666670062114E-2</v>
      </c>
      <c r="J917" s="18" t="str">
        <f t="shared" si="58"/>
        <v>May</v>
      </c>
      <c r="K917" s="56" t="str">
        <f t="shared" si="59"/>
        <v>Wednesday</v>
      </c>
      <c r="L917" s="18" t="str">
        <f>IF(OR(G917&gt;Answers!I932,G917&lt;Answers!I933),"Outlier","Normal")</f>
        <v>Outlier</v>
      </c>
      <c r="M917" s="18">
        <v>35</v>
      </c>
    </row>
    <row r="918" spans="1:13" ht="20" customHeight="1" x14ac:dyDescent="0.35">
      <c r="A918" s="17">
        <v>610023</v>
      </c>
      <c r="B918" s="18">
        <v>789</v>
      </c>
      <c r="C918" s="23" t="s">
        <v>100</v>
      </c>
      <c r="D918" s="24">
        <v>45074.051388888889</v>
      </c>
      <c r="E918" s="18" t="s">
        <v>133</v>
      </c>
      <c r="F918" s="18" t="s">
        <v>91</v>
      </c>
      <c r="G918" s="18">
        <v>620</v>
      </c>
      <c r="H918" s="25">
        <f t="shared" si="56"/>
        <v>45074</v>
      </c>
      <c r="I918" s="26">
        <f t="shared" si="57"/>
        <v>5.1388888889050577E-2</v>
      </c>
      <c r="J918" s="18" t="str">
        <f t="shared" si="58"/>
        <v>May</v>
      </c>
      <c r="K918" s="56" t="str">
        <f t="shared" si="59"/>
        <v>Sunday</v>
      </c>
      <c r="L918" s="18" t="str">
        <f>IF(OR(G918&gt;Answers!I933,G918&lt;Answers!I934),"Outlier","Normal")</f>
        <v>Outlier</v>
      </c>
      <c r="M918" s="18">
        <v>62</v>
      </c>
    </row>
    <row r="919" spans="1:13" ht="20" customHeight="1" x14ac:dyDescent="0.35">
      <c r="A919" s="17">
        <v>610367</v>
      </c>
      <c r="B919" s="18">
        <v>1096</v>
      </c>
      <c r="C919" s="23" t="s">
        <v>105</v>
      </c>
      <c r="D919" s="24">
        <v>44936.000694444447</v>
      </c>
      <c r="E919" s="18" t="s">
        <v>97</v>
      </c>
      <c r="F919" s="18" t="s">
        <v>35</v>
      </c>
      <c r="G919" s="18">
        <v>5230</v>
      </c>
      <c r="H919" s="25">
        <f t="shared" si="56"/>
        <v>44936</v>
      </c>
      <c r="I919" s="26">
        <f t="shared" si="57"/>
        <v>6.944444467080757E-4</v>
      </c>
      <c r="J919" s="18" t="str">
        <f t="shared" si="58"/>
        <v>January</v>
      </c>
      <c r="K919" s="56" t="str">
        <f t="shared" si="59"/>
        <v>Tuesday</v>
      </c>
      <c r="L919" s="18" t="str">
        <f>IF(OR(G919&gt;Answers!I934,G919&lt;Answers!I935),"Outlier","Normal")</f>
        <v>Outlier</v>
      </c>
      <c r="M919" s="18">
        <v>87</v>
      </c>
    </row>
    <row r="920" spans="1:13" ht="20" customHeight="1" x14ac:dyDescent="0.35">
      <c r="A920" s="17">
        <v>611265</v>
      </c>
      <c r="B920" s="18">
        <v>396</v>
      </c>
      <c r="C920" s="23" t="s">
        <v>105</v>
      </c>
      <c r="D920" s="24">
        <v>45211.004166666666</v>
      </c>
      <c r="E920" s="18" t="s">
        <v>96</v>
      </c>
      <c r="F920" s="18" t="s">
        <v>36</v>
      </c>
      <c r="G920" s="18">
        <v>1305</v>
      </c>
      <c r="H920" s="25">
        <f t="shared" si="56"/>
        <v>45211</v>
      </c>
      <c r="I920" s="26">
        <f t="shared" si="57"/>
        <v>4.166666665696539E-3</v>
      </c>
      <c r="J920" s="18" t="str">
        <f t="shared" si="58"/>
        <v>October</v>
      </c>
      <c r="K920" s="56" t="str">
        <f t="shared" si="59"/>
        <v>Thursday</v>
      </c>
      <c r="L920" s="18" t="str">
        <f>IF(OR(G920&gt;Answers!I935,G920&lt;Answers!I936),"Outlier","Normal")</f>
        <v>Outlier</v>
      </c>
      <c r="M920" s="18">
        <v>53</v>
      </c>
    </row>
    <row r="921" spans="1:13" ht="20" customHeight="1" x14ac:dyDescent="0.35">
      <c r="A921" s="17">
        <v>611594</v>
      </c>
      <c r="B921" s="18">
        <v>827</v>
      </c>
      <c r="C921" s="23" t="s">
        <v>106</v>
      </c>
      <c r="D921" s="24">
        <v>44933.004166666666</v>
      </c>
      <c r="E921" s="18" t="s">
        <v>98</v>
      </c>
      <c r="F921" s="18" t="s">
        <v>37</v>
      </c>
      <c r="G921" s="18">
        <v>4635</v>
      </c>
      <c r="H921" s="25">
        <f t="shared" si="56"/>
        <v>44933</v>
      </c>
      <c r="I921" s="26">
        <f t="shared" si="57"/>
        <v>4.166666665696539E-3</v>
      </c>
      <c r="J921" s="18" t="str">
        <f t="shared" si="58"/>
        <v>January</v>
      </c>
      <c r="K921" s="56" t="str">
        <f t="shared" si="59"/>
        <v>Saturday</v>
      </c>
      <c r="L921" s="18" t="str">
        <f>IF(OR(G921&gt;Answers!I936,G921&lt;Answers!I937),"Outlier","Normal")</f>
        <v>Outlier</v>
      </c>
      <c r="M921" s="18">
        <v>40</v>
      </c>
    </row>
    <row r="922" spans="1:13" ht="20" customHeight="1" x14ac:dyDescent="0.35">
      <c r="A922" s="17">
        <v>611621</v>
      </c>
      <c r="B922" s="18">
        <v>1357</v>
      </c>
      <c r="C922" s="23" t="s">
        <v>111</v>
      </c>
      <c r="D922" s="24">
        <v>45077.003472222219</v>
      </c>
      <c r="E922" s="18" t="s">
        <v>98</v>
      </c>
      <c r="F922" s="18" t="s">
        <v>27</v>
      </c>
      <c r="G922" s="18">
        <v>9926</v>
      </c>
      <c r="H922" s="25">
        <f t="shared" si="56"/>
        <v>45077</v>
      </c>
      <c r="I922" s="26">
        <f t="shared" si="57"/>
        <v>3.4722222189884633E-3</v>
      </c>
      <c r="J922" s="18" t="str">
        <f t="shared" si="58"/>
        <v>May</v>
      </c>
      <c r="K922" s="56" t="str">
        <f t="shared" si="59"/>
        <v>Wednesday</v>
      </c>
      <c r="L922" s="18" t="str">
        <f>IF(OR(G922&gt;Answers!I937,G922&lt;Answers!I938),"Outlier","Normal")</f>
        <v>Outlier</v>
      </c>
      <c r="M922" s="18">
        <v>43</v>
      </c>
    </row>
    <row r="923" spans="1:13" ht="20" customHeight="1" x14ac:dyDescent="0.35">
      <c r="A923" s="17">
        <v>611767</v>
      </c>
      <c r="B923" s="18">
        <v>917</v>
      </c>
      <c r="C923" s="23" t="s">
        <v>103</v>
      </c>
      <c r="D923" s="24">
        <v>45044.999305555553</v>
      </c>
      <c r="E923" s="18" t="s">
        <v>97</v>
      </c>
      <c r="F923" s="18" t="s">
        <v>65</v>
      </c>
      <c r="G923" s="18">
        <v>1716</v>
      </c>
      <c r="H923" s="25">
        <f t="shared" si="56"/>
        <v>45044</v>
      </c>
      <c r="I923" s="26">
        <f t="shared" si="57"/>
        <v>0.99930555555329192</v>
      </c>
      <c r="J923" s="18" t="str">
        <f t="shared" si="58"/>
        <v>April</v>
      </c>
      <c r="K923" s="56" t="str">
        <f t="shared" si="59"/>
        <v>Friday</v>
      </c>
      <c r="L923" s="18" t="str">
        <f>IF(OR(G923&gt;Answers!I938,G923&lt;Answers!I939),"Outlier","Normal")</f>
        <v>Outlier</v>
      </c>
      <c r="M923" s="18">
        <v>41</v>
      </c>
    </row>
    <row r="924" spans="1:13" ht="20" customHeight="1" x14ac:dyDescent="0.35">
      <c r="A924" s="17">
        <v>611976</v>
      </c>
      <c r="B924" s="18">
        <v>1269</v>
      </c>
      <c r="C924" s="23" t="s">
        <v>110</v>
      </c>
      <c r="D924" s="24">
        <v>45241.968055555553</v>
      </c>
      <c r="E924" s="18" t="s">
        <v>133</v>
      </c>
      <c r="F924" s="18" t="s">
        <v>23</v>
      </c>
      <c r="G924" s="18">
        <v>3073</v>
      </c>
      <c r="H924" s="25">
        <f t="shared" si="56"/>
        <v>45241</v>
      </c>
      <c r="I924" s="26">
        <f t="shared" si="57"/>
        <v>0.96805555555329192</v>
      </c>
      <c r="J924" s="18" t="str">
        <f t="shared" si="58"/>
        <v>November</v>
      </c>
      <c r="K924" s="56" t="str">
        <f t="shared" si="59"/>
        <v>Saturday</v>
      </c>
      <c r="L924" s="18" t="str">
        <f>IF(OR(G924&gt;Answers!I939,G924&lt;Answers!I940),"Outlier","Normal")</f>
        <v>Outlier</v>
      </c>
      <c r="M924" s="18">
        <v>48</v>
      </c>
    </row>
    <row r="925" spans="1:13" ht="20" customHeight="1" x14ac:dyDescent="0.35">
      <c r="A925" s="17">
        <v>612088</v>
      </c>
      <c r="B925" s="18">
        <v>1411</v>
      </c>
      <c r="C925" s="23" t="s">
        <v>105</v>
      </c>
      <c r="D925" s="24">
        <v>45209.070138888892</v>
      </c>
      <c r="E925" s="18" t="s">
        <v>133</v>
      </c>
      <c r="F925" s="18" t="s">
        <v>40</v>
      </c>
      <c r="G925" s="18">
        <v>2946</v>
      </c>
      <c r="H925" s="25">
        <f t="shared" si="56"/>
        <v>45209</v>
      </c>
      <c r="I925" s="26">
        <f t="shared" si="57"/>
        <v>7.013888889196096E-2</v>
      </c>
      <c r="J925" s="18" t="str">
        <f t="shared" si="58"/>
        <v>October</v>
      </c>
      <c r="K925" s="56" t="str">
        <f t="shared" si="59"/>
        <v>Tuesday</v>
      </c>
      <c r="L925" s="18" t="str">
        <f>IF(OR(G925&gt;Answers!I940,G925&lt;Answers!I941),"Outlier","Normal")</f>
        <v>Outlier</v>
      </c>
      <c r="M925" s="18">
        <v>52</v>
      </c>
    </row>
    <row r="926" spans="1:13" ht="20" customHeight="1" x14ac:dyDescent="0.35">
      <c r="A926" s="17">
        <v>613070</v>
      </c>
      <c r="B926" s="18">
        <v>1755</v>
      </c>
      <c r="C926" s="23" t="s">
        <v>105</v>
      </c>
      <c r="D926" s="24">
        <v>45251.002083333333</v>
      </c>
      <c r="E926" s="18" t="s">
        <v>97</v>
      </c>
      <c r="F926" s="18" t="s">
        <v>41</v>
      </c>
      <c r="G926" s="18">
        <v>895</v>
      </c>
      <c r="H926" s="25">
        <f t="shared" si="56"/>
        <v>45251</v>
      </c>
      <c r="I926" s="26">
        <f t="shared" si="57"/>
        <v>2.0833333328482695E-3</v>
      </c>
      <c r="J926" s="18" t="str">
        <f t="shared" si="58"/>
        <v>November</v>
      </c>
      <c r="K926" s="56" t="str">
        <f t="shared" si="59"/>
        <v>Tuesday</v>
      </c>
      <c r="L926" s="18" t="str">
        <f>IF(OR(G926&gt;Answers!I941,G926&lt;Answers!I942),"Outlier","Normal")</f>
        <v>Outlier</v>
      </c>
      <c r="M926" s="18">
        <v>66</v>
      </c>
    </row>
    <row r="927" spans="1:13" ht="20" customHeight="1" x14ac:dyDescent="0.35">
      <c r="A927" s="17">
        <v>614468</v>
      </c>
      <c r="B927" s="18">
        <v>801</v>
      </c>
      <c r="C927" s="23" t="s">
        <v>100</v>
      </c>
      <c r="D927" s="24">
        <v>45185.044444444444</v>
      </c>
      <c r="E927" s="18" t="s">
        <v>98</v>
      </c>
      <c r="F927" s="18" t="s">
        <v>42</v>
      </c>
      <c r="G927" s="18">
        <v>1451</v>
      </c>
      <c r="H927" s="25">
        <f t="shared" si="56"/>
        <v>45185</v>
      </c>
      <c r="I927" s="26">
        <f t="shared" si="57"/>
        <v>4.4444444443797693E-2</v>
      </c>
      <c r="J927" s="18" t="str">
        <f t="shared" si="58"/>
        <v>September</v>
      </c>
      <c r="K927" s="56" t="str">
        <f t="shared" si="59"/>
        <v>Saturday</v>
      </c>
      <c r="L927" s="18" t="str">
        <f>IF(OR(G927&gt;Answers!I942,G927&lt;Answers!I943),"Outlier","Normal")</f>
        <v>Outlier</v>
      </c>
      <c r="M927" s="18">
        <v>77</v>
      </c>
    </row>
    <row r="928" spans="1:13" ht="20" customHeight="1" x14ac:dyDescent="0.35">
      <c r="A928" s="17">
        <v>615484</v>
      </c>
      <c r="B928" s="18">
        <v>1044</v>
      </c>
      <c r="C928" s="23" t="s">
        <v>113</v>
      </c>
      <c r="D928" s="24">
        <v>45043.995833333334</v>
      </c>
      <c r="E928" s="18" t="s">
        <v>97</v>
      </c>
      <c r="F928" s="18" t="s">
        <v>43</v>
      </c>
      <c r="G928" s="18">
        <v>8774</v>
      </c>
      <c r="H928" s="25">
        <f t="shared" si="56"/>
        <v>45043</v>
      </c>
      <c r="I928" s="26">
        <f t="shared" si="57"/>
        <v>0.99583333333430346</v>
      </c>
      <c r="J928" s="18" t="str">
        <f t="shared" si="58"/>
        <v>April</v>
      </c>
      <c r="K928" s="56" t="str">
        <f t="shared" si="59"/>
        <v>Thursday</v>
      </c>
      <c r="L928" s="18" t="str">
        <f>IF(OR(G928&gt;Answers!I943,G928&lt;Answers!I944),"Outlier","Normal")</f>
        <v>Outlier</v>
      </c>
      <c r="M928" s="18">
        <v>26</v>
      </c>
    </row>
    <row r="929" spans="1:13" ht="20" customHeight="1" x14ac:dyDescent="0.35">
      <c r="A929" s="17">
        <v>615675</v>
      </c>
      <c r="B929" s="18">
        <v>1502</v>
      </c>
      <c r="C929" s="23" t="s">
        <v>105</v>
      </c>
      <c r="D929" s="24">
        <v>45059.018055555556</v>
      </c>
      <c r="E929" s="18" t="s">
        <v>133</v>
      </c>
      <c r="F929" s="18" t="s">
        <v>44</v>
      </c>
      <c r="G929" s="18">
        <v>3875</v>
      </c>
      <c r="H929" s="25">
        <f t="shared" si="56"/>
        <v>45059</v>
      </c>
      <c r="I929" s="26">
        <f t="shared" si="57"/>
        <v>1.8055555556202307E-2</v>
      </c>
      <c r="J929" s="18" t="str">
        <f t="shared" si="58"/>
        <v>May</v>
      </c>
      <c r="K929" s="56" t="str">
        <f t="shared" si="59"/>
        <v>Saturday</v>
      </c>
      <c r="L929" s="18" t="str">
        <f>IF(OR(G929&gt;Answers!I944,G929&lt;Answers!I945),"Outlier","Normal")</f>
        <v>Outlier</v>
      </c>
      <c r="M929" s="18">
        <v>33</v>
      </c>
    </row>
    <row r="930" spans="1:13" ht="20" customHeight="1" x14ac:dyDescent="0.35">
      <c r="A930" s="17">
        <v>617035</v>
      </c>
      <c r="B930" s="18">
        <v>704</v>
      </c>
      <c r="C930" s="23" t="s">
        <v>99</v>
      </c>
      <c r="D930" s="24">
        <v>45115.975694444445</v>
      </c>
      <c r="E930" s="18" t="s">
        <v>97</v>
      </c>
      <c r="F930" s="18" t="s">
        <v>81</v>
      </c>
      <c r="G930" s="18">
        <v>777</v>
      </c>
      <c r="H930" s="25">
        <f t="shared" si="56"/>
        <v>45115</v>
      </c>
      <c r="I930" s="26">
        <f t="shared" si="57"/>
        <v>0.97569444444525288</v>
      </c>
      <c r="J930" s="18" t="str">
        <f t="shared" si="58"/>
        <v>July</v>
      </c>
      <c r="K930" s="56" t="str">
        <f t="shared" si="59"/>
        <v>Saturday</v>
      </c>
      <c r="L930" s="18" t="str">
        <f>IF(OR(G930&gt;Answers!I945,G930&lt;Answers!I946),"Outlier","Normal")</f>
        <v>Outlier</v>
      </c>
      <c r="M930" s="18">
        <v>76</v>
      </c>
    </row>
    <row r="931" spans="1:13" ht="20" customHeight="1" x14ac:dyDescent="0.35">
      <c r="A931" s="17">
        <v>618196</v>
      </c>
      <c r="B931" s="18">
        <v>780</v>
      </c>
      <c r="C931" s="23" t="s">
        <v>113</v>
      </c>
      <c r="D931" s="24">
        <v>45250.065972222219</v>
      </c>
      <c r="E931" s="18" t="s">
        <v>133</v>
      </c>
      <c r="F931" s="18" t="s">
        <v>14</v>
      </c>
      <c r="G931" s="18">
        <v>9962</v>
      </c>
      <c r="H931" s="25">
        <f t="shared" si="56"/>
        <v>45250</v>
      </c>
      <c r="I931" s="26">
        <f t="shared" si="57"/>
        <v>6.5972222218988463E-2</v>
      </c>
      <c r="J931" s="18" t="str">
        <f t="shared" si="58"/>
        <v>November</v>
      </c>
      <c r="K931" s="56" t="str">
        <f t="shared" si="59"/>
        <v>Monday</v>
      </c>
      <c r="L931" s="18" t="str">
        <f>IF(OR(G931&gt;Answers!I946,G931&lt;Answers!I947),"Outlier","Normal")</f>
        <v>Outlier</v>
      </c>
      <c r="M931" s="18">
        <v>43</v>
      </c>
    </row>
    <row r="932" spans="1:13" ht="20" customHeight="1" x14ac:dyDescent="0.35">
      <c r="A932" s="17">
        <v>618986</v>
      </c>
      <c r="B932" s="18">
        <v>1458</v>
      </c>
      <c r="C932" s="23" t="s">
        <v>100</v>
      </c>
      <c r="D932" s="24">
        <v>45229.036805555559</v>
      </c>
      <c r="E932" s="18" t="s">
        <v>98</v>
      </c>
      <c r="F932" s="18" t="s">
        <v>43</v>
      </c>
      <c r="G932" s="18">
        <v>3216</v>
      </c>
      <c r="H932" s="25">
        <f t="shared" si="56"/>
        <v>45229</v>
      </c>
      <c r="I932" s="26">
        <f t="shared" si="57"/>
        <v>3.680555555911269E-2</v>
      </c>
      <c r="J932" s="18" t="str">
        <f t="shared" si="58"/>
        <v>October</v>
      </c>
      <c r="K932" s="56" t="str">
        <f t="shared" si="59"/>
        <v>Monday</v>
      </c>
      <c r="L932" s="18" t="str">
        <f>IF(OR(G932&gt;Answers!I947,G932&lt;Answers!I948),"Outlier","Normal")</f>
        <v>Outlier</v>
      </c>
      <c r="M932" s="18">
        <v>67</v>
      </c>
    </row>
    <row r="933" spans="1:13" ht="20" customHeight="1" x14ac:dyDescent="0.35">
      <c r="A933" s="17">
        <v>619879</v>
      </c>
      <c r="B933" s="18">
        <v>446</v>
      </c>
      <c r="C933" s="23" t="s">
        <v>99</v>
      </c>
      <c r="D933" s="24">
        <v>44937.056944444441</v>
      </c>
      <c r="E933" s="18" t="s">
        <v>96</v>
      </c>
      <c r="F933" s="18" t="s">
        <v>45</v>
      </c>
      <c r="G933" s="18">
        <v>2645</v>
      </c>
      <c r="H933" s="25">
        <f t="shared" si="56"/>
        <v>44937</v>
      </c>
      <c r="I933" s="26">
        <f t="shared" si="57"/>
        <v>5.694444444088731E-2</v>
      </c>
      <c r="J933" s="18" t="str">
        <f t="shared" si="58"/>
        <v>January</v>
      </c>
      <c r="K933" s="56" t="str">
        <f t="shared" si="59"/>
        <v>Wednesday</v>
      </c>
      <c r="L933" s="18" t="str">
        <f>IF(OR(G933&gt;Answers!I948,G933&lt;Answers!I949),"Outlier","Normal")</f>
        <v>Outlier</v>
      </c>
      <c r="M933" s="18">
        <v>67</v>
      </c>
    </row>
    <row r="934" spans="1:13" ht="20" customHeight="1" x14ac:dyDescent="0.35">
      <c r="A934" s="17">
        <v>619949</v>
      </c>
      <c r="B934" s="18">
        <v>1002</v>
      </c>
      <c r="C934" s="23" t="s">
        <v>113</v>
      </c>
      <c r="D934" s="24">
        <v>45001.051388888889</v>
      </c>
      <c r="E934" s="18" t="s">
        <v>97</v>
      </c>
      <c r="F934" s="18" t="s">
        <v>8</v>
      </c>
      <c r="G934" s="18">
        <v>1392</v>
      </c>
      <c r="H934" s="25">
        <f t="shared" si="56"/>
        <v>45001</v>
      </c>
      <c r="I934" s="26">
        <f t="shared" si="57"/>
        <v>5.1388888889050577E-2</v>
      </c>
      <c r="J934" s="18" t="str">
        <f t="shared" si="58"/>
        <v>March</v>
      </c>
      <c r="K934" s="56" t="str">
        <f t="shared" si="59"/>
        <v>Thursday</v>
      </c>
      <c r="L934" s="18" t="str">
        <f>IF(OR(G934&gt;Answers!I949,G934&lt;Answers!I950),"Outlier","Normal")</f>
        <v>Outlier</v>
      </c>
      <c r="M934" s="18">
        <v>86</v>
      </c>
    </row>
    <row r="935" spans="1:13" ht="20" customHeight="1" x14ac:dyDescent="0.35">
      <c r="A935" s="17">
        <v>620937</v>
      </c>
      <c r="B935" s="18">
        <v>1822</v>
      </c>
      <c r="C935" s="23" t="s">
        <v>99</v>
      </c>
      <c r="D935" s="24">
        <v>45079.025000000001</v>
      </c>
      <c r="E935" s="18" t="s">
        <v>97</v>
      </c>
      <c r="F935" s="18" t="s">
        <v>67</v>
      </c>
      <c r="G935" s="18">
        <v>8767</v>
      </c>
      <c r="H935" s="25">
        <f t="shared" si="56"/>
        <v>45079</v>
      </c>
      <c r="I935" s="26">
        <f t="shared" si="57"/>
        <v>2.5000000001455192E-2</v>
      </c>
      <c r="J935" s="18" t="str">
        <f t="shared" si="58"/>
        <v>June</v>
      </c>
      <c r="K935" s="56" t="str">
        <f t="shared" si="59"/>
        <v>Friday</v>
      </c>
      <c r="L935" s="18" t="str">
        <f>IF(OR(G935&gt;Answers!I950,G935&lt;Answers!I951),"Outlier","Normal")</f>
        <v>Outlier</v>
      </c>
      <c r="M935" s="18">
        <v>56</v>
      </c>
    </row>
    <row r="936" spans="1:13" ht="20" customHeight="1" x14ac:dyDescent="0.35">
      <c r="A936" s="17">
        <v>621177</v>
      </c>
      <c r="B936" s="18">
        <v>1452</v>
      </c>
      <c r="C936" s="23" t="s">
        <v>100</v>
      </c>
      <c r="D936" s="24">
        <v>44954.02847222222</v>
      </c>
      <c r="E936" s="18" t="s">
        <v>97</v>
      </c>
      <c r="F936" s="18" t="s">
        <v>60</v>
      </c>
      <c r="G936" s="18">
        <v>2907</v>
      </c>
      <c r="H936" s="25">
        <f t="shared" si="56"/>
        <v>44954</v>
      </c>
      <c r="I936" s="26">
        <f t="shared" si="57"/>
        <v>2.8472222220443655E-2</v>
      </c>
      <c r="J936" s="18" t="str">
        <f t="shared" si="58"/>
        <v>January</v>
      </c>
      <c r="K936" s="56" t="str">
        <f t="shared" si="59"/>
        <v>Saturday</v>
      </c>
      <c r="L936" s="18" t="str">
        <f>IF(OR(G936&gt;Answers!I951,G936&lt;Answers!I952),"Outlier","Normal")</f>
        <v>Outlier</v>
      </c>
      <c r="M936" s="18">
        <v>22</v>
      </c>
    </row>
    <row r="937" spans="1:13" ht="20" customHeight="1" x14ac:dyDescent="0.35">
      <c r="A937" s="17">
        <v>621694</v>
      </c>
      <c r="B937" s="18">
        <v>1769</v>
      </c>
      <c r="C937" s="23" t="s">
        <v>105</v>
      </c>
      <c r="D937" s="24">
        <v>45269.065972222219</v>
      </c>
      <c r="E937" s="18" t="s">
        <v>96</v>
      </c>
      <c r="F937" s="18" t="s">
        <v>90</v>
      </c>
      <c r="G937" s="18">
        <v>1826</v>
      </c>
      <c r="H937" s="25">
        <f t="shared" si="56"/>
        <v>45269</v>
      </c>
      <c r="I937" s="26">
        <f t="shared" si="57"/>
        <v>6.5972222218988463E-2</v>
      </c>
      <c r="J937" s="18" t="str">
        <f t="shared" si="58"/>
        <v>December</v>
      </c>
      <c r="K937" s="56" t="str">
        <f t="shared" si="59"/>
        <v>Saturday</v>
      </c>
      <c r="L937" s="18" t="str">
        <f>IF(OR(G937&gt;Answers!I952,G937&lt;Answers!I953),"Outlier","Normal")</f>
        <v>Outlier</v>
      </c>
      <c r="M937" s="18">
        <v>27</v>
      </c>
    </row>
    <row r="938" spans="1:13" ht="20" customHeight="1" x14ac:dyDescent="0.35">
      <c r="A938" s="17">
        <v>622405</v>
      </c>
      <c r="B938" s="18">
        <v>953</v>
      </c>
      <c r="C938" s="23" t="s">
        <v>99</v>
      </c>
      <c r="D938" s="24">
        <v>45193.057638888888</v>
      </c>
      <c r="E938" s="18" t="s">
        <v>133</v>
      </c>
      <c r="F938" s="18" t="s">
        <v>23</v>
      </c>
      <c r="G938" s="18">
        <v>9431</v>
      </c>
      <c r="H938" s="25">
        <f t="shared" si="56"/>
        <v>45193</v>
      </c>
      <c r="I938" s="26">
        <f t="shared" si="57"/>
        <v>5.7638888887595385E-2</v>
      </c>
      <c r="J938" s="18" t="str">
        <f t="shared" si="58"/>
        <v>September</v>
      </c>
      <c r="K938" s="56" t="str">
        <f t="shared" si="59"/>
        <v>Sunday</v>
      </c>
      <c r="L938" s="18" t="str">
        <f>IF(OR(G938&gt;Answers!I953,G938&lt;Answers!I954),"Outlier","Normal")</f>
        <v>Outlier</v>
      </c>
      <c r="M938" s="18">
        <v>67</v>
      </c>
    </row>
    <row r="939" spans="1:13" ht="20" customHeight="1" x14ac:dyDescent="0.35">
      <c r="A939" s="17">
        <v>622656</v>
      </c>
      <c r="B939" s="18">
        <v>418</v>
      </c>
      <c r="C939" s="23" t="s">
        <v>106</v>
      </c>
      <c r="D939" s="24">
        <v>45157.002083333333</v>
      </c>
      <c r="E939" s="18" t="s">
        <v>96</v>
      </c>
      <c r="F939" s="18" t="s">
        <v>95</v>
      </c>
      <c r="G939" s="18">
        <v>6905</v>
      </c>
      <c r="H939" s="25">
        <f t="shared" si="56"/>
        <v>45157</v>
      </c>
      <c r="I939" s="26">
        <f t="shared" si="57"/>
        <v>2.0833333328482695E-3</v>
      </c>
      <c r="J939" s="18" t="str">
        <f t="shared" si="58"/>
        <v>August</v>
      </c>
      <c r="K939" s="56" t="str">
        <f t="shared" si="59"/>
        <v>Saturday</v>
      </c>
      <c r="L939" s="18" t="str">
        <f>IF(OR(G939&gt;Answers!I954,G939&lt;Answers!I955),"Outlier","Normal")</f>
        <v>Outlier</v>
      </c>
      <c r="M939" s="18">
        <v>22</v>
      </c>
    </row>
    <row r="940" spans="1:13" ht="20" customHeight="1" x14ac:dyDescent="0.35">
      <c r="A940" s="17">
        <v>622835</v>
      </c>
      <c r="B940" s="18">
        <v>998</v>
      </c>
      <c r="C940" s="23" t="s">
        <v>103</v>
      </c>
      <c r="D940" s="24">
        <v>45258.074305555558</v>
      </c>
      <c r="E940" s="18" t="s">
        <v>133</v>
      </c>
      <c r="F940" s="18" t="s">
        <v>54</v>
      </c>
      <c r="G940" s="18">
        <v>678</v>
      </c>
      <c r="H940" s="25">
        <f t="shared" si="56"/>
        <v>45258</v>
      </c>
      <c r="I940" s="26">
        <f t="shared" si="57"/>
        <v>7.4305555557657499E-2</v>
      </c>
      <c r="J940" s="18" t="str">
        <f t="shared" si="58"/>
        <v>November</v>
      </c>
      <c r="K940" s="56" t="str">
        <f t="shared" si="59"/>
        <v>Tuesday</v>
      </c>
      <c r="L940" s="18" t="str">
        <f>IF(OR(G940&gt;Answers!I955,G940&lt;Answers!I956),"Outlier","Normal")</f>
        <v>Outlier</v>
      </c>
      <c r="M940" s="18">
        <v>89</v>
      </c>
    </row>
    <row r="941" spans="1:13" ht="20" customHeight="1" x14ac:dyDescent="0.35">
      <c r="A941" s="17">
        <v>623784</v>
      </c>
      <c r="B941" s="18">
        <v>781</v>
      </c>
      <c r="C941" s="23" t="s">
        <v>102</v>
      </c>
      <c r="D941" s="24">
        <v>45240.073611111111</v>
      </c>
      <c r="E941" s="18" t="s">
        <v>97</v>
      </c>
      <c r="F941" s="18" t="s">
        <v>20</v>
      </c>
      <c r="G941" s="18">
        <v>6494</v>
      </c>
      <c r="H941" s="25">
        <f t="shared" si="56"/>
        <v>45240</v>
      </c>
      <c r="I941" s="26">
        <f t="shared" si="57"/>
        <v>7.3611111110949423E-2</v>
      </c>
      <c r="J941" s="18" t="str">
        <f t="shared" si="58"/>
        <v>November</v>
      </c>
      <c r="K941" s="56" t="str">
        <f t="shared" si="59"/>
        <v>Friday</v>
      </c>
      <c r="L941" s="18" t="str">
        <f>IF(OR(G941&gt;Answers!I956,G941&lt;Answers!I957),"Outlier","Normal")</f>
        <v>Outlier</v>
      </c>
      <c r="M941" s="18">
        <v>66</v>
      </c>
    </row>
    <row r="942" spans="1:13" ht="20" customHeight="1" x14ac:dyDescent="0.35">
      <c r="A942" s="17">
        <v>623935</v>
      </c>
      <c r="B942" s="18">
        <v>1278</v>
      </c>
      <c r="C942" s="23" t="s">
        <v>99</v>
      </c>
      <c r="D942" s="24">
        <v>45027.058333333334</v>
      </c>
      <c r="E942" s="18" t="s">
        <v>96</v>
      </c>
      <c r="F942" s="18" t="s">
        <v>41</v>
      </c>
      <c r="G942" s="18">
        <v>7665</v>
      </c>
      <c r="H942" s="25">
        <f t="shared" si="56"/>
        <v>45027</v>
      </c>
      <c r="I942" s="26">
        <f t="shared" si="57"/>
        <v>5.8333333334303461E-2</v>
      </c>
      <c r="J942" s="18" t="str">
        <f t="shared" si="58"/>
        <v>April</v>
      </c>
      <c r="K942" s="56" t="str">
        <f t="shared" si="59"/>
        <v>Tuesday</v>
      </c>
      <c r="L942" s="18" t="str">
        <f>IF(OR(G942&gt;Answers!I957,G942&lt;Answers!I958),"Outlier","Normal")</f>
        <v>Outlier</v>
      </c>
      <c r="M942" s="18">
        <v>69</v>
      </c>
    </row>
    <row r="943" spans="1:13" ht="20" customHeight="1" x14ac:dyDescent="0.35">
      <c r="A943" s="17">
        <v>624499</v>
      </c>
      <c r="B943" s="18">
        <v>1290</v>
      </c>
      <c r="C943" s="23" t="s">
        <v>99</v>
      </c>
      <c r="D943" s="24">
        <v>44932.027777777781</v>
      </c>
      <c r="E943" s="18" t="s">
        <v>96</v>
      </c>
      <c r="F943" s="18" t="s">
        <v>55</v>
      </c>
      <c r="G943" s="18">
        <v>4403</v>
      </c>
      <c r="H943" s="25">
        <f t="shared" si="56"/>
        <v>44932</v>
      </c>
      <c r="I943" s="26">
        <f t="shared" si="57"/>
        <v>2.7777777781011537E-2</v>
      </c>
      <c r="J943" s="18" t="str">
        <f t="shared" si="58"/>
        <v>January</v>
      </c>
      <c r="K943" s="56" t="str">
        <f t="shared" si="59"/>
        <v>Friday</v>
      </c>
      <c r="L943" s="18" t="str">
        <f>IF(OR(G943&gt;Answers!I958,G943&lt;Answers!I959),"Outlier","Normal")</f>
        <v>Outlier</v>
      </c>
      <c r="M943" s="18">
        <v>31</v>
      </c>
    </row>
    <row r="944" spans="1:13" ht="20" customHeight="1" x14ac:dyDescent="0.35">
      <c r="A944" s="17">
        <v>624700</v>
      </c>
      <c r="B944" s="18">
        <v>1948</v>
      </c>
      <c r="C944" s="23" t="s">
        <v>99</v>
      </c>
      <c r="D944" s="24">
        <v>45276.97152777778</v>
      </c>
      <c r="E944" s="18" t="s">
        <v>98</v>
      </c>
      <c r="F944" s="18" t="s">
        <v>56</v>
      </c>
      <c r="G944" s="18">
        <v>5277</v>
      </c>
      <c r="H944" s="25">
        <f t="shared" si="56"/>
        <v>45276</v>
      </c>
      <c r="I944" s="26">
        <f t="shared" si="57"/>
        <v>0.97152777777955635</v>
      </c>
      <c r="J944" s="18" t="str">
        <f t="shared" si="58"/>
        <v>December</v>
      </c>
      <c r="K944" s="56" t="str">
        <f t="shared" si="59"/>
        <v>Saturday</v>
      </c>
      <c r="L944" s="18" t="str">
        <f>IF(OR(G944&gt;Answers!I959,G944&lt;Answers!I960),"Outlier","Normal")</f>
        <v>Outlier</v>
      </c>
      <c r="M944" s="18">
        <v>79</v>
      </c>
    </row>
    <row r="945" spans="1:13" ht="20" customHeight="1" x14ac:dyDescent="0.35">
      <c r="A945" s="17">
        <v>624736</v>
      </c>
      <c r="B945" s="18">
        <v>633</v>
      </c>
      <c r="C945" s="23" t="s">
        <v>100</v>
      </c>
      <c r="D945" s="24">
        <v>45067.070833333331</v>
      </c>
      <c r="E945" s="18" t="s">
        <v>98</v>
      </c>
      <c r="F945" s="18" t="s">
        <v>57</v>
      </c>
      <c r="G945" s="18">
        <v>486</v>
      </c>
      <c r="H945" s="25">
        <f t="shared" si="56"/>
        <v>45067</v>
      </c>
      <c r="I945" s="26">
        <f t="shared" si="57"/>
        <v>7.0833333331393078E-2</v>
      </c>
      <c r="J945" s="18" t="str">
        <f t="shared" si="58"/>
        <v>May</v>
      </c>
      <c r="K945" s="56" t="str">
        <f t="shared" si="59"/>
        <v>Sunday</v>
      </c>
      <c r="L945" s="18" t="str">
        <f>IF(OR(G945&gt;Answers!I960,G945&lt;Answers!I961),"Outlier","Normal")</f>
        <v>Outlier</v>
      </c>
      <c r="M945" s="18">
        <v>88</v>
      </c>
    </row>
    <row r="946" spans="1:13" ht="20" customHeight="1" x14ac:dyDescent="0.35">
      <c r="A946" s="17">
        <v>625994</v>
      </c>
      <c r="B946" s="18">
        <v>476</v>
      </c>
      <c r="C946" s="23" t="s">
        <v>99</v>
      </c>
      <c r="D946" s="24">
        <v>45067.96597222222</v>
      </c>
      <c r="E946" s="18" t="s">
        <v>98</v>
      </c>
      <c r="F946" s="18" t="s">
        <v>58</v>
      </c>
      <c r="G946" s="18">
        <v>7369</v>
      </c>
      <c r="H946" s="25">
        <f t="shared" si="56"/>
        <v>45067</v>
      </c>
      <c r="I946" s="26">
        <f t="shared" si="57"/>
        <v>0.96597222222044365</v>
      </c>
      <c r="J946" s="18" t="str">
        <f t="shared" si="58"/>
        <v>May</v>
      </c>
      <c r="K946" s="56" t="str">
        <f t="shared" si="59"/>
        <v>Sunday</v>
      </c>
      <c r="L946" s="18" t="str">
        <f>IF(OR(G946&gt;Answers!I961,G946&lt;Answers!I962),"Outlier","Normal")</f>
        <v>Outlier</v>
      </c>
      <c r="M946" s="18">
        <v>80</v>
      </c>
    </row>
    <row r="947" spans="1:13" ht="20" customHeight="1" x14ac:dyDescent="0.35">
      <c r="A947" s="17">
        <v>626705</v>
      </c>
      <c r="B947" s="18">
        <v>868</v>
      </c>
      <c r="C947" s="23" t="s">
        <v>110</v>
      </c>
      <c r="D947" s="24">
        <v>45192.063194444447</v>
      </c>
      <c r="E947" s="18" t="s">
        <v>97</v>
      </c>
      <c r="F947" s="18" t="s">
        <v>59</v>
      </c>
      <c r="G947" s="18">
        <v>2713</v>
      </c>
      <c r="H947" s="25">
        <f t="shared" si="56"/>
        <v>45192</v>
      </c>
      <c r="I947" s="26">
        <f t="shared" si="57"/>
        <v>6.3194444446708076E-2</v>
      </c>
      <c r="J947" s="18" t="str">
        <f t="shared" si="58"/>
        <v>September</v>
      </c>
      <c r="K947" s="56" t="str">
        <f t="shared" si="59"/>
        <v>Saturday</v>
      </c>
      <c r="L947" s="18" t="str">
        <f>IF(OR(G947&gt;Answers!I962,G947&lt;Answers!I963),"Outlier","Normal")</f>
        <v>Outlier</v>
      </c>
      <c r="M947" s="18">
        <v>31</v>
      </c>
    </row>
    <row r="948" spans="1:13" ht="20" customHeight="1" x14ac:dyDescent="0.35">
      <c r="A948" s="17">
        <v>626849</v>
      </c>
      <c r="B948" s="18">
        <v>1679</v>
      </c>
      <c r="C948" s="23" t="s">
        <v>101</v>
      </c>
      <c r="D948" s="24">
        <v>45049.011111111111</v>
      </c>
      <c r="E948" s="18" t="s">
        <v>98</v>
      </c>
      <c r="F948" s="18" t="s">
        <v>4</v>
      </c>
      <c r="G948" s="18">
        <v>3639</v>
      </c>
      <c r="H948" s="25">
        <f t="shared" si="56"/>
        <v>45049</v>
      </c>
      <c r="I948" s="26">
        <f t="shared" si="57"/>
        <v>1.1111111110949423E-2</v>
      </c>
      <c r="J948" s="18" t="str">
        <f t="shared" si="58"/>
        <v>May</v>
      </c>
      <c r="K948" s="56" t="str">
        <f t="shared" si="59"/>
        <v>Wednesday</v>
      </c>
      <c r="L948" s="18" t="str">
        <f>IF(OR(G948&gt;Answers!I963,G948&lt;Answers!I964),"Outlier","Normal")</f>
        <v>Outlier</v>
      </c>
      <c r="M948" s="18">
        <v>59</v>
      </c>
    </row>
    <row r="949" spans="1:13" ht="20" customHeight="1" x14ac:dyDescent="0.35">
      <c r="A949" s="17">
        <v>627473</v>
      </c>
      <c r="B949" s="18">
        <v>1766</v>
      </c>
      <c r="C949" s="23" t="s">
        <v>105</v>
      </c>
      <c r="D949" s="24">
        <v>45012.038888888892</v>
      </c>
      <c r="E949" s="18" t="s">
        <v>133</v>
      </c>
      <c r="F949" s="18" t="s">
        <v>27</v>
      </c>
      <c r="G949" s="18">
        <v>5427</v>
      </c>
      <c r="H949" s="25">
        <f t="shared" si="56"/>
        <v>45012</v>
      </c>
      <c r="I949" s="26">
        <f t="shared" si="57"/>
        <v>3.888888889196096E-2</v>
      </c>
      <c r="J949" s="18" t="str">
        <f t="shared" si="58"/>
        <v>March</v>
      </c>
      <c r="K949" s="56" t="str">
        <f t="shared" si="59"/>
        <v>Monday</v>
      </c>
      <c r="L949" s="18" t="str">
        <f>IF(OR(G949&gt;Answers!I964,G949&lt;Answers!I965),"Outlier","Normal")</f>
        <v>Outlier</v>
      </c>
      <c r="M949" s="18">
        <v>42</v>
      </c>
    </row>
    <row r="950" spans="1:13" ht="20" customHeight="1" x14ac:dyDescent="0.35">
      <c r="A950" s="17">
        <v>627652</v>
      </c>
      <c r="B950" s="18">
        <v>330</v>
      </c>
      <c r="C950" s="23" t="s">
        <v>113</v>
      </c>
      <c r="D950" s="24">
        <v>45285.029166666667</v>
      </c>
      <c r="E950" s="18" t="s">
        <v>96</v>
      </c>
      <c r="F950" s="18" t="s">
        <v>60</v>
      </c>
      <c r="G950" s="18">
        <v>4651</v>
      </c>
      <c r="H950" s="25">
        <f t="shared" si="56"/>
        <v>45285</v>
      </c>
      <c r="I950" s="26">
        <f t="shared" si="57"/>
        <v>2.9166666667151731E-2</v>
      </c>
      <c r="J950" s="18" t="str">
        <f t="shared" si="58"/>
        <v>December</v>
      </c>
      <c r="K950" s="56" t="str">
        <f t="shared" si="59"/>
        <v>Monday</v>
      </c>
      <c r="L950" s="18" t="str">
        <f>IF(OR(G950&gt;Answers!I965,G950&lt;Answers!I966),"Outlier","Normal")</f>
        <v>Outlier</v>
      </c>
      <c r="M950" s="18">
        <v>43</v>
      </c>
    </row>
    <row r="951" spans="1:13" ht="20" customHeight="1" x14ac:dyDescent="0.35">
      <c r="A951" s="17">
        <v>628471</v>
      </c>
      <c r="B951" s="18">
        <v>240</v>
      </c>
      <c r="C951" s="23" t="s">
        <v>99</v>
      </c>
      <c r="D951" s="24">
        <v>45033.999305555553</v>
      </c>
      <c r="E951" s="18" t="s">
        <v>133</v>
      </c>
      <c r="F951" s="18" t="s">
        <v>61</v>
      </c>
      <c r="G951" s="18">
        <v>9883</v>
      </c>
      <c r="H951" s="25">
        <f t="shared" si="56"/>
        <v>45033</v>
      </c>
      <c r="I951" s="26">
        <f t="shared" si="57"/>
        <v>0.99930555555329192</v>
      </c>
      <c r="J951" s="18" t="str">
        <f t="shared" si="58"/>
        <v>April</v>
      </c>
      <c r="K951" s="56" t="str">
        <f t="shared" si="59"/>
        <v>Monday</v>
      </c>
      <c r="L951" s="18" t="str">
        <f>IF(OR(G951&gt;Answers!I966,G951&lt;Answers!I967),"Outlier","Normal")</f>
        <v>Outlier</v>
      </c>
      <c r="M951" s="18">
        <v>63</v>
      </c>
    </row>
    <row r="952" spans="1:13" ht="20" customHeight="1" x14ac:dyDescent="0.35">
      <c r="A952" s="17">
        <v>628608</v>
      </c>
      <c r="B952" s="18">
        <v>1060</v>
      </c>
      <c r="C952" s="23" t="s">
        <v>113</v>
      </c>
      <c r="D952" s="24">
        <v>44927.030555555553</v>
      </c>
      <c r="E952" s="18" t="s">
        <v>97</v>
      </c>
      <c r="F952" s="18" t="s">
        <v>93</v>
      </c>
      <c r="G952" s="18">
        <v>89</v>
      </c>
      <c r="H952" s="25">
        <f t="shared" si="56"/>
        <v>44927</v>
      </c>
      <c r="I952" s="26">
        <f t="shared" si="57"/>
        <v>3.0555555553291924E-2</v>
      </c>
      <c r="J952" s="18" t="str">
        <f t="shared" si="58"/>
        <v>January</v>
      </c>
      <c r="K952" s="56" t="str">
        <f t="shared" si="59"/>
        <v>Sunday</v>
      </c>
      <c r="L952" s="18" t="str">
        <f>IF(OR(G952&gt;Answers!I967,G952&lt;Answers!I968),"Outlier","Normal")</f>
        <v>Outlier</v>
      </c>
      <c r="M952" s="18">
        <v>62</v>
      </c>
    </row>
    <row r="953" spans="1:13" ht="20" customHeight="1" x14ac:dyDescent="0.35">
      <c r="A953" s="17">
        <v>628945</v>
      </c>
      <c r="B953" s="18">
        <v>329</v>
      </c>
      <c r="C953" s="23" t="s">
        <v>105</v>
      </c>
      <c r="D953" s="24">
        <v>45097.055555555555</v>
      </c>
      <c r="E953" s="18" t="s">
        <v>98</v>
      </c>
      <c r="F953" s="18" t="s">
        <v>33</v>
      </c>
      <c r="G953" s="18">
        <v>7750</v>
      </c>
      <c r="H953" s="25">
        <f t="shared" si="56"/>
        <v>45097</v>
      </c>
      <c r="I953" s="26">
        <f t="shared" si="57"/>
        <v>5.5555555554747116E-2</v>
      </c>
      <c r="J953" s="18" t="str">
        <f t="shared" si="58"/>
        <v>June</v>
      </c>
      <c r="K953" s="56" t="str">
        <f t="shared" si="59"/>
        <v>Tuesday</v>
      </c>
      <c r="L953" s="18" t="str">
        <f>IF(OR(G953&gt;Answers!I968,G953&lt;Answers!I969),"Outlier","Normal")</f>
        <v>Outlier</v>
      </c>
      <c r="M953" s="18">
        <v>55</v>
      </c>
    </row>
    <row r="954" spans="1:13" ht="20" customHeight="1" x14ac:dyDescent="0.35">
      <c r="A954" s="17">
        <v>629227</v>
      </c>
      <c r="B954" s="18">
        <v>1665</v>
      </c>
      <c r="C954" s="23" t="s">
        <v>110</v>
      </c>
      <c r="D954" s="24">
        <v>45257.981944444444</v>
      </c>
      <c r="E954" s="18" t="s">
        <v>96</v>
      </c>
      <c r="F954" s="18" t="s">
        <v>63</v>
      </c>
      <c r="G954" s="18">
        <v>2109</v>
      </c>
      <c r="H954" s="25">
        <f t="shared" si="56"/>
        <v>45257</v>
      </c>
      <c r="I954" s="26">
        <f t="shared" si="57"/>
        <v>0.98194444444379769</v>
      </c>
      <c r="J954" s="18" t="str">
        <f t="shared" si="58"/>
        <v>November</v>
      </c>
      <c r="K954" s="56" t="str">
        <f t="shared" si="59"/>
        <v>Monday</v>
      </c>
      <c r="L954" s="18" t="str">
        <f>IF(OR(G954&gt;Answers!I969,G954&lt;Answers!I970),"Outlier","Normal")</f>
        <v>Outlier</v>
      </c>
      <c r="M954" s="18">
        <v>19</v>
      </c>
    </row>
    <row r="955" spans="1:13" ht="20" customHeight="1" x14ac:dyDescent="0.35">
      <c r="A955" s="17">
        <v>629953</v>
      </c>
      <c r="B955" s="18">
        <v>787</v>
      </c>
      <c r="C955" s="23" t="s">
        <v>104</v>
      </c>
      <c r="D955" s="24">
        <v>45045.03125</v>
      </c>
      <c r="E955" s="18" t="s">
        <v>98</v>
      </c>
      <c r="F955" s="18" t="s">
        <v>52</v>
      </c>
      <c r="G955" s="18">
        <v>9460</v>
      </c>
      <c r="H955" s="25">
        <f t="shared" si="56"/>
        <v>45045</v>
      </c>
      <c r="I955" s="26">
        <f t="shared" si="57"/>
        <v>3.125E-2</v>
      </c>
      <c r="J955" s="18" t="str">
        <f t="shared" si="58"/>
        <v>April</v>
      </c>
      <c r="K955" s="56" t="str">
        <f t="shared" si="59"/>
        <v>Saturday</v>
      </c>
      <c r="L955" s="18" t="str">
        <f>IF(OR(G955&gt;Answers!I970,G955&lt;Answers!I971),"Outlier","Normal")</f>
        <v>Outlier</v>
      </c>
      <c r="M955" s="18">
        <v>40</v>
      </c>
    </row>
    <row r="956" spans="1:13" ht="20" customHeight="1" x14ac:dyDescent="0.35">
      <c r="A956" s="17">
        <v>630561</v>
      </c>
      <c r="B956" s="18">
        <v>1201</v>
      </c>
      <c r="C956" s="23" t="s">
        <v>100</v>
      </c>
      <c r="D956" s="24">
        <v>45166.049305555556</v>
      </c>
      <c r="E956" s="18" t="s">
        <v>133</v>
      </c>
      <c r="F956" s="18" t="s">
        <v>94</v>
      </c>
      <c r="G956" s="18">
        <v>6934</v>
      </c>
      <c r="H956" s="25">
        <f t="shared" si="56"/>
        <v>45166</v>
      </c>
      <c r="I956" s="26">
        <f t="shared" si="57"/>
        <v>4.9305555556202307E-2</v>
      </c>
      <c r="J956" s="18" t="str">
        <f t="shared" si="58"/>
        <v>August</v>
      </c>
      <c r="K956" s="56" t="str">
        <f t="shared" si="59"/>
        <v>Monday</v>
      </c>
      <c r="L956" s="18" t="str">
        <f>IF(OR(G956&gt;Answers!I971,G956&lt;Answers!I972),"Outlier","Normal")</f>
        <v>Outlier</v>
      </c>
      <c r="M956" s="18">
        <v>89</v>
      </c>
    </row>
    <row r="957" spans="1:13" ht="20" customHeight="1" x14ac:dyDescent="0.35">
      <c r="A957" s="17">
        <v>630634</v>
      </c>
      <c r="B957" s="18">
        <v>723</v>
      </c>
      <c r="C957" s="23" t="s">
        <v>108</v>
      </c>
      <c r="D957" s="24">
        <v>45182.990972222222</v>
      </c>
      <c r="E957" s="18" t="s">
        <v>96</v>
      </c>
      <c r="F957" s="18" t="s">
        <v>27</v>
      </c>
      <c r="G957" s="18">
        <v>2225</v>
      </c>
      <c r="H957" s="25">
        <f t="shared" si="56"/>
        <v>45182</v>
      </c>
      <c r="I957" s="26">
        <f t="shared" si="57"/>
        <v>0.99097222222189885</v>
      </c>
      <c r="J957" s="18" t="str">
        <f t="shared" si="58"/>
        <v>September</v>
      </c>
      <c r="K957" s="56" t="str">
        <f t="shared" si="59"/>
        <v>Wednesday</v>
      </c>
      <c r="L957" s="18" t="str">
        <f>IF(OR(G957&gt;Answers!I972,G957&lt;Answers!I973),"Outlier","Normal")</f>
        <v>Outlier</v>
      </c>
      <c r="M957" s="18">
        <v>80</v>
      </c>
    </row>
    <row r="958" spans="1:13" ht="20" customHeight="1" x14ac:dyDescent="0.35">
      <c r="A958" s="17">
        <v>631266</v>
      </c>
      <c r="B958" s="18">
        <v>94</v>
      </c>
      <c r="C958" s="23" t="s">
        <v>108</v>
      </c>
      <c r="D958" s="24">
        <v>45081.013888888891</v>
      </c>
      <c r="E958" s="18" t="s">
        <v>98</v>
      </c>
      <c r="F958" s="18" t="s">
        <v>64</v>
      </c>
      <c r="G958" s="18">
        <v>985</v>
      </c>
      <c r="H958" s="25">
        <f t="shared" si="56"/>
        <v>45081</v>
      </c>
      <c r="I958" s="26">
        <f t="shared" si="57"/>
        <v>1.3888888890505768E-2</v>
      </c>
      <c r="J958" s="18" t="str">
        <f t="shared" si="58"/>
        <v>June</v>
      </c>
      <c r="K958" s="56" t="str">
        <f t="shared" si="59"/>
        <v>Sunday</v>
      </c>
      <c r="L958" s="18" t="str">
        <f>IF(OR(G958&gt;Answers!I973,G958&lt;Answers!I974),"Outlier","Normal")</f>
        <v>Outlier</v>
      </c>
      <c r="M958" s="18">
        <v>65</v>
      </c>
    </row>
    <row r="959" spans="1:13" ht="20" customHeight="1" x14ac:dyDescent="0.35">
      <c r="A959" s="17">
        <v>631384</v>
      </c>
      <c r="B959" s="18">
        <v>1975</v>
      </c>
      <c r="C959" s="23" t="s">
        <v>99</v>
      </c>
      <c r="D959" s="24">
        <v>44963.054861111108</v>
      </c>
      <c r="E959" s="18" t="s">
        <v>97</v>
      </c>
      <c r="F959" s="18" t="s">
        <v>27</v>
      </c>
      <c r="G959" s="18">
        <v>5484</v>
      </c>
      <c r="H959" s="25">
        <f t="shared" si="56"/>
        <v>44963</v>
      </c>
      <c r="I959" s="26">
        <f t="shared" si="57"/>
        <v>5.486111110803904E-2</v>
      </c>
      <c r="J959" s="18" t="str">
        <f t="shared" si="58"/>
        <v>February</v>
      </c>
      <c r="K959" s="56" t="str">
        <f t="shared" si="59"/>
        <v>Monday</v>
      </c>
      <c r="L959" s="18" t="str">
        <f>IF(OR(G959&gt;Answers!I974,G959&lt;Answers!I975),"Outlier","Normal")</f>
        <v>Outlier</v>
      </c>
      <c r="M959" s="18">
        <v>40</v>
      </c>
    </row>
    <row r="960" spans="1:13" ht="20" customHeight="1" x14ac:dyDescent="0.35">
      <c r="A960" s="17">
        <v>631614</v>
      </c>
      <c r="B960" s="18">
        <v>1395</v>
      </c>
      <c r="C960" s="23" t="s">
        <v>99</v>
      </c>
      <c r="D960" s="24">
        <v>45238.989583333336</v>
      </c>
      <c r="E960" s="18" t="s">
        <v>133</v>
      </c>
      <c r="F960" s="18" t="s">
        <v>5</v>
      </c>
      <c r="G960" s="18">
        <v>4587</v>
      </c>
      <c r="H960" s="25">
        <f t="shared" si="56"/>
        <v>45238</v>
      </c>
      <c r="I960" s="26">
        <f t="shared" si="57"/>
        <v>0.98958333333575865</v>
      </c>
      <c r="J960" s="18" t="str">
        <f t="shared" si="58"/>
        <v>November</v>
      </c>
      <c r="K960" s="56" t="str">
        <f t="shared" si="59"/>
        <v>Wednesday</v>
      </c>
      <c r="L960" s="18" t="str">
        <f>IF(OR(G960&gt;Answers!I975,G960&lt;Answers!I976),"Outlier","Normal")</f>
        <v>Outlier</v>
      </c>
      <c r="M960" s="18">
        <v>63</v>
      </c>
    </row>
    <row r="961" spans="1:13" ht="20" customHeight="1" x14ac:dyDescent="0.35">
      <c r="A961" s="17">
        <v>631808</v>
      </c>
      <c r="B961" s="18">
        <v>1219</v>
      </c>
      <c r="C961" s="23" t="s">
        <v>99</v>
      </c>
      <c r="D961" s="24">
        <v>45234.04583333333</v>
      </c>
      <c r="E961" s="18" t="s">
        <v>96</v>
      </c>
      <c r="F961" s="18" t="s">
        <v>65</v>
      </c>
      <c r="G961" s="18">
        <v>9502</v>
      </c>
      <c r="H961" s="25">
        <f t="shared" si="56"/>
        <v>45234</v>
      </c>
      <c r="I961" s="26">
        <f t="shared" si="57"/>
        <v>4.5833333329937886E-2</v>
      </c>
      <c r="J961" s="18" t="str">
        <f t="shared" si="58"/>
        <v>November</v>
      </c>
      <c r="K961" s="56" t="str">
        <f t="shared" si="59"/>
        <v>Saturday</v>
      </c>
      <c r="L961" s="18" t="str">
        <f>IF(OR(G961&gt;Answers!I976,G961&lt;Answers!I977),"Outlier","Normal")</f>
        <v>Outlier</v>
      </c>
      <c r="M961" s="18">
        <v>19</v>
      </c>
    </row>
    <row r="962" spans="1:13" ht="20" customHeight="1" x14ac:dyDescent="0.35">
      <c r="A962" s="17">
        <v>633156</v>
      </c>
      <c r="B962" s="18">
        <v>990</v>
      </c>
      <c r="C962" s="23" t="s">
        <v>109</v>
      </c>
      <c r="D962" s="24">
        <v>44966.00277777778</v>
      </c>
      <c r="E962" s="18" t="s">
        <v>97</v>
      </c>
      <c r="F962" s="18" t="s">
        <v>62</v>
      </c>
      <c r="G962" s="18">
        <v>9361</v>
      </c>
      <c r="H962" s="25">
        <f t="shared" si="56"/>
        <v>44966</v>
      </c>
      <c r="I962" s="26">
        <f t="shared" si="57"/>
        <v>2.7777777795563452E-3</v>
      </c>
      <c r="J962" s="18" t="str">
        <f t="shared" si="58"/>
        <v>February</v>
      </c>
      <c r="K962" s="56" t="str">
        <f t="shared" si="59"/>
        <v>Thursday</v>
      </c>
      <c r="L962" s="18" t="str">
        <f>IF(OR(G962&gt;Answers!I977,G962&lt;Answers!I978),"Outlier","Normal")</f>
        <v>Outlier</v>
      </c>
      <c r="M962" s="18">
        <v>37</v>
      </c>
    </row>
    <row r="963" spans="1:13" ht="20" customHeight="1" x14ac:dyDescent="0.35">
      <c r="A963" s="17">
        <v>635137</v>
      </c>
      <c r="B963" s="18">
        <v>795</v>
      </c>
      <c r="C963" s="23" t="s">
        <v>102</v>
      </c>
      <c r="D963" s="24">
        <v>45114.018055555556</v>
      </c>
      <c r="E963" s="18" t="s">
        <v>97</v>
      </c>
      <c r="F963" s="18" t="s">
        <v>21</v>
      </c>
      <c r="G963" s="18">
        <v>7566</v>
      </c>
      <c r="H963" s="25">
        <f t="shared" ref="H963:H1026" si="60">INT(D963)</f>
        <v>45114</v>
      </c>
      <c r="I963" s="26">
        <f t="shared" ref="I963:I1026" si="61">MOD(D963,1)</f>
        <v>1.8055555556202307E-2</v>
      </c>
      <c r="J963" s="18" t="str">
        <f t="shared" ref="J963:J1026" si="62">TEXT(D963,"mmmm")</f>
        <v>July</v>
      </c>
      <c r="K963" s="56" t="str">
        <f t="shared" ref="K963:K1026" si="63">TEXT(D963,"dddd")</f>
        <v>Friday</v>
      </c>
      <c r="L963" s="18" t="str">
        <f>IF(OR(G963&gt;Answers!I978,G963&lt;Answers!I979),"Outlier","Normal")</f>
        <v>Outlier</v>
      </c>
      <c r="M963" s="18">
        <v>83</v>
      </c>
    </row>
    <row r="964" spans="1:13" ht="20" customHeight="1" x14ac:dyDescent="0.35">
      <c r="A964" s="17">
        <v>635304</v>
      </c>
      <c r="B964" s="18">
        <v>95</v>
      </c>
      <c r="C964" s="23" t="s">
        <v>113</v>
      </c>
      <c r="D964" s="24">
        <v>45207.061111111114</v>
      </c>
      <c r="E964" s="18" t="s">
        <v>97</v>
      </c>
      <c r="F964" s="18" t="s">
        <v>12</v>
      </c>
      <c r="G964" s="18">
        <v>201</v>
      </c>
      <c r="H964" s="25">
        <f t="shared" si="60"/>
        <v>45207</v>
      </c>
      <c r="I964" s="26">
        <f t="shared" si="61"/>
        <v>6.1111111113859806E-2</v>
      </c>
      <c r="J964" s="18" t="str">
        <f t="shared" si="62"/>
        <v>October</v>
      </c>
      <c r="K964" s="56" t="str">
        <f t="shared" si="63"/>
        <v>Sunday</v>
      </c>
      <c r="L964" s="18" t="str">
        <f>IF(OR(G964&gt;Answers!I979,G964&lt;Answers!I980),"Outlier","Normal")</f>
        <v>Outlier</v>
      </c>
      <c r="M964" s="18">
        <v>50</v>
      </c>
    </row>
    <row r="965" spans="1:13" ht="20" customHeight="1" x14ac:dyDescent="0.35">
      <c r="A965" s="17">
        <v>635743</v>
      </c>
      <c r="B965" s="18">
        <v>1239</v>
      </c>
      <c r="C965" s="23" t="s">
        <v>105</v>
      </c>
      <c r="D965" s="24">
        <v>45266.942361111112</v>
      </c>
      <c r="E965" s="18" t="s">
        <v>97</v>
      </c>
      <c r="F965" s="18" t="s">
        <v>29</v>
      </c>
      <c r="G965" s="18">
        <v>782</v>
      </c>
      <c r="H965" s="25">
        <f t="shared" si="60"/>
        <v>45266</v>
      </c>
      <c r="I965" s="26">
        <f t="shared" si="61"/>
        <v>0.94236111111240461</v>
      </c>
      <c r="J965" s="18" t="str">
        <f t="shared" si="62"/>
        <v>December</v>
      </c>
      <c r="K965" s="56" t="str">
        <f t="shared" si="63"/>
        <v>Wednesday</v>
      </c>
      <c r="L965" s="18" t="str">
        <f>IF(OR(G965&gt;Answers!I980,G965&lt;Answers!I981),"Outlier","Normal")</f>
        <v>Outlier</v>
      </c>
      <c r="M965" s="18">
        <v>86</v>
      </c>
    </row>
    <row r="966" spans="1:13" ht="20" customHeight="1" x14ac:dyDescent="0.35">
      <c r="A966" s="17">
        <v>636616</v>
      </c>
      <c r="B966" s="18">
        <v>51</v>
      </c>
      <c r="C966" s="23" t="s">
        <v>99</v>
      </c>
      <c r="D966" s="24">
        <v>44954.981249999997</v>
      </c>
      <c r="E966" s="18" t="s">
        <v>98</v>
      </c>
      <c r="F966" s="18" t="s">
        <v>24</v>
      </c>
      <c r="G966" s="18">
        <v>5103</v>
      </c>
      <c r="H966" s="25">
        <f t="shared" si="60"/>
        <v>44954</v>
      </c>
      <c r="I966" s="26">
        <f t="shared" si="61"/>
        <v>0.98124999999708962</v>
      </c>
      <c r="J966" s="18" t="str">
        <f t="shared" si="62"/>
        <v>January</v>
      </c>
      <c r="K966" s="56" t="str">
        <f t="shared" si="63"/>
        <v>Saturday</v>
      </c>
      <c r="L966" s="18" t="str">
        <f>IF(OR(G966&gt;Answers!I981,G966&lt;Answers!I982),"Outlier","Normal")</f>
        <v>Outlier</v>
      </c>
      <c r="M966" s="18">
        <v>63</v>
      </c>
    </row>
    <row r="967" spans="1:13" ht="20" customHeight="1" x14ac:dyDescent="0.35">
      <c r="A967" s="17">
        <v>636888</v>
      </c>
      <c r="B967" s="18">
        <v>770</v>
      </c>
      <c r="C967" s="23" t="s">
        <v>113</v>
      </c>
      <c r="D967" s="24">
        <v>45256.060416666667</v>
      </c>
      <c r="E967" s="18" t="s">
        <v>98</v>
      </c>
      <c r="F967" s="18" t="s">
        <v>30</v>
      </c>
      <c r="G967" s="18">
        <v>3115</v>
      </c>
      <c r="H967" s="25">
        <f t="shared" si="60"/>
        <v>45256</v>
      </c>
      <c r="I967" s="26">
        <f t="shared" si="61"/>
        <v>6.0416666667151731E-2</v>
      </c>
      <c r="J967" s="18" t="str">
        <f t="shared" si="62"/>
        <v>November</v>
      </c>
      <c r="K967" s="56" t="str">
        <f t="shared" si="63"/>
        <v>Sunday</v>
      </c>
      <c r="L967" s="18" t="str">
        <f>IF(OR(G967&gt;Answers!I982,G967&lt;Answers!I983),"Outlier","Normal")</f>
        <v>Outlier</v>
      </c>
      <c r="M967" s="18">
        <v>72</v>
      </c>
    </row>
    <row r="968" spans="1:13" ht="20" customHeight="1" x14ac:dyDescent="0.35">
      <c r="A968" s="17">
        <v>637916</v>
      </c>
      <c r="B968" s="18">
        <v>853</v>
      </c>
      <c r="C968" s="23" t="s">
        <v>99</v>
      </c>
      <c r="D968" s="24">
        <v>45137.01666666667</v>
      </c>
      <c r="E968" s="18" t="s">
        <v>96</v>
      </c>
      <c r="F968" s="18" t="s">
        <v>31</v>
      </c>
      <c r="G968" s="18">
        <v>613</v>
      </c>
      <c r="H968" s="25">
        <f t="shared" si="60"/>
        <v>45137</v>
      </c>
      <c r="I968" s="26">
        <f t="shared" si="61"/>
        <v>1.6666666670062114E-2</v>
      </c>
      <c r="J968" s="18" t="str">
        <f t="shared" si="62"/>
        <v>July</v>
      </c>
      <c r="K968" s="56" t="str">
        <f t="shared" si="63"/>
        <v>Sunday</v>
      </c>
      <c r="L968" s="18" t="str">
        <f>IF(OR(G968&gt;Answers!I983,G968&lt;Answers!I984),"Outlier","Normal")</f>
        <v>Outlier</v>
      </c>
      <c r="M968" s="18">
        <v>57</v>
      </c>
    </row>
    <row r="969" spans="1:13" ht="20" customHeight="1" x14ac:dyDescent="0.35">
      <c r="A969" s="17">
        <v>638044</v>
      </c>
      <c r="B969" s="18">
        <v>255</v>
      </c>
      <c r="C969" s="23" t="s">
        <v>107</v>
      </c>
      <c r="D969" s="24">
        <v>44955.981249999997</v>
      </c>
      <c r="E969" s="18" t="s">
        <v>96</v>
      </c>
      <c r="F969" s="18" t="s">
        <v>90</v>
      </c>
      <c r="G969" s="18">
        <v>8196</v>
      </c>
      <c r="H969" s="25">
        <f t="shared" si="60"/>
        <v>44955</v>
      </c>
      <c r="I969" s="26">
        <f t="shared" si="61"/>
        <v>0.98124999999708962</v>
      </c>
      <c r="J969" s="18" t="str">
        <f t="shared" si="62"/>
        <v>January</v>
      </c>
      <c r="K969" s="56" t="str">
        <f t="shared" si="63"/>
        <v>Sunday</v>
      </c>
      <c r="L969" s="18" t="str">
        <f>IF(OR(G969&gt;Answers!I984,G969&lt;Answers!I985),"Outlier","Normal")</f>
        <v>Outlier</v>
      </c>
      <c r="M969" s="18">
        <v>62</v>
      </c>
    </row>
    <row r="970" spans="1:13" ht="20" customHeight="1" x14ac:dyDescent="0.35">
      <c r="A970" s="17">
        <v>638603</v>
      </c>
      <c r="B970" s="18">
        <v>876</v>
      </c>
      <c r="C970" s="23" t="s">
        <v>99</v>
      </c>
      <c r="D970" s="24">
        <v>45074.079861111109</v>
      </c>
      <c r="E970" s="18" t="s">
        <v>97</v>
      </c>
      <c r="F970" s="18" t="s">
        <v>33</v>
      </c>
      <c r="G970" s="18">
        <v>4319</v>
      </c>
      <c r="H970" s="25">
        <f t="shared" si="60"/>
        <v>45074</v>
      </c>
      <c r="I970" s="26">
        <f t="shared" si="61"/>
        <v>7.9861111109494232E-2</v>
      </c>
      <c r="J970" s="18" t="str">
        <f t="shared" si="62"/>
        <v>May</v>
      </c>
      <c r="K970" s="56" t="str">
        <f t="shared" si="63"/>
        <v>Sunday</v>
      </c>
      <c r="L970" s="18" t="str">
        <f>IF(OR(G970&gt;Answers!I985,G970&lt;Answers!I986),"Outlier","Normal")</f>
        <v>Outlier</v>
      </c>
      <c r="M970" s="18">
        <v>76</v>
      </c>
    </row>
    <row r="971" spans="1:13" ht="20" customHeight="1" x14ac:dyDescent="0.35">
      <c r="A971" s="17">
        <v>639027</v>
      </c>
      <c r="B971" s="18">
        <v>390</v>
      </c>
      <c r="C971" s="23" t="s">
        <v>113</v>
      </c>
      <c r="D971" s="24">
        <v>45131.989583333336</v>
      </c>
      <c r="E971" s="18" t="s">
        <v>96</v>
      </c>
      <c r="F971" s="18" t="s">
        <v>91</v>
      </c>
      <c r="G971" s="18">
        <v>2403</v>
      </c>
      <c r="H971" s="25">
        <f t="shared" si="60"/>
        <v>45131</v>
      </c>
      <c r="I971" s="26">
        <f t="shared" si="61"/>
        <v>0.98958333333575865</v>
      </c>
      <c r="J971" s="18" t="str">
        <f t="shared" si="62"/>
        <v>July</v>
      </c>
      <c r="K971" s="56" t="str">
        <f t="shared" si="63"/>
        <v>Monday</v>
      </c>
      <c r="L971" s="18" t="str">
        <f>IF(OR(G971&gt;Answers!I986,G971&lt;Answers!I987),"Outlier","Normal")</f>
        <v>Outlier</v>
      </c>
      <c r="M971" s="18">
        <v>89</v>
      </c>
    </row>
    <row r="972" spans="1:13" ht="20" customHeight="1" x14ac:dyDescent="0.35">
      <c r="A972" s="17">
        <v>640940</v>
      </c>
      <c r="B972" s="18">
        <v>1725</v>
      </c>
      <c r="C972" s="23" t="s">
        <v>99</v>
      </c>
      <c r="D972" s="24">
        <v>44986.98333333333</v>
      </c>
      <c r="E972" s="18" t="s">
        <v>133</v>
      </c>
      <c r="F972" s="18" t="s">
        <v>35</v>
      </c>
      <c r="G972" s="18">
        <v>3582</v>
      </c>
      <c r="H972" s="25">
        <f t="shared" si="60"/>
        <v>44986</v>
      </c>
      <c r="I972" s="26">
        <f t="shared" si="61"/>
        <v>0.98333333332993789</v>
      </c>
      <c r="J972" s="18" t="str">
        <f t="shared" si="62"/>
        <v>March</v>
      </c>
      <c r="K972" s="56" t="str">
        <f t="shared" si="63"/>
        <v>Wednesday</v>
      </c>
      <c r="L972" s="18" t="str">
        <f>IF(OR(G972&gt;Answers!I987,G972&lt;Answers!I988),"Outlier","Normal")</f>
        <v>Outlier</v>
      </c>
      <c r="M972" s="18">
        <v>81</v>
      </c>
    </row>
    <row r="973" spans="1:13" ht="20" customHeight="1" x14ac:dyDescent="0.35">
      <c r="A973" s="17">
        <v>640945</v>
      </c>
      <c r="B973" s="18">
        <v>174</v>
      </c>
      <c r="C973" s="23" t="s">
        <v>107</v>
      </c>
      <c r="D973" s="24">
        <v>45062.006249999999</v>
      </c>
      <c r="E973" s="18" t="s">
        <v>133</v>
      </c>
      <c r="F973" s="18" t="s">
        <v>36</v>
      </c>
      <c r="G973" s="18">
        <v>5492</v>
      </c>
      <c r="H973" s="25">
        <f t="shared" si="60"/>
        <v>45062</v>
      </c>
      <c r="I973" s="26">
        <f t="shared" si="61"/>
        <v>6.2499999985448085E-3</v>
      </c>
      <c r="J973" s="18" t="str">
        <f t="shared" si="62"/>
        <v>May</v>
      </c>
      <c r="K973" s="56" t="str">
        <f t="shared" si="63"/>
        <v>Tuesday</v>
      </c>
      <c r="L973" s="18" t="str">
        <f>IF(OR(G973&gt;Answers!I988,G973&lt;Answers!I989),"Outlier","Normal")</f>
        <v>Outlier</v>
      </c>
      <c r="M973" s="18">
        <v>68</v>
      </c>
    </row>
    <row r="974" spans="1:13" ht="20" customHeight="1" x14ac:dyDescent="0.35">
      <c r="A974" s="17">
        <v>641229</v>
      </c>
      <c r="B974" s="18">
        <v>781</v>
      </c>
      <c r="C974" s="23" t="s">
        <v>102</v>
      </c>
      <c r="D974" s="24">
        <v>44936.990277777775</v>
      </c>
      <c r="E974" s="18" t="s">
        <v>133</v>
      </c>
      <c r="F974" s="18" t="s">
        <v>37</v>
      </c>
      <c r="G974" s="18">
        <v>5740</v>
      </c>
      <c r="H974" s="25">
        <f t="shared" si="60"/>
        <v>44936</v>
      </c>
      <c r="I974" s="26">
        <f t="shared" si="61"/>
        <v>0.99027777777519077</v>
      </c>
      <c r="J974" s="18" t="str">
        <f t="shared" si="62"/>
        <v>January</v>
      </c>
      <c r="K974" s="56" t="str">
        <f t="shared" si="63"/>
        <v>Tuesday</v>
      </c>
      <c r="L974" s="18" t="str">
        <f>IF(OR(G974&gt;Answers!I989,G974&lt;Answers!I990),"Outlier","Normal")</f>
        <v>Outlier</v>
      </c>
      <c r="M974" s="18">
        <v>66</v>
      </c>
    </row>
    <row r="975" spans="1:13" ht="20" customHeight="1" x14ac:dyDescent="0.35">
      <c r="A975" s="17">
        <v>641966</v>
      </c>
      <c r="B975" s="18">
        <v>1767</v>
      </c>
      <c r="C975" s="23" t="s">
        <v>100</v>
      </c>
      <c r="D975" s="24">
        <v>44965.067361111112</v>
      </c>
      <c r="E975" s="18" t="s">
        <v>133</v>
      </c>
      <c r="F975" s="18" t="s">
        <v>27</v>
      </c>
      <c r="G975" s="18">
        <v>3140</v>
      </c>
      <c r="H975" s="25">
        <f t="shared" si="60"/>
        <v>44965</v>
      </c>
      <c r="I975" s="26">
        <f t="shared" si="61"/>
        <v>6.7361111112404615E-2</v>
      </c>
      <c r="J975" s="18" t="str">
        <f t="shared" si="62"/>
        <v>February</v>
      </c>
      <c r="K975" s="56" t="str">
        <f t="shared" si="63"/>
        <v>Wednesday</v>
      </c>
      <c r="L975" s="18" t="str">
        <f>IF(OR(G975&gt;Answers!I990,G975&lt;Answers!I991),"Outlier","Normal")</f>
        <v>Outlier</v>
      </c>
      <c r="M975" s="18">
        <v>52</v>
      </c>
    </row>
    <row r="976" spans="1:13" ht="20" customHeight="1" x14ac:dyDescent="0.35">
      <c r="A976" s="17">
        <v>642754</v>
      </c>
      <c r="B976" s="18">
        <v>542</v>
      </c>
      <c r="C976" s="23" t="s">
        <v>101</v>
      </c>
      <c r="D976" s="24">
        <v>44963.027777777781</v>
      </c>
      <c r="E976" s="18" t="s">
        <v>133</v>
      </c>
      <c r="F976" s="18" t="s">
        <v>65</v>
      </c>
      <c r="G976" s="18">
        <v>4849</v>
      </c>
      <c r="H976" s="25">
        <f t="shared" si="60"/>
        <v>44963</v>
      </c>
      <c r="I976" s="26">
        <f t="shared" si="61"/>
        <v>2.7777777781011537E-2</v>
      </c>
      <c r="J976" s="18" t="str">
        <f t="shared" si="62"/>
        <v>February</v>
      </c>
      <c r="K976" s="56" t="str">
        <f t="shared" si="63"/>
        <v>Monday</v>
      </c>
      <c r="L976" s="18" t="str">
        <f>IF(OR(G976&gt;Answers!I991,G976&lt;Answers!I992),"Outlier","Normal")</f>
        <v>Outlier</v>
      </c>
      <c r="M976" s="18">
        <v>33</v>
      </c>
    </row>
    <row r="977" spans="1:13" ht="20" customHeight="1" x14ac:dyDescent="0.35">
      <c r="A977" s="17">
        <v>642874</v>
      </c>
      <c r="B977" s="18">
        <v>901</v>
      </c>
      <c r="C977" s="23" t="s">
        <v>99</v>
      </c>
      <c r="D977" s="24">
        <v>45206.037499999999</v>
      </c>
      <c r="E977" s="18" t="s">
        <v>98</v>
      </c>
      <c r="F977" s="18" t="s">
        <v>24</v>
      </c>
      <c r="G977" s="18">
        <v>1789</v>
      </c>
      <c r="H977" s="25">
        <f t="shared" si="60"/>
        <v>45206</v>
      </c>
      <c r="I977" s="26">
        <f t="shared" si="61"/>
        <v>3.7499999998544808E-2</v>
      </c>
      <c r="J977" s="18" t="str">
        <f t="shared" si="62"/>
        <v>October</v>
      </c>
      <c r="K977" s="56" t="str">
        <f t="shared" si="63"/>
        <v>Saturday</v>
      </c>
      <c r="L977" s="18" t="str">
        <f>IF(OR(G977&gt;Answers!I992,G977&lt;Answers!I993),"Outlier","Normal")</f>
        <v>Outlier</v>
      </c>
      <c r="M977" s="18">
        <v>44</v>
      </c>
    </row>
    <row r="978" spans="1:13" ht="20" customHeight="1" x14ac:dyDescent="0.35">
      <c r="A978" s="17">
        <v>645557</v>
      </c>
      <c r="B978" s="18">
        <v>1114</v>
      </c>
      <c r="C978" s="23" t="s">
        <v>113</v>
      </c>
      <c r="D978" s="24">
        <v>45185.981249999997</v>
      </c>
      <c r="E978" s="18" t="s">
        <v>133</v>
      </c>
      <c r="F978" s="18" t="s">
        <v>40</v>
      </c>
      <c r="G978" s="18">
        <v>1567</v>
      </c>
      <c r="H978" s="25">
        <f t="shared" si="60"/>
        <v>45185</v>
      </c>
      <c r="I978" s="26">
        <f t="shared" si="61"/>
        <v>0.98124999999708962</v>
      </c>
      <c r="J978" s="18" t="str">
        <f t="shared" si="62"/>
        <v>September</v>
      </c>
      <c r="K978" s="56" t="str">
        <f t="shared" si="63"/>
        <v>Saturday</v>
      </c>
      <c r="L978" s="18" t="str">
        <f>IF(OR(G978&gt;Answers!I993,G978&lt;Answers!I994),"Outlier","Normal")</f>
        <v>Outlier</v>
      </c>
      <c r="M978" s="18">
        <v>39</v>
      </c>
    </row>
    <row r="979" spans="1:13" ht="20" customHeight="1" x14ac:dyDescent="0.35">
      <c r="A979" s="17">
        <v>646139</v>
      </c>
      <c r="B979" s="18">
        <v>1792</v>
      </c>
      <c r="C979" s="23" t="s">
        <v>108</v>
      </c>
      <c r="D979" s="24">
        <v>45159.981249999997</v>
      </c>
      <c r="E979" s="18" t="s">
        <v>97</v>
      </c>
      <c r="F979" s="18" t="s">
        <v>41</v>
      </c>
      <c r="G979" s="18">
        <v>5161</v>
      </c>
      <c r="H979" s="25">
        <f t="shared" si="60"/>
        <v>45159</v>
      </c>
      <c r="I979" s="26">
        <f t="shared" si="61"/>
        <v>0.98124999999708962</v>
      </c>
      <c r="J979" s="18" t="str">
        <f t="shared" si="62"/>
        <v>August</v>
      </c>
      <c r="K979" s="56" t="str">
        <f t="shared" si="63"/>
        <v>Monday</v>
      </c>
      <c r="L979" s="18" t="str">
        <f>IF(OR(G979&gt;Answers!I994,G979&lt;Answers!I995),"Outlier","Normal")</f>
        <v>Outlier</v>
      </c>
      <c r="M979" s="18">
        <v>59</v>
      </c>
    </row>
    <row r="980" spans="1:13" ht="20" customHeight="1" x14ac:dyDescent="0.35">
      <c r="A980" s="17">
        <v>647292</v>
      </c>
      <c r="B980" s="18">
        <v>1553</v>
      </c>
      <c r="C980" s="23" t="s">
        <v>100</v>
      </c>
      <c r="D980" s="24">
        <v>44930.033333333333</v>
      </c>
      <c r="E980" s="18" t="s">
        <v>133</v>
      </c>
      <c r="F980" s="18" t="s">
        <v>42</v>
      </c>
      <c r="G980" s="18">
        <v>8207</v>
      </c>
      <c r="H980" s="25">
        <f t="shared" si="60"/>
        <v>44930</v>
      </c>
      <c r="I980" s="26">
        <f t="shared" si="61"/>
        <v>3.3333333332848269E-2</v>
      </c>
      <c r="J980" s="18" t="str">
        <f t="shared" si="62"/>
        <v>January</v>
      </c>
      <c r="K980" s="56" t="str">
        <f t="shared" si="63"/>
        <v>Wednesday</v>
      </c>
      <c r="L980" s="18" t="str">
        <f>IF(OR(G980&gt;Answers!I995,G980&lt;Answers!I996),"Outlier","Normal")</f>
        <v>Outlier</v>
      </c>
      <c r="M980" s="18">
        <v>81</v>
      </c>
    </row>
    <row r="981" spans="1:13" ht="20" customHeight="1" x14ac:dyDescent="0.35">
      <c r="A981" s="17">
        <v>649627</v>
      </c>
      <c r="B981" s="18">
        <v>159</v>
      </c>
      <c r="C981" s="23" t="s">
        <v>99</v>
      </c>
      <c r="D981" s="24">
        <v>45249.026388888888</v>
      </c>
      <c r="E981" s="18" t="s">
        <v>96</v>
      </c>
      <c r="F981" s="18" t="s">
        <v>43</v>
      </c>
      <c r="G981" s="18">
        <v>5618</v>
      </c>
      <c r="H981" s="25">
        <f t="shared" si="60"/>
        <v>45249</v>
      </c>
      <c r="I981" s="26">
        <f t="shared" si="61"/>
        <v>2.6388888887595385E-2</v>
      </c>
      <c r="J981" s="18" t="str">
        <f t="shared" si="62"/>
        <v>November</v>
      </c>
      <c r="K981" s="56" t="str">
        <f t="shared" si="63"/>
        <v>Sunday</v>
      </c>
      <c r="L981" s="18" t="str">
        <f>IF(OR(G981&gt;Answers!I996,G981&lt;Answers!I997),"Outlier","Normal")</f>
        <v>Outlier</v>
      </c>
      <c r="M981" s="18">
        <v>25</v>
      </c>
    </row>
    <row r="982" spans="1:13" ht="20" customHeight="1" x14ac:dyDescent="0.35">
      <c r="A982" s="17">
        <v>649787</v>
      </c>
      <c r="B982" s="18">
        <v>132</v>
      </c>
      <c r="C982" s="23" t="s">
        <v>105</v>
      </c>
      <c r="D982" s="24">
        <v>45001.029166666667</v>
      </c>
      <c r="E982" s="18" t="s">
        <v>98</v>
      </c>
      <c r="F982" s="18" t="s">
        <v>44</v>
      </c>
      <c r="G982" s="18">
        <v>8578</v>
      </c>
      <c r="H982" s="25">
        <f t="shared" si="60"/>
        <v>45001</v>
      </c>
      <c r="I982" s="26">
        <f t="shared" si="61"/>
        <v>2.9166666667151731E-2</v>
      </c>
      <c r="J982" s="18" t="str">
        <f t="shared" si="62"/>
        <v>March</v>
      </c>
      <c r="K982" s="56" t="str">
        <f t="shared" si="63"/>
        <v>Thursday</v>
      </c>
      <c r="L982" s="18" t="str">
        <f>IF(OR(G982&gt;Answers!I997,G982&lt;Answers!I998),"Outlier","Normal")</f>
        <v>Outlier</v>
      </c>
      <c r="M982" s="18">
        <v>50</v>
      </c>
    </row>
    <row r="983" spans="1:13" ht="20" customHeight="1" x14ac:dyDescent="0.35">
      <c r="A983" s="17">
        <v>650459</v>
      </c>
      <c r="B983" s="18">
        <v>928</v>
      </c>
      <c r="C983" s="23" t="s">
        <v>104</v>
      </c>
      <c r="D983" s="24">
        <v>45055.025694444441</v>
      </c>
      <c r="E983" s="18" t="s">
        <v>97</v>
      </c>
      <c r="F983" s="18" t="s">
        <v>81</v>
      </c>
      <c r="G983" s="18">
        <v>6510</v>
      </c>
      <c r="H983" s="25">
        <f t="shared" si="60"/>
        <v>45055</v>
      </c>
      <c r="I983" s="26">
        <f t="shared" si="61"/>
        <v>2.569444444088731E-2</v>
      </c>
      <c r="J983" s="18" t="str">
        <f t="shared" si="62"/>
        <v>May</v>
      </c>
      <c r="K983" s="56" t="str">
        <f t="shared" si="63"/>
        <v>Tuesday</v>
      </c>
      <c r="L983" s="18" t="str">
        <f>IF(OR(G983&gt;Answers!I998,G983&lt;Answers!I999),"Outlier","Normal")</f>
        <v>Outlier</v>
      </c>
      <c r="M983" s="18">
        <v>56</v>
      </c>
    </row>
    <row r="984" spans="1:13" ht="20" customHeight="1" x14ac:dyDescent="0.35">
      <c r="A984" s="17">
        <v>652344</v>
      </c>
      <c r="B984" s="18">
        <v>1854</v>
      </c>
      <c r="C984" s="23" t="s">
        <v>99</v>
      </c>
      <c r="D984" s="24">
        <v>45194.037499999999</v>
      </c>
      <c r="E984" s="18" t="s">
        <v>96</v>
      </c>
      <c r="F984" s="18" t="s">
        <v>14</v>
      </c>
      <c r="G984" s="18">
        <v>1170</v>
      </c>
      <c r="H984" s="25">
        <f t="shared" si="60"/>
        <v>45194</v>
      </c>
      <c r="I984" s="26">
        <f t="shared" si="61"/>
        <v>3.7499999998544808E-2</v>
      </c>
      <c r="J984" s="18" t="str">
        <f t="shared" si="62"/>
        <v>September</v>
      </c>
      <c r="K984" s="56" t="str">
        <f t="shared" si="63"/>
        <v>Monday</v>
      </c>
      <c r="L984" s="18" t="str">
        <f>IF(OR(G984&gt;Answers!I999,G984&lt;Answers!I1000),"Outlier","Normal")</f>
        <v>Outlier</v>
      </c>
      <c r="M984" s="18">
        <v>87</v>
      </c>
    </row>
    <row r="985" spans="1:13" ht="20" customHeight="1" x14ac:dyDescent="0.35">
      <c r="A985" s="17">
        <v>653986</v>
      </c>
      <c r="B985" s="18">
        <v>1079</v>
      </c>
      <c r="C985" s="23" t="s">
        <v>113</v>
      </c>
      <c r="D985" s="24">
        <v>45202.976388888892</v>
      </c>
      <c r="E985" s="18" t="s">
        <v>96</v>
      </c>
      <c r="F985" s="18" t="s">
        <v>43</v>
      </c>
      <c r="G985" s="18">
        <v>6834</v>
      </c>
      <c r="H985" s="25">
        <f t="shared" si="60"/>
        <v>45202</v>
      </c>
      <c r="I985" s="26">
        <f t="shared" si="61"/>
        <v>0.97638888889196096</v>
      </c>
      <c r="J985" s="18" t="str">
        <f t="shared" si="62"/>
        <v>October</v>
      </c>
      <c r="K985" s="56" t="str">
        <f t="shared" si="63"/>
        <v>Tuesday</v>
      </c>
      <c r="L985" s="18" t="str">
        <f>IF(OR(G985&gt;Answers!I1000,G985&lt;Answers!I1001),"Outlier","Normal")</f>
        <v>Outlier</v>
      </c>
      <c r="M985" s="18">
        <v>29</v>
      </c>
    </row>
    <row r="986" spans="1:13" ht="20" customHeight="1" x14ac:dyDescent="0.35">
      <c r="A986" s="17">
        <v>654071</v>
      </c>
      <c r="B986" s="18">
        <v>1039</v>
      </c>
      <c r="C986" s="23" t="s">
        <v>105</v>
      </c>
      <c r="D986" s="24">
        <v>45258.018055555556</v>
      </c>
      <c r="E986" s="18" t="s">
        <v>97</v>
      </c>
      <c r="F986" s="18" t="s">
        <v>45</v>
      </c>
      <c r="G986" s="18">
        <v>5670</v>
      </c>
      <c r="H986" s="25">
        <f t="shared" si="60"/>
        <v>45258</v>
      </c>
      <c r="I986" s="26">
        <f t="shared" si="61"/>
        <v>1.8055555556202307E-2</v>
      </c>
      <c r="J986" s="18" t="str">
        <f t="shared" si="62"/>
        <v>November</v>
      </c>
      <c r="K986" s="56" t="str">
        <f t="shared" si="63"/>
        <v>Tuesday</v>
      </c>
      <c r="L986" s="18" t="str">
        <f>IF(OR(G986&gt;Answers!I1001,G986&lt;Answers!I1002),"Outlier","Normal")</f>
        <v>Outlier</v>
      </c>
      <c r="M986" s="18">
        <v>66</v>
      </c>
    </row>
    <row r="987" spans="1:13" ht="20" customHeight="1" x14ac:dyDescent="0.35">
      <c r="A987" s="17">
        <v>655800</v>
      </c>
      <c r="B987" s="18">
        <v>672</v>
      </c>
      <c r="C987" s="23" t="s">
        <v>99</v>
      </c>
      <c r="D987" s="24">
        <v>44944.98541666667</v>
      </c>
      <c r="E987" s="18" t="s">
        <v>133</v>
      </c>
      <c r="F987" s="18" t="s">
        <v>8</v>
      </c>
      <c r="G987" s="18">
        <v>6855</v>
      </c>
      <c r="H987" s="25">
        <f t="shared" si="60"/>
        <v>44944</v>
      </c>
      <c r="I987" s="26">
        <f t="shared" si="61"/>
        <v>0.98541666667006211</v>
      </c>
      <c r="J987" s="18" t="str">
        <f t="shared" si="62"/>
        <v>January</v>
      </c>
      <c r="K987" s="56" t="str">
        <f t="shared" si="63"/>
        <v>Wednesday</v>
      </c>
      <c r="L987" s="18" t="str">
        <f>IF(OR(G987&gt;Answers!I1002,G987&lt;Answers!I1003),"Outlier","Normal")</f>
        <v>Outlier</v>
      </c>
      <c r="M987" s="18">
        <v>78</v>
      </c>
    </row>
    <row r="988" spans="1:13" ht="20" customHeight="1" x14ac:dyDescent="0.35">
      <c r="A988" s="17">
        <v>656865</v>
      </c>
      <c r="B988" s="18">
        <v>1462</v>
      </c>
      <c r="C988" s="23" t="s">
        <v>99</v>
      </c>
      <c r="D988" s="24">
        <v>45079.012499999997</v>
      </c>
      <c r="E988" s="18" t="s">
        <v>133</v>
      </c>
      <c r="F988" s="18" t="s">
        <v>67</v>
      </c>
      <c r="G988" s="18">
        <v>7427</v>
      </c>
      <c r="H988" s="25">
        <f t="shared" si="60"/>
        <v>45079</v>
      </c>
      <c r="I988" s="26">
        <f t="shared" si="61"/>
        <v>1.2499999997089617E-2</v>
      </c>
      <c r="J988" s="18" t="str">
        <f t="shared" si="62"/>
        <v>June</v>
      </c>
      <c r="K988" s="56" t="str">
        <f t="shared" si="63"/>
        <v>Friday</v>
      </c>
      <c r="L988" s="18" t="str">
        <f>IF(OR(G988&gt;Answers!I1003,G988&lt;Answers!I1004),"Outlier","Normal")</f>
        <v>Outlier</v>
      </c>
      <c r="M988" s="18">
        <v>65</v>
      </c>
    </row>
    <row r="989" spans="1:13" ht="20" customHeight="1" x14ac:dyDescent="0.35">
      <c r="A989" s="17">
        <v>656929</v>
      </c>
      <c r="B989" s="18">
        <v>1773</v>
      </c>
      <c r="C989" s="23" t="s">
        <v>99</v>
      </c>
      <c r="D989" s="24">
        <v>45278.986805555556</v>
      </c>
      <c r="E989" s="18" t="s">
        <v>97</v>
      </c>
      <c r="F989" s="18" t="s">
        <v>60</v>
      </c>
      <c r="G989" s="18">
        <v>2228</v>
      </c>
      <c r="H989" s="25">
        <f t="shared" si="60"/>
        <v>45278</v>
      </c>
      <c r="I989" s="26">
        <f t="shared" si="61"/>
        <v>0.98680555555620231</v>
      </c>
      <c r="J989" s="18" t="str">
        <f t="shared" si="62"/>
        <v>December</v>
      </c>
      <c r="K989" s="56" t="str">
        <f t="shared" si="63"/>
        <v>Monday</v>
      </c>
      <c r="L989" s="18" t="str">
        <f>IF(OR(G989&gt;Answers!I1004,G989&lt;Answers!I1005),"Outlier","Normal")</f>
        <v>Outlier</v>
      </c>
      <c r="M989" s="18">
        <v>22</v>
      </c>
    </row>
    <row r="990" spans="1:13" ht="20" customHeight="1" x14ac:dyDescent="0.35">
      <c r="A990" s="17">
        <v>658249</v>
      </c>
      <c r="B990" s="18">
        <v>1588</v>
      </c>
      <c r="C990" s="23" t="s">
        <v>100</v>
      </c>
      <c r="D990" s="24">
        <v>45160.965277777781</v>
      </c>
      <c r="E990" s="18" t="s">
        <v>133</v>
      </c>
      <c r="F990" s="18" t="s">
        <v>52</v>
      </c>
      <c r="G990" s="18">
        <v>6820</v>
      </c>
      <c r="H990" s="25">
        <f t="shared" si="60"/>
        <v>45160</v>
      </c>
      <c r="I990" s="26">
        <f t="shared" si="61"/>
        <v>0.96527777778101154</v>
      </c>
      <c r="J990" s="18" t="str">
        <f t="shared" si="62"/>
        <v>August</v>
      </c>
      <c r="K990" s="56" t="str">
        <f t="shared" si="63"/>
        <v>Tuesday</v>
      </c>
      <c r="L990" s="18" t="str">
        <f>IF(OR(G990&gt;Answers!I1005,G990&lt;Answers!I1006),"Outlier","Normal")</f>
        <v>Outlier</v>
      </c>
      <c r="M990" s="18">
        <v>74</v>
      </c>
    </row>
    <row r="991" spans="1:13" ht="20" customHeight="1" x14ac:dyDescent="0.35">
      <c r="A991" s="17">
        <v>658815</v>
      </c>
      <c r="B991" s="18">
        <v>1190</v>
      </c>
      <c r="C991" s="23" t="s">
        <v>103</v>
      </c>
      <c r="D991" s="24">
        <v>45255.010416666664</v>
      </c>
      <c r="E991" s="18" t="s">
        <v>133</v>
      </c>
      <c r="F991" s="18" t="s">
        <v>30</v>
      </c>
      <c r="G991" s="18">
        <v>5243</v>
      </c>
      <c r="H991" s="25">
        <f t="shared" si="60"/>
        <v>45255</v>
      </c>
      <c r="I991" s="26">
        <f t="shared" si="61"/>
        <v>1.0416666664241347E-2</v>
      </c>
      <c r="J991" s="18" t="str">
        <f t="shared" si="62"/>
        <v>November</v>
      </c>
      <c r="K991" s="56" t="str">
        <f t="shared" si="63"/>
        <v>Saturday</v>
      </c>
      <c r="L991" s="18" t="str">
        <f>IF(OR(G991&gt;Answers!I1006,G991&lt;Answers!I1007),"Outlier","Normal")</f>
        <v>Outlier</v>
      </c>
      <c r="M991" s="18">
        <v>50</v>
      </c>
    </row>
    <row r="992" spans="1:13" ht="20" customHeight="1" x14ac:dyDescent="0.35">
      <c r="A992" s="17">
        <v>659390</v>
      </c>
      <c r="B992" s="18">
        <v>159</v>
      </c>
      <c r="C992" s="23" t="s">
        <v>99</v>
      </c>
      <c r="D992" s="24">
        <v>45276.010416666664</v>
      </c>
      <c r="E992" s="18" t="s">
        <v>97</v>
      </c>
      <c r="F992" s="18" t="s">
        <v>27</v>
      </c>
      <c r="G992" s="18">
        <v>2372</v>
      </c>
      <c r="H992" s="25">
        <f t="shared" si="60"/>
        <v>45276</v>
      </c>
      <c r="I992" s="26">
        <f t="shared" si="61"/>
        <v>1.0416666664241347E-2</v>
      </c>
      <c r="J992" s="18" t="str">
        <f t="shared" si="62"/>
        <v>December</v>
      </c>
      <c r="K992" s="56" t="str">
        <f t="shared" si="63"/>
        <v>Saturday</v>
      </c>
      <c r="L992" s="18" t="str">
        <f>IF(OR(G992&gt;Answers!I1007,G992&lt;Answers!I1008),"Outlier","Normal")</f>
        <v>Outlier</v>
      </c>
      <c r="M992" s="18">
        <v>25</v>
      </c>
    </row>
    <row r="993" spans="1:13" ht="20" customHeight="1" x14ac:dyDescent="0.35">
      <c r="A993" s="17">
        <v>659698</v>
      </c>
      <c r="B993" s="18">
        <v>767</v>
      </c>
      <c r="C993" s="23" t="s">
        <v>99</v>
      </c>
      <c r="D993" s="24">
        <v>45168.055555555555</v>
      </c>
      <c r="E993" s="18" t="s">
        <v>98</v>
      </c>
      <c r="F993" s="18" t="s">
        <v>43</v>
      </c>
      <c r="G993" s="18">
        <v>6482</v>
      </c>
      <c r="H993" s="25">
        <f t="shared" si="60"/>
        <v>45168</v>
      </c>
      <c r="I993" s="26">
        <f t="shared" si="61"/>
        <v>5.5555555554747116E-2</v>
      </c>
      <c r="J993" s="18" t="str">
        <f t="shared" si="62"/>
        <v>August</v>
      </c>
      <c r="K993" s="56" t="str">
        <f t="shared" si="63"/>
        <v>Wednesday</v>
      </c>
      <c r="L993" s="18" t="str">
        <f>IF(OR(G993&gt;Answers!I1008,G993&lt;Answers!I1009),"Outlier","Normal")</f>
        <v>Outlier</v>
      </c>
      <c r="M993" s="18">
        <v>30</v>
      </c>
    </row>
    <row r="994" spans="1:13" ht="20" customHeight="1" x14ac:dyDescent="0.35">
      <c r="A994" s="17">
        <v>659911</v>
      </c>
      <c r="B994" s="18">
        <v>983</v>
      </c>
      <c r="C994" s="23" t="s">
        <v>99</v>
      </c>
      <c r="D994" s="24">
        <v>45144.053472222222</v>
      </c>
      <c r="E994" s="18" t="s">
        <v>96</v>
      </c>
      <c r="F994" s="18" t="s">
        <v>27</v>
      </c>
      <c r="G994" s="18">
        <v>1431</v>
      </c>
      <c r="H994" s="25">
        <f t="shared" si="60"/>
        <v>45144</v>
      </c>
      <c r="I994" s="26">
        <f t="shared" si="61"/>
        <v>5.3472222221898846E-2</v>
      </c>
      <c r="J994" s="18" t="str">
        <f t="shared" si="62"/>
        <v>August</v>
      </c>
      <c r="K994" s="56" t="str">
        <f t="shared" si="63"/>
        <v>Sunday</v>
      </c>
      <c r="L994" s="18" t="str">
        <f>IF(OR(G994&gt;Answers!I1009,G994&lt;Answers!I1010),"Outlier","Normal")</f>
        <v>Outlier</v>
      </c>
      <c r="M994" s="18">
        <v>58</v>
      </c>
    </row>
    <row r="995" spans="1:13" ht="20" customHeight="1" x14ac:dyDescent="0.35">
      <c r="A995" s="17">
        <v>660187</v>
      </c>
      <c r="B995" s="18">
        <v>1374</v>
      </c>
      <c r="C995" s="23" t="s">
        <v>100</v>
      </c>
      <c r="D995" s="24">
        <v>45130.959722222222</v>
      </c>
      <c r="E995" s="18" t="s">
        <v>96</v>
      </c>
      <c r="F995" s="18" t="s">
        <v>25</v>
      </c>
      <c r="G995" s="18">
        <v>6369</v>
      </c>
      <c r="H995" s="25">
        <f t="shared" si="60"/>
        <v>45130</v>
      </c>
      <c r="I995" s="26">
        <f t="shared" si="61"/>
        <v>0.95972222222189885</v>
      </c>
      <c r="J995" s="18" t="str">
        <f t="shared" si="62"/>
        <v>July</v>
      </c>
      <c r="K995" s="56" t="str">
        <f t="shared" si="63"/>
        <v>Sunday</v>
      </c>
      <c r="L995" s="18" t="str">
        <f>IF(OR(G995&gt;Answers!I1010,G995&lt;Answers!I1011),"Outlier","Normal")</f>
        <v>Outlier</v>
      </c>
      <c r="M995" s="18">
        <v>80</v>
      </c>
    </row>
    <row r="996" spans="1:13" ht="20" customHeight="1" x14ac:dyDescent="0.35">
      <c r="A996" s="17">
        <v>660830</v>
      </c>
      <c r="B996" s="18">
        <v>1404</v>
      </c>
      <c r="C996" s="23" t="s">
        <v>99</v>
      </c>
      <c r="D996" s="24">
        <v>44932.000694444447</v>
      </c>
      <c r="E996" s="18" t="s">
        <v>133</v>
      </c>
      <c r="F996" s="18" t="s">
        <v>80</v>
      </c>
      <c r="G996" s="18">
        <v>7643</v>
      </c>
      <c r="H996" s="25">
        <f t="shared" si="60"/>
        <v>44932</v>
      </c>
      <c r="I996" s="26">
        <f t="shared" si="61"/>
        <v>6.944444467080757E-4</v>
      </c>
      <c r="J996" s="18" t="str">
        <f t="shared" si="62"/>
        <v>January</v>
      </c>
      <c r="K996" s="56" t="str">
        <f t="shared" si="63"/>
        <v>Friday</v>
      </c>
      <c r="L996" s="18" t="str">
        <f>IF(OR(G996&gt;Answers!I1011,G996&lt;Answers!I1012),"Outlier","Normal")</f>
        <v>Outlier</v>
      </c>
      <c r="M996" s="18">
        <v>59</v>
      </c>
    </row>
    <row r="997" spans="1:13" ht="20" customHeight="1" x14ac:dyDescent="0.35">
      <c r="A997" s="17">
        <v>661163</v>
      </c>
      <c r="B997" s="18">
        <v>1426</v>
      </c>
      <c r="C997" s="23" t="s">
        <v>99</v>
      </c>
      <c r="D997" s="24">
        <v>45001.034722222219</v>
      </c>
      <c r="E997" s="18" t="s">
        <v>133</v>
      </c>
      <c r="F997" s="18" t="s">
        <v>54</v>
      </c>
      <c r="G997" s="18">
        <v>5069</v>
      </c>
      <c r="H997" s="25">
        <f t="shared" si="60"/>
        <v>45001</v>
      </c>
      <c r="I997" s="26">
        <f t="shared" si="61"/>
        <v>3.4722222218988463E-2</v>
      </c>
      <c r="J997" s="18" t="str">
        <f t="shared" si="62"/>
        <v>March</v>
      </c>
      <c r="K997" s="56" t="str">
        <f t="shared" si="63"/>
        <v>Thursday</v>
      </c>
      <c r="L997" s="18" t="str">
        <f>IF(OR(G997&gt;Answers!I1012,G997&lt;Answers!I1013),"Outlier","Normal")</f>
        <v>Outlier</v>
      </c>
      <c r="M997" s="18">
        <v>37</v>
      </c>
    </row>
    <row r="998" spans="1:13" ht="20" customHeight="1" x14ac:dyDescent="0.35">
      <c r="A998" s="17">
        <v>661382</v>
      </c>
      <c r="B998" s="18">
        <v>1488</v>
      </c>
      <c r="C998" s="23" t="s">
        <v>99</v>
      </c>
      <c r="D998" s="24">
        <v>44949.968055555553</v>
      </c>
      <c r="E998" s="18" t="s">
        <v>133</v>
      </c>
      <c r="F998" s="18" t="s">
        <v>38</v>
      </c>
      <c r="G998" s="18">
        <v>970</v>
      </c>
      <c r="H998" s="25">
        <f t="shared" si="60"/>
        <v>44949</v>
      </c>
      <c r="I998" s="26">
        <f t="shared" si="61"/>
        <v>0.96805555555329192</v>
      </c>
      <c r="J998" s="18" t="str">
        <f t="shared" si="62"/>
        <v>January</v>
      </c>
      <c r="K998" s="56" t="str">
        <f t="shared" si="63"/>
        <v>Monday</v>
      </c>
      <c r="L998" s="18" t="str">
        <f>IF(OR(G998&gt;Answers!I1013,G998&lt;Answers!I1014),"Outlier","Normal")</f>
        <v>Outlier</v>
      </c>
      <c r="M998" s="18">
        <v>35</v>
      </c>
    </row>
    <row r="999" spans="1:13" ht="20" customHeight="1" x14ac:dyDescent="0.35">
      <c r="A999" s="17">
        <v>661822</v>
      </c>
      <c r="B999" s="18">
        <v>177</v>
      </c>
      <c r="C999" s="23" t="s">
        <v>113</v>
      </c>
      <c r="D999" s="24">
        <v>45214.984027777777</v>
      </c>
      <c r="E999" s="18" t="s">
        <v>133</v>
      </c>
      <c r="F999" s="18" t="s">
        <v>34</v>
      </c>
      <c r="G999" s="18">
        <v>2352</v>
      </c>
      <c r="H999" s="25">
        <f t="shared" si="60"/>
        <v>45214</v>
      </c>
      <c r="I999" s="26">
        <f t="shared" si="61"/>
        <v>0.98402777777664596</v>
      </c>
      <c r="J999" s="18" t="str">
        <f t="shared" si="62"/>
        <v>October</v>
      </c>
      <c r="K999" s="56" t="str">
        <f t="shared" si="63"/>
        <v>Sunday</v>
      </c>
      <c r="L999" s="18" t="str">
        <f>IF(OR(G999&gt;Answers!I1014,G999&lt;Answers!I1015),"Outlier","Normal")</f>
        <v>Outlier</v>
      </c>
      <c r="M999" s="18">
        <v>75</v>
      </c>
    </row>
    <row r="1000" spans="1:13" ht="20" customHeight="1" x14ac:dyDescent="0.35">
      <c r="A1000" s="17">
        <v>662950</v>
      </c>
      <c r="B1000" s="18">
        <v>1320</v>
      </c>
      <c r="C1000" s="23" t="s">
        <v>109</v>
      </c>
      <c r="D1000" s="24">
        <v>45098.981944444444</v>
      </c>
      <c r="E1000" s="18" t="s">
        <v>97</v>
      </c>
      <c r="F1000" s="18" t="s">
        <v>60</v>
      </c>
      <c r="G1000" s="18">
        <v>8477</v>
      </c>
      <c r="H1000" s="25">
        <f t="shared" si="60"/>
        <v>45098</v>
      </c>
      <c r="I1000" s="26">
        <f t="shared" si="61"/>
        <v>0.98194444444379769</v>
      </c>
      <c r="J1000" s="18" t="str">
        <f t="shared" si="62"/>
        <v>June</v>
      </c>
      <c r="K1000" s="56" t="str">
        <f t="shared" si="63"/>
        <v>Wednesday</v>
      </c>
      <c r="L1000" s="18" t="str">
        <f>IF(OR(G1000&gt;Answers!I1015,G1000&lt;Answers!I1016),"Outlier","Normal")</f>
        <v>Outlier</v>
      </c>
      <c r="M1000" s="18">
        <v>71</v>
      </c>
    </row>
    <row r="1001" spans="1:13" ht="20" customHeight="1" x14ac:dyDescent="0.35">
      <c r="A1001" s="17">
        <v>663055</v>
      </c>
      <c r="B1001" s="18">
        <v>626</v>
      </c>
      <c r="C1001" s="23" t="s">
        <v>99</v>
      </c>
      <c r="D1001" s="24">
        <v>45096.975694444445</v>
      </c>
      <c r="E1001" s="18" t="s">
        <v>97</v>
      </c>
      <c r="F1001" s="18" t="s">
        <v>63</v>
      </c>
      <c r="G1001" s="18">
        <v>6976</v>
      </c>
      <c r="H1001" s="25">
        <f t="shared" si="60"/>
        <v>45096</v>
      </c>
      <c r="I1001" s="26">
        <f t="shared" si="61"/>
        <v>0.97569444444525288</v>
      </c>
      <c r="J1001" s="18" t="str">
        <f t="shared" si="62"/>
        <v>June</v>
      </c>
      <c r="K1001" s="56" t="str">
        <f t="shared" si="63"/>
        <v>Monday</v>
      </c>
      <c r="L1001" s="18" t="str">
        <f>IF(OR(G1001&gt;Answers!I1016,G1001&lt;Answers!I1017),"Outlier","Normal")</f>
        <v>Outlier</v>
      </c>
      <c r="M1001" s="18">
        <v>59</v>
      </c>
    </row>
    <row r="1002" spans="1:13" ht="20" customHeight="1" x14ac:dyDescent="0.35">
      <c r="A1002" s="17">
        <v>664585</v>
      </c>
      <c r="B1002" s="18">
        <v>1236</v>
      </c>
      <c r="C1002" s="23" t="s">
        <v>99</v>
      </c>
      <c r="D1002" s="27">
        <v>45087.034722222219</v>
      </c>
      <c r="E1002" s="18" t="s">
        <v>133</v>
      </c>
      <c r="F1002" s="18" t="s">
        <v>4</v>
      </c>
      <c r="G1002" s="18">
        <v>9357</v>
      </c>
      <c r="H1002" s="25">
        <f t="shared" si="60"/>
        <v>45087</v>
      </c>
      <c r="I1002" s="26">
        <f t="shared" si="61"/>
        <v>3.4722222218988463E-2</v>
      </c>
      <c r="J1002" s="18" t="str">
        <f t="shared" si="62"/>
        <v>June</v>
      </c>
      <c r="K1002" s="56" t="str">
        <f t="shared" si="63"/>
        <v>Saturday</v>
      </c>
      <c r="L1002" s="18" t="str">
        <f>IF(OR(G1002&gt;Answers!I1017,G1002&lt;Answers!I1018),"Outlier","Normal")</f>
        <v>Outlier</v>
      </c>
      <c r="M1002" s="18">
        <v>47</v>
      </c>
    </row>
    <row r="1003" spans="1:13" ht="20" customHeight="1" x14ac:dyDescent="0.35">
      <c r="A1003" s="17">
        <v>664724</v>
      </c>
      <c r="B1003" s="18">
        <v>29</v>
      </c>
      <c r="C1003" s="23" t="s">
        <v>105</v>
      </c>
      <c r="D1003" s="27">
        <v>45176.986111111109</v>
      </c>
      <c r="E1003" s="18" t="s">
        <v>97</v>
      </c>
      <c r="F1003" s="18" t="s">
        <v>60</v>
      </c>
      <c r="G1003" s="18">
        <v>6535</v>
      </c>
      <c r="H1003" s="25">
        <f t="shared" si="60"/>
        <v>45176</v>
      </c>
      <c r="I1003" s="26">
        <f t="shared" si="61"/>
        <v>0.98611111110949423</v>
      </c>
      <c r="J1003" s="18" t="str">
        <f t="shared" si="62"/>
        <v>September</v>
      </c>
      <c r="K1003" s="56" t="str">
        <f t="shared" si="63"/>
        <v>Thursday</v>
      </c>
      <c r="L1003" s="18" t="str">
        <f>IF(OR(G1003&gt;Answers!I1018,G1003&lt;Answers!I1019),"Outlier","Normal")</f>
        <v>Outlier</v>
      </c>
      <c r="M1003" s="18">
        <v>19</v>
      </c>
    </row>
    <row r="1004" spans="1:13" ht="20" customHeight="1" x14ac:dyDescent="0.35">
      <c r="A1004" s="17">
        <v>666564</v>
      </c>
      <c r="B1004" s="18">
        <v>1217</v>
      </c>
      <c r="C1004" s="23" t="s">
        <v>99</v>
      </c>
      <c r="D1004" s="27">
        <v>44948.01458333333</v>
      </c>
      <c r="E1004" s="18" t="s">
        <v>96</v>
      </c>
      <c r="F1004" s="18" t="s">
        <v>43</v>
      </c>
      <c r="G1004" s="18">
        <v>5348</v>
      </c>
      <c r="H1004" s="25">
        <f t="shared" si="60"/>
        <v>44948</v>
      </c>
      <c r="I1004" s="26">
        <f t="shared" si="61"/>
        <v>1.4583333329937886E-2</v>
      </c>
      <c r="J1004" s="18" t="str">
        <f t="shared" si="62"/>
        <v>January</v>
      </c>
      <c r="K1004" s="56" t="str">
        <f t="shared" si="63"/>
        <v>Sunday</v>
      </c>
      <c r="L1004" s="18" t="str">
        <f>IF(OR(G1004&gt;Answers!I1019,G1004&lt;Answers!I1020),"Outlier","Normal")</f>
        <v>Outlier</v>
      </c>
      <c r="M1004" s="18">
        <v>68</v>
      </c>
    </row>
    <row r="1005" spans="1:13" ht="20" customHeight="1" x14ac:dyDescent="0.35">
      <c r="A1005" s="17">
        <v>666686</v>
      </c>
      <c r="B1005" s="18">
        <v>1580</v>
      </c>
      <c r="C1005" s="23" t="s">
        <v>101</v>
      </c>
      <c r="D1005" s="27">
        <v>45269.021527777775</v>
      </c>
      <c r="E1005" s="18" t="s">
        <v>133</v>
      </c>
      <c r="F1005" s="18" t="s">
        <v>40</v>
      </c>
      <c r="G1005" s="18">
        <v>3933</v>
      </c>
      <c r="H1005" s="25">
        <f t="shared" si="60"/>
        <v>45269</v>
      </c>
      <c r="I1005" s="26">
        <f t="shared" si="61"/>
        <v>2.1527777775190771E-2</v>
      </c>
      <c r="J1005" s="18" t="str">
        <f t="shared" si="62"/>
        <v>December</v>
      </c>
      <c r="K1005" s="56" t="str">
        <f t="shared" si="63"/>
        <v>Saturday</v>
      </c>
      <c r="L1005" s="18" t="str">
        <f>IF(OR(G1005&gt;Answers!I1020,G1005&lt;Answers!I1021),"Outlier","Normal")</f>
        <v>Outlier</v>
      </c>
      <c r="M1005" s="18">
        <v>85</v>
      </c>
    </row>
    <row r="1006" spans="1:13" ht="20" customHeight="1" x14ac:dyDescent="0.35">
      <c r="A1006" s="17">
        <v>668693</v>
      </c>
      <c r="B1006" s="18">
        <v>27</v>
      </c>
      <c r="C1006" s="23" t="s">
        <v>99</v>
      </c>
      <c r="D1006" s="27">
        <v>44936.96597222222</v>
      </c>
      <c r="E1006" s="18" t="s">
        <v>133</v>
      </c>
      <c r="F1006" s="18" t="s">
        <v>81</v>
      </c>
      <c r="G1006" s="18">
        <v>3654</v>
      </c>
      <c r="H1006" s="25">
        <f t="shared" si="60"/>
        <v>44936</v>
      </c>
      <c r="I1006" s="26">
        <f t="shared" si="61"/>
        <v>0.96597222222044365</v>
      </c>
      <c r="J1006" s="18" t="str">
        <f t="shared" si="62"/>
        <v>January</v>
      </c>
      <c r="K1006" s="56" t="str">
        <f t="shared" si="63"/>
        <v>Tuesday</v>
      </c>
      <c r="L1006" s="18" t="str">
        <f>IF(OR(G1006&gt;Answers!I1021,G1006&lt;Answers!I1022),"Outlier","Normal")</f>
        <v>Outlier</v>
      </c>
      <c r="M1006" s="18">
        <v>66</v>
      </c>
    </row>
    <row r="1007" spans="1:13" ht="20" customHeight="1" x14ac:dyDescent="0.35">
      <c r="A1007" s="17">
        <v>670170</v>
      </c>
      <c r="B1007" s="18">
        <v>1773</v>
      </c>
      <c r="C1007" s="23" t="s">
        <v>99</v>
      </c>
      <c r="D1007" s="27">
        <v>45009.952777777777</v>
      </c>
      <c r="E1007" s="18" t="s">
        <v>133</v>
      </c>
      <c r="F1007" s="18" t="s">
        <v>82</v>
      </c>
      <c r="G1007" s="18">
        <v>877</v>
      </c>
      <c r="H1007" s="25">
        <f t="shared" si="60"/>
        <v>45009</v>
      </c>
      <c r="I1007" s="26">
        <f t="shared" si="61"/>
        <v>0.95277777777664596</v>
      </c>
      <c r="J1007" s="18" t="str">
        <f t="shared" si="62"/>
        <v>March</v>
      </c>
      <c r="K1007" s="56" t="str">
        <f t="shared" si="63"/>
        <v>Friday</v>
      </c>
      <c r="L1007" s="18" t="str">
        <f>IF(OR(G1007&gt;Answers!I1022,G1007&lt;Answers!I1023),"Outlier","Normal")</f>
        <v>Outlier</v>
      </c>
      <c r="M1007" s="18">
        <v>22</v>
      </c>
    </row>
    <row r="1008" spans="1:13" ht="20" customHeight="1" x14ac:dyDescent="0.35">
      <c r="A1008" s="17">
        <v>670697</v>
      </c>
      <c r="B1008" s="18">
        <v>171</v>
      </c>
      <c r="C1008" s="23" t="s">
        <v>99</v>
      </c>
      <c r="D1008" s="27">
        <v>45062.015972222223</v>
      </c>
      <c r="E1008" s="18" t="s">
        <v>133</v>
      </c>
      <c r="F1008" s="18" t="s">
        <v>21</v>
      </c>
      <c r="G1008" s="18">
        <v>4251</v>
      </c>
      <c r="H1008" s="25">
        <f t="shared" si="60"/>
        <v>45062</v>
      </c>
      <c r="I1008" s="26">
        <f t="shared" si="61"/>
        <v>1.5972222223354038E-2</v>
      </c>
      <c r="J1008" s="18" t="str">
        <f t="shared" si="62"/>
        <v>May</v>
      </c>
      <c r="K1008" s="56" t="str">
        <f t="shared" si="63"/>
        <v>Tuesday</v>
      </c>
      <c r="L1008" s="18" t="str">
        <f>IF(OR(G1008&gt;Answers!I1023,G1008&lt;Answers!I1024),"Outlier","Normal")</f>
        <v>Outlier</v>
      </c>
      <c r="M1008" s="18">
        <v>31</v>
      </c>
    </row>
    <row r="1009" spans="1:13" ht="20" customHeight="1" x14ac:dyDescent="0.35">
      <c r="A1009" s="17">
        <v>670916</v>
      </c>
      <c r="B1009" s="18">
        <v>1977</v>
      </c>
      <c r="C1009" s="23" t="s">
        <v>99</v>
      </c>
      <c r="D1009" s="27">
        <v>45017.048611111109</v>
      </c>
      <c r="E1009" s="18" t="s">
        <v>98</v>
      </c>
      <c r="F1009" s="18" t="s">
        <v>66</v>
      </c>
      <c r="G1009" s="18">
        <v>9847</v>
      </c>
      <c r="H1009" s="25">
        <f t="shared" si="60"/>
        <v>45017</v>
      </c>
      <c r="I1009" s="26">
        <f t="shared" si="61"/>
        <v>4.8611111109494232E-2</v>
      </c>
      <c r="J1009" s="18" t="str">
        <f t="shared" si="62"/>
        <v>April</v>
      </c>
      <c r="K1009" s="56" t="str">
        <f t="shared" si="63"/>
        <v>Saturday</v>
      </c>
      <c r="L1009" s="18" t="str">
        <f>IF(OR(G1009&gt;Answers!I1024,G1009&lt;Answers!I1025),"Outlier","Normal")</f>
        <v>Outlier</v>
      </c>
      <c r="M1009" s="18">
        <v>79</v>
      </c>
    </row>
    <row r="1010" spans="1:13" ht="20" customHeight="1" x14ac:dyDescent="0.35">
      <c r="A1010" s="17">
        <v>671201</v>
      </c>
      <c r="B1010" s="18">
        <v>456</v>
      </c>
      <c r="C1010" s="23" t="s">
        <v>101</v>
      </c>
      <c r="D1010" s="27">
        <v>45075.055555555555</v>
      </c>
      <c r="E1010" s="18" t="s">
        <v>133</v>
      </c>
      <c r="F1010" s="18" t="s">
        <v>27</v>
      </c>
      <c r="G1010" s="18">
        <v>9565</v>
      </c>
      <c r="H1010" s="25">
        <f t="shared" si="60"/>
        <v>45075</v>
      </c>
      <c r="I1010" s="26">
        <f t="shared" si="61"/>
        <v>5.5555555554747116E-2</v>
      </c>
      <c r="J1010" s="18" t="str">
        <f t="shared" si="62"/>
        <v>May</v>
      </c>
      <c r="K1010" s="56" t="str">
        <f t="shared" si="63"/>
        <v>Monday</v>
      </c>
      <c r="L1010" s="18" t="str">
        <f>IF(OR(G1010&gt;Answers!I1025,G1010&lt;Answers!I1026),"Outlier","Normal")</f>
        <v>Outlier</v>
      </c>
      <c r="M1010" s="18">
        <v>75</v>
      </c>
    </row>
    <row r="1011" spans="1:13" ht="20" customHeight="1" x14ac:dyDescent="0.35">
      <c r="A1011" s="17">
        <v>671270</v>
      </c>
      <c r="B1011" s="18">
        <v>1084</v>
      </c>
      <c r="C1011" s="23" t="s">
        <v>113</v>
      </c>
      <c r="D1011" s="27">
        <v>45269.990277777775</v>
      </c>
      <c r="E1011" s="18" t="s">
        <v>96</v>
      </c>
      <c r="F1011" s="18" t="s">
        <v>39</v>
      </c>
      <c r="G1011" s="18">
        <v>258</v>
      </c>
      <c r="H1011" s="25">
        <f t="shared" si="60"/>
        <v>45269</v>
      </c>
      <c r="I1011" s="26">
        <f t="shared" si="61"/>
        <v>0.99027777777519077</v>
      </c>
      <c r="J1011" s="18" t="str">
        <f t="shared" si="62"/>
        <v>December</v>
      </c>
      <c r="K1011" s="56" t="str">
        <f t="shared" si="63"/>
        <v>Saturday</v>
      </c>
      <c r="L1011" s="18" t="str">
        <f>IF(OR(G1011&gt;Answers!I1026,G1011&lt;Answers!I1027),"Outlier","Normal")</f>
        <v>Outlier</v>
      </c>
      <c r="M1011" s="18">
        <v>75</v>
      </c>
    </row>
    <row r="1012" spans="1:13" ht="20" customHeight="1" x14ac:dyDescent="0.35">
      <c r="A1012" s="17">
        <v>671412</v>
      </c>
      <c r="B1012" s="18">
        <v>356</v>
      </c>
      <c r="C1012" s="23" t="s">
        <v>113</v>
      </c>
      <c r="D1012" s="27">
        <v>45215.007638888892</v>
      </c>
      <c r="E1012" s="18" t="s">
        <v>133</v>
      </c>
      <c r="F1012" s="18" t="s">
        <v>27</v>
      </c>
      <c r="G1012" s="18">
        <v>1921</v>
      </c>
      <c r="H1012" s="25">
        <f t="shared" si="60"/>
        <v>45215</v>
      </c>
      <c r="I1012" s="26">
        <f t="shared" si="61"/>
        <v>7.6388888919609599E-3</v>
      </c>
      <c r="J1012" s="18" t="str">
        <f t="shared" si="62"/>
        <v>October</v>
      </c>
      <c r="K1012" s="56" t="str">
        <f t="shared" si="63"/>
        <v>Monday</v>
      </c>
      <c r="L1012" s="18" t="str">
        <f>IF(OR(G1012&gt;Answers!I1027,G1012&lt;Answers!I1028),"Outlier","Normal")</f>
        <v>Outlier</v>
      </c>
      <c r="M1012" s="18">
        <v>41</v>
      </c>
    </row>
    <row r="1013" spans="1:13" ht="20" customHeight="1" x14ac:dyDescent="0.35">
      <c r="A1013" s="17">
        <v>671598</v>
      </c>
      <c r="B1013" s="18">
        <v>342</v>
      </c>
      <c r="C1013" s="23" t="s">
        <v>99</v>
      </c>
      <c r="D1013" s="27">
        <v>44969.027083333334</v>
      </c>
      <c r="E1013" s="18" t="s">
        <v>98</v>
      </c>
      <c r="F1013" s="18" t="s">
        <v>43</v>
      </c>
      <c r="G1013" s="18">
        <v>8711</v>
      </c>
      <c r="H1013" s="25">
        <f t="shared" si="60"/>
        <v>44969</v>
      </c>
      <c r="I1013" s="26">
        <f t="shared" si="61"/>
        <v>2.7083333334303461E-2</v>
      </c>
      <c r="J1013" s="18" t="str">
        <f t="shared" si="62"/>
        <v>February</v>
      </c>
      <c r="K1013" s="56" t="str">
        <f t="shared" si="63"/>
        <v>Sunday</v>
      </c>
      <c r="L1013" s="18" t="str">
        <f>IF(OR(G1013&gt;Answers!I1028,G1013&lt;Answers!I1029),"Outlier","Normal")</f>
        <v>Outlier</v>
      </c>
      <c r="M1013" s="18">
        <v>65</v>
      </c>
    </row>
    <row r="1014" spans="1:13" ht="20" customHeight="1" x14ac:dyDescent="0.35">
      <c r="A1014" s="17">
        <v>671670</v>
      </c>
      <c r="B1014" s="18">
        <v>523</v>
      </c>
      <c r="C1014" s="23" t="s">
        <v>99</v>
      </c>
      <c r="D1014" s="27">
        <v>45155.045138888891</v>
      </c>
      <c r="E1014" s="18" t="s">
        <v>133</v>
      </c>
      <c r="F1014" s="18" t="s">
        <v>62</v>
      </c>
      <c r="G1014" s="18">
        <v>6441</v>
      </c>
      <c r="H1014" s="25">
        <f t="shared" si="60"/>
        <v>45155</v>
      </c>
      <c r="I1014" s="26">
        <f t="shared" si="61"/>
        <v>4.5138888890505768E-2</v>
      </c>
      <c r="J1014" s="18" t="str">
        <f t="shared" si="62"/>
        <v>August</v>
      </c>
      <c r="K1014" s="56" t="str">
        <f t="shared" si="63"/>
        <v>Thursday</v>
      </c>
      <c r="L1014" s="18" t="str">
        <f>IF(OR(G1014&gt;Answers!I1029,G1014&lt;Answers!I1030),"Outlier","Normal")</f>
        <v>Outlier</v>
      </c>
      <c r="M1014" s="18">
        <v>26</v>
      </c>
    </row>
    <row r="1015" spans="1:13" ht="20" customHeight="1" x14ac:dyDescent="0.35">
      <c r="A1015" s="17">
        <v>672076</v>
      </c>
      <c r="B1015" s="18">
        <v>27</v>
      </c>
      <c r="C1015" s="23" t="s">
        <v>99</v>
      </c>
      <c r="D1015" s="27">
        <v>44933.936805555553</v>
      </c>
      <c r="E1015" s="18" t="s">
        <v>96</v>
      </c>
      <c r="F1015" s="18" t="s">
        <v>27</v>
      </c>
      <c r="G1015" s="18">
        <v>9162</v>
      </c>
      <c r="H1015" s="25">
        <f t="shared" si="60"/>
        <v>44933</v>
      </c>
      <c r="I1015" s="26">
        <f t="shared" si="61"/>
        <v>0.93680555555329192</v>
      </c>
      <c r="J1015" s="18" t="str">
        <f t="shared" si="62"/>
        <v>January</v>
      </c>
      <c r="K1015" s="56" t="str">
        <f t="shared" si="63"/>
        <v>Saturday</v>
      </c>
      <c r="L1015" s="18" t="str">
        <f>IF(OR(G1015&gt;Answers!I1030,G1015&lt;Answers!I1031),"Outlier","Normal")</f>
        <v>Outlier</v>
      </c>
      <c r="M1015" s="18">
        <v>66</v>
      </c>
    </row>
    <row r="1016" spans="1:13" ht="20" customHeight="1" x14ac:dyDescent="0.35">
      <c r="A1016" s="17">
        <v>672686</v>
      </c>
      <c r="B1016" s="18">
        <v>1985</v>
      </c>
      <c r="C1016" s="23" t="s">
        <v>100</v>
      </c>
      <c r="D1016" s="27">
        <v>45259.070833333331</v>
      </c>
      <c r="E1016" s="18" t="s">
        <v>133</v>
      </c>
      <c r="F1016" s="18" t="s">
        <v>49</v>
      </c>
      <c r="G1016" s="18">
        <v>2269</v>
      </c>
      <c r="H1016" s="25">
        <f t="shared" si="60"/>
        <v>45259</v>
      </c>
      <c r="I1016" s="26">
        <f t="shared" si="61"/>
        <v>7.0833333331393078E-2</v>
      </c>
      <c r="J1016" s="18" t="str">
        <f t="shared" si="62"/>
        <v>November</v>
      </c>
      <c r="K1016" s="56" t="str">
        <f t="shared" si="63"/>
        <v>Wednesday</v>
      </c>
      <c r="L1016" s="18" t="str">
        <f>IF(OR(G1016&gt;Answers!I1031,G1016&lt;Answers!I1032),"Outlier","Normal")</f>
        <v>Outlier</v>
      </c>
      <c r="M1016" s="18">
        <v>49</v>
      </c>
    </row>
    <row r="1017" spans="1:13" ht="20" customHeight="1" x14ac:dyDescent="0.35">
      <c r="A1017" s="17">
        <v>673115</v>
      </c>
      <c r="B1017" s="18">
        <v>1619</v>
      </c>
      <c r="C1017" s="23" t="s">
        <v>99</v>
      </c>
      <c r="D1017" s="27">
        <v>44960.967361111114</v>
      </c>
      <c r="E1017" s="18" t="s">
        <v>133</v>
      </c>
      <c r="F1017" s="18" t="s">
        <v>66</v>
      </c>
      <c r="G1017" s="18">
        <v>3556</v>
      </c>
      <c r="H1017" s="25">
        <f t="shared" si="60"/>
        <v>44960</v>
      </c>
      <c r="I1017" s="26">
        <f t="shared" si="61"/>
        <v>0.96736111111385981</v>
      </c>
      <c r="J1017" s="18" t="str">
        <f t="shared" si="62"/>
        <v>February</v>
      </c>
      <c r="K1017" s="56" t="str">
        <f t="shared" si="63"/>
        <v>Friday</v>
      </c>
      <c r="L1017" s="18" t="str">
        <f>IF(OR(G1017&gt;Answers!I1032,G1017&lt;Answers!I1033),"Outlier","Normal")</f>
        <v>Outlier</v>
      </c>
      <c r="M1017" s="18">
        <v>56</v>
      </c>
    </row>
    <row r="1018" spans="1:13" ht="20" customHeight="1" x14ac:dyDescent="0.35">
      <c r="A1018" s="17">
        <v>673915</v>
      </c>
      <c r="B1018" s="18">
        <v>1426</v>
      </c>
      <c r="C1018" s="23" t="s">
        <v>99</v>
      </c>
      <c r="D1018" s="27">
        <v>45250.952777777777</v>
      </c>
      <c r="E1018" s="18" t="s">
        <v>98</v>
      </c>
      <c r="F1018" s="18" t="s">
        <v>71</v>
      </c>
      <c r="G1018" s="18">
        <v>1043</v>
      </c>
      <c r="H1018" s="25">
        <f t="shared" si="60"/>
        <v>45250</v>
      </c>
      <c r="I1018" s="26">
        <f t="shared" si="61"/>
        <v>0.95277777777664596</v>
      </c>
      <c r="J1018" s="18" t="str">
        <f t="shared" si="62"/>
        <v>November</v>
      </c>
      <c r="K1018" s="56" t="str">
        <f t="shared" si="63"/>
        <v>Monday</v>
      </c>
      <c r="L1018" s="18" t="str">
        <f>IF(OR(G1018&gt;Answers!I1033,G1018&lt;Answers!I1034),"Outlier","Normal")</f>
        <v>Outlier</v>
      </c>
      <c r="M1018" s="18">
        <v>37</v>
      </c>
    </row>
    <row r="1019" spans="1:13" ht="20" customHeight="1" x14ac:dyDescent="0.35">
      <c r="A1019" s="17">
        <v>674745</v>
      </c>
      <c r="B1019" s="18">
        <v>613</v>
      </c>
      <c r="C1019" s="23" t="s">
        <v>113</v>
      </c>
      <c r="D1019" s="27">
        <v>44978.042361111111</v>
      </c>
      <c r="E1019" s="18" t="s">
        <v>133</v>
      </c>
      <c r="F1019" s="18" t="s">
        <v>78</v>
      </c>
      <c r="G1019" s="18">
        <v>4027</v>
      </c>
      <c r="H1019" s="25">
        <f t="shared" si="60"/>
        <v>44978</v>
      </c>
      <c r="I1019" s="26">
        <f t="shared" si="61"/>
        <v>4.2361111110949423E-2</v>
      </c>
      <c r="J1019" s="18" t="str">
        <f t="shared" si="62"/>
        <v>February</v>
      </c>
      <c r="K1019" s="56" t="str">
        <f t="shared" si="63"/>
        <v>Tuesday</v>
      </c>
      <c r="L1019" s="18" t="str">
        <f>IF(OR(G1019&gt;Answers!I1034,G1019&lt;Answers!I1035),"Outlier","Normal")</f>
        <v>Outlier</v>
      </c>
      <c r="M1019" s="18">
        <v>51</v>
      </c>
    </row>
    <row r="1020" spans="1:13" ht="20" customHeight="1" x14ac:dyDescent="0.35">
      <c r="A1020" s="17">
        <v>675163</v>
      </c>
      <c r="B1020" s="18">
        <v>26</v>
      </c>
      <c r="C1020" s="23" t="s">
        <v>100</v>
      </c>
      <c r="D1020" s="27">
        <v>45100.939583333333</v>
      </c>
      <c r="E1020" s="18" t="s">
        <v>133</v>
      </c>
      <c r="F1020" s="18" t="s">
        <v>55</v>
      </c>
      <c r="G1020" s="18">
        <v>8499</v>
      </c>
      <c r="H1020" s="25">
        <f t="shared" si="60"/>
        <v>45100</v>
      </c>
      <c r="I1020" s="26">
        <f t="shared" si="61"/>
        <v>0.93958333333284827</v>
      </c>
      <c r="J1020" s="18" t="str">
        <f t="shared" si="62"/>
        <v>June</v>
      </c>
      <c r="K1020" s="56" t="str">
        <f t="shared" si="63"/>
        <v>Friday</v>
      </c>
      <c r="L1020" s="18" t="str">
        <f>IF(OR(G1020&gt;Answers!I1035,G1020&lt;Answers!I1036),"Outlier","Normal")</f>
        <v>Outlier</v>
      </c>
      <c r="M1020" s="18">
        <v>27</v>
      </c>
    </row>
    <row r="1021" spans="1:13" ht="20" customHeight="1" x14ac:dyDescent="0.35">
      <c r="A1021" s="17">
        <v>675362</v>
      </c>
      <c r="B1021" s="18">
        <v>851</v>
      </c>
      <c r="C1021" s="23" t="s">
        <v>106</v>
      </c>
      <c r="D1021" s="27">
        <v>45061.969444444447</v>
      </c>
      <c r="E1021" s="18" t="s">
        <v>96</v>
      </c>
      <c r="F1021" s="18" t="s">
        <v>77</v>
      </c>
      <c r="G1021" s="18">
        <v>6791</v>
      </c>
      <c r="H1021" s="25">
        <f t="shared" si="60"/>
        <v>45061</v>
      </c>
      <c r="I1021" s="26">
        <f t="shared" si="61"/>
        <v>0.96944444444670808</v>
      </c>
      <c r="J1021" s="18" t="str">
        <f t="shared" si="62"/>
        <v>May</v>
      </c>
      <c r="K1021" s="56" t="str">
        <f t="shared" si="63"/>
        <v>Monday</v>
      </c>
      <c r="L1021" s="18" t="str">
        <f>IF(OR(G1021&gt;Answers!I1036,G1021&lt;Answers!I1037),"Outlier","Normal")</f>
        <v>Outlier</v>
      </c>
      <c r="M1021" s="18">
        <v>58</v>
      </c>
    </row>
    <row r="1022" spans="1:13" ht="20" customHeight="1" x14ac:dyDescent="0.35">
      <c r="A1022" s="17">
        <v>675864</v>
      </c>
      <c r="B1022" s="18">
        <v>15</v>
      </c>
      <c r="C1022" s="23" t="s">
        <v>109</v>
      </c>
      <c r="D1022" s="27">
        <v>45159.008333333331</v>
      </c>
      <c r="E1022" s="18" t="s">
        <v>98</v>
      </c>
      <c r="F1022" s="18" t="s">
        <v>46</v>
      </c>
      <c r="G1022" s="18">
        <v>9493</v>
      </c>
      <c r="H1022" s="25">
        <f t="shared" si="60"/>
        <v>45159</v>
      </c>
      <c r="I1022" s="26">
        <f t="shared" si="61"/>
        <v>8.333333331393078E-3</v>
      </c>
      <c r="J1022" s="18" t="str">
        <f t="shared" si="62"/>
        <v>August</v>
      </c>
      <c r="K1022" s="56" t="str">
        <f t="shared" si="63"/>
        <v>Monday</v>
      </c>
      <c r="L1022" s="18" t="str">
        <f>IF(OR(G1022&gt;Answers!I1037,G1022&lt;Answers!I1038),"Outlier","Normal")</f>
        <v>Outlier</v>
      </c>
      <c r="M1022" s="18">
        <v>48</v>
      </c>
    </row>
    <row r="1023" spans="1:13" ht="20" customHeight="1" x14ac:dyDescent="0.35">
      <c r="A1023" s="17">
        <v>677135</v>
      </c>
      <c r="B1023" s="18">
        <v>413</v>
      </c>
      <c r="C1023" s="23" t="s">
        <v>105</v>
      </c>
      <c r="D1023" s="27">
        <v>45049.011805555558</v>
      </c>
      <c r="E1023" s="18" t="s">
        <v>133</v>
      </c>
      <c r="F1023" s="18" t="s">
        <v>64</v>
      </c>
      <c r="G1023" s="18">
        <v>4602</v>
      </c>
      <c r="H1023" s="25">
        <f t="shared" si="60"/>
        <v>45049</v>
      </c>
      <c r="I1023" s="26">
        <f t="shared" si="61"/>
        <v>1.1805555557657499E-2</v>
      </c>
      <c r="J1023" s="18" t="str">
        <f t="shared" si="62"/>
        <v>May</v>
      </c>
      <c r="K1023" s="56" t="str">
        <f t="shared" si="63"/>
        <v>Wednesday</v>
      </c>
      <c r="L1023" s="18" t="str">
        <f>IF(OR(G1023&gt;Answers!I1038,G1023&lt;Answers!I1039),"Outlier","Normal")</f>
        <v>Outlier</v>
      </c>
      <c r="M1023" s="18">
        <v>47</v>
      </c>
    </row>
    <row r="1024" spans="1:13" ht="20" customHeight="1" x14ac:dyDescent="0.35">
      <c r="A1024" s="17">
        <v>679362</v>
      </c>
      <c r="B1024" s="18">
        <v>955</v>
      </c>
      <c r="C1024" s="23" t="s">
        <v>113</v>
      </c>
      <c r="D1024" s="27">
        <v>45007.023611111108</v>
      </c>
      <c r="E1024" s="18" t="s">
        <v>97</v>
      </c>
      <c r="F1024" s="18" t="s">
        <v>58</v>
      </c>
      <c r="G1024" s="18">
        <v>1750</v>
      </c>
      <c r="H1024" s="25">
        <f t="shared" si="60"/>
        <v>45007</v>
      </c>
      <c r="I1024" s="26">
        <f t="shared" si="61"/>
        <v>2.361111110803904E-2</v>
      </c>
      <c r="J1024" s="18" t="str">
        <f t="shared" si="62"/>
        <v>March</v>
      </c>
      <c r="K1024" s="56" t="str">
        <f t="shared" si="63"/>
        <v>Wednesday</v>
      </c>
      <c r="L1024" s="18" t="str">
        <f>IF(OR(G1024&gt;Answers!I1039,G1024&lt;Answers!I1040),"Outlier","Normal")</f>
        <v>Outlier</v>
      </c>
      <c r="M1024" s="18">
        <v>85</v>
      </c>
    </row>
    <row r="1025" spans="1:13" ht="20" customHeight="1" x14ac:dyDescent="0.35">
      <c r="A1025" s="17">
        <v>679845</v>
      </c>
      <c r="B1025" s="18">
        <v>95</v>
      </c>
      <c r="C1025" s="23" t="s">
        <v>113</v>
      </c>
      <c r="D1025" s="27">
        <v>44981.004166666666</v>
      </c>
      <c r="E1025" s="18" t="s">
        <v>96</v>
      </c>
      <c r="F1025" s="18" t="s">
        <v>30</v>
      </c>
      <c r="G1025" s="18">
        <v>8415</v>
      </c>
      <c r="H1025" s="25">
        <f t="shared" si="60"/>
        <v>44981</v>
      </c>
      <c r="I1025" s="26">
        <f t="shared" si="61"/>
        <v>4.166666665696539E-3</v>
      </c>
      <c r="J1025" s="18" t="str">
        <f t="shared" si="62"/>
        <v>February</v>
      </c>
      <c r="K1025" s="56" t="str">
        <f t="shared" si="63"/>
        <v>Friday</v>
      </c>
      <c r="L1025" s="18" t="str">
        <f>IF(OR(G1025&gt;Answers!I1040,G1025&lt;Answers!I1041),"Outlier","Normal")</f>
        <v>Outlier</v>
      </c>
      <c r="M1025" s="18">
        <v>50</v>
      </c>
    </row>
    <row r="1026" spans="1:13" ht="20" customHeight="1" x14ac:dyDescent="0.35">
      <c r="A1026" s="17">
        <v>680722</v>
      </c>
      <c r="B1026" s="18">
        <v>1278</v>
      </c>
      <c r="C1026" s="23" t="s">
        <v>99</v>
      </c>
      <c r="D1026" s="27">
        <v>45032.083333333336</v>
      </c>
      <c r="E1026" s="18" t="s">
        <v>98</v>
      </c>
      <c r="F1026" s="18" t="s">
        <v>47</v>
      </c>
      <c r="G1026" s="18">
        <v>421</v>
      </c>
      <c r="H1026" s="25">
        <f t="shared" si="60"/>
        <v>45032</v>
      </c>
      <c r="I1026" s="26">
        <f t="shared" si="61"/>
        <v>8.3333333335758653E-2</v>
      </c>
      <c r="J1026" s="18" t="str">
        <f t="shared" si="62"/>
        <v>April</v>
      </c>
      <c r="K1026" s="56" t="str">
        <f t="shared" si="63"/>
        <v>Sunday</v>
      </c>
      <c r="L1026" s="18" t="str">
        <f>IF(OR(G1026&gt;Answers!I1041,G1026&lt;Answers!I1042),"Outlier","Normal")</f>
        <v>Outlier</v>
      </c>
      <c r="M1026" s="18">
        <v>69</v>
      </c>
    </row>
    <row r="1027" spans="1:13" ht="20" customHeight="1" x14ac:dyDescent="0.35">
      <c r="A1027" s="17">
        <v>682438</v>
      </c>
      <c r="B1027" s="18">
        <v>361</v>
      </c>
      <c r="C1027" s="23" t="s">
        <v>107</v>
      </c>
      <c r="D1027" s="27">
        <v>45271.042361111111</v>
      </c>
      <c r="E1027" s="18" t="s">
        <v>133</v>
      </c>
      <c r="F1027" s="18" t="s">
        <v>53</v>
      </c>
      <c r="G1027" s="18">
        <v>1181</v>
      </c>
      <c r="H1027" s="25">
        <f t="shared" ref="H1027:H1090" si="64">INT(D1027)</f>
        <v>45271</v>
      </c>
      <c r="I1027" s="26">
        <f t="shared" ref="I1027:I1090" si="65">MOD(D1027,1)</f>
        <v>4.2361111110949423E-2</v>
      </c>
      <c r="J1027" s="18" t="str">
        <f t="shared" ref="J1027:J1090" si="66">TEXT(D1027,"mmmm")</f>
        <v>December</v>
      </c>
      <c r="K1027" s="56" t="str">
        <f t="shared" ref="K1027:K1090" si="67">TEXT(D1027,"dddd")</f>
        <v>Monday</v>
      </c>
      <c r="L1027" s="18" t="str">
        <f>IF(OR(G1027&gt;Answers!I1042,G1027&lt;Answers!I1043),"Outlier","Normal")</f>
        <v>Outlier</v>
      </c>
      <c r="M1027" s="18">
        <v>87</v>
      </c>
    </row>
    <row r="1028" spans="1:13" ht="20" customHeight="1" x14ac:dyDescent="0.35">
      <c r="A1028" s="17">
        <v>683069</v>
      </c>
      <c r="B1028" s="18">
        <v>1757</v>
      </c>
      <c r="C1028" s="23" t="s">
        <v>105</v>
      </c>
      <c r="D1028" s="27">
        <v>45219.97152777778</v>
      </c>
      <c r="E1028" s="18" t="s">
        <v>96</v>
      </c>
      <c r="F1028" s="18" t="s">
        <v>11</v>
      </c>
      <c r="G1028" s="18">
        <v>8159</v>
      </c>
      <c r="H1028" s="25">
        <f t="shared" si="64"/>
        <v>45219</v>
      </c>
      <c r="I1028" s="26">
        <f t="shared" si="65"/>
        <v>0.97152777777955635</v>
      </c>
      <c r="J1028" s="18" t="str">
        <f t="shared" si="66"/>
        <v>October</v>
      </c>
      <c r="K1028" s="56" t="str">
        <f t="shared" si="67"/>
        <v>Friday</v>
      </c>
      <c r="L1028" s="18" t="str">
        <f>IF(OR(G1028&gt;Answers!I1043,G1028&lt;Answers!I1044),"Outlier","Normal")</f>
        <v>Outlier</v>
      </c>
      <c r="M1028" s="18">
        <v>20</v>
      </c>
    </row>
    <row r="1029" spans="1:13" ht="20" customHeight="1" x14ac:dyDescent="0.35">
      <c r="A1029" s="17">
        <v>683536</v>
      </c>
      <c r="B1029" s="18">
        <v>1986</v>
      </c>
      <c r="C1029" s="23" t="s">
        <v>100</v>
      </c>
      <c r="D1029" s="27">
        <v>45278.957638888889</v>
      </c>
      <c r="E1029" s="18" t="s">
        <v>97</v>
      </c>
      <c r="F1029" s="18" t="s">
        <v>85</v>
      </c>
      <c r="G1029" s="18">
        <v>4037</v>
      </c>
      <c r="H1029" s="25">
        <f t="shared" si="64"/>
        <v>45278</v>
      </c>
      <c r="I1029" s="26">
        <f t="shared" si="65"/>
        <v>0.95763888888905058</v>
      </c>
      <c r="J1029" s="18" t="str">
        <f t="shared" si="66"/>
        <v>December</v>
      </c>
      <c r="K1029" s="56" t="str">
        <f t="shared" si="67"/>
        <v>Monday</v>
      </c>
      <c r="L1029" s="18" t="str">
        <f>IF(OR(G1029&gt;Answers!I1044,G1029&lt;Answers!I1045),"Outlier","Normal")</f>
        <v>Outlier</v>
      </c>
      <c r="M1029" s="18">
        <v>21</v>
      </c>
    </row>
    <row r="1030" spans="1:13" ht="20" customHeight="1" x14ac:dyDescent="0.35">
      <c r="A1030" s="17">
        <v>685513</v>
      </c>
      <c r="B1030" s="18">
        <v>252</v>
      </c>
      <c r="C1030" s="23" t="s">
        <v>99</v>
      </c>
      <c r="D1030" s="27">
        <v>44998.011805555558</v>
      </c>
      <c r="E1030" s="18" t="s">
        <v>96</v>
      </c>
      <c r="F1030" s="18" t="s">
        <v>44</v>
      </c>
      <c r="G1030" s="18">
        <v>7916</v>
      </c>
      <c r="H1030" s="25">
        <f t="shared" si="64"/>
        <v>44998</v>
      </c>
      <c r="I1030" s="26">
        <f t="shared" si="65"/>
        <v>1.1805555557657499E-2</v>
      </c>
      <c r="J1030" s="18" t="str">
        <f t="shared" si="66"/>
        <v>March</v>
      </c>
      <c r="K1030" s="56" t="str">
        <f t="shared" si="67"/>
        <v>Monday</v>
      </c>
      <c r="L1030" s="18" t="str">
        <f>IF(OR(G1030&gt;Answers!I1045,G1030&lt;Answers!I1046),"Outlier","Normal")</f>
        <v>Outlier</v>
      </c>
      <c r="M1030" s="18">
        <v>89</v>
      </c>
    </row>
    <row r="1031" spans="1:13" ht="20" customHeight="1" x14ac:dyDescent="0.35">
      <c r="A1031" s="17">
        <v>685841</v>
      </c>
      <c r="B1031" s="18">
        <v>446</v>
      </c>
      <c r="C1031" s="23" t="s">
        <v>99</v>
      </c>
      <c r="D1031" s="27">
        <v>45201.955555555556</v>
      </c>
      <c r="E1031" s="18" t="s">
        <v>97</v>
      </c>
      <c r="F1031" s="18" t="s">
        <v>51</v>
      </c>
      <c r="G1031" s="18">
        <v>7514</v>
      </c>
      <c r="H1031" s="25">
        <f t="shared" si="64"/>
        <v>45201</v>
      </c>
      <c r="I1031" s="26">
        <f t="shared" si="65"/>
        <v>0.95555555555620231</v>
      </c>
      <c r="J1031" s="18" t="str">
        <f t="shared" si="66"/>
        <v>October</v>
      </c>
      <c r="K1031" s="56" t="str">
        <f t="shared" si="67"/>
        <v>Monday</v>
      </c>
      <c r="L1031" s="18" t="str">
        <f>IF(OR(G1031&gt;Answers!I1046,G1031&lt;Answers!I1047),"Outlier","Normal")</f>
        <v>Outlier</v>
      </c>
      <c r="M1031" s="18">
        <v>67</v>
      </c>
    </row>
    <row r="1032" spans="1:13" ht="20" customHeight="1" x14ac:dyDescent="0.35">
      <c r="A1032" s="17">
        <v>686575</v>
      </c>
      <c r="B1032" s="18">
        <v>184</v>
      </c>
      <c r="C1032" s="23" t="s">
        <v>106</v>
      </c>
      <c r="D1032" s="27">
        <v>45112.972222222219</v>
      </c>
      <c r="E1032" s="18" t="s">
        <v>98</v>
      </c>
      <c r="F1032" s="18" t="s">
        <v>27</v>
      </c>
      <c r="G1032" s="18">
        <v>5597</v>
      </c>
      <c r="H1032" s="25">
        <f t="shared" si="64"/>
        <v>45112</v>
      </c>
      <c r="I1032" s="26">
        <f t="shared" si="65"/>
        <v>0.97222222221898846</v>
      </c>
      <c r="J1032" s="18" t="str">
        <f t="shared" si="66"/>
        <v>July</v>
      </c>
      <c r="K1032" s="56" t="str">
        <f t="shared" si="67"/>
        <v>Wednesday</v>
      </c>
      <c r="L1032" s="18" t="str">
        <f>IF(OR(G1032&gt;Answers!I1047,G1032&lt;Answers!I1048),"Outlier","Normal")</f>
        <v>Outlier</v>
      </c>
      <c r="M1032" s="18">
        <v>79</v>
      </c>
    </row>
    <row r="1033" spans="1:13" ht="20" customHeight="1" x14ac:dyDescent="0.35">
      <c r="A1033" s="17">
        <v>686952</v>
      </c>
      <c r="B1033" s="18">
        <v>1685</v>
      </c>
      <c r="C1033" s="23" t="s">
        <v>99</v>
      </c>
      <c r="D1033" s="27">
        <v>45029.040277777778</v>
      </c>
      <c r="E1033" s="18" t="s">
        <v>97</v>
      </c>
      <c r="F1033" s="18" t="s">
        <v>68</v>
      </c>
      <c r="G1033" s="18">
        <v>6047</v>
      </c>
      <c r="H1033" s="25">
        <f t="shared" si="64"/>
        <v>45029</v>
      </c>
      <c r="I1033" s="26">
        <f t="shared" si="65"/>
        <v>4.0277777778101154E-2</v>
      </c>
      <c r="J1033" s="18" t="str">
        <f t="shared" si="66"/>
        <v>April</v>
      </c>
      <c r="K1033" s="56" t="str">
        <f t="shared" si="67"/>
        <v>Thursday</v>
      </c>
      <c r="L1033" s="18" t="str">
        <f>IF(OR(G1033&gt;Answers!I1048,G1033&lt;Answers!I1049),"Outlier","Normal")</f>
        <v>Outlier</v>
      </c>
      <c r="M1033" s="18">
        <v>74</v>
      </c>
    </row>
    <row r="1034" spans="1:13" ht="20" customHeight="1" x14ac:dyDescent="0.35">
      <c r="A1034" s="17">
        <v>687364</v>
      </c>
      <c r="B1034" s="18">
        <v>444</v>
      </c>
      <c r="C1034" s="23" t="s">
        <v>105</v>
      </c>
      <c r="D1034" s="27">
        <v>45153.986111111109</v>
      </c>
      <c r="E1034" s="18" t="s">
        <v>98</v>
      </c>
      <c r="F1034" s="18" t="s">
        <v>27</v>
      </c>
      <c r="G1034" s="18">
        <v>4487</v>
      </c>
      <c r="H1034" s="25">
        <f t="shared" si="64"/>
        <v>45153</v>
      </c>
      <c r="I1034" s="26">
        <f t="shared" si="65"/>
        <v>0.98611111110949423</v>
      </c>
      <c r="J1034" s="18" t="str">
        <f t="shared" si="66"/>
        <v>August</v>
      </c>
      <c r="K1034" s="56" t="str">
        <f t="shared" si="67"/>
        <v>Tuesday</v>
      </c>
      <c r="L1034" s="18" t="str">
        <f>IF(OR(G1034&gt;Answers!I1049,G1034&lt;Answers!I1050),"Outlier","Normal")</f>
        <v>Outlier</v>
      </c>
      <c r="M1034" s="18">
        <v>23</v>
      </c>
    </row>
    <row r="1035" spans="1:13" ht="20" customHeight="1" x14ac:dyDescent="0.35">
      <c r="A1035" s="17">
        <v>687698</v>
      </c>
      <c r="B1035" s="18">
        <v>814</v>
      </c>
      <c r="C1035" s="23" t="s">
        <v>99</v>
      </c>
      <c r="D1035" s="27">
        <v>44942.03125</v>
      </c>
      <c r="E1035" s="18" t="s">
        <v>97</v>
      </c>
      <c r="F1035" s="18" t="s">
        <v>73</v>
      </c>
      <c r="G1035" s="18">
        <v>4616</v>
      </c>
      <c r="H1035" s="25">
        <f t="shared" si="64"/>
        <v>44942</v>
      </c>
      <c r="I1035" s="26">
        <f t="shared" si="65"/>
        <v>3.125E-2</v>
      </c>
      <c r="J1035" s="18" t="str">
        <f t="shared" si="66"/>
        <v>January</v>
      </c>
      <c r="K1035" s="56" t="str">
        <f t="shared" si="67"/>
        <v>Monday</v>
      </c>
      <c r="L1035" s="18" t="str">
        <f>IF(OR(G1035&gt;Answers!I1050,G1035&lt;Answers!I1051),"Outlier","Normal")</f>
        <v>Outlier</v>
      </c>
      <c r="M1035" s="18">
        <v>60</v>
      </c>
    </row>
    <row r="1036" spans="1:13" ht="20" customHeight="1" x14ac:dyDescent="0.35">
      <c r="A1036" s="17">
        <v>688175</v>
      </c>
      <c r="B1036" s="18">
        <v>642</v>
      </c>
      <c r="C1036" s="23" t="s">
        <v>100</v>
      </c>
      <c r="D1036" s="27">
        <v>45238.036111111112</v>
      </c>
      <c r="E1036" s="18" t="s">
        <v>97</v>
      </c>
      <c r="F1036" s="18" t="s">
        <v>43</v>
      </c>
      <c r="G1036" s="18">
        <v>1612</v>
      </c>
      <c r="H1036" s="25">
        <f t="shared" si="64"/>
        <v>45238</v>
      </c>
      <c r="I1036" s="26">
        <f t="shared" si="65"/>
        <v>3.6111111112404615E-2</v>
      </c>
      <c r="J1036" s="18" t="str">
        <f t="shared" si="66"/>
        <v>November</v>
      </c>
      <c r="K1036" s="56" t="str">
        <f t="shared" si="67"/>
        <v>Wednesday</v>
      </c>
      <c r="L1036" s="18" t="str">
        <f>IF(OR(G1036&gt;Answers!I1051,G1036&lt;Answers!I1052),"Outlier","Normal")</f>
        <v>Outlier</v>
      </c>
      <c r="M1036" s="18">
        <v>32</v>
      </c>
    </row>
    <row r="1037" spans="1:13" ht="20" customHeight="1" x14ac:dyDescent="0.35">
      <c r="A1037" s="17">
        <v>688366</v>
      </c>
      <c r="B1037" s="18">
        <v>268</v>
      </c>
      <c r="C1037" s="23" t="s">
        <v>113</v>
      </c>
      <c r="D1037" s="27">
        <v>45272.046527777777</v>
      </c>
      <c r="E1037" s="18" t="s">
        <v>133</v>
      </c>
      <c r="F1037" s="18" t="s">
        <v>64</v>
      </c>
      <c r="G1037" s="18">
        <v>345</v>
      </c>
      <c r="H1037" s="25">
        <f t="shared" si="64"/>
        <v>45272</v>
      </c>
      <c r="I1037" s="26">
        <f t="shared" si="65"/>
        <v>4.6527777776645962E-2</v>
      </c>
      <c r="J1037" s="18" t="str">
        <f t="shared" si="66"/>
        <v>December</v>
      </c>
      <c r="K1037" s="56" t="str">
        <f t="shared" si="67"/>
        <v>Tuesday</v>
      </c>
      <c r="L1037" s="18" t="str">
        <f>IF(OR(G1037&gt;Answers!I1052,G1037&lt;Answers!I1053),"Outlier","Normal")</f>
        <v>Outlier</v>
      </c>
      <c r="M1037" s="18">
        <v>47</v>
      </c>
    </row>
    <row r="1038" spans="1:13" ht="20" customHeight="1" x14ac:dyDescent="0.35">
      <c r="A1038" s="17">
        <v>688473</v>
      </c>
      <c r="B1038" s="18">
        <v>829</v>
      </c>
      <c r="C1038" s="23" t="s">
        <v>99</v>
      </c>
      <c r="D1038" s="27">
        <v>45194.050694444442</v>
      </c>
      <c r="E1038" s="18" t="s">
        <v>97</v>
      </c>
      <c r="F1038" s="18" t="s">
        <v>27</v>
      </c>
      <c r="G1038" s="18">
        <v>2835</v>
      </c>
      <c r="H1038" s="25">
        <f t="shared" si="64"/>
        <v>45194</v>
      </c>
      <c r="I1038" s="26">
        <f t="shared" si="65"/>
        <v>5.0694444442342501E-2</v>
      </c>
      <c r="J1038" s="18" t="str">
        <f t="shared" si="66"/>
        <v>September</v>
      </c>
      <c r="K1038" s="56" t="str">
        <f t="shared" si="67"/>
        <v>Monday</v>
      </c>
      <c r="L1038" s="18" t="str">
        <f>IF(OR(G1038&gt;Answers!I1053,G1038&lt;Answers!I1054),"Outlier","Normal")</f>
        <v>Outlier</v>
      </c>
      <c r="M1038" s="18">
        <v>65</v>
      </c>
    </row>
    <row r="1039" spans="1:13" ht="20" customHeight="1" x14ac:dyDescent="0.35">
      <c r="A1039" s="17">
        <v>689972</v>
      </c>
      <c r="B1039" s="18">
        <v>916</v>
      </c>
      <c r="C1039" s="23" t="s">
        <v>99</v>
      </c>
      <c r="D1039" s="27">
        <v>44965.075694444444</v>
      </c>
      <c r="E1039" s="18" t="s">
        <v>96</v>
      </c>
      <c r="F1039" s="18" t="s">
        <v>26</v>
      </c>
      <c r="G1039" s="18">
        <v>2682</v>
      </c>
      <c r="H1039" s="25">
        <f t="shared" si="64"/>
        <v>44965</v>
      </c>
      <c r="I1039" s="26">
        <f t="shared" si="65"/>
        <v>7.5694444443797693E-2</v>
      </c>
      <c r="J1039" s="18" t="str">
        <f t="shared" si="66"/>
        <v>February</v>
      </c>
      <c r="K1039" s="56" t="str">
        <f t="shared" si="67"/>
        <v>Wednesday</v>
      </c>
      <c r="L1039" s="18" t="str">
        <f>IF(OR(G1039&gt;Answers!I1054,G1039&lt;Answers!I1055),"Outlier","Normal")</f>
        <v>Outlier</v>
      </c>
      <c r="M1039" s="18">
        <v>61</v>
      </c>
    </row>
    <row r="1040" spans="1:13" ht="20" customHeight="1" x14ac:dyDescent="0.35">
      <c r="A1040" s="17">
        <v>690697</v>
      </c>
      <c r="B1040" s="18">
        <v>1330</v>
      </c>
      <c r="C1040" s="23" t="s">
        <v>101</v>
      </c>
      <c r="D1040" s="27">
        <v>44987.008333333331</v>
      </c>
      <c r="E1040" s="18" t="s">
        <v>98</v>
      </c>
      <c r="F1040" s="18" t="s">
        <v>69</v>
      </c>
      <c r="G1040" s="18">
        <v>2726</v>
      </c>
      <c r="H1040" s="25">
        <f t="shared" si="64"/>
        <v>44987</v>
      </c>
      <c r="I1040" s="26">
        <f t="shared" si="65"/>
        <v>8.333333331393078E-3</v>
      </c>
      <c r="J1040" s="18" t="str">
        <f t="shared" si="66"/>
        <v>March</v>
      </c>
      <c r="K1040" s="56" t="str">
        <f t="shared" si="67"/>
        <v>Thursday</v>
      </c>
      <c r="L1040" s="18" t="str">
        <f>IF(OR(G1040&gt;Answers!I1055,G1040&lt;Answers!I1056),"Outlier","Normal")</f>
        <v>Outlier</v>
      </c>
      <c r="M1040" s="18">
        <v>59</v>
      </c>
    </row>
    <row r="1041" spans="1:13" ht="20" customHeight="1" x14ac:dyDescent="0.35">
      <c r="A1041" s="17">
        <v>690812</v>
      </c>
      <c r="B1041" s="18">
        <v>985</v>
      </c>
      <c r="C1041" s="23" t="s">
        <v>99</v>
      </c>
      <c r="D1041" s="27">
        <v>45167.004861111112</v>
      </c>
      <c r="E1041" s="18" t="s">
        <v>97</v>
      </c>
      <c r="F1041" s="18" t="s">
        <v>74</v>
      </c>
      <c r="G1041" s="18">
        <v>3887</v>
      </c>
      <c r="H1041" s="25">
        <f t="shared" si="64"/>
        <v>45167</v>
      </c>
      <c r="I1041" s="26">
        <f t="shared" si="65"/>
        <v>4.8611111124046147E-3</v>
      </c>
      <c r="J1041" s="18" t="str">
        <f t="shared" si="66"/>
        <v>August</v>
      </c>
      <c r="K1041" s="56" t="str">
        <f t="shared" si="67"/>
        <v>Tuesday</v>
      </c>
      <c r="L1041" s="18" t="str">
        <f>IF(OR(G1041&gt;Answers!I1056,G1041&lt;Answers!I1057),"Outlier","Normal")</f>
        <v>Outlier</v>
      </c>
      <c r="M1041" s="18">
        <v>69</v>
      </c>
    </row>
    <row r="1042" spans="1:13" ht="20" customHeight="1" x14ac:dyDescent="0.35">
      <c r="A1042" s="17">
        <v>691227</v>
      </c>
      <c r="B1042" s="18">
        <v>955</v>
      </c>
      <c r="C1042" s="23" t="s">
        <v>113</v>
      </c>
      <c r="D1042" s="27">
        <v>45116.03402777778</v>
      </c>
      <c r="E1042" s="18" t="s">
        <v>133</v>
      </c>
      <c r="F1042" s="18" t="s">
        <v>43</v>
      </c>
      <c r="G1042" s="18">
        <v>5936</v>
      </c>
      <c r="H1042" s="25">
        <f t="shared" si="64"/>
        <v>45116</v>
      </c>
      <c r="I1042" s="26">
        <f t="shared" si="65"/>
        <v>3.4027777779556345E-2</v>
      </c>
      <c r="J1042" s="18" t="str">
        <f t="shared" si="66"/>
        <v>July</v>
      </c>
      <c r="K1042" s="56" t="str">
        <f t="shared" si="67"/>
        <v>Sunday</v>
      </c>
      <c r="L1042" s="18" t="str">
        <f>IF(OR(G1042&gt;Answers!I1057,G1042&lt;Answers!I1058),"Outlier","Normal")</f>
        <v>Outlier</v>
      </c>
      <c r="M1042" s="18">
        <v>85</v>
      </c>
    </row>
    <row r="1043" spans="1:13" ht="20" customHeight="1" x14ac:dyDescent="0.35">
      <c r="A1043" s="17">
        <v>691268</v>
      </c>
      <c r="B1043" s="18">
        <v>809</v>
      </c>
      <c r="C1043" s="23" t="s">
        <v>99</v>
      </c>
      <c r="D1043" s="27">
        <v>45068.036805555559</v>
      </c>
      <c r="E1043" s="18" t="s">
        <v>98</v>
      </c>
      <c r="F1043" s="18" t="s">
        <v>88</v>
      </c>
      <c r="G1043" s="18">
        <v>9498</v>
      </c>
      <c r="H1043" s="25">
        <f t="shared" si="64"/>
        <v>45068</v>
      </c>
      <c r="I1043" s="26">
        <f t="shared" si="65"/>
        <v>3.680555555911269E-2</v>
      </c>
      <c r="J1043" s="18" t="str">
        <f t="shared" si="66"/>
        <v>May</v>
      </c>
      <c r="K1043" s="56" t="str">
        <f t="shared" si="67"/>
        <v>Monday</v>
      </c>
      <c r="L1043" s="18" t="str">
        <f>IF(OR(G1043&gt;Answers!I1058,G1043&lt;Answers!I1059),"Outlier","Normal")</f>
        <v>Outlier</v>
      </c>
      <c r="M1043" s="18">
        <v>87</v>
      </c>
    </row>
    <row r="1044" spans="1:13" ht="20" customHeight="1" x14ac:dyDescent="0.35">
      <c r="A1044" s="17">
        <v>691913</v>
      </c>
      <c r="B1044" s="18">
        <v>1566</v>
      </c>
      <c r="C1044" s="23" t="s">
        <v>99</v>
      </c>
      <c r="D1044" s="27">
        <v>44969.047222222223</v>
      </c>
      <c r="E1044" s="18" t="s">
        <v>133</v>
      </c>
      <c r="F1044" s="18" t="s">
        <v>22</v>
      </c>
      <c r="G1044" s="18">
        <v>6689</v>
      </c>
      <c r="H1044" s="25">
        <f t="shared" si="64"/>
        <v>44969</v>
      </c>
      <c r="I1044" s="26">
        <f t="shared" si="65"/>
        <v>4.7222222223354038E-2</v>
      </c>
      <c r="J1044" s="18" t="str">
        <f t="shared" si="66"/>
        <v>February</v>
      </c>
      <c r="K1044" s="56" t="str">
        <f t="shared" si="67"/>
        <v>Sunday</v>
      </c>
      <c r="L1044" s="18" t="str">
        <f>IF(OR(G1044&gt;Answers!I1059,G1044&lt;Answers!I1060),"Outlier","Normal")</f>
        <v>Outlier</v>
      </c>
      <c r="M1044" s="18">
        <v>64</v>
      </c>
    </row>
    <row r="1045" spans="1:13" ht="20" customHeight="1" x14ac:dyDescent="0.35">
      <c r="A1045" s="17">
        <v>691946</v>
      </c>
      <c r="B1045" s="18">
        <v>455</v>
      </c>
      <c r="C1045" s="23" t="s">
        <v>109</v>
      </c>
      <c r="D1045" s="27">
        <v>44960.990277777775</v>
      </c>
      <c r="E1045" s="18" t="s">
        <v>133</v>
      </c>
      <c r="F1045" s="18" t="s">
        <v>73</v>
      </c>
      <c r="G1045" s="18">
        <v>1893</v>
      </c>
      <c r="H1045" s="25">
        <f t="shared" si="64"/>
        <v>44960</v>
      </c>
      <c r="I1045" s="26">
        <f t="shared" si="65"/>
        <v>0.99027777777519077</v>
      </c>
      <c r="J1045" s="18" t="str">
        <f t="shared" si="66"/>
        <v>February</v>
      </c>
      <c r="K1045" s="56" t="str">
        <f t="shared" si="67"/>
        <v>Friday</v>
      </c>
      <c r="L1045" s="18" t="str">
        <f>IF(OR(G1045&gt;Answers!I1060,G1045&lt;Answers!I1061),"Outlier","Normal")</f>
        <v>Outlier</v>
      </c>
      <c r="M1045" s="18">
        <v>52</v>
      </c>
    </row>
    <row r="1046" spans="1:13" ht="20" customHeight="1" x14ac:dyDescent="0.35">
      <c r="A1046" s="17">
        <v>692440</v>
      </c>
      <c r="B1046" s="18">
        <v>159</v>
      </c>
      <c r="C1046" s="23" t="s">
        <v>99</v>
      </c>
      <c r="D1046" s="27">
        <v>45126.987500000003</v>
      </c>
      <c r="E1046" s="18" t="s">
        <v>96</v>
      </c>
      <c r="F1046" s="18" t="s">
        <v>4</v>
      </c>
      <c r="G1046" s="18">
        <v>7041</v>
      </c>
      <c r="H1046" s="25">
        <f t="shared" si="64"/>
        <v>45126</v>
      </c>
      <c r="I1046" s="26">
        <f t="shared" si="65"/>
        <v>0.98750000000291038</v>
      </c>
      <c r="J1046" s="18" t="str">
        <f t="shared" si="66"/>
        <v>July</v>
      </c>
      <c r="K1046" s="56" t="str">
        <f t="shared" si="67"/>
        <v>Wednesday</v>
      </c>
      <c r="L1046" s="18" t="str">
        <f>IF(OR(G1046&gt;Answers!I1061,G1046&lt;Answers!I1062),"Outlier","Normal")</f>
        <v>Outlier</v>
      </c>
      <c r="M1046" s="18">
        <v>25</v>
      </c>
    </row>
    <row r="1047" spans="1:13" ht="20" customHeight="1" x14ac:dyDescent="0.35">
      <c r="A1047" s="17">
        <v>692808</v>
      </c>
      <c r="B1047" s="18">
        <v>1797</v>
      </c>
      <c r="C1047" s="23" t="s">
        <v>99</v>
      </c>
      <c r="D1047" s="27">
        <v>45146.019444444442</v>
      </c>
      <c r="E1047" s="18" t="s">
        <v>96</v>
      </c>
      <c r="F1047" s="18" t="s">
        <v>89</v>
      </c>
      <c r="G1047" s="18">
        <v>7362</v>
      </c>
      <c r="H1047" s="25">
        <f t="shared" si="64"/>
        <v>45146</v>
      </c>
      <c r="I1047" s="26">
        <f t="shared" si="65"/>
        <v>1.9444444442342501E-2</v>
      </c>
      <c r="J1047" s="18" t="str">
        <f t="shared" si="66"/>
        <v>August</v>
      </c>
      <c r="K1047" s="56" t="str">
        <f t="shared" si="67"/>
        <v>Tuesday</v>
      </c>
      <c r="L1047" s="18" t="str">
        <f>IF(OR(G1047&gt;Answers!I1062,G1047&lt;Answers!I1063),"Outlier","Normal")</f>
        <v>Outlier</v>
      </c>
      <c r="M1047" s="18">
        <v>45</v>
      </c>
    </row>
    <row r="1048" spans="1:13" ht="20" customHeight="1" x14ac:dyDescent="0.35">
      <c r="A1048" s="17">
        <v>692957</v>
      </c>
      <c r="B1048" s="18">
        <v>941</v>
      </c>
      <c r="C1048" s="23" t="s">
        <v>99</v>
      </c>
      <c r="D1048" s="27">
        <v>45262.990277777775</v>
      </c>
      <c r="E1048" s="18" t="s">
        <v>98</v>
      </c>
      <c r="F1048" s="18" t="s">
        <v>19</v>
      </c>
      <c r="G1048" s="18">
        <v>8917</v>
      </c>
      <c r="H1048" s="25">
        <f t="shared" si="64"/>
        <v>45262</v>
      </c>
      <c r="I1048" s="26">
        <f t="shared" si="65"/>
        <v>0.99027777777519077</v>
      </c>
      <c r="J1048" s="18" t="str">
        <f t="shared" si="66"/>
        <v>December</v>
      </c>
      <c r="K1048" s="56" t="str">
        <f t="shared" si="67"/>
        <v>Saturday</v>
      </c>
      <c r="L1048" s="18" t="str">
        <f>IF(OR(G1048&gt;Answers!I1063,G1048&lt;Answers!I1064),"Outlier","Normal")</f>
        <v>Outlier</v>
      </c>
      <c r="M1048" s="18">
        <v>81</v>
      </c>
    </row>
    <row r="1049" spans="1:13" ht="20" customHeight="1" x14ac:dyDescent="0.35">
      <c r="A1049" s="17">
        <v>692962</v>
      </c>
      <c r="B1049" s="18">
        <v>442</v>
      </c>
      <c r="C1049" s="23" t="s">
        <v>99</v>
      </c>
      <c r="D1049" s="27">
        <v>45124.021527777775</v>
      </c>
      <c r="E1049" s="18" t="s">
        <v>98</v>
      </c>
      <c r="F1049" s="18" t="s">
        <v>72</v>
      </c>
      <c r="G1049" s="18">
        <v>1328</v>
      </c>
      <c r="H1049" s="25">
        <f t="shared" si="64"/>
        <v>45124</v>
      </c>
      <c r="I1049" s="26">
        <f t="shared" si="65"/>
        <v>2.1527777775190771E-2</v>
      </c>
      <c r="J1049" s="18" t="str">
        <f t="shared" si="66"/>
        <v>July</v>
      </c>
      <c r="K1049" s="56" t="str">
        <f t="shared" si="67"/>
        <v>Monday</v>
      </c>
      <c r="L1049" s="18" t="str">
        <f>IF(OR(G1049&gt;Answers!I1064,G1049&lt;Answers!I1065),"Outlier","Normal")</f>
        <v>Outlier</v>
      </c>
      <c r="M1049" s="18">
        <v>62</v>
      </c>
    </row>
    <row r="1050" spans="1:13" ht="20" customHeight="1" x14ac:dyDescent="0.35">
      <c r="A1050" s="17">
        <v>694715</v>
      </c>
      <c r="B1050" s="18">
        <v>519</v>
      </c>
      <c r="C1050" s="23" t="s">
        <v>100</v>
      </c>
      <c r="D1050" s="27">
        <v>45139.963194444441</v>
      </c>
      <c r="E1050" s="18" t="s">
        <v>96</v>
      </c>
      <c r="F1050" s="18" t="s">
        <v>35</v>
      </c>
      <c r="G1050" s="18">
        <v>6870</v>
      </c>
      <c r="H1050" s="25">
        <f t="shared" si="64"/>
        <v>45139</v>
      </c>
      <c r="I1050" s="26">
        <f t="shared" si="65"/>
        <v>0.96319444444088731</v>
      </c>
      <c r="J1050" s="18" t="str">
        <f t="shared" si="66"/>
        <v>August</v>
      </c>
      <c r="K1050" s="56" t="str">
        <f t="shared" si="67"/>
        <v>Tuesday</v>
      </c>
      <c r="L1050" s="18" t="str">
        <f>IF(OR(G1050&gt;Answers!I1065,G1050&lt;Answers!I1066),"Outlier","Normal")</f>
        <v>Outlier</v>
      </c>
      <c r="M1050" s="18">
        <v>70</v>
      </c>
    </row>
    <row r="1051" spans="1:13" ht="20" customHeight="1" x14ac:dyDescent="0.35">
      <c r="A1051" s="17">
        <v>695237</v>
      </c>
      <c r="B1051" s="18">
        <v>520</v>
      </c>
      <c r="C1051" s="23" t="s">
        <v>105</v>
      </c>
      <c r="D1051" s="27">
        <v>44937.986111111109</v>
      </c>
      <c r="E1051" s="18" t="s">
        <v>98</v>
      </c>
      <c r="F1051" s="18" t="s">
        <v>25</v>
      </c>
      <c r="G1051" s="18">
        <v>1232</v>
      </c>
      <c r="H1051" s="25">
        <f t="shared" si="64"/>
        <v>44937</v>
      </c>
      <c r="I1051" s="26">
        <f t="shared" si="65"/>
        <v>0.98611111110949423</v>
      </c>
      <c r="J1051" s="18" t="str">
        <f t="shared" si="66"/>
        <v>January</v>
      </c>
      <c r="K1051" s="56" t="str">
        <f t="shared" si="67"/>
        <v>Wednesday</v>
      </c>
      <c r="L1051" s="18" t="str">
        <f>IF(OR(G1051&gt;Answers!I1066,G1051&lt;Answers!I1067),"Outlier","Normal")</f>
        <v>Outlier</v>
      </c>
      <c r="M1051" s="18">
        <v>81</v>
      </c>
    </row>
    <row r="1052" spans="1:13" ht="20" customHeight="1" x14ac:dyDescent="0.35">
      <c r="A1052" s="17">
        <v>695670</v>
      </c>
      <c r="B1052" s="18">
        <v>58</v>
      </c>
      <c r="C1052" s="23" t="s">
        <v>109</v>
      </c>
      <c r="D1052" s="27">
        <v>45090.098611111112</v>
      </c>
      <c r="E1052" s="18" t="s">
        <v>133</v>
      </c>
      <c r="F1052" s="18" t="s">
        <v>15</v>
      </c>
      <c r="G1052" s="18">
        <v>8331</v>
      </c>
      <c r="H1052" s="25">
        <f t="shared" si="64"/>
        <v>45090</v>
      </c>
      <c r="I1052" s="26">
        <f t="shared" si="65"/>
        <v>9.8611111112404615E-2</v>
      </c>
      <c r="J1052" s="18" t="str">
        <f t="shared" si="66"/>
        <v>June</v>
      </c>
      <c r="K1052" s="56" t="str">
        <f t="shared" si="67"/>
        <v>Tuesday</v>
      </c>
      <c r="L1052" s="18" t="str">
        <f>IF(OR(G1052&gt;Answers!I1067,G1052&lt;Answers!I1068),"Outlier","Normal")</f>
        <v>Outlier</v>
      </c>
      <c r="M1052" s="18">
        <v>29</v>
      </c>
    </row>
    <row r="1053" spans="1:13" ht="20" customHeight="1" x14ac:dyDescent="0.35">
      <c r="A1053" s="17">
        <v>696736</v>
      </c>
      <c r="B1053" s="18">
        <v>899</v>
      </c>
      <c r="C1053" s="23" t="s">
        <v>99</v>
      </c>
      <c r="D1053" s="27">
        <v>45249.039583333331</v>
      </c>
      <c r="E1053" s="18" t="s">
        <v>97</v>
      </c>
      <c r="F1053" s="18" t="s">
        <v>49</v>
      </c>
      <c r="G1053" s="18">
        <v>2627</v>
      </c>
      <c r="H1053" s="25">
        <f t="shared" si="64"/>
        <v>45249</v>
      </c>
      <c r="I1053" s="26">
        <f t="shared" si="65"/>
        <v>3.9583333331393078E-2</v>
      </c>
      <c r="J1053" s="18" t="str">
        <f t="shared" si="66"/>
        <v>November</v>
      </c>
      <c r="K1053" s="56" t="str">
        <f t="shared" si="67"/>
        <v>Sunday</v>
      </c>
      <c r="L1053" s="18" t="str">
        <f>IF(OR(G1053&gt;Answers!I1068,G1053&lt;Answers!I1069),"Outlier","Normal")</f>
        <v>Outlier</v>
      </c>
      <c r="M1053" s="18">
        <v>75</v>
      </c>
    </row>
    <row r="1054" spans="1:13" ht="20" customHeight="1" x14ac:dyDescent="0.35">
      <c r="A1054" s="17">
        <v>696792</v>
      </c>
      <c r="B1054" s="18">
        <v>1651</v>
      </c>
      <c r="C1054" s="23" t="s">
        <v>101</v>
      </c>
      <c r="D1054" s="27">
        <v>45083.992361111108</v>
      </c>
      <c r="E1054" s="18" t="s">
        <v>98</v>
      </c>
      <c r="F1054" s="18" t="s">
        <v>28</v>
      </c>
      <c r="G1054" s="18">
        <v>9568</v>
      </c>
      <c r="H1054" s="25">
        <f t="shared" si="64"/>
        <v>45083</v>
      </c>
      <c r="I1054" s="26">
        <f t="shared" si="65"/>
        <v>0.99236111110803904</v>
      </c>
      <c r="J1054" s="18" t="str">
        <f t="shared" si="66"/>
        <v>June</v>
      </c>
      <c r="K1054" s="56" t="str">
        <f t="shared" si="67"/>
        <v>Tuesday</v>
      </c>
      <c r="L1054" s="18" t="str">
        <f>IF(OR(G1054&gt;Answers!I1069,G1054&lt;Answers!I1070),"Outlier","Normal")</f>
        <v>Outlier</v>
      </c>
      <c r="M1054" s="18">
        <v>53</v>
      </c>
    </row>
    <row r="1055" spans="1:13" ht="20" customHeight="1" x14ac:dyDescent="0.35">
      <c r="A1055" s="17">
        <v>696860</v>
      </c>
      <c r="B1055" s="18">
        <v>270</v>
      </c>
      <c r="C1055" s="23" t="s">
        <v>101</v>
      </c>
      <c r="D1055" s="27">
        <v>44996.038194444445</v>
      </c>
      <c r="E1055" s="18" t="s">
        <v>96</v>
      </c>
      <c r="F1055" s="18" t="s">
        <v>14</v>
      </c>
      <c r="G1055" s="18">
        <v>4174</v>
      </c>
      <c r="H1055" s="25">
        <f t="shared" si="64"/>
        <v>44996</v>
      </c>
      <c r="I1055" s="26">
        <f t="shared" si="65"/>
        <v>3.8194444445252884E-2</v>
      </c>
      <c r="J1055" s="18" t="str">
        <f t="shared" si="66"/>
        <v>March</v>
      </c>
      <c r="K1055" s="56" t="str">
        <f t="shared" si="67"/>
        <v>Saturday</v>
      </c>
      <c r="L1055" s="18" t="str">
        <f>IF(OR(G1055&gt;Answers!I1070,G1055&lt;Answers!I1071),"Outlier","Normal")</f>
        <v>Outlier</v>
      </c>
      <c r="M1055" s="18">
        <v>74</v>
      </c>
    </row>
    <row r="1056" spans="1:13" ht="20" customHeight="1" x14ac:dyDescent="0.35">
      <c r="A1056" s="17">
        <v>697123</v>
      </c>
      <c r="B1056" s="18">
        <v>1959</v>
      </c>
      <c r="C1056" s="23" t="s">
        <v>109</v>
      </c>
      <c r="D1056" s="27">
        <v>45241.076388888891</v>
      </c>
      <c r="E1056" s="18" t="s">
        <v>97</v>
      </c>
      <c r="F1056" s="18" t="s">
        <v>78</v>
      </c>
      <c r="G1056" s="18">
        <v>6636</v>
      </c>
      <c r="H1056" s="25">
        <f t="shared" si="64"/>
        <v>45241</v>
      </c>
      <c r="I1056" s="26">
        <f t="shared" si="65"/>
        <v>7.6388888890505768E-2</v>
      </c>
      <c r="J1056" s="18" t="str">
        <f t="shared" si="66"/>
        <v>November</v>
      </c>
      <c r="K1056" s="56" t="str">
        <f t="shared" si="67"/>
        <v>Saturday</v>
      </c>
      <c r="L1056" s="18" t="str">
        <f>IF(OR(G1056&gt;Answers!I1071,G1056&lt;Answers!I1072),"Outlier","Normal")</f>
        <v>Outlier</v>
      </c>
      <c r="M1056" s="18">
        <v>28</v>
      </c>
    </row>
    <row r="1057" spans="1:13" ht="20" customHeight="1" x14ac:dyDescent="0.35">
      <c r="A1057" s="17">
        <v>698048</v>
      </c>
      <c r="B1057" s="18">
        <v>175</v>
      </c>
      <c r="C1057" s="23" t="s">
        <v>99</v>
      </c>
      <c r="D1057" s="27">
        <v>45234.074999999997</v>
      </c>
      <c r="E1057" s="18" t="s">
        <v>96</v>
      </c>
      <c r="F1057" s="18" t="s">
        <v>27</v>
      </c>
      <c r="G1057" s="18">
        <v>731</v>
      </c>
      <c r="H1057" s="25">
        <f t="shared" si="64"/>
        <v>45234</v>
      </c>
      <c r="I1057" s="26">
        <f t="shared" si="65"/>
        <v>7.4999999997089617E-2</v>
      </c>
      <c r="J1057" s="18" t="str">
        <f t="shared" si="66"/>
        <v>November</v>
      </c>
      <c r="K1057" s="56" t="str">
        <f t="shared" si="67"/>
        <v>Saturday</v>
      </c>
      <c r="L1057" s="18" t="str">
        <f>IF(OR(G1057&gt;Answers!I1072,G1057&lt;Answers!I1073),"Outlier","Normal")</f>
        <v>Outlier</v>
      </c>
      <c r="M1057" s="18">
        <v>70</v>
      </c>
    </row>
    <row r="1058" spans="1:13" ht="20" customHeight="1" x14ac:dyDescent="0.35">
      <c r="A1058" s="17">
        <v>698175</v>
      </c>
      <c r="B1058" s="18">
        <v>1372</v>
      </c>
      <c r="C1058" s="23" t="s">
        <v>100</v>
      </c>
      <c r="D1058" s="27">
        <v>45094.064583333333</v>
      </c>
      <c r="E1058" s="18" t="s">
        <v>98</v>
      </c>
      <c r="F1058" s="18" t="s">
        <v>94</v>
      </c>
      <c r="G1058" s="18">
        <v>6322</v>
      </c>
      <c r="H1058" s="25">
        <f t="shared" si="64"/>
        <v>45094</v>
      </c>
      <c r="I1058" s="26">
        <f t="shared" si="65"/>
        <v>6.4583333332848269E-2</v>
      </c>
      <c r="J1058" s="18" t="str">
        <f t="shared" si="66"/>
        <v>June</v>
      </c>
      <c r="K1058" s="56" t="str">
        <f t="shared" si="67"/>
        <v>Saturday</v>
      </c>
      <c r="L1058" s="18" t="str">
        <f>IF(OR(G1058&gt;Answers!I1073,G1058&lt;Answers!I1074),"Outlier","Normal")</f>
        <v>Outlier</v>
      </c>
      <c r="M1058" s="18">
        <v>28</v>
      </c>
    </row>
    <row r="1059" spans="1:13" ht="20" customHeight="1" x14ac:dyDescent="0.35">
      <c r="A1059" s="17">
        <v>698222</v>
      </c>
      <c r="B1059" s="18">
        <v>1836</v>
      </c>
      <c r="C1059" s="23" t="s">
        <v>100</v>
      </c>
      <c r="D1059" s="27">
        <v>45007.003472222219</v>
      </c>
      <c r="E1059" s="18" t="s">
        <v>98</v>
      </c>
      <c r="F1059" s="18" t="s">
        <v>46</v>
      </c>
      <c r="G1059" s="18">
        <v>1804</v>
      </c>
      <c r="H1059" s="25">
        <f t="shared" si="64"/>
        <v>45007</v>
      </c>
      <c r="I1059" s="26">
        <f t="shared" si="65"/>
        <v>3.4722222189884633E-3</v>
      </c>
      <c r="J1059" s="18" t="str">
        <f t="shared" si="66"/>
        <v>March</v>
      </c>
      <c r="K1059" s="56" t="str">
        <f t="shared" si="67"/>
        <v>Wednesday</v>
      </c>
      <c r="L1059" s="18" t="str">
        <f>IF(OR(G1059&gt;Answers!I1074,G1059&lt;Answers!I1075),"Outlier","Normal")</f>
        <v>Outlier</v>
      </c>
      <c r="M1059" s="18">
        <v>36</v>
      </c>
    </row>
    <row r="1060" spans="1:13" ht="20" customHeight="1" x14ac:dyDescent="0.35">
      <c r="A1060" s="17">
        <v>699766</v>
      </c>
      <c r="B1060" s="18">
        <v>202</v>
      </c>
      <c r="C1060" s="23" t="s">
        <v>99</v>
      </c>
      <c r="D1060" s="27">
        <v>45289.061111111114</v>
      </c>
      <c r="E1060" s="18" t="s">
        <v>97</v>
      </c>
      <c r="F1060" s="18" t="s">
        <v>20</v>
      </c>
      <c r="G1060" s="18">
        <v>2379</v>
      </c>
      <c r="H1060" s="25">
        <f t="shared" si="64"/>
        <v>45289</v>
      </c>
      <c r="I1060" s="26">
        <f t="shared" si="65"/>
        <v>6.1111111113859806E-2</v>
      </c>
      <c r="J1060" s="18" t="str">
        <f t="shared" si="66"/>
        <v>December</v>
      </c>
      <c r="K1060" s="56" t="str">
        <f t="shared" si="67"/>
        <v>Friday</v>
      </c>
      <c r="L1060" s="18" t="str">
        <f>IF(OR(G1060&gt;Answers!I1075,G1060&lt;Answers!I1076),"Outlier","Normal")</f>
        <v>Outlier</v>
      </c>
      <c r="M1060" s="18">
        <v>86</v>
      </c>
    </row>
    <row r="1061" spans="1:13" ht="20" customHeight="1" x14ac:dyDescent="0.35">
      <c r="A1061" s="17">
        <v>700751</v>
      </c>
      <c r="B1061" s="18">
        <v>1082</v>
      </c>
      <c r="C1061" s="23" t="s">
        <v>113</v>
      </c>
      <c r="D1061" s="27">
        <v>45023.020138888889</v>
      </c>
      <c r="E1061" s="18" t="s">
        <v>133</v>
      </c>
      <c r="F1061" s="18" t="s">
        <v>27</v>
      </c>
      <c r="G1061" s="18">
        <v>1547</v>
      </c>
      <c r="H1061" s="25">
        <f t="shared" si="64"/>
        <v>45023</v>
      </c>
      <c r="I1061" s="26">
        <f t="shared" si="65"/>
        <v>2.0138888889050577E-2</v>
      </c>
      <c r="J1061" s="18" t="str">
        <f t="shared" si="66"/>
        <v>April</v>
      </c>
      <c r="K1061" s="56" t="str">
        <f t="shared" si="67"/>
        <v>Friday</v>
      </c>
      <c r="L1061" s="18" t="str">
        <f>IF(OR(G1061&gt;Answers!I1076,G1061&lt;Answers!I1077),"Outlier","Normal")</f>
        <v>Outlier</v>
      </c>
      <c r="M1061" s="18">
        <v>70</v>
      </c>
    </row>
    <row r="1062" spans="1:13" ht="20" customHeight="1" x14ac:dyDescent="0.35">
      <c r="A1062" s="17">
        <v>701790</v>
      </c>
      <c r="B1062" s="18">
        <v>1704</v>
      </c>
      <c r="C1062" s="23" t="s">
        <v>99</v>
      </c>
      <c r="D1062" s="27">
        <v>44979.027777777781</v>
      </c>
      <c r="E1062" s="18" t="s">
        <v>133</v>
      </c>
      <c r="F1062" s="18" t="s">
        <v>27</v>
      </c>
      <c r="G1062" s="18">
        <v>4202</v>
      </c>
      <c r="H1062" s="25">
        <f t="shared" si="64"/>
        <v>44979</v>
      </c>
      <c r="I1062" s="26">
        <f t="shared" si="65"/>
        <v>2.7777777781011537E-2</v>
      </c>
      <c r="J1062" s="18" t="str">
        <f t="shared" si="66"/>
        <v>February</v>
      </c>
      <c r="K1062" s="56" t="str">
        <f t="shared" si="67"/>
        <v>Wednesday</v>
      </c>
      <c r="L1062" s="18" t="str">
        <f>IF(OR(G1062&gt;Answers!I1077,G1062&lt;Answers!I1078),"Outlier","Normal")</f>
        <v>Outlier</v>
      </c>
      <c r="M1062" s="18">
        <v>67</v>
      </c>
    </row>
    <row r="1063" spans="1:13" ht="20" customHeight="1" x14ac:dyDescent="0.35">
      <c r="A1063" s="17">
        <v>701802</v>
      </c>
      <c r="B1063" s="18">
        <v>151</v>
      </c>
      <c r="C1063" s="23" t="s">
        <v>109</v>
      </c>
      <c r="D1063" s="27">
        <v>45020.05</v>
      </c>
      <c r="E1063" s="18" t="s">
        <v>96</v>
      </c>
      <c r="F1063" s="18" t="s">
        <v>87</v>
      </c>
      <c r="G1063" s="18">
        <v>927</v>
      </c>
      <c r="H1063" s="25">
        <f t="shared" si="64"/>
        <v>45020</v>
      </c>
      <c r="I1063" s="26">
        <f t="shared" si="65"/>
        <v>5.0000000002910383E-2</v>
      </c>
      <c r="J1063" s="18" t="str">
        <f t="shared" si="66"/>
        <v>April</v>
      </c>
      <c r="K1063" s="56" t="str">
        <f t="shared" si="67"/>
        <v>Tuesday</v>
      </c>
      <c r="L1063" s="18" t="str">
        <f>IF(OR(G1063&gt;Answers!I1078,G1063&lt;Answers!I1079),"Outlier","Normal")</f>
        <v>Outlier</v>
      </c>
      <c r="M1063" s="18">
        <v>76</v>
      </c>
    </row>
    <row r="1064" spans="1:13" ht="20" customHeight="1" x14ac:dyDescent="0.35">
      <c r="A1064" s="17">
        <v>702331</v>
      </c>
      <c r="B1064" s="18">
        <v>1848</v>
      </c>
      <c r="C1064" s="23" t="s">
        <v>99</v>
      </c>
      <c r="D1064" s="27">
        <v>45166.022916666669</v>
      </c>
      <c r="E1064" s="18" t="s">
        <v>97</v>
      </c>
      <c r="F1064" s="18" t="s">
        <v>27</v>
      </c>
      <c r="G1064" s="18">
        <v>5015</v>
      </c>
      <c r="H1064" s="25">
        <f t="shared" si="64"/>
        <v>45166</v>
      </c>
      <c r="I1064" s="26">
        <f t="shared" si="65"/>
        <v>2.2916666668606922E-2</v>
      </c>
      <c r="J1064" s="18" t="str">
        <f t="shared" si="66"/>
        <v>August</v>
      </c>
      <c r="K1064" s="56" t="str">
        <f t="shared" si="67"/>
        <v>Monday</v>
      </c>
      <c r="L1064" s="18" t="str">
        <f>IF(OR(G1064&gt;Answers!I1079,G1064&lt;Answers!I1080),"Outlier","Normal")</f>
        <v>Outlier</v>
      </c>
      <c r="M1064" s="18">
        <v>63</v>
      </c>
    </row>
    <row r="1065" spans="1:13" ht="20" customHeight="1" x14ac:dyDescent="0.35">
      <c r="A1065" s="17">
        <v>703166</v>
      </c>
      <c r="B1065" s="18">
        <v>1228</v>
      </c>
      <c r="C1065" s="23" t="s">
        <v>99</v>
      </c>
      <c r="D1065" s="27">
        <v>45233.015277777777</v>
      </c>
      <c r="E1065" s="18" t="s">
        <v>133</v>
      </c>
      <c r="F1065" s="18" t="s">
        <v>23</v>
      </c>
      <c r="G1065" s="18">
        <v>2916</v>
      </c>
      <c r="H1065" s="25">
        <f t="shared" si="64"/>
        <v>45233</v>
      </c>
      <c r="I1065" s="26">
        <f t="shared" si="65"/>
        <v>1.5277777776645962E-2</v>
      </c>
      <c r="J1065" s="18" t="str">
        <f t="shared" si="66"/>
        <v>November</v>
      </c>
      <c r="K1065" s="56" t="str">
        <f t="shared" si="67"/>
        <v>Friday</v>
      </c>
      <c r="L1065" s="18" t="str">
        <f>IF(OR(G1065&gt;Answers!I1080,G1065&lt;Answers!I1081),"Outlier","Normal")</f>
        <v>Outlier</v>
      </c>
      <c r="M1065" s="18">
        <v>87</v>
      </c>
    </row>
    <row r="1066" spans="1:13" ht="20" customHeight="1" x14ac:dyDescent="0.35">
      <c r="A1066" s="17">
        <v>704734</v>
      </c>
      <c r="B1066" s="18">
        <v>1243</v>
      </c>
      <c r="C1066" s="23" t="s">
        <v>105</v>
      </c>
      <c r="D1066" s="27">
        <v>45194.940972222219</v>
      </c>
      <c r="E1066" s="18" t="s">
        <v>98</v>
      </c>
      <c r="F1066" s="18" t="s">
        <v>18</v>
      </c>
      <c r="G1066" s="18">
        <v>9313</v>
      </c>
      <c r="H1066" s="25">
        <f t="shared" si="64"/>
        <v>45194</v>
      </c>
      <c r="I1066" s="26">
        <f t="shared" si="65"/>
        <v>0.94097222221898846</v>
      </c>
      <c r="J1066" s="18" t="str">
        <f t="shared" si="66"/>
        <v>September</v>
      </c>
      <c r="K1066" s="56" t="str">
        <f t="shared" si="67"/>
        <v>Monday</v>
      </c>
      <c r="L1066" s="18" t="str">
        <f>IF(OR(G1066&gt;Answers!I1081,G1066&lt;Answers!I1082),"Outlier","Normal")</f>
        <v>Outlier</v>
      </c>
      <c r="M1066" s="18">
        <v>24</v>
      </c>
    </row>
    <row r="1067" spans="1:13" ht="20" customHeight="1" x14ac:dyDescent="0.35">
      <c r="A1067" s="17">
        <v>705322</v>
      </c>
      <c r="B1067" s="18">
        <v>1718</v>
      </c>
      <c r="C1067" s="23" t="s">
        <v>99</v>
      </c>
      <c r="D1067" s="27">
        <v>45049.974999999999</v>
      </c>
      <c r="E1067" s="18" t="s">
        <v>133</v>
      </c>
      <c r="F1067" s="18" t="s">
        <v>52</v>
      </c>
      <c r="G1067" s="18">
        <v>1519</v>
      </c>
      <c r="H1067" s="25">
        <f t="shared" si="64"/>
        <v>45049</v>
      </c>
      <c r="I1067" s="26">
        <f t="shared" si="65"/>
        <v>0.97499999999854481</v>
      </c>
      <c r="J1067" s="18" t="str">
        <f t="shared" si="66"/>
        <v>May</v>
      </c>
      <c r="K1067" s="56" t="str">
        <f t="shared" si="67"/>
        <v>Wednesday</v>
      </c>
      <c r="L1067" s="18" t="str">
        <f>IF(OR(G1067&gt;Answers!I1082,G1067&lt;Answers!I1083),"Outlier","Normal")</f>
        <v>Outlier</v>
      </c>
      <c r="M1067" s="18">
        <v>26</v>
      </c>
    </row>
    <row r="1068" spans="1:13" ht="20" customHeight="1" x14ac:dyDescent="0.35">
      <c r="A1068" s="17">
        <v>705612</v>
      </c>
      <c r="B1068" s="18">
        <v>1886</v>
      </c>
      <c r="C1068" s="23" t="s">
        <v>101</v>
      </c>
      <c r="D1068" s="27">
        <v>45045.979861111111</v>
      </c>
      <c r="E1068" s="18" t="s">
        <v>133</v>
      </c>
      <c r="F1068" s="18" t="s">
        <v>30</v>
      </c>
      <c r="G1068" s="18">
        <v>2657</v>
      </c>
      <c r="H1068" s="25">
        <f t="shared" si="64"/>
        <v>45045</v>
      </c>
      <c r="I1068" s="26">
        <f t="shared" si="65"/>
        <v>0.97986111111094942</v>
      </c>
      <c r="J1068" s="18" t="str">
        <f t="shared" si="66"/>
        <v>April</v>
      </c>
      <c r="K1068" s="56" t="str">
        <f t="shared" si="67"/>
        <v>Saturday</v>
      </c>
      <c r="L1068" s="18" t="str">
        <f>IF(OR(G1068&gt;Answers!I1083,G1068&lt;Answers!I1084),"Outlier","Normal")</f>
        <v>Outlier</v>
      </c>
      <c r="M1068" s="18">
        <v>28</v>
      </c>
    </row>
    <row r="1069" spans="1:13" ht="20" customHeight="1" x14ac:dyDescent="0.35">
      <c r="A1069" s="17">
        <v>706153</v>
      </c>
      <c r="B1069" s="18">
        <v>1053</v>
      </c>
      <c r="C1069" s="23" t="s">
        <v>113</v>
      </c>
      <c r="D1069" s="27">
        <v>45007.022222222222</v>
      </c>
      <c r="E1069" s="18" t="s">
        <v>97</v>
      </c>
      <c r="F1069" s="18" t="s">
        <v>27</v>
      </c>
      <c r="G1069" s="18">
        <v>777</v>
      </c>
      <c r="H1069" s="25">
        <f t="shared" si="64"/>
        <v>45007</v>
      </c>
      <c r="I1069" s="26">
        <f t="shared" si="65"/>
        <v>2.2222222221898846E-2</v>
      </c>
      <c r="J1069" s="18" t="str">
        <f t="shared" si="66"/>
        <v>March</v>
      </c>
      <c r="K1069" s="56" t="str">
        <f t="shared" si="67"/>
        <v>Wednesday</v>
      </c>
      <c r="L1069" s="18" t="str">
        <f>IF(OR(G1069&gt;Answers!I1084,G1069&lt;Answers!I1085),"Outlier","Normal")</f>
        <v>Outlier</v>
      </c>
      <c r="M1069" s="18">
        <v>67</v>
      </c>
    </row>
    <row r="1070" spans="1:13" ht="20" customHeight="1" x14ac:dyDescent="0.35">
      <c r="A1070" s="17">
        <v>706669</v>
      </c>
      <c r="B1070" s="18">
        <v>1153</v>
      </c>
      <c r="C1070" s="23" t="s">
        <v>107</v>
      </c>
      <c r="D1070" s="27">
        <v>45052.072916666664</v>
      </c>
      <c r="E1070" s="18" t="s">
        <v>98</v>
      </c>
      <c r="F1070" s="18" t="s">
        <v>43</v>
      </c>
      <c r="G1070" s="18">
        <v>4666</v>
      </c>
      <c r="H1070" s="25">
        <f t="shared" si="64"/>
        <v>45052</v>
      </c>
      <c r="I1070" s="26">
        <f t="shared" si="65"/>
        <v>7.2916666664241347E-2</v>
      </c>
      <c r="J1070" s="18" t="str">
        <f t="shared" si="66"/>
        <v>May</v>
      </c>
      <c r="K1070" s="56" t="str">
        <f t="shared" si="67"/>
        <v>Saturday</v>
      </c>
      <c r="L1070" s="18" t="str">
        <f>IF(OR(G1070&gt;Answers!I1085,G1070&lt;Answers!I1086),"Outlier","Normal")</f>
        <v>Outlier</v>
      </c>
      <c r="M1070" s="18">
        <v>39</v>
      </c>
    </row>
    <row r="1071" spans="1:13" ht="20" customHeight="1" x14ac:dyDescent="0.35">
      <c r="A1071" s="17">
        <v>706696</v>
      </c>
      <c r="B1071" s="18">
        <v>606</v>
      </c>
      <c r="C1071" s="23" t="s">
        <v>99</v>
      </c>
      <c r="D1071" s="27">
        <v>45116.02847222222</v>
      </c>
      <c r="E1071" s="18" t="s">
        <v>96</v>
      </c>
      <c r="F1071" s="18" t="s">
        <v>27</v>
      </c>
      <c r="G1071" s="18">
        <v>3500</v>
      </c>
      <c r="H1071" s="25">
        <f t="shared" si="64"/>
        <v>45116</v>
      </c>
      <c r="I1071" s="26">
        <f t="shared" si="65"/>
        <v>2.8472222220443655E-2</v>
      </c>
      <c r="J1071" s="18" t="str">
        <f t="shared" si="66"/>
        <v>July</v>
      </c>
      <c r="K1071" s="56" t="str">
        <f t="shared" si="67"/>
        <v>Sunday</v>
      </c>
      <c r="L1071" s="18" t="str">
        <f>IF(OR(G1071&gt;Answers!I1086,G1071&lt;Answers!I1087),"Outlier","Normal")</f>
        <v>Outlier</v>
      </c>
      <c r="M1071" s="18">
        <v>18</v>
      </c>
    </row>
    <row r="1072" spans="1:13" ht="20" customHeight="1" x14ac:dyDescent="0.35">
      <c r="A1072" s="17">
        <v>706725</v>
      </c>
      <c r="B1072" s="18">
        <v>1812</v>
      </c>
      <c r="C1072" s="23" t="s">
        <v>105</v>
      </c>
      <c r="D1072" s="27">
        <v>44982.011111111111</v>
      </c>
      <c r="E1072" s="18" t="s">
        <v>98</v>
      </c>
      <c r="F1072" s="18" t="s">
        <v>30</v>
      </c>
      <c r="G1072" s="18">
        <v>7569</v>
      </c>
      <c r="H1072" s="25">
        <f t="shared" si="64"/>
        <v>44982</v>
      </c>
      <c r="I1072" s="26">
        <f t="shared" si="65"/>
        <v>1.1111111110949423E-2</v>
      </c>
      <c r="J1072" s="18" t="str">
        <f t="shared" si="66"/>
        <v>February</v>
      </c>
      <c r="K1072" s="56" t="str">
        <f t="shared" si="67"/>
        <v>Saturday</v>
      </c>
      <c r="L1072" s="18" t="str">
        <f>IF(OR(G1072&gt;Answers!I1087,G1072&lt;Answers!I1088),"Outlier","Normal")</f>
        <v>Outlier</v>
      </c>
      <c r="M1072" s="18">
        <v>49</v>
      </c>
    </row>
    <row r="1073" spans="1:13" ht="20" customHeight="1" x14ac:dyDescent="0.35">
      <c r="A1073" s="17">
        <v>708480</v>
      </c>
      <c r="B1073" s="18">
        <v>1060</v>
      </c>
      <c r="C1073" s="23" t="s">
        <v>113</v>
      </c>
      <c r="D1073" s="27">
        <v>45218.981249999997</v>
      </c>
      <c r="E1073" s="18" t="s">
        <v>97</v>
      </c>
      <c r="F1073" s="18" t="s">
        <v>80</v>
      </c>
      <c r="G1073" s="18">
        <v>2493</v>
      </c>
      <c r="H1073" s="25">
        <f t="shared" si="64"/>
        <v>45218</v>
      </c>
      <c r="I1073" s="26">
        <f t="shared" si="65"/>
        <v>0.98124999999708962</v>
      </c>
      <c r="J1073" s="18" t="str">
        <f t="shared" si="66"/>
        <v>October</v>
      </c>
      <c r="K1073" s="56" t="str">
        <f t="shared" si="67"/>
        <v>Thursday</v>
      </c>
      <c r="L1073" s="18" t="str">
        <f>IF(OR(G1073&gt;Answers!I1088,G1073&lt;Answers!I1089),"Outlier","Normal")</f>
        <v>Outlier</v>
      </c>
      <c r="M1073" s="18">
        <v>62</v>
      </c>
    </row>
    <row r="1074" spans="1:13" ht="20" customHeight="1" x14ac:dyDescent="0.35">
      <c r="A1074" s="17">
        <v>708846</v>
      </c>
      <c r="B1074" s="18">
        <v>1644</v>
      </c>
      <c r="C1074" s="23" t="s">
        <v>101</v>
      </c>
      <c r="D1074" s="27">
        <v>45206.022916666669</v>
      </c>
      <c r="E1074" s="18" t="s">
        <v>97</v>
      </c>
      <c r="F1074" s="18" t="s">
        <v>54</v>
      </c>
      <c r="G1074" s="18">
        <v>3069</v>
      </c>
      <c r="H1074" s="25">
        <f t="shared" si="64"/>
        <v>45206</v>
      </c>
      <c r="I1074" s="26">
        <f t="shared" si="65"/>
        <v>2.2916666668606922E-2</v>
      </c>
      <c r="J1074" s="18" t="str">
        <f t="shared" si="66"/>
        <v>October</v>
      </c>
      <c r="K1074" s="56" t="str">
        <f t="shared" si="67"/>
        <v>Saturday</v>
      </c>
      <c r="L1074" s="18" t="str">
        <f>IF(OR(G1074&gt;Answers!I1089,G1074&lt;Answers!I1090),"Outlier","Normal")</f>
        <v>Outlier</v>
      </c>
      <c r="M1074" s="18">
        <v>25</v>
      </c>
    </row>
    <row r="1075" spans="1:13" ht="20" customHeight="1" x14ac:dyDescent="0.35">
      <c r="A1075" s="17">
        <v>709317</v>
      </c>
      <c r="B1075" s="18">
        <v>253</v>
      </c>
      <c r="C1075" s="23" t="s">
        <v>100</v>
      </c>
      <c r="D1075" s="27">
        <v>45175.000694444447</v>
      </c>
      <c r="E1075" s="18" t="s">
        <v>133</v>
      </c>
      <c r="F1075" s="18" t="s">
        <v>38</v>
      </c>
      <c r="G1075" s="18">
        <v>9441</v>
      </c>
      <c r="H1075" s="25">
        <f t="shared" si="64"/>
        <v>45175</v>
      </c>
      <c r="I1075" s="26">
        <f t="shared" si="65"/>
        <v>6.944444467080757E-4</v>
      </c>
      <c r="J1075" s="18" t="str">
        <f t="shared" si="66"/>
        <v>September</v>
      </c>
      <c r="K1075" s="56" t="str">
        <f t="shared" si="67"/>
        <v>Wednesday</v>
      </c>
      <c r="L1075" s="18" t="str">
        <f>IF(OR(G1075&gt;Answers!I1090,G1075&lt;Answers!I1091),"Outlier","Normal")</f>
        <v>Outlier</v>
      </c>
      <c r="M1075" s="18">
        <v>67</v>
      </c>
    </row>
    <row r="1076" spans="1:13" ht="20" customHeight="1" x14ac:dyDescent="0.35">
      <c r="A1076" s="17">
        <v>710669</v>
      </c>
      <c r="B1076" s="18">
        <v>1366</v>
      </c>
      <c r="C1076" s="23" t="s">
        <v>99</v>
      </c>
      <c r="D1076" s="27">
        <v>45275.00277777778</v>
      </c>
      <c r="E1076" s="18" t="s">
        <v>98</v>
      </c>
      <c r="F1076" s="18" t="s">
        <v>34</v>
      </c>
      <c r="G1076" s="18">
        <v>5405</v>
      </c>
      <c r="H1076" s="25">
        <f t="shared" si="64"/>
        <v>45275</v>
      </c>
      <c r="I1076" s="26">
        <f t="shared" si="65"/>
        <v>2.7777777795563452E-3</v>
      </c>
      <c r="J1076" s="18" t="str">
        <f t="shared" si="66"/>
        <v>December</v>
      </c>
      <c r="K1076" s="56" t="str">
        <f t="shared" si="67"/>
        <v>Friday</v>
      </c>
      <c r="L1076" s="18" t="str">
        <f>IF(OR(G1076&gt;Answers!I1091,G1076&lt;Answers!I1092),"Outlier","Normal")</f>
        <v>Outlier</v>
      </c>
      <c r="M1076" s="18">
        <v>44</v>
      </c>
    </row>
    <row r="1077" spans="1:13" ht="20" customHeight="1" x14ac:dyDescent="0.35">
      <c r="A1077" s="17">
        <v>710673</v>
      </c>
      <c r="B1077" s="18">
        <v>1229</v>
      </c>
      <c r="C1077" s="23" t="s">
        <v>101</v>
      </c>
      <c r="D1077" s="27">
        <v>45090.05972222222</v>
      </c>
      <c r="E1077" s="18" t="s">
        <v>97</v>
      </c>
      <c r="F1077" s="18" t="s">
        <v>60</v>
      </c>
      <c r="G1077" s="18">
        <v>6405</v>
      </c>
      <c r="H1077" s="25">
        <f t="shared" si="64"/>
        <v>45090</v>
      </c>
      <c r="I1077" s="26">
        <f t="shared" si="65"/>
        <v>5.9722222220443655E-2</v>
      </c>
      <c r="J1077" s="18" t="str">
        <f t="shared" si="66"/>
        <v>June</v>
      </c>
      <c r="K1077" s="56" t="str">
        <f t="shared" si="67"/>
        <v>Tuesday</v>
      </c>
      <c r="L1077" s="18" t="str">
        <f>IF(OR(G1077&gt;Answers!I1092,G1077&lt;Answers!I1093),"Outlier","Normal")</f>
        <v>Outlier</v>
      </c>
      <c r="M1077" s="18">
        <v>67</v>
      </c>
    </row>
    <row r="1078" spans="1:13" ht="20" customHeight="1" x14ac:dyDescent="0.35">
      <c r="A1078" s="17">
        <v>711277</v>
      </c>
      <c r="B1078" s="18">
        <v>933</v>
      </c>
      <c r="C1078" s="23" t="s">
        <v>99</v>
      </c>
      <c r="D1078" s="27">
        <v>45149.963888888888</v>
      </c>
      <c r="E1078" s="18" t="s">
        <v>133</v>
      </c>
      <c r="F1078" s="18" t="s">
        <v>63</v>
      </c>
      <c r="G1078" s="18">
        <v>2857</v>
      </c>
      <c r="H1078" s="25">
        <f t="shared" si="64"/>
        <v>45149</v>
      </c>
      <c r="I1078" s="26">
        <f t="shared" si="65"/>
        <v>0.96388888888759539</v>
      </c>
      <c r="J1078" s="18" t="str">
        <f t="shared" si="66"/>
        <v>August</v>
      </c>
      <c r="K1078" s="56" t="str">
        <f t="shared" si="67"/>
        <v>Friday</v>
      </c>
      <c r="L1078" s="18" t="str">
        <f>IF(OR(G1078&gt;Answers!I1093,G1078&lt;Answers!I1094),"Outlier","Normal")</f>
        <v>Outlier</v>
      </c>
      <c r="M1078" s="18">
        <v>24</v>
      </c>
    </row>
    <row r="1079" spans="1:13" ht="20" customHeight="1" x14ac:dyDescent="0.35">
      <c r="A1079" s="17">
        <v>711681</v>
      </c>
      <c r="B1079" s="18">
        <v>1344</v>
      </c>
      <c r="C1079" s="23" t="s">
        <v>105</v>
      </c>
      <c r="D1079" s="27">
        <v>45068.024305555555</v>
      </c>
      <c r="E1079" s="18" t="s">
        <v>98</v>
      </c>
      <c r="F1079" s="18" t="s">
        <v>4</v>
      </c>
      <c r="G1079" s="18">
        <v>3885</v>
      </c>
      <c r="H1079" s="25">
        <f t="shared" si="64"/>
        <v>45068</v>
      </c>
      <c r="I1079" s="26">
        <f t="shared" si="65"/>
        <v>2.4305555554747116E-2</v>
      </c>
      <c r="J1079" s="18" t="str">
        <f t="shared" si="66"/>
        <v>May</v>
      </c>
      <c r="K1079" s="56" t="str">
        <f t="shared" si="67"/>
        <v>Monday</v>
      </c>
      <c r="L1079" s="18" t="str">
        <f>IF(OR(G1079&gt;Answers!I1094,G1079&lt;Answers!I1095),"Outlier","Normal")</f>
        <v>Outlier</v>
      </c>
      <c r="M1079" s="18">
        <v>40</v>
      </c>
    </row>
    <row r="1080" spans="1:13" ht="20" customHeight="1" x14ac:dyDescent="0.35">
      <c r="A1080" s="17">
        <v>712741</v>
      </c>
      <c r="B1080" s="18">
        <v>1001</v>
      </c>
      <c r="C1080" s="23" t="s">
        <v>99</v>
      </c>
      <c r="D1080" s="27">
        <v>45280.013888888891</v>
      </c>
      <c r="E1080" s="18" t="s">
        <v>96</v>
      </c>
      <c r="F1080" s="18" t="s">
        <v>60</v>
      </c>
      <c r="G1080" s="18">
        <v>1475</v>
      </c>
      <c r="H1080" s="25">
        <f t="shared" si="64"/>
        <v>45280</v>
      </c>
      <c r="I1080" s="26">
        <f t="shared" si="65"/>
        <v>1.3888888890505768E-2</v>
      </c>
      <c r="J1080" s="18" t="str">
        <f t="shared" si="66"/>
        <v>December</v>
      </c>
      <c r="K1080" s="56" t="str">
        <f t="shared" si="67"/>
        <v>Wednesday</v>
      </c>
      <c r="L1080" s="18" t="str">
        <f>IF(OR(G1080&gt;Answers!I1095,G1080&lt;Answers!I1096),"Outlier","Normal")</f>
        <v>Outlier</v>
      </c>
      <c r="M1080" s="18">
        <v>41</v>
      </c>
    </row>
    <row r="1081" spans="1:13" ht="20" customHeight="1" x14ac:dyDescent="0.35">
      <c r="A1081" s="17">
        <v>713425</v>
      </c>
      <c r="B1081" s="18">
        <v>1254</v>
      </c>
      <c r="C1081" s="23" t="s">
        <v>100</v>
      </c>
      <c r="D1081" s="27">
        <v>45258.038194444445</v>
      </c>
      <c r="E1081" s="18" t="s">
        <v>96</v>
      </c>
      <c r="F1081" s="18" t="s">
        <v>43</v>
      </c>
      <c r="G1081" s="18">
        <v>918</v>
      </c>
      <c r="H1081" s="25">
        <f t="shared" si="64"/>
        <v>45258</v>
      </c>
      <c r="I1081" s="26">
        <f t="shared" si="65"/>
        <v>3.8194444445252884E-2</v>
      </c>
      <c r="J1081" s="18" t="str">
        <f t="shared" si="66"/>
        <v>November</v>
      </c>
      <c r="K1081" s="56" t="str">
        <f t="shared" si="67"/>
        <v>Tuesday</v>
      </c>
      <c r="L1081" s="18" t="str">
        <f>IF(OR(G1081&gt;Answers!I1096,G1081&lt;Answers!I1097),"Outlier","Normal")</f>
        <v>Outlier</v>
      </c>
      <c r="M1081" s="18">
        <v>71</v>
      </c>
    </row>
    <row r="1082" spans="1:13" ht="20" customHeight="1" x14ac:dyDescent="0.35">
      <c r="A1082" s="17">
        <v>716091</v>
      </c>
      <c r="B1082" s="18">
        <v>1691</v>
      </c>
      <c r="C1082" s="23" t="s">
        <v>99</v>
      </c>
      <c r="D1082" s="27">
        <v>45089.061111111114</v>
      </c>
      <c r="E1082" s="18" t="s">
        <v>97</v>
      </c>
      <c r="F1082" s="18" t="s">
        <v>40</v>
      </c>
      <c r="G1082" s="18">
        <v>6454</v>
      </c>
      <c r="H1082" s="25">
        <f t="shared" si="64"/>
        <v>45089</v>
      </c>
      <c r="I1082" s="26">
        <f t="shared" si="65"/>
        <v>6.1111111113859806E-2</v>
      </c>
      <c r="J1082" s="18" t="str">
        <f t="shared" si="66"/>
        <v>June</v>
      </c>
      <c r="K1082" s="56" t="str">
        <f t="shared" si="67"/>
        <v>Monday</v>
      </c>
      <c r="L1082" s="18" t="str">
        <f>IF(OR(G1082&gt;Answers!I1097,G1082&lt;Answers!I1098),"Outlier","Normal")</f>
        <v>Outlier</v>
      </c>
      <c r="M1082" s="18">
        <v>43</v>
      </c>
    </row>
    <row r="1083" spans="1:13" ht="20" customHeight="1" x14ac:dyDescent="0.35">
      <c r="A1083" s="17">
        <v>717493</v>
      </c>
      <c r="B1083" s="18">
        <v>180</v>
      </c>
      <c r="C1083" s="23" t="s">
        <v>99</v>
      </c>
      <c r="D1083" s="27">
        <v>44978.036805555559</v>
      </c>
      <c r="E1083" s="18" t="s">
        <v>96</v>
      </c>
      <c r="F1083" s="18" t="s">
        <v>81</v>
      </c>
      <c r="G1083" s="18">
        <v>1788</v>
      </c>
      <c r="H1083" s="25">
        <f t="shared" si="64"/>
        <v>44978</v>
      </c>
      <c r="I1083" s="26">
        <f t="shared" si="65"/>
        <v>3.680555555911269E-2</v>
      </c>
      <c r="J1083" s="18" t="str">
        <f t="shared" si="66"/>
        <v>February</v>
      </c>
      <c r="K1083" s="56" t="str">
        <f t="shared" si="67"/>
        <v>Tuesday</v>
      </c>
      <c r="L1083" s="18" t="str">
        <f>IF(OR(G1083&gt;Answers!I1098,G1083&lt;Answers!I1099),"Outlier","Normal")</f>
        <v>Outlier</v>
      </c>
      <c r="M1083" s="18">
        <v>81</v>
      </c>
    </row>
    <row r="1084" spans="1:13" ht="20" customHeight="1" x14ac:dyDescent="0.35">
      <c r="A1084" s="17">
        <v>718344</v>
      </c>
      <c r="B1084" s="18">
        <v>375</v>
      </c>
      <c r="C1084" s="23" t="s">
        <v>101</v>
      </c>
      <c r="D1084" s="27">
        <v>45015.972916666666</v>
      </c>
      <c r="E1084" s="18" t="s">
        <v>133</v>
      </c>
      <c r="F1084" s="18" t="s">
        <v>82</v>
      </c>
      <c r="G1084" s="18">
        <v>1580</v>
      </c>
      <c r="H1084" s="25">
        <f t="shared" si="64"/>
        <v>45015</v>
      </c>
      <c r="I1084" s="26">
        <f t="shared" si="65"/>
        <v>0.97291666666569654</v>
      </c>
      <c r="J1084" s="18" t="str">
        <f t="shared" si="66"/>
        <v>March</v>
      </c>
      <c r="K1084" s="56" t="str">
        <f t="shared" si="67"/>
        <v>Thursday</v>
      </c>
      <c r="L1084" s="18" t="str">
        <f>IF(OR(G1084&gt;Answers!I1099,G1084&lt;Answers!I1100),"Outlier","Normal")</f>
        <v>Outlier</v>
      </c>
      <c r="M1084" s="18">
        <v>45</v>
      </c>
    </row>
    <row r="1085" spans="1:13" ht="20" customHeight="1" x14ac:dyDescent="0.35">
      <c r="A1085" s="17">
        <v>719496</v>
      </c>
      <c r="B1085" s="18">
        <v>958</v>
      </c>
      <c r="C1085" s="23" t="s">
        <v>99</v>
      </c>
      <c r="D1085" s="27">
        <v>45021.968055555553</v>
      </c>
      <c r="E1085" s="18" t="s">
        <v>97</v>
      </c>
      <c r="F1085" s="18" t="s">
        <v>28</v>
      </c>
      <c r="G1085" s="18">
        <v>8062</v>
      </c>
      <c r="H1085" s="25">
        <f t="shared" si="64"/>
        <v>45021</v>
      </c>
      <c r="I1085" s="26">
        <f t="shared" si="65"/>
        <v>0.96805555555329192</v>
      </c>
      <c r="J1085" s="18" t="str">
        <f t="shared" si="66"/>
        <v>April</v>
      </c>
      <c r="K1085" s="56" t="str">
        <f t="shared" si="67"/>
        <v>Wednesday</v>
      </c>
      <c r="L1085" s="18" t="str">
        <f>IF(OR(G1085&gt;Answers!I1100,G1085&lt;Answers!I1101),"Outlier","Normal")</f>
        <v>Outlier</v>
      </c>
      <c r="M1085" s="18">
        <v>89</v>
      </c>
    </row>
    <row r="1086" spans="1:13" ht="20" customHeight="1" x14ac:dyDescent="0.35">
      <c r="A1086" s="17">
        <v>719899</v>
      </c>
      <c r="B1086" s="18">
        <v>748</v>
      </c>
      <c r="C1086" s="23" t="s">
        <v>99</v>
      </c>
      <c r="D1086" s="27">
        <v>44993.978472222225</v>
      </c>
      <c r="E1086" s="18" t="s">
        <v>97</v>
      </c>
      <c r="F1086" s="18" t="s">
        <v>66</v>
      </c>
      <c r="G1086" s="18">
        <v>2445</v>
      </c>
      <c r="H1086" s="25">
        <f t="shared" si="64"/>
        <v>44993</v>
      </c>
      <c r="I1086" s="26">
        <f t="shared" si="65"/>
        <v>0.97847222222480923</v>
      </c>
      <c r="J1086" s="18" t="str">
        <f t="shared" si="66"/>
        <v>March</v>
      </c>
      <c r="K1086" s="56" t="str">
        <f t="shared" si="67"/>
        <v>Wednesday</v>
      </c>
      <c r="L1086" s="18" t="str">
        <f>IF(OR(G1086&gt;Answers!I1101,G1086&lt;Answers!I1102),"Outlier","Normal")</f>
        <v>Outlier</v>
      </c>
      <c r="M1086" s="18">
        <v>40</v>
      </c>
    </row>
    <row r="1087" spans="1:13" ht="20" customHeight="1" x14ac:dyDescent="0.35">
      <c r="A1087" s="17">
        <v>720311</v>
      </c>
      <c r="B1087" s="18">
        <v>425</v>
      </c>
      <c r="C1087" s="23" t="s">
        <v>113</v>
      </c>
      <c r="D1087" s="27">
        <v>44984.015277777777</v>
      </c>
      <c r="E1087" s="18" t="s">
        <v>98</v>
      </c>
      <c r="F1087" s="18" t="s">
        <v>27</v>
      </c>
      <c r="G1087" s="18">
        <v>4868</v>
      </c>
      <c r="H1087" s="25">
        <f t="shared" si="64"/>
        <v>44984</v>
      </c>
      <c r="I1087" s="26">
        <f t="shared" si="65"/>
        <v>1.5277777776645962E-2</v>
      </c>
      <c r="J1087" s="18" t="str">
        <f t="shared" si="66"/>
        <v>February</v>
      </c>
      <c r="K1087" s="56" t="str">
        <f t="shared" si="67"/>
        <v>Monday</v>
      </c>
      <c r="L1087" s="18" t="str">
        <f>IF(OR(G1087&gt;Answers!I1102,G1087&lt;Answers!I1103),"Outlier","Normal")</f>
        <v>Outlier</v>
      </c>
      <c r="M1087" s="18">
        <v>51</v>
      </c>
    </row>
    <row r="1088" spans="1:13" ht="20" customHeight="1" x14ac:dyDescent="0.35">
      <c r="A1088" s="17">
        <v>721053</v>
      </c>
      <c r="B1088" s="18">
        <v>579</v>
      </c>
      <c r="C1088" s="23" t="s">
        <v>99</v>
      </c>
      <c r="D1088" s="27">
        <v>45039.002083333333</v>
      </c>
      <c r="E1088" s="18" t="s">
        <v>96</v>
      </c>
      <c r="F1088" s="18" t="s">
        <v>39</v>
      </c>
      <c r="G1088" s="18">
        <v>5093</v>
      </c>
      <c r="H1088" s="25">
        <f t="shared" si="64"/>
        <v>45039</v>
      </c>
      <c r="I1088" s="26">
        <f t="shared" si="65"/>
        <v>2.0833333328482695E-3</v>
      </c>
      <c r="J1088" s="18" t="str">
        <f t="shared" si="66"/>
        <v>April</v>
      </c>
      <c r="K1088" s="56" t="str">
        <f t="shared" si="67"/>
        <v>Sunday</v>
      </c>
      <c r="L1088" s="18" t="str">
        <f>IF(OR(G1088&gt;Answers!I1103,G1088&lt;Answers!I1104),"Outlier","Normal")</f>
        <v>Outlier</v>
      </c>
      <c r="M1088" s="18">
        <v>62</v>
      </c>
    </row>
    <row r="1089" spans="1:13" ht="20" customHeight="1" x14ac:dyDescent="0.35">
      <c r="A1089" s="17">
        <v>721298</v>
      </c>
      <c r="B1089" s="18">
        <v>1717</v>
      </c>
      <c r="C1089" s="23" t="s">
        <v>101</v>
      </c>
      <c r="D1089" s="27">
        <v>45013.037499999999</v>
      </c>
      <c r="E1089" s="18" t="s">
        <v>133</v>
      </c>
      <c r="F1089" s="18" t="s">
        <v>27</v>
      </c>
      <c r="G1089" s="18">
        <v>3875</v>
      </c>
      <c r="H1089" s="25">
        <f t="shared" si="64"/>
        <v>45013</v>
      </c>
      <c r="I1089" s="26">
        <f t="shared" si="65"/>
        <v>3.7499999998544808E-2</v>
      </c>
      <c r="J1089" s="18" t="str">
        <f t="shared" si="66"/>
        <v>March</v>
      </c>
      <c r="K1089" s="56" t="str">
        <f t="shared" si="67"/>
        <v>Tuesday</v>
      </c>
      <c r="L1089" s="18" t="str">
        <f>IF(OR(G1089&gt;Answers!I1104,G1089&lt;Answers!I1105),"Outlier","Normal")</f>
        <v>Outlier</v>
      </c>
      <c r="M1089" s="18">
        <v>33</v>
      </c>
    </row>
    <row r="1090" spans="1:13" ht="20" customHeight="1" x14ac:dyDescent="0.35">
      <c r="A1090" s="17">
        <v>721384</v>
      </c>
      <c r="B1090" s="18">
        <v>922</v>
      </c>
      <c r="C1090" s="23" t="s">
        <v>110</v>
      </c>
      <c r="D1090" s="27">
        <v>45002.00277777778</v>
      </c>
      <c r="E1090" s="18" t="s">
        <v>133</v>
      </c>
      <c r="F1090" s="18" t="s">
        <v>43</v>
      </c>
      <c r="G1090" s="18">
        <v>1833</v>
      </c>
      <c r="H1090" s="25">
        <f t="shared" si="64"/>
        <v>45002</v>
      </c>
      <c r="I1090" s="26">
        <f t="shared" si="65"/>
        <v>2.7777777795563452E-3</v>
      </c>
      <c r="J1090" s="18" t="str">
        <f t="shared" si="66"/>
        <v>March</v>
      </c>
      <c r="K1090" s="56" t="str">
        <f t="shared" si="67"/>
        <v>Friday</v>
      </c>
      <c r="L1090" s="18" t="str">
        <f>IF(OR(G1090&gt;Answers!I1105,G1090&lt;Answers!I1106),"Outlier","Normal")</f>
        <v>Outlier</v>
      </c>
      <c r="M1090" s="18">
        <v>31</v>
      </c>
    </row>
    <row r="1091" spans="1:13" ht="20" customHeight="1" x14ac:dyDescent="0.35">
      <c r="A1091" s="17">
        <v>722572</v>
      </c>
      <c r="B1091" s="18">
        <v>1948</v>
      </c>
      <c r="C1091" s="23" t="s">
        <v>99</v>
      </c>
      <c r="D1091" s="27">
        <v>44954.982638888891</v>
      </c>
      <c r="E1091" s="18" t="s">
        <v>96</v>
      </c>
      <c r="F1091" s="18" t="s">
        <v>62</v>
      </c>
      <c r="G1091" s="18">
        <v>1207</v>
      </c>
      <c r="H1091" s="25">
        <f t="shared" ref="H1091:H1154" si="68">INT(D1091)</f>
        <v>44954</v>
      </c>
      <c r="I1091" s="26">
        <f t="shared" ref="I1091:I1154" si="69">MOD(D1091,1)</f>
        <v>0.98263888889050577</v>
      </c>
      <c r="J1091" s="18" t="str">
        <f t="shared" ref="J1091:J1154" si="70">TEXT(D1091,"mmmm")</f>
        <v>January</v>
      </c>
      <c r="K1091" s="56" t="str">
        <f t="shared" ref="K1091:K1154" si="71">TEXT(D1091,"dddd")</f>
        <v>Saturday</v>
      </c>
      <c r="L1091" s="18" t="str">
        <f>IF(OR(G1091&gt;Answers!I1106,G1091&lt;Answers!I1107),"Outlier","Normal")</f>
        <v>Outlier</v>
      </c>
      <c r="M1091" s="18">
        <v>79</v>
      </c>
    </row>
    <row r="1092" spans="1:13" ht="20" customHeight="1" x14ac:dyDescent="0.35">
      <c r="A1092" s="17">
        <v>723244</v>
      </c>
      <c r="B1092" s="18">
        <v>1347</v>
      </c>
      <c r="C1092" s="23" t="s">
        <v>100</v>
      </c>
      <c r="D1092" s="27">
        <v>45161.007638888892</v>
      </c>
      <c r="E1092" s="18" t="s">
        <v>133</v>
      </c>
      <c r="F1092" s="18" t="s">
        <v>70</v>
      </c>
      <c r="G1092" s="18">
        <v>6759</v>
      </c>
      <c r="H1092" s="25">
        <f t="shared" si="68"/>
        <v>45161</v>
      </c>
      <c r="I1092" s="26">
        <f t="shared" si="69"/>
        <v>7.6388888919609599E-3</v>
      </c>
      <c r="J1092" s="18" t="str">
        <f t="shared" si="70"/>
        <v>August</v>
      </c>
      <c r="K1092" s="56" t="str">
        <f t="shared" si="71"/>
        <v>Wednesday</v>
      </c>
      <c r="L1092" s="18" t="str">
        <f>IF(OR(G1092&gt;Answers!I1107,G1092&lt;Answers!I1108),"Outlier","Normal")</f>
        <v>Outlier</v>
      </c>
      <c r="M1092" s="18">
        <v>55</v>
      </c>
    </row>
    <row r="1093" spans="1:13" ht="20" customHeight="1" x14ac:dyDescent="0.35">
      <c r="A1093" s="17">
        <v>723357</v>
      </c>
      <c r="B1093" s="18">
        <v>1297</v>
      </c>
      <c r="C1093" s="23" t="s">
        <v>99</v>
      </c>
      <c r="D1093" s="27">
        <v>44989.045138888891</v>
      </c>
      <c r="E1093" s="18" t="s">
        <v>98</v>
      </c>
      <c r="F1093" s="18" t="s">
        <v>71</v>
      </c>
      <c r="G1093" s="18">
        <v>4674</v>
      </c>
      <c r="H1093" s="25">
        <f t="shared" si="68"/>
        <v>44989</v>
      </c>
      <c r="I1093" s="26">
        <f t="shared" si="69"/>
        <v>4.5138888890505768E-2</v>
      </c>
      <c r="J1093" s="18" t="str">
        <f t="shared" si="70"/>
        <v>March</v>
      </c>
      <c r="K1093" s="56" t="str">
        <f t="shared" si="71"/>
        <v>Saturday</v>
      </c>
      <c r="L1093" s="18" t="str">
        <f>IF(OR(G1093&gt;Answers!I1108,G1093&lt;Answers!I1109),"Outlier","Normal")</f>
        <v>Outlier</v>
      </c>
      <c r="M1093" s="18">
        <v>86</v>
      </c>
    </row>
    <row r="1094" spans="1:13" ht="20" customHeight="1" x14ac:dyDescent="0.35">
      <c r="A1094" s="17">
        <v>723458</v>
      </c>
      <c r="B1094" s="18">
        <v>1716</v>
      </c>
      <c r="C1094" s="23" t="s">
        <v>99</v>
      </c>
      <c r="D1094" s="27">
        <v>45029.004861111112</v>
      </c>
      <c r="E1094" s="18" t="s">
        <v>133</v>
      </c>
      <c r="F1094" s="18" t="s">
        <v>43</v>
      </c>
      <c r="G1094" s="18">
        <v>946</v>
      </c>
      <c r="H1094" s="25">
        <f t="shared" si="68"/>
        <v>45029</v>
      </c>
      <c r="I1094" s="26">
        <f t="shared" si="69"/>
        <v>4.8611111124046147E-3</v>
      </c>
      <c r="J1094" s="18" t="str">
        <f t="shared" si="70"/>
        <v>April</v>
      </c>
      <c r="K1094" s="56" t="str">
        <f t="shared" si="71"/>
        <v>Thursday</v>
      </c>
      <c r="L1094" s="18" t="str">
        <f>IF(OR(G1094&gt;Answers!I1109,G1094&lt;Answers!I1110),"Outlier","Normal")</f>
        <v>Outlier</v>
      </c>
      <c r="M1094" s="18">
        <v>18</v>
      </c>
    </row>
    <row r="1095" spans="1:13" ht="20" customHeight="1" x14ac:dyDescent="0.35">
      <c r="A1095" s="17">
        <v>723480</v>
      </c>
      <c r="B1095" s="18">
        <v>1961</v>
      </c>
      <c r="C1095" s="23" t="s">
        <v>109</v>
      </c>
      <c r="D1095" s="27">
        <v>44981.032638888886</v>
      </c>
      <c r="E1095" s="18" t="s">
        <v>97</v>
      </c>
      <c r="F1095" s="18" t="s">
        <v>45</v>
      </c>
      <c r="G1095" s="18">
        <v>8332</v>
      </c>
      <c r="H1095" s="25">
        <f t="shared" si="68"/>
        <v>44981</v>
      </c>
      <c r="I1095" s="26">
        <f t="shared" si="69"/>
        <v>3.2638888886140194E-2</v>
      </c>
      <c r="J1095" s="18" t="str">
        <f t="shared" si="70"/>
        <v>February</v>
      </c>
      <c r="K1095" s="56" t="str">
        <f t="shared" si="71"/>
        <v>Friday</v>
      </c>
      <c r="L1095" s="18" t="str">
        <f>IF(OR(G1095&gt;Answers!I1110,G1095&lt;Answers!I1111),"Outlier","Normal")</f>
        <v>Outlier</v>
      </c>
      <c r="M1095" s="18">
        <v>87</v>
      </c>
    </row>
    <row r="1096" spans="1:13" ht="20" customHeight="1" x14ac:dyDescent="0.35">
      <c r="A1096" s="17">
        <v>723551</v>
      </c>
      <c r="B1096" s="18">
        <v>1849</v>
      </c>
      <c r="C1096" s="23" t="s">
        <v>108</v>
      </c>
      <c r="D1096" s="27">
        <v>45039.069444444445</v>
      </c>
      <c r="E1096" s="18" t="s">
        <v>97</v>
      </c>
      <c r="F1096" s="18" t="s">
        <v>8</v>
      </c>
      <c r="G1096" s="18">
        <v>6416</v>
      </c>
      <c r="H1096" s="25">
        <f t="shared" si="68"/>
        <v>45039</v>
      </c>
      <c r="I1096" s="26">
        <f t="shared" si="69"/>
        <v>6.9444444445252884E-2</v>
      </c>
      <c r="J1096" s="18" t="str">
        <f t="shared" si="70"/>
        <v>April</v>
      </c>
      <c r="K1096" s="56" t="str">
        <f t="shared" si="71"/>
        <v>Sunday</v>
      </c>
      <c r="L1096" s="18" t="str">
        <f>IF(OR(G1096&gt;Answers!I1111,G1096&lt;Answers!I1112),"Outlier","Normal")</f>
        <v>Outlier</v>
      </c>
      <c r="M1096" s="18">
        <v>35</v>
      </c>
    </row>
    <row r="1097" spans="1:13" ht="20" customHeight="1" x14ac:dyDescent="0.35">
      <c r="A1097" s="17">
        <v>723623</v>
      </c>
      <c r="B1097" s="18">
        <v>1818</v>
      </c>
      <c r="C1097" s="23" t="s">
        <v>99</v>
      </c>
      <c r="D1097" s="27">
        <v>45110.031944444447</v>
      </c>
      <c r="E1097" s="18" t="s">
        <v>133</v>
      </c>
      <c r="F1097" s="18" t="s">
        <v>46</v>
      </c>
      <c r="G1097" s="18">
        <v>9468</v>
      </c>
      <c r="H1097" s="25">
        <f t="shared" si="68"/>
        <v>45110</v>
      </c>
      <c r="I1097" s="26">
        <f t="shared" si="69"/>
        <v>3.1944444446708076E-2</v>
      </c>
      <c r="J1097" s="18" t="str">
        <f t="shared" si="70"/>
        <v>July</v>
      </c>
      <c r="K1097" s="56" t="str">
        <f t="shared" si="71"/>
        <v>Monday</v>
      </c>
      <c r="L1097" s="18" t="str">
        <f>IF(OR(G1097&gt;Answers!I1112,G1097&lt;Answers!I1113),"Outlier","Normal")</f>
        <v>Outlier</v>
      </c>
      <c r="M1097" s="18">
        <v>20</v>
      </c>
    </row>
    <row r="1098" spans="1:13" ht="20" customHeight="1" x14ac:dyDescent="0.35">
      <c r="A1098" s="17">
        <v>725071</v>
      </c>
      <c r="B1098" s="18">
        <v>1825</v>
      </c>
      <c r="C1098" s="23" t="s">
        <v>101</v>
      </c>
      <c r="D1098" s="27">
        <v>44972.022222222222</v>
      </c>
      <c r="E1098" s="18" t="s">
        <v>133</v>
      </c>
      <c r="F1098" s="18" t="s">
        <v>11</v>
      </c>
      <c r="G1098" s="18">
        <v>8859</v>
      </c>
      <c r="H1098" s="25">
        <f t="shared" si="68"/>
        <v>44972</v>
      </c>
      <c r="I1098" s="26">
        <f t="shared" si="69"/>
        <v>2.2222222221898846E-2</v>
      </c>
      <c r="J1098" s="18" t="str">
        <f t="shared" si="70"/>
        <v>February</v>
      </c>
      <c r="K1098" s="56" t="str">
        <f t="shared" si="71"/>
        <v>Wednesday</v>
      </c>
      <c r="L1098" s="18" t="str">
        <f>IF(OR(G1098&gt;Answers!I1113,G1098&lt;Answers!I1114),"Outlier","Normal")</f>
        <v>Outlier</v>
      </c>
      <c r="M1098" s="18">
        <v>22</v>
      </c>
    </row>
    <row r="1099" spans="1:13" ht="20" customHeight="1" x14ac:dyDescent="0.35">
      <c r="A1099" s="17">
        <v>725371</v>
      </c>
      <c r="B1099" s="18">
        <v>634</v>
      </c>
      <c r="C1099" s="23" t="s">
        <v>99</v>
      </c>
      <c r="D1099" s="27">
        <v>44928.984027777777</v>
      </c>
      <c r="E1099" s="18" t="s">
        <v>98</v>
      </c>
      <c r="F1099" s="18" t="s">
        <v>72</v>
      </c>
      <c r="G1099" s="18">
        <v>7071</v>
      </c>
      <c r="H1099" s="25">
        <f t="shared" si="68"/>
        <v>44928</v>
      </c>
      <c r="I1099" s="26">
        <f t="shared" si="69"/>
        <v>0.98402777777664596</v>
      </c>
      <c r="J1099" s="18" t="str">
        <f t="shared" si="70"/>
        <v>January</v>
      </c>
      <c r="K1099" s="56" t="str">
        <f t="shared" si="71"/>
        <v>Monday</v>
      </c>
      <c r="L1099" s="18" t="str">
        <f>IF(OR(G1099&gt;Answers!I1114,G1099&lt;Answers!I1115),"Outlier","Normal")</f>
        <v>Outlier</v>
      </c>
      <c r="M1099" s="18">
        <v>62</v>
      </c>
    </row>
    <row r="1100" spans="1:13" ht="20" customHeight="1" x14ac:dyDescent="0.35">
      <c r="A1100" s="17">
        <v>725482</v>
      </c>
      <c r="B1100" s="18">
        <v>1874</v>
      </c>
      <c r="C1100" s="23" t="s">
        <v>99</v>
      </c>
      <c r="D1100" s="27">
        <v>45118.977083333331</v>
      </c>
      <c r="E1100" s="18" t="s">
        <v>98</v>
      </c>
      <c r="F1100" s="18" t="s">
        <v>27</v>
      </c>
      <c r="G1100" s="18">
        <v>6488</v>
      </c>
      <c r="H1100" s="25">
        <f t="shared" si="68"/>
        <v>45118</v>
      </c>
      <c r="I1100" s="26">
        <f t="shared" si="69"/>
        <v>0.97708333333139308</v>
      </c>
      <c r="J1100" s="18" t="str">
        <f t="shared" si="70"/>
        <v>July</v>
      </c>
      <c r="K1100" s="56" t="str">
        <f t="shared" si="71"/>
        <v>Tuesday</v>
      </c>
      <c r="L1100" s="18" t="str">
        <f>IF(OR(G1100&gt;Answers!I1115,G1100&lt;Answers!I1116),"Outlier","Normal")</f>
        <v>Outlier</v>
      </c>
      <c r="M1100" s="18">
        <v>51</v>
      </c>
    </row>
    <row r="1101" spans="1:13" ht="20" customHeight="1" x14ac:dyDescent="0.35">
      <c r="A1101" s="17">
        <v>726616</v>
      </c>
      <c r="B1101" s="18">
        <v>1290</v>
      </c>
      <c r="C1101" s="23" t="s">
        <v>99</v>
      </c>
      <c r="D1101" s="27">
        <v>45144.984722222223</v>
      </c>
      <c r="E1101" s="18" t="s">
        <v>133</v>
      </c>
      <c r="F1101" s="18" t="s">
        <v>13</v>
      </c>
      <c r="G1101" s="18">
        <v>6697</v>
      </c>
      <c r="H1101" s="25">
        <f t="shared" si="68"/>
        <v>45144</v>
      </c>
      <c r="I1101" s="26">
        <f t="shared" si="69"/>
        <v>0.98472222222335404</v>
      </c>
      <c r="J1101" s="18" t="str">
        <f t="shared" si="70"/>
        <v>August</v>
      </c>
      <c r="K1101" s="56" t="str">
        <f t="shared" si="71"/>
        <v>Sunday</v>
      </c>
      <c r="L1101" s="18" t="str">
        <f>IF(OR(G1101&gt;Answers!I1116,G1101&lt;Answers!I1117),"Outlier","Normal")</f>
        <v>Outlier</v>
      </c>
      <c r="M1101" s="18">
        <v>31</v>
      </c>
    </row>
    <row r="1102" spans="1:13" ht="20" customHeight="1" x14ac:dyDescent="0.35">
      <c r="A1102" s="17">
        <v>728697</v>
      </c>
      <c r="B1102" s="18">
        <v>1913</v>
      </c>
      <c r="C1102" s="23" t="s">
        <v>107</v>
      </c>
      <c r="D1102" s="27">
        <v>45163.007638888892</v>
      </c>
      <c r="E1102" s="18" t="s">
        <v>97</v>
      </c>
      <c r="F1102" s="18" t="s">
        <v>73</v>
      </c>
      <c r="G1102" s="18">
        <v>6226</v>
      </c>
      <c r="H1102" s="25">
        <f t="shared" si="68"/>
        <v>45163</v>
      </c>
      <c r="I1102" s="26">
        <f t="shared" si="69"/>
        <v>7.6388888919609599E-3</v>
      </c>
      <c r="J1102" s="18" t="str">
        <f t="shared" si="70"/>
        <v>August</v>
      </c>
      <c r="K1102" s="56" t="str">
        <f t="shared" si="71"/>
        <v>Friday</v>
      </c>
      <c r="L1102" s="18" t="str">
        <f>IF(OR(G1102&gt;Answers!I1117,G1102&lt;Answers!I1118),"Outlier","Normal")</f>
        <v>Outlier</v>
      </c>
      <c r="M1102" s="18">
        <v>51</v>
      </c>
    </row>
    <row r="1103" spans="1:13" ht="20" customHeight="1" x14ac:dyDescent="0.35">
      <c r="A1103" s="17">
        <v>730295</v>
      </c>
      <c r="B1103" s="18">
        <v>134</v>
      </c>
      <c r="C1103" s="23" t="s">
        <v>101</v>
      </c>
      <c r="D1103" s="27">
        <v>45144.00277777778</v>
      </c>
      <c r="E1103" s="18" t="s">
        <v>133</v>
      </c>
      <c r="F1103" s="18" t="s">
        <v>52</v>
      </c>
      <c r="G1103" s="18">
        <v>4721</v>
      </c>
      <c r="H1103" s="25">
        <f t="shared" si="68"/>
        <v>45144</v>
      </c>
      <c r="I1103" s="26">
        <f t="shared" si="69"/>
        <v>2.7777777795563452E-3</v>
      </c>
      <c r="J1103" s="18" t="str">
        <f t="shared" si="70"/>
        <v>August</v>
      </c>
      <c r="K1103" s="56" t="str">
        <f t="shared" si="71"/>
        <v>Sunday</v>
      </c>
      <c r="L1103" s="18" t="str">
        <f>IF(OR(G1103&gt;Answers!I1118,G1103&lt;Answers!I1119),"Outlier","Normal")</f>
        <v>Outlier</v>
      </c>
      <c r="M1103" s="18">
        <v>82</v>
      </c>
    </row>
    <row r="1104" spans="1:13" ht="20" customHeight="1" x14ac:dyDescent="0.35">
      <c r="A1104" s="17">
        <v>730976</v>
      </c>
      <c r="B1104" s="18">
        <v>1908</v>
      </c>
      <c r="C1104" s="23" t="s">
        <v>99</v>
      </c>
      <c r="D1104" s="27">
        <v>45231.040277777778</v>
      </c>
      <c r="E1104" s="18" t="s">
        <v>97</v>
      </c>
      <c r="F1104" s="18" t="s">
        <v>13</v>
      </c>
      <c r="G1104" s="18">
        <v>4073</v>
      </c>
      <c r="H1104" s="25">
        <f t="shared" si="68"/>
        <v>45231</v>
      </c>
      <c r="I1104" s="26">
        <f t="shared" si="69"/>
        <v>4.0277777778101154E-2</v>
      </c>
      <c r="J1104" s="18" t="str">
        <f t="shared" si="70"/>
        <v>November</v>
      </c>
      <c r="K1104" s="56" t="str">
        <f t="shared" si="71"/>
        <v>Wednesday</v>
      </c>
      <c r="L1104" s="18" t="str">
        <f>IF(OR(G1104&gt;Answers!I1119,G1104&lt;Answers!I1120),"Outlier","Normal")</f>
        <v>Outlier</v>
      </c>
      <c r="M1104" s="18">
        <v>20</v>
      </c>
    </row>
    <row r="1105" spans="1:13" ht="20" customHeight="1" x14ac:dyDescent="0.35">
      <c r="A1105" s="17">
        <v>731161</v>
      </c>
      <c r="B1105" s="18">
        <v>1367</v>
      </c>
      <c r="C1105" s="23" t="s">
        <v>107</v>
      </c>
      <c r="D1105" s="27">
        <v>45079.006249999999</v>
      </c>
      <c r="E1105" s="18" t="s">
        <v>96</v>
      </c>
      <c r="F1105" s="18" t="s">
        <v>91</v>
      </c>
      <c r="G1105" s="18">
        <v>3548</v>
      </c>
      <c r="H1105" s="25">
        <f t="shared" si="68"/>
        <v>45079</v>
      </c>
      <c r="I1105" s="26">
        <f t="shared" si="69"/>
        <v>6.2499999985448085E-3</v>
      </c>
      <c r="J1105" s="18" t="str">
        <f t="shared" si="70"/>
        <v>June</v>
      </c>
      <c r="K1105" s="56" t="str">
        <f t="shared" si="71"/>
        <v>Friday</v>
      </c>
      <c r="L1105" s="18" t="str">
        <f>IF(OR(G1105&gt;Answers!I1120,G1105&lt;Answers!I1121),"Outlier","Normal")</f>
        <v>Outlier</v>
      </c>
      <c r="M1105" s="18">
        <v>25</v>
      </c>
    </row>
    <row r="1106" spans="1:13" ht="20" customHeight="1" x14ac:dyDescent="0.35">
      <c r="A1106" s="17">
        <v>731345</v>
      </c>
      <c r="B1106" s="18">
        <v>1365</v>
      </c>
      <c r="C1106" s="23" t="s">
        <v>99</v>
      </c>
      <c r="D1106" s="27">
        <v>45013.957638888889</v>
      </c>
      <c r="E1106" s="18" t="s">
        <v>98</v>
      </c>
      <c r="F1106" s="18" t="s">
        <v>75</v>
      </c>
      <c r="G1106" s="18">
        <v>5198</v>
      </c>
      <c r="H1106" s="25">
        <f t="shared" si="68"/>
        <v>45013</v>
      </c>
      <c r="I1106" s="26">
        <f t="shared" si="69"/>
        <v>0.95763888888905058</v>
      </c>
      <c r="J1106" s="18" t="str">
        <f t="shared" si="70"/>
        <v>March</v>
      </c>
      <c r="K1106" s="56" t="str">
        <f t="shared" si="71"/>
        <v>Tuesday</v>
      </c>
      <c r="L1106" s="18" t="str">
        <f>IF(OR(G1106&gt;Answers!I1121,G1106&lt;Answers!I1122),"Outlier","Normal")</f>
        <v>Outlier</v>
      </c>
      <c r="M1106" s="18">
        <v>53</v>
      </c>
    </row>
    <row r="1107" spans="1:13" ht="20" customHeight="1" x14ac:dyDescent="0.35">
      <c r="A1107" s="17">
        <v>732301</v>
      </c>
      <c r="B1107" s="18">
        <v>250</v>
      </c>
      <c r="C1107" s="23" t="s">
        <v>113</v>
      </c>
      <c r="D1107" s="27">
        <v>45231.003472222219</v>
      </c>
      <c r="E1107" s="18" t="s">
        <v>133</v>
      </c>
      <c r="F1107" s="18" t="s">
        <v>73</v>
      </c>
      <c r="G1107" s="18">
        <v>4048</v>
      </c>
      <c r="H1107" s="25">
        <f t="shared" si="68"/>
        <v>45231</v>
      </c>
      <c r="I1107" s="26">
        <f t="shared" si="69"/>
        <v>3.4722222189884633E-3</v>
      </c>
      <c r="J1107" s="18" t="str">
        <f t="shared" si="70"/>
        <v>November</v>
      </c>
      <c r="K1107" s="56" t="str">
        <f t="shared" si="71"/>
        <v>Wednesday</v>
      </c>
      <c r="L1107" s="18" t="str">
        <f>IF(OR(G1107&gt;Answers!I1122,G1107&lt;Answers!I1123),"Outlier","Normal")</f>
        <v>Outlier</v>
      </c>
      <c r="M1107" s="18">
        <v>51</v>
      </c>
    </row>
    <row r="1108" spans="1:13" ht="20" customHeight="1" x14ac:dyDescent="0.35">
      <c r="A1108" s="17">
        <v>732319</v>
      </c>
      <c r="B1108" s="18">
        <v>1802</v>
      </c>
      <c r="C1108" s="23" t="s">
        <v>100</v>
      </c>
      <c r="D1108" s="27">
        <v>45040.004861111112</v>
      </c>
      <c r="E1108" s="18" t="s">
        <v>96</v>
      </c>
      <c r="F1108" s="18" t="s">
        <v>76</v>
      </c>
      <c r="G1108" s="18">
        <v>3911</v>
      </c>
      <c r="H1108" s="25">
        <f t="shared" si="68"/>
        <v>45040</v>
      </c>
      <c r="I1108" s="26">
        <f t="shared" si="69"/>
        <v>4.8611111124046147E-3</v>
      </c>
      <c r="J1108" s="18" t="str">
        <f t="shared" si="70"/>
        <v>April</v>
      </c>
      <c r="K1108" s="56" t="str">
        <f t="shared" si="71"/>
        <v>Monday</v>
      </c>
      <c r="L1108" s="18" t="str">
        <f>IF(OR(G1108&gt;Answers!I1123,G1108&lt;Answers!I1124),"Outlier","Normal")</f>
        <v>Outlier</v>
      </c>
      <c r="M1108" s="18">
        <v>61</v>
      </c>
    </row>
    <row r="1109" spans="1:13" ht="20" customHeight="1" x14ac:dyDescent="0.35">
      <c r="A1109" s="17">
        <v>733263</v>
      </c>
      <c r="B1109" s="18">
        <v>881</v>
      </c>
      <c r="C1109" s="23" t="s">
        <v>100</v>
      </c>
      <c r="D1109" s="27">
        <v>45224.023611111108</v>
      </c>
      <c r="E1109" s="18" t="s">
        <v>133</v>
      </c>
      <c r="F1109" s="18" t="s">
        <v>72</v>
      </c>
      <c r="G1109" s="18">
        <v>9697</v>
      </c>
      <c r="H1109" s="25">
        <f t="shared" si="68"/>
        <v>45224</v>
      </c>
      <c r="I1109" s="26">
        <f t="shared" si="69"/>
        <v>2.361111110803904E-2</v>
      </c>
      <c r="J1109" s="18" t="str">
        <f t="shared" si="70"/>
        <v>October</v>
      </c>
      <c r="K1109" s="56" t="str">
        <f t="shared" si="71"/>
        <v>Wednesday</v>
      </c>
      <c r="L1109" s="18" t="str">
        <f>IF(OR(G1109&gt;Answers!I1124,G1109&lt;Answers!I1125),"Outlier","Normal")</f>
        <v>Outlier</v>
      </c>
      <c r="M1109" s="18">
        <v>67</v>
      </c>
    </row>
    <row r="1110" spans="1:13" ht="20" customHeight="1" x14ac:dyDescent="0.35">
      <c r="A1110" s="17">
        <v>734449</v>
      </c>
      <c r="B1110" s="18">
        <v>1061</v>
      </c>
      <c r="C1110" s="23" t="s">
        <v>102</v>
      </c>
      <c r="D1110" s="27">
        <v>45225.091666666667</v>
      </c>
      <c r="E1110" s="18" t="s">
        <v>133</v>
      </c>
      <c r="F1110" s="18" t="s">
        <v>83</v>
      </c>
      <c r="G1110" s="18">
        <v>8005</v>
      </c>
      <c r="H1110" s="25">
        <f t="shared" si="68"/>
        <v>45225</v>
      </c>
      <c r="I1110" s="26">
        <f t="shared" si="69"/>
        <v>9.1666666667151731E-2</v>
      </c>
      <c r="J1110" s="18" t="str">
        <f t="shared" si="70"/>
        <v>October</v>
      </c>
      <c r="K1110" s="56" t="str">
        <f t="shared" si="71"/>
        <v>Thursday</v>
      </c>
      <c r="L1110" s="18" t="str">
        <f>IF(OR(G1110&gt;Answers!I1125,G1110&lt;Answers!I1126),"Outlier","Normal")</f>
        <v>Outlier</v>
      </c>
      <c r="M1110" s="18">
        <v>61</v>
      </c>
    </row>
    <row r="1111" spans="1:13" ht="20" customHeight="1" x14ac:dyDescent="0.35">
      <c r="A1111" s="17">
        <v>734468</v>
      </c>
      <c r="B1111" s="18">
        <v>83</v>
      </c>
      <c r="C1111" s="23" t="s">
        <v>107</v>
      </c>
      <c r="D1111" s="27">
        <v>44972.038194444445</v>
      </c>
      <c r="E1111" s="18" t="s">
        <v>98</v>
      </c>
      <c r="F1111" s="18" t="s">
        <v>4</v>
      </c>
      <c r="G1111" s="18">
        <v>5705</v>
      </c>
      <c r="H1111" s="25">
        <f t="shared" si="68"/>
        <v>44972</v>
      </c>
      <c r="I1111" s="26">
        <f t="shared" si="69"/>
        <v>3.8194444445252884E-2</v>
      </c>
      <c r="J1111" s="18" t="str">
        <f t="shared" si="70"/>
        <v>February</v>
      </c>
      <c r="K1111" s="56" t="str">
        <f t="shared" si="71"/>
        <v>Wednesday</v>
      </c>
      <c r="L1111" s="18" t="str">
        <f>IF(OR(G1111&gt;Answers!I1126,G1111&lt;Answers!I1127),"Outlier","Normal")</f>
        <v>Outlier</v>
      </c>
      <c r="M1111" s="18">
        <v>31</v>
      </c>
    </row>
    <row r="1112" spans="1:13" ht="20" customHeight="1" x14ac:dyDescent="0.35">
      <c r="A1112" s="17">
        <v>734939</v>
      </c>
      <c r="B1112" s="18">
        <v>1797</v>
      </c>
      <c r="C1112" s="23" t="s">
        <v>99</v>
      </c>
      <c r="D1112" s="27">
        <v>44984.057638888888</v>
      </c>
      <c r="E1112" s="18" t="s">
        <v>98</v>
      </c>
      <c r="F1112" s="18" t="s">
        <v>14</v>
      </c>
      <c r="G1112" s="18">
        <v>5602</v>
      </c>
      <c r="H1112" s="25">
        <f t="shared" si="68"/>
        <v>44984</v>
      </c>
      <c r="I1112" s="26">
        <f t="shared" si="69"/>
        <v>5.7638888887595385E-2</v>
      </c>
      <c r="J1112" s="18" t="str">
        <f t="shared" si="70"/>
        <v>February</v>
      </c>
      <c r="K1112" s="56" t="str">
        <f t="shared" si="71"/>
        <v>Monday</v>
      </c>
      <c r="L1112" s="18" t="str">
        <f>IF(OR(G1112&gt;Answers!I1127,G1112&lt;Answers!I1128),"Outlier","Normal")</f>
        <v>Outlier</v>
      </c>
      <c r="M1112" s="18">
        <v>45</v>
      </c>
    </row>
    <row r="1113" spans="1:13" ht="20" customHeight="1" x14ac:dyDescent="0.35">
      <c r="A1113" s="17">
        <v>735675</v>
      </c>
      <c r="B1113" s="18">
        <v>412</v>
      </c>
      <c r="C1113" s="23" t="s">
        <v>113</v>
      </c>
      <c r="D1113" s="27">
        <v>45251.052777777775</v>
      </c>
      <c r="E1113" s="18" t="s">
        <v>96</v>
      </c>
      <c r="F1113" s="18" t="s">
        <v>77</v>
      </c>
      <c r="G1113" s="18">
        <v>2472</v>
      </c>
      <c r="H1113" s="25">
        <f t="shared" si="68"/>
        <v>45251</v>
      </c>
      <c r="I1113" s="26">
        <f t="shared" si="69"/>
        <v>5.2777777775190771E-2</v>
      </c>
      <c r="J1113" s="18" t="str">
        <f t="shared" si="70"/>
        <v>November</v>
      </c>
      <c r="K1113" s="56" t="str">
        <f t="shared" si="71"/>
        <v>Tuesday</v>
      </c>
      <c r="L1113" s="18" t="str">
        <f>IF(OR(G1113&gt;Answers!I1128,G1113&lt;Answers!I1129),"Outlier","Normal")</f>
        <v>Outlier</v>
      </c>
      <c r="M1113" s="18">
        <v>41</v>
      </c>
    </row>
    <row r="1114" spans="1:13" ht="20" customHeight="1" x14ac:dyDescent="0.35">
      <c r="A1114" s="17">
        <v>737059</v>
      </c>
      <c r="B1114" s="18">
        <v>849</v>
      </c>
      <c r="C1114" s="23" t="s">
        <v>100</v>
      </c>
      <c r="D1114" s="27">
        <v>45207.030555555553</v>
      </c>
      <c r="E1114" s="18" t="s">
        <v>97</v>
      </c>
      <c r="F1114" s="18" t="s">
        <v>27</v>
      </c>
      <c r="G1114" s="18">
        <v>8652</v>
      </c>
      <c r="H1114" s="25">
        <f t="shared" si="68"/>
        <v>45207</v>
      </c>
      <c r="I1114" s="26">
        <f t="shared" si="69"/>
        <v>3.0555555553291924E-2</v>
      </c>
      <c r="J1114" s="18" t="str">
        <f t="shared" si="70"/>
        <v>October</v>
      </c>
      <c r="K1114" s="56" t="str">
        <f t="shared" si="71"/>
        <v>Sunday</v>
      </c>
      <c r="L1114" s="18" t="str">
        <f>IF(OR(G1114&gt;Answers!I1129,G1114&lt;Answers!I1130),"Outlier","Normal")</f>
        <v>Outlier</v>
      </c>
      <c r="M1114" s="18">
        <v>19</v>
      </c>
    </row>
    <row r="1115" spans="1:13" ht="20" customHeight="1" x14ac:dyDescent="0.35">
      <c r="A1115" s="17">
        <v>737066</v>
      </c>
      <c r="B1115" s="18">
        <v>744</v>
      </c>
      <c r="C1115" s="23" t="s">
        <v>102</v>
      </c>
      <c r="D1115" s="27">
        <v>44978.013888888891</v>
      </c>
      <c r="E1115" s="18" t="s">
        <v>96</v>
      </c>
      <c r="F1115" s="18" t="s">
        <v>43</v>
      </c>
      <c r="G1115" s="18">
        <v>9597</v>
      </c>
      <c r="H1115" s="25">
        <f t="shared" si="68"/>
        <v>44978</v>
      </c>
      <c r="I1115" s="26">
        <f t="shared" si="69"/>
        <v>1.3888888890505768E-2</v>
      </c>
      <c r="J1115" s="18" t="str">
        <f t="shared" si="70"/>
        <v>February</v>
      </c>
      <c r="K1115" s="56" t="str">
        <f t="shared" si="71"/>
        <v>Tuesday</v>
      </c>
      <c r="L1115" s="18" t="str">
        <f>IF(OR(G1115&gt;Answers!I1130,G1115&lt;Answers!I1131),"Outlier","Normal")</f>
        <v>Outlier</v>
      </c>
      <c r="M1115" s="18">
        <v>33</v>
      </c>
    </row>
    <row r="1116" spans="1:13" ht="20" customHeight="1" x14ac:dyDescent="0.35">
      <c r="A1116" s="17">
        <v>737790</v>
      </c>
      <c r="B1116" s="18">
        <v>1646</v>
      </c>
      <c r="C1116" s="23" t="s">
        <v>105</v>
      </c>
      <c r="D1116" s="27">
        <v>45087.070138888892</v>
      </c>
      <c r="E1116" s="18" t="s">
        <v>97</v>
      </c>
      <c r="F1116" s="18" t="s">
        <v>21</v>
      </c>
      <c r="G1116" s="18">
        <v>7589</v>
      </c>
      <c r="H1116" s="25">
        <f t="shared" si="68"/>
        <v>45087</v>
      </c>
      <c r="I1116" s="26">
        <f t="shared" si="69"/>
        <v>7.013888889196096E-2</v>
      </c>
      <c r="J1116" s="18" t="str">
        <f t="shared" si="70"/>
        <v>June</v>
      </c>
      <c r="K1116" s="56" t="str">
        <f t="shared" si="71"/>
        <v>Saturday</v>
      </c>
      <c r="L1116" s="18" t="str">
        <f>IF(OR(G1116&gt;Answers!I1131,G1116&lt;Answers!I1132),"Outlier","Normal")</f>
        <v>Outlier</v>
      </c>
      <c r="M1116" s="18">
        <v>51</v>
      </c>
    </row>
    <row r="1117" spans="1:13" ht="20" customHeight="1" x14ac:dyDescent="0.35">
      <c r="A1117" s="17">
        <v>739012</v>
      </c>
      <c r="B1117" s="18">
        <v>1708</v>
      </c>
      <c r="C1117" s="23" t="s">
        <v>100</v>
      </c>
      <c r="D1117" s="27">
        <v>45278.032638888886</v>
      </c>
      <c r="E1117" s="18" t="s">
        <v>96</v>
      </c>
      <c r="F1117" s="18" t="s">
        <v>12</v>
      </c>
      <c r="G1117" s="18">
        <v>265</v>
      </c>
      <c r="H1117" s="25">
        <f t="shared" si="68"/>
        <v>45278</v>
      </c>
      <c r="I1117" s="26">
        <f t="shared" si="69"/>
        <v>3.2638888886140194E-2</v>
      </c>
      <c r="J1117" s="18" t="str">
        <f t="shared" si="70"/>
        <v>December</v>
      </c>
      <c r="K1117" s="56" t="str">
        <f t="shared" si="71"/>
        <v>Monday</v>
      </c>
      <c r="L1117" s="18" t="str">
        <f>IF(OR(G1117&gt;Answers!I1132,G1117&lt;Answers!I1133),"Outlier","Normal")</f>
        <v>Outlier</v>
      </c>
      <c r="M1117" s="18">
        <v>87</v>
      </c>
    </row>
    <row r="1118" spans="1:13" ht="20" customHeight="1" x14ac:dyDescent="0.35">
      <c r="A1118" s="17">
        <v>740082</v>
      </c>
      <c r="B1118" s="18">
        <v>736</v>
      </c>
      <c r="C1118" s="23" t="s">
        <v>99</v>
      </c>
      <c r="D1118" s="27">
        <v>45026.993750000001</v>
      </c>
      <c r="E1118" s="18" t="s">
        <v>97</v>
      </c>
      <c r="F1118" s="18" t="s">
        <v>29</v>
      </c>
      <c r="G1118" s="18">
        <v>2994</v>
      </c>
      <c r="H1118" s="25">
        <f t="shared" si="68"/>
        <v>45026</v>
      </c>
      <c r="I1118" s="26">
        <f t="shared" si="69"/>
        <v>0.99375000000145519</v>
      </c>
      <c r="J1118" s="18" t="str">
        <f t="shared" si="70"/>
        <v>April</v>
      </c>
      <c r="K1118" s="56" t="str">
        <f t="shared" si="71"/>
        <v>Monday</v>
      </c>
      <c r="L1118" s="18" t="str">
        <f>IF(OR(G1118&gt;Answers!I1133,G1118&lt;Answers!I1134),"Outlier","Normal")</f>
        <v>Outlier</v>
      </c>
      <c r="M1118" s="18">
        <v>50</v>
      </c>
    </row>
    <row r="1119" spans="1:13" ht="20" customHeight="1" x14ac:dyDescent="0.35">
      <c r="A1119" s="17">
        <v>740564</v>
      </c>
      <c r="B1119" s="18">
        <v>569</v>
      </c>
      <c r="C1119" s="23" t="s">
        <v>99</v>
      </c>
      <c r="D1119" s="27">
        <v>44970.033333333333</v>
      </c>
      <c r="E1119" s="18" t="s">
        <v>133</v>
      </c>
      <c r="F1119" s="18" t="s">
        <v>24</v>
      </c>
      <c r="G1119" s="18">
        <v>1398</v>
      </c>
      <c r="H1119" s="25">
        <f t="shared" si="68"/>
        <v>44970</v>
      </c>
      <c r="I1119" s="26">
        <f t="shared" si="69"/>
        <v>3.3333333332848269E-2</v>
      </c>
      <c r="J1119" s="18" t="str">
        <f t="shared" si="70"/>
        <v>February</v>
      </c>
      <c r="K1119" s="56" t="str">
        <f t="shared" si="71"/>
        <v>Monday</v>
      </c>
      <c r="L1119" s="18" t="str">
        <f>IF(OR(G1119&gt;Answers!I1134,G1119&lt;Answers!I1135),"Outlier","Normal")</f>
        <v>Outlier</v>
      </c>
      <c r="M1119" s="18">
        <v>62</v>
      </c>
    </row>
    <row r="1120" spans="1:13" ht="20" customHeight="1" x14ac:dyDescent="0.35">
      <c r="A1120" s="17">
        <v>741193</v>
      </c>
      <c r="B1120" s="18">
        <v>879</v>
      </c>
      <c r="C1120" s="23" t="s">
        <v>99</v>
      </c>
      <c r="D1120" s="27">
        <v>45097.001388888886</v>
      </c>
      <c r="E1120" s="18" t="s">
        <v>97</v>
      </c>
      <c r="F1120" s="18" t="s">
        <v>86</v>
      </c>
      <c r="G1120" s="18">
        <v>4307</v>
      </c>
      <c r="H1120" s="25">
        <f t="shared" si="68"/>
        <v>45097</v>
      </c>
      <c r="I1120" s="26">
        <f t="shared" si="69"/>
        <v>1.3888888861401938E-3</v>
      </c>
      <c r="J1120" s="18" t="str">
        <f t="shared" si="70"/>
        <v>June</v>
      </c>
      <c r="K1120" s="56" t="str">
        <f t="shared" si="71"/>
        <v>Tuesday</v>
      </c>
      <c r="L1120" s="18" t="str">
        <f>IF(OR(G1120&gt;Answers!I1135,G1120&lt;Answers!I1136),"Outlier","Normal")</f>
        <v>Outlier</v>
      </c>
      <c r="M1120" s="18">
        <v>70</v>
      </c>
    </row>
    <row r="1121" spans="1:13" ht="20" customHeight="1" x14ac:dyDescent="0.35">
      <c r="A1121" s="17">
        <v>742561</v>
      </c>
      <c r="B1121" s="18">
        <v>1509</v>
      </c>
      <c r="C1121" s="23" t="s">
        <v>99</v>
      </c>
      <c r="D1121" s="27">
        <v>44946.943749999999</v>
      </c>
      <c r="E1121" s="18" t="s">
        <v>133</v>
      </c>
      <c r="F1121" s="18" t="s">
        <v>31</v>
      </c>
      <c r="G1121" s="18">
        <v>1879</v>
      </c>
      <c r="H1121" s="25">
        <f t="shared" si="68"/>
        <v>44946</v>
      </c>
      <c r="I1121" s="26">
        <f t="shared" si="69"/>
        <v>0.94374999999854481</v>
      </c>
      <c r="J1121" s="18" t="str">
        <f t="shared" si="70"/>
        <v>January</v>
      </c>
      <c r="K1121" s="56" t="str">
        <f t="shared" si="71"/>
        <v>Friday</v>
      </c>
      <c r="L1121" s="18" t="str">
        <f>IF(OR(G1121&gt;Answers!I1136,G1121&lt;Answers!I1137),"Outlier","Normal")</f>
        <v>Outlier</v>
      </c>
      <c r="M1121" s="18">
        <v>31</v>
      </c>
    </row>
    <row r="1122" spans="1:13" ht="20" customHeight="1" x14ac:dyDescent="0.35">
      <c r="A1122" s="17">
        <v>742778</v>
      </c>
      <c r="B1122" s="18">
        <v>982</v>
      </c>
      <c r="C1122" s="23" t="s">
        <v>99</v>
      </c>
      <c r="D1122" s="27">
        <v>45121.980555555558</v>
      </c>
      <c r="E1122" s="18" t="s">
        <v>133</v>
      </c>
      <c r="F1122" s="18" t="s">
        <v>90</v>
      </c>
      <c r="G1122" s="18">
        <v>8688</v>
      </c>
      <c r="H1122" s="25">
        <f t="shared" si="68"/>
        <v>45121</v>
      </c>
      <c r="I1122" s="26">
        <f t="shared" si="69"/>
        <v>0.9805555555576575</v>
      </c>
      <c r="J1122" s="18" t="str">
        <f t="shared" si="70"/>
        <v>July</v>
      </c>
      <c r="K1122" s="56" t="str">
        <f t="shared" si="71"/>
        <v>Friday</v>
      </c>
      <c r="L1122" s="18" t="str">
        <f>IF(OR(G1122&gt;Answers!I1137,G1122&lt;Answers!I1138),"Outlier","Normal")</f>
        <v>Outlier</v>
      </c>
      <c r="M1122" s="18">
        <v>35</v>
      </c>
    </row>
    <row r="1123" spans="1:13" ht="20" customHeight="1" x14ac:dyDescent="0.35">
      <c r="A1123" s="17">
        <v>743589</v>
      </c>
      <c r="B1123" s="18">
        <v>1559</v>
      </c>
      <c r="C1123" s="23" t="s">
        <v>105</v>
      </c>
      <c r="D1123" s="27">
        <v>45286.04791666667</v>
      </c>
      <c r="E1123" s="18" t="s">
        <v>133</v>
      </c>
      <c r="F1123" s="18" t="s">
        <v>43</v>
      </c>
      <c r="G1123" s="18">
        <v>2636</v>
      </c>
      <c r="H1123" s="25">
        <f t="shared" si="68"/>
        <v>45286</v>
      </c>
      <c r="I1123" s="26">
        <f t="shared" si="69"/>
        <v>4.7916666670062114E-2</v>
      </c>
      <c r="J1123" s="18" t="str">
        <f t="shared" si="70"/>
        <v>December</v>
      </c>
      <c r="K1123" s="56" t="str">
        <f t="shared" si="71"/>
        <v>Tuesday</v>
      </c>
      <c r="L1123" s="18" t="str">
        <f>IF(OR(G1123&gt;Answers!I1138,G1123&lt;Answers!I1139),"Outlier","Normal")</f>
        <v>Outlier</v>
      </c>
      <c r="M1123" s="18">
        <v>68</v>
      </c>
    </row>
    <row r="1124" spans="1:13" ht="20" customHeight="1" x14ac:dyDescent="0.35">
      <c r="A1124" s="17">
        <v>743932</v>
      </c>
      <c r="B1124" s="18">
        <v>543</v>
      </c>
      <c r="C1124" s="23" t="s">
        <v>100</v>
      </c>
      <c r="D1124" s="27">
        <v>45164.019444444442</v>
      </c>
      <c r="E1124" s="18" t="s">
        <v>96</v>
      </c>
      <c r="F1124" s="18" t="s">
        <v>91</v>
      </c>
      <c r="G1124" s="18">
        <v>5966</v>
      </c>
      <c r="H1124" s="25">
        <f t="shared" si="68"/>
        <v>45164</v>
      </c>
      <c r="I1124" s="26">
        <f t="shared" si="69"/>
        <v>1.9444444442342501E-2</v>
      </c>
      <c r="J1124" s="18" t="str">
        <f t="shared" si="70"/>
        <v>August</v>
      </c>
      <c r="K1124" s="56" t="str">
        <f t="shared" si="71"/>
        <v>Saturday</v>
      </c>
      <c r="L1124" s="18" t="str">
        <f>IF(OR(G1124&gt;Answers!I1139,G1124&lt;Answers!I1140),"Outlier","Normal")</f>
        <v>Outlier</v>
      </c>
      <c r="M1124" s="18">
        <v>80</v>
      </c>
    </row>
    <row r="1125" spans="1:13" ht="20" customHeight="1" x14ac:dyDescent="0.35">
      <c r="A1125" s="17">
        <v>743961</v>
      </c>
      <c r="B1125" s="18">
        <v>98</v>
      </c>
      <c r="C1125" s="23" t="s">
        <v>108</v>
      </c>
      <c r="D1125" s="27">
        <v>45176.027083333334</v>
      </c>
      <c r="E1125" s="18" t="s">
        <v>96</v>
      </c>
      <c r="F1125" s="18" t="s">
        <v>35</v>
      </c>
      <c r="G1125" s="18">
        <v>2467</v>
      </c>
      <c r="H1125" s="25">
        <f t="shared" si="68"/>
        <v>45176</v>
      </c>
      <c r="I1125" s="26">
        <f t="shared" si="69"/>
        <v>2.7083333334303461E-2</v>
      </c>
      <c r="J1125" s="18" t="str">
        <f t="shared" si="70"/>
        <v>September</v>
      </c>
      <c r="K1125" s="56" t="str">
        <f t="shared" si="71"/>
        <v>Thursday</v>
      </c>
      <c r="L1125" s="18" t="str">
        <f>IF(OR(G1125&gt;Answers!I1140,G1125&lt;Answers!I1141),"Outlier","Normal")</f>
        <v>Outlier</v>
      </c>
      <c r="M1125" s="18">
        <v>35</v>
      </c>
    </row>
    <row r="1126" spans="1:13" ht="20" customHeight="1" x14ac:dyDescent="0.35">
      <c r="A1126" s="17">
        <v>745795</v>
      </c>
      <c r="B1126" s="18">
        <v>919</v>
      </c>
      <c r="C1126" s="23" t="s">
        <v>108</v>
      </c>
      <c r="D1126" s="27">
        <v>44986.035416666666</v>
      </c>
      <c r="E1126" s="18" t="s">
        <v>96</v>
      </c>
      <c r="F1126" s="18" t="s">
        <v>36</v>
      </c>
      <c r="G1126" s="18">
        <v>8983</v>
      </c>
      <c r="H1126" s="25">
        <f t="shared" si="68"/>
        <v>44986</v>
      </c>
      <c r="I1126" s="26">
        <f t="shared" si="69"/>
        <v>3.5416666665696539E-2</v>
      </c>
      <c r="J1126" s="18" t="str">
        <f t="shared" si="70"/>
        <v>March</v>
      </c>
      <c r="K1126" s="56" t="str">
        <f t="shared" si="71"/>
        <v>Wednesday</v>
      </c>
      <c r="L1126" s="18" t="str">
        <f>IF(OR(G1126&gt;Answers!I1141,G1126&lt;Answers!I1142),"Outlier","Normal")</f>
        <v>Outlier</v>
      </c>
      <c r="M1126" s="18">
        <v>27</v>
      </c>
    </row>
    <row r="1127" spans="1:13" ht="20" customHeight="1" x14ac:dyDescent="0.35">
      <c r="A1127" s="17">
        <v>746060</v>
      </c>
      <c r="B1127" s="18">
        <v>1477</v>
      </c>
      <c r="C1127" s="23" t="s">
        <v>105</v>
      </c>
      <c r="D1127" s="27">
        <v>45016.994444444441</v>
      </c>
      <c r="E1127" s="18" t="s">
        <v>97</v>
      </c>
      <c r="F1127" s="18" t="s">
        <v>34</v>
      </c>
      <c r="G1127" s="18">
        <v>1387</v>
      </c>
      <c r="H1127" s="25">
        <f t="shared" si="68"/>
        <v>45016</v>
      </c>
      <c r="I1127" s="26">
        <f t="shared" si="69"/>
        <v>0.99444444444088731</v>
      </c>
      <c r="J1127" s="18" t="str">
        <f t="shared" si="70"/>
        <v>March</v>
      </c>
      <c r="K1127" s="56" t="str">
        <f t="shared" si="71"/>
        <v>Friday</v>
      </c>
      <c r="L1127" s="18" t="str">
        <f>IF(OR(G1127&gt;Answers!I1142,G1127&lt;Answers!I1143),"Outlier","Normal")</f>
        <v>Outlier</v>
      </c>
      <c r="M1127" s="18">
        <v>73</v>
      </c>
    </row>
    <row r="1128" spans="1:13" ht="20" customHeight="1" x14ac:dyDescent="0.35">
      <c r="A1128" s="17">
        <v>746275</v>
      </c>
      <c r="B1128" s="18">
        <v>1020</v>
      </c>
      <c r="C1128" s="23" t="s">
        <v>101</v>
      </c>
      <c r="D1128" s="27">
        <v>45059.054861111108</v>
      </c>
      <c r="E1128" s="18" t="s">
        <v>97</v>
      </c>
      <c r="F1128" s="18" t="s">
        <v>27</v>
      </c>
      <c r="G1128" s="18">
        <v>3551</v>
      </c>
      <c r="H1128" s="25">
        <f t="shared" si="68"/>
        <v>45059</v>
      </c>
      <c r="I1128" s="26">
        <f t="shared" si="69"/>
        <v>5.486111110803904E-2</v>
      </c>
      <c r="J1128" s="18" t="str">
        <f t="shared" si="70"/>
        <v>May</v>
      </c>
      <c r="K1128" s="56" t="str">
        <f t="shared" si="71"/>
        <v>Saturday</v>
      </c>
      <c r="L1128" s="18" t="str">
        <f>IF(OR(G1128&gt;Answers!I1143,G1128&lt;Answers!I1144),"Outlier","Normal")</f>
        <v>Outlier</v>
      </c>
      <c r="M1128" s="18">
        <v>86</v>
      </c>
    </row>
    <row r="1129" spans="1:13" ht="20" customHeight="1" x14ac:dyDescent="0.35">
      <c r="A1129" s="17">
        <v>748106</v>
      </c>
      <c r="B1129" s="18">
        <v>1295</v>
      </c>
      <c r="C1129" s="23" t="s">
        <v>102</v>
      </c>
      <c r="D1129" s="27">
        <v>45226.998611111114</v>
      </c>
      <c r="E1129" s="18" t="s">
        <v>98</v>
      </c>
      <c r="F1129" s="18" t="s">
        <v>65</v>
      </c>
      <c r="G1129" s="18">
        <v>5025</v>
      </c>
      <c r="H1129" s="25">
        <f t="shared" si="68"/>
        <v>45226</v>
      </c>
      <c r="I1129" s="26">
        <f t="shared" si="69"/>
        <v>0.99861111111385981</v>
      </c>
      <c r="J1129" s="18" t="str">
        <f t="shared" si="70"/>
        <v>October</v>
      </c>
      <c r="K1129" s="56" t="str">
        <f t="shared" si="71"/>
        <v>Friday</v>
      </c>
      <c r="L1129" s="18" t="str">
        <f>IF(OR(G1129&gt;Answers!I1144,G1129&lt;Answers!I1145),"Outlier","Normal")</f>
        <v>Outlier</v>
      </c>
      <c r="M1129" s="18">
        <v>86</v>
      </c>
    </row>
    <row r="1130" spans="1:13" ht="20" customHeight="1" x14ac:dyDescent="0.35">
      <c r="A1130" s="17">
        <v>748762</v>
      </c>
      <c r="B1130" s="18">
        <v>946</v>
      </c>
      <c r="C1130" s="23" t="s">
        <v>113</v>
      </c>
      <c r="D1130" s="27">
        <v>45180.027777777781</v>
      </c>
      <c r="E1130" s="18" t="s">
        <v>98</v>
      </c>
      <c r="F1130" s="18" t="s">
        <v>40</v>
      </c>
      <c r="G1130" s="18">
        <v>9843</v>
      </c>
      <c r="H1130" s="25">
        <f t="shared" si="68"/>
        <v>45180</v>
      </c>
      <c r="I1130" s="26">
        <f t="shared" si="69"/>
        <v>2.7777777781011537E-2</v>
      </c>
      <c r="J1130" s="18" t="str">
        <f t="shared" si="70"/>
        <v>September</v>
      </c>
      <c r="K1130" s="56" t="str">
        <f t="shared" si="71"/>
        <v>Monday</v>
      </c>
      <c r="L1130" s="18" t="str">
        <f>IF(OR(G1130&gt;Answers!I1145,G1130&lt;Answers!I1146),"Outlier","Normal")</f>
        <v>Outlier</v>
      </c>
      <c r="M1130" s="18">
        <v>27</v>
      </c>
    </row>
    <row r="1131" spans="1:13" ht="20" customHeight="1" x14ac:dyDescent="0.35">
      <c r="A1131" s="17">
        <v>748997</v>
      </c>
      <c r="B1131" s="18">
        <v>1277</v>
      </c>
      <c r="C1131" s="23" t="s">
        <v>110</v>
      </c>
      <c r="D1131" s="27">
        <v>45091.009027777778</v>
      </c>
      <c r="E1131" s="18" t="s">
        <v>96</v>
      </c>
      <c r="F1131" s="18" t="s">
        <v>95</v>
      </c>
      <c r="G1131" s="18">
        <v>9873</v>
      </c>
      <c r="H1131" s="25">
        <f t="shared" si="68"/>
        <v>45091</v>
      </c>
      <c r="I1131" s="26">
        <f t="shared" si="69"/>
        <v>9.0277777781011537E-3</v>
      </c>
      <c r="J1131" s="18" t="str">
        <f t="shared" si="70"/>
        <v>June</v>
      </c>
      <c r="K1131" s="56" t="str">
        <f t="shared" si="71"/>
        <v>Wednesday</v>
      </c>
      <c r="L1131" s="18" t="str">
        <f>IF(OR(G1131&gt;Answers!I1146,G1131&lt;Answers!I1147),"Outlier","Normal")</f>
        <v>Outlier</v>
      </c>
      <c r="M1131" s="18">
        <v>73</v>
      </c>
    </row>
    <row r="1132" spans="1:13" ht="20" customHeight="1" x14ac:dyDescent="0.35">
      <c r="A1132" s="17">
        <v>749692</v>
      </c>
      <c r="B1132" s="18">
        <v>184</v>
      </c>
      <c r="C1132" s="23" t="s">
        <v>106</v>
      </c>
      <c r="D1132" s="27">
        <v>45012.047222222223</v>
      </c>
      <c r="E1132" s="18" t="s">
        <v>98</v>
      </c>
      <c r="F1132" s="18" t="s">
        <v>42</v>
      </c>
      <c r="G1132" s="18">
        <v>6601</v>
      </c>
      <c r="H1132" s="25">
        <f t="shared" si="68"/>
        <v>45012</v>
      </c>
      <c r="I1132" s="26">
        <f t="shared" si="69"/>
        <v>4.7222222223354038E-2</v>
      </c>
      <c r="J1132" s="18" t="str">
        <f t="shared" si="70"/>
        <v>March</v>
      </c>
      <c r="K1132" s="56" t="str">
        <f t="shared" si="71"/>
        <v>Monday</v>
      </c>
      <c r="L1132" s="18" t="str">
        <f>IF(OR(G1132&gt;Answers!I1147,G1132&lt;Answers!I1148),"Outlier","Normal")</f>
        <v>Outlier</v>
      </c>
      <c r="M1132" s="18">
        <v>79</v>
      </c>
    </row>
    <row r="1133" spans="1:13" ht="20" customHeight="1" x14ac:dyDescent="0.35">
      <c r="A1133" s="17">
        <v>749782</v>
      </c>
      <c r="B1133" s="18">
        <v>1506</v>
      </c>
      <c r="C1133" s="23" t="s">
        <v>99</v>
      </c>
      <c r="D1133" s="27">
        <v>45095.094444444447</v>
      </c>
      <c r="E1133" s="18" t="s">
        <v>97</v>
      </c>
      <c r="F1133" s="18" t="s">
        <v>43</v>
      </c>
      <c r="G1133" s="18">
        <v>8021</v>
      </c>
      <c r="H1133" s="25">
        <f t="shared" si="68"/>
        <v>45095</v>
      </c>
      <c r="I1133" s="26">
        <f t="shared" si="69"/>
        <v>9.4444444446708076E-2</v>
      </c>
      <c r="J1133" s="18" t="str">
        <f t="shared" si="70"/>
        <v>June</v>
      </c>
      <c r="K1133" s="56" t="str">
        <f t="shared" si="71"/>
        <v>Sunday</v>
      </c>
      <c r="L1133" s="18" t="str">
        <f>IF(OR(G1133&gt;Answers!I1148,G1133&lt;Answers!I1149),"Outlier","Normal")</f>
        <v>Outlier</v>
      </c>
      <c r="M1133" s="18">
        <v>18</v>
      </c>
    </row>
    <row r="1134" spans="1:13" ht="20" customHeight="1" x14ac:dyDescent="0.35">
      <c r="A1134" s="17">
        <v>750732</v>
      </c>
      <c r="B1134" s="18">
        <v>194</v>
      </c>
      <c r="C1134" s="23" t="s">
        <v>113</v>
      </c>
      <c r="D1134" s="27">
        <v>45247.981944444444</v>
      </c>
      <c r="E1134" s="18" t="s">
        <v>97</v>
      </c>
      <c r="F1134" s="18" t="s">
        <v>76</v>
      </c>
      <c r="G1134" s="18">
        <v>8355</v>
      </c>
      <c r="H1134" s="25">
        <f t="shared" si="68"/>
        <v>45247</v>
      </c>
      <c r="I1134" s="26">
        <f t="shared" si="69"/>
        <v>0.98194444444379769</v>
      </c>
      <c r="J1134" s="18" t="str">
        <f t="shared" si="70"/>
        <v>November</v>
      </c>
      <c r="K1134" s="56" t="str">
        <f t="shared" si="71"/>
        <v>Friday</v>
      </c>
      <c r="L1134" s="18" t="str">
        <f>IF(OR(G1134&gt;Answers!I1149,G1134&lt;Answers!I1150),"Outlier","Normal")</f>
        <v>Outlier</v>
      </c>
      <c r="M1134" s="18">
        <v>64</v>
      </c>
    </row>
    <row r="1135" spans="1:13" ht="20" customHeight="1" x14ac:dyDescent="0.35">
      <c r="A1135" s="17">
        <v>750814</v>
      </c>
      <c r="B1135" s="18">
        <v>862</v>
      </c>
      <c r="C1135" s="23" t="s">
        <v>99</v>
      </c>
      <c r="D1135" s="27">
        <v>45039.990972222222</v>
      </c>
      <c r="E1135" s="18" t="s">
        <v>96</v>
      </c>
      <c r="F1135" s="18" t="s">
        <v>12</v>
      </c>
      <c r="G1135" s="18">
        <v>1843</v>
      </c>
      <c r="H1135" s="25">
        <f t="shared" si="68"/>
        <v>45039</v>
      </c>
      <c r="I1135" s="26">
        <f t="shared" si="69"/>
        <v>0.99097222222189885</v>
      </c>
      <c r="J1135" s="18" t="str">
        <f t="shared" si="70"/>
        <v>April</v>
      </c>
      <c r="K1135" s="56" t="str">
        <f t="shared" si="71"/>
        <v>Sunday</v>
      </c>
      <c r="L1135" s="18" t="str">
        <f>IF(OR(G1135&gt;Answers!I1150,G1135&lt;Answers!I1151),"Outlier","Normal")</f>
        <v>Outlier</v>
      </c>
      <c r="M1135" s="18">
        <v>68</v>
      </c>
    </row>
    <row r="1136" spans="1:13" ht="20" customHeight="1" x14ac:dyDescent="0.35">
      <c r="A1136" s="17">
        <v>750826</v>
      </c>
      <c r="B1136" s="18">
        <v>451</v>
      </c>
      <c r="C1136" s="23" t="s">
        <v>103</v>
      </c>
      <c r="D1136" s="27">
        <v>45029.98541666667</v>
      </c>
      <c r="E1136" s="18" t="s">
        <v>98</v>
      </c>
      <c r="F1136" s="18" t="s">
        <v>14</v>
      </c>
      <c r="G1136" s="18">
        <v>9467</v>
      </c>
      <c r="H1136" s="25">
        <f t="shared" si="68"/>
        <v>45029</v>
      </c>
      <c r="I1136" s="26">
        <f t="shared" si="69"/>
        <v>0.98541666667006211</v>
      </c>
      <c r="J1136" s="18" t="str">
        <f t="shared" si="70"/>
        <v>April</v>
      </c>
      <c r="K1136" s="56" t="str">
        <f t="shared" si="71"/>
        <v>Thursday</v>
      </c>
      <c r="L1136" s="18" t="str">
        <f>IF(OR(G1136&gt;Answers!I1151,G1136&lt;Answers!I1152),"Outlier","Normal")</f>
        <v>Outlier</v>
      </c>
      <c r="M1136" s="18">
        <v>74</v>
      </c>
    </row>
    <row r="1137" spans="1:13" ht="20" customHeight="1" x14ac:dyDescent="0.35">
      <c r="A1137" s="17">
        <v>751811</v>
      </c>
      <c r="B1137" s="18">
        <v>1745</v>
      </c>
      <c r="C1137" s="23" t="s">
        <v>99</v>
      </c>
      <c r="D1137" s="27">
        <v>45257.078472222223</v>
      </c>
      <c r="E1137" s="18" t="s">
        <v>133</v>
      </c>
      <c r="F1137" s="18" t="s">
        <v>43</v>
      </c>
      <c r="G1137" s="18">
        <v>2348</v>
      </c>
      <c r="H1137" s="25">
        <f t="shared" si="68"/>
        <v>45257</v>
      </c>
      <c r="I1137" s="26">
        <f t="shared" si="69"/>
        <v>7.8472222223354038E-2</v>
      </c>
      <c r="J1137" s="18" t="str">
        <f t="shared" si="70"/>
        <v>November</v>
      </c>
      <c r="K1137" s="56" t="str">
        <f t="shared" si="71"/>
        <v>Monday</v>
      </c>
      <c r="L1137" s="18" t="str">
        <f>IF(OR(G1137&gt;Answers!I1152,G1137&lt;Answers!I1153),"Outlier","Normal")</f>
        <v>Outlier</v>
      </c>
      <c r="M1137" s="18">
        <v>54</v>
      </c>
    </row>
    <row r="1138" spans="1:13" ht="20" customHeight="1" x14ac:dyDescent="0.35">
      <c r="A1138" s="17">
        <v>751921</v>
      </c>
      <c r="B1138" s="18">
        <v>928</v>
      </c>
      <c r="C1138" s="23" t="s">
        <v>104</v>
      </c>
      <c r="D1138" s="27">
        <v>45099.061805555553</v>
      </c>
      <c r="E1138" s="18" t="s">
        <v>98</v>
      </c>
      <c r="F1138" s="18" t="s">
        <v>45</v>
      </c>
      <c r="G1138" s="18">
        <v>9633</v>
      </c>
      <c r="H1138" s="25">
        <f t="shared" si="68"/>
        <v>45099</v>
      </c>
      <c r="I1138" s="26">
        <f t="shared" si="69"/>
        <v>6.1805555553291924E-2</v>
      </c>
      <c r="J1138" s="18" t="str">
        <f t="shared" si="70"/>
        <v>June</v>
      </c>
      <c r="K1138" s="56" t="str">
        <f t="shared" si="71"/>
        <v>Thursday</v>
      </c>
      <c r="L1138" s="18" t="str">
        <f>IF(OR(G1138&gt;Answers!I1153,G1138&lt;Answers!I1154),"Outlier","Normal")</f>
        <v>Outlier</v>
      </c>
      <c r="M1138" s="18">
        <v>56</v>
      </c>
    </row>
    <row r="1139" spans="1:13" ht="20" customHeight="1" x14ac:dyDescent="0.35">
      <c r="A1139" s="17">
        <v>752092</v>
      </c>
      <c r="B1139" s="18">
        <v>62</v>
      </c>
      <c r="C1139" s="23" t="s">
        <v>99</v>
      </c>
      <c r="D1139" s="27">
        <v>44949.046527777777</v>
      </c>
      <c r="E1139" s="18" t="s">
        <v>97</v>
      </c>
      <c r="F1139" s="18" t="s">
        <v>43</v>
      </c>
      <c r="G1139" s="18">
        <v>9268</v>
      </c>
      <c r="H1139" s="25">
        <f t="shared" si="68"/>
        <v>44949</v>
      </c>
      <c r="I1139" s="26">
        <f t="shared" si="69"/>
        <v>4.6527777776645962E-2</v>
      </c>
      <c r="J1139" s="18" t="str">
        <f t="shared" si="70"/>
        <v>January</v>
      </c>
      <c r="K1139" s="56" t="str">
        <f t="shared" si="71"/>
        <v>Monday</v>
      </c>
      <c r="L1139" s="18" t="str">
        <f>IF(OR(G1139&gt;Answers!I1154,G1139&lt;Answers!I1155),"Outlier","Normal")</f>
        <v>Outlier</v>
      </c>
      <c r="M1139" s="18">
        <v>42</v>
      </c>
    </row>
    <row r="1140" spans="1:13" ht="20" customHeight="1" x14ac:dyDescent="0.35">
      <c r="A1140" s="17">
        <v>752814</v>
      </c>
      <c r="B1140" s="18">
        <v>1661</v>
      </c>
      <c r="C1140" s="23" t="s">
        <v>100</v>
      </c>
      <c r="D1140" s="27">
        <v>45253.986111111109</v>
      </c>
      <c r="E1140" s="18" t="s">
        <v>133</v>
      </c>
      <c r="F1140" s="18" t="s">
        <v>67</v>
      </c>
      <c r="G1140" s="18">
        <v>7540</v>
      </c>
      <c r="H1140" s="25">
        <f t="shared" si="68"/>
        <v>45253</v>
      </c>
      <c r="I1140" s="26">
        <f t="shared" si="69"/>
        <v>0.98611111110949423</v>
      </c>
      <c r="J1140" s="18" t="str">
        <f t="shared" si="70"/>
        <v>November</v>
      </c>
      <c r="K1140" s="56" t="str">
        <f t="shared" si="71"/>
        <v>Thursday</v>
      </c>
      <c r="L1140" s="18" t="str">
        <f>IF(OR(G1140&gt;Answers!I1155,G1140&lt;Answers!I1156),"Outlier","Normal")</f>
        <v>Outlier</v>
      </c>
      <c r="M1140" s="18">
        <v>33</v>
      </c>
    </row>
    <row r="1141" spans="1:13" ht="20" customHeight="1" x14ac:dyDescent="0.35">
      <c r="A1141" s="17">
        <v>754290</v>
      </c>
      <c r="B1141" s="18">
        <v>977</v>
      </c>
      <c r="C1141" s="23" t="s">
        <v>113</v>
      </c>
      <c r="D1141" s="27">
        <v>44990.07708333333</v>
      </c>
      <c r="E1141" s="18" t="s">
        <v>97</v>
      </c>
      <c r="F1141" s="18" t="s">
        <v>60</v>
      </c>
      <c r="G1141" s="18">
        <v>7063</v>
      </c>
      <c r="H1141" s="25">
        <f t="shared" si="68"/>
        <v>44990</v>
      </c>
      <c r="I1141" s="26">
        <f t="shared" si="69"/>
        <v>7.7083333329937886E-2</v>
      </c>
      <c r="J1141" s="18" t="str">
        <f t="shared" si="70"/>
        <v>March</v>
      </c>
      <c r="K1141" s="56" t="str">
        <f t="shared" si="71"/>
        <v>Sunday</v>
      </c>
      <c r="L1141" s="18" t="str">
        <f>IF(OR(G1141&gt;Answers!I1156,G1141&lt;Answers!I1157),"Outlier","Normal")</f>
        <v>Outlier</v>
      </c>
      <c r="M1141" s="18">
        <v>31</v>
      </c>
    </row>
    <row r="1142" spans="1:13" ht="20" customHeight="1" x14ac:dyDescent="0.35">
      <c r="A1142" s="17">
        <v>754402</v>
      </c>
      <c r="B1142" s="18">
        <v>164</v>
      </c>
      <c r="C1142" s="23" t="s">
        <v>99</v>
      </c>
      <c r="D1142" s="27">
        <v>45103.05972222222</v>
      </c>
      <c r="E1142" s="18" t="s">
        <v>133</v>
      </c>
      <c r="F1142" s="18" t="s">
        <v>70</v>
      </c>
      <c r="G1142" s="18">
        <v>136</v>
      </c>
      <c r="H1142" s="25">
        <f t="shared" si="68"/>
        <v>45103</v>
      </c>
      <c r="I1142" s="26">
        <f t="shared" si="69"/>
        <v>5.9722222220443655E-2</v>
      </c>
      <c r="J1142" s="18" t="str">
        <f t="shared" si="70"/>
        <v>June</v>
      </c>
      <c r="K1142" s="56" t="str">
        <f t="shared" si="71"/>
        <v>Monday</v>
      </c>
      <c r="L1142" s="18" t="str">
        <f>IF(OR(G1142&gt;Answers!I1157,G1142&lt;Answers!I1158),"Outlier","Normal")</f>
        <v>Outlier</v>
      </c>
      <c r="M1142" s="18">
        <v>36</v>
      </c>
    </row>
    <row r="1143" spans="1:13" ht="20" customHeight="1" x14ac:dyDescent="0.35">
      <c r="A1143" s="17">
        <v>754474</v>
      </c>
      <c r="B1143" s="18">
        <v>48</v>
      </c>
      <c r="C1143" s="23" t="s">
        <v>99</v>
      </c>
      <c r="D1143" s="27">
        <v>45004.95416666667</v>
      </c>
      <c r="E1143" s="18" t="s">
        <v>133</v>
      </c>
      <c r="F1143" s="18" t="s">
        <v>71</v>
      </c>
      <c r="G1143" s="18">
        <v>5288</v>
      </c>
      <c r="H1143" s="25">
        <f t="shared" si="68"/>
        <v>45004</v>
      </c>
      <c r="I1143" s="26">
        <f t="shared" si="69"/>
        <v>0.95416666667006211</v>
      </c>
      <c r="J1143" s="18" t="str">
        <f t="shared" si="70"/>
        <v>March</v>
      </c>
      <c r="K1143" s="56" t="str">
        <f t="shared" si="71"/>
        <v>Sunday</v>
      </c>
      <c r="L1143" s="18" t="str">
        <f>IF(OR(G1143&gt;Answers!I1158,G1143&lt;Answers!I1159),"Outlier","Normal")</f>
        <v>Outlier</v>
      </c>
      <c r="M1143" s="18">
        <v>66</v>
      </c>
    </row>
    <row r="1144" spans="1:13" ht="20" customHeight="1" x14ac:dyDescent="0.35">
      <c r="A1144" s="17">
        <v>756887</v>
      </c>
      <c r="B1144" s="18">
        <v>1676</v>
      </c>
      <c r="C1144" s="23" t="s">
        <v>104</v>
      </c>
      <c r="D1144" s="27">
        <v>45036.03402777778</v>
      </c>
      <c r="E1144" s="18" t="s">
        <v>133</v>
      </c>
      <c r="F1144" s="18" t="s">
        <v>43</v>
      </c>
      <c r="G1144" s="18">
        <v>5656</v>
      </c>
      <c r="H1144" s="25">
        <f t="shared" si="68"/>
        <v>45036</v>
      </c>
      <c r="I1144" s="26">
        <f t="shared" si="69"/>
        <v>3.4027777779556345E-2</v>
      </c>
      <c r="J1144" s="18" t="str">
        <f t="shared" si="70"/>
        <v>April</v>
      </c>
      <c r="K1144" s="56" t="str">
        <f t="shared" si="71"/>
        <v>Thursday</v>
      </c>
      <c r="L1144" s="18" t="str">
        <f>IF(OR(G1144&gt;Answers!I1159,G1144&lt;Answers!I1160),"Outlier","Normal")</f>
        <v>Outlier</v>
      </c>
      <c r="M1144" s="18">
        <v>25</v>
      </c>
    </row>
    <row r="1145" spans="1:13" ht="20" customHeight="1" x14ac:dyDescent="0.35">
      <c r="A1145" s="17">
        <v>757855</v>
      </c>
      <c r="B1145" s="18">
        <v>1479</v>
      </c>
      <c r="C1145" s="23" t="s">
        <v>99</v>
      </c>
      <c r="D1145" s="27">
        <v>45242.941666666666</v>
      </c>
      <c r="E1145" s="18" t="s">
        <v>96</v>
      </c>
      <c r="F1145" s="18" t="s">
        <v>45</v>
      </c>
      <c r="G1145" s="18">
        <v>5528</v>
      </c>
      <c r="H1145" s="25">
        <f t="shared" si="68"/>
        <v>45242</v>
      </c>
      <c r="I1145" s="26">
        <f t="shared" si="69"/>
        <v>0.94166666666569654</v>
      </c>
      <c r="J1145" s="18" t="str">
        <f t="shared" si="70"/>
        <v>November</v>
      </c>
      <c r="K1145" s="56" t="str">
        <f t="shared" si="71"/>
        <v>Sunday</v>
      </c>
      <c r="L1145" s="18" t="str">
        <f>IF(OR(G1145&gt;Answers!I1160,G1145&lt;Answers!I1161),"Outlier","Normal")</f>
        <v>Outlier</v>
      </c>
      <c r="M1145" s="18">
        <v>87</v>
      </c>
    </row>
    <row r="1146" spans="1:13" ht="20" customHeight="1" x14ac:dyDescent="0.35">
      <c r="A1146" s="17">
        <v>758496</v>
      </c>
      <c r="B1146" s="18">
        <v>1974</v>
      </c>
      <c r="C1146" s="23" t="s">
        <v>99</v>
      </c>
      <c r="D1146" s="27">
        <v>45208.027777777781</v>
      </c>
      <c r="E1146" s="18" t="s">
        <v>98</v>
      </c>
      <c r="F1146" s="18" t="s">
        <v>8</v>
      </c>
      <c r="G1146" s="18">
        <v>2202</v>
      </c>
      <c r="H1146" s="25">
        <f t="shared" si="68"/>
        <v>45208</v>
      </c>
      <c r="I1146" s="26">
        <f t="shared" si="69"/>
        <v>2.7777777781011537E-2</v>
      </c>
      <c r="J1146" s="18" t="str">
        <f t="shared" si="70"/>
        <v>October</v>
      </c>
      <c r="K1146" s="56" t="str">
        <f t="shared" si="71"/>
        <v>Monday</v>
      </c>
      <c r="L1146" s="18" t="str">
        <f>IF(OR(G1146&gt;Answers!I1161,G1146&lt;Answers!I1162),"Outlier","Normal")</f>
        <v>Outlier</v>
      </c>
      <c r="M1146" s="18">
        <v>74</v>
      </c>
    </row>
    <row r="1147" spans="1:13" ht="20" customHeight="1" x14ac:dyDescent="0.35">
      <c r="A1147" s="17">
        <v>758962</v>
      </c>
      <c r="B1147" s="18">
        <v>1988</v>
      </c>
      <c r="C1147" s="23" t="s">
        <v>99</v>
      </c>
      <c r="D1147" s="27">
        <v>45058.035416666666</v>
      </c>
      <c r="E1147" s="18" t="s">
        <v>98</v>
      </c>
      <c r="F1147" s="18" t="s">
        <v>46</v>
      </c>
      <c r="G1147" s="18">
        <v>6385</v>
      </c>
      <c r="H1147" s="25">
        <f t="shared" si="68"/>
        <v>45058</v>
      </c>
      <c r="I1147" s="26">
        <f t="shared" si="69"/>
        <v>3.5416666665696539E-2</v>
      </c>
      <c r="J1147" s="18" t="str">
        <f t="shared" si="70"/>
        <v>May</v>
      </c>
      <c r="K1147" s="56" t="str">
        <f t="shared" si="71"/>
        <v>Friday</v>
      </c>
      <c r="L1147" s="18" t="str">
        <f>IF(OR(G1147&gt;Answers!I1162,G1147&lt;Answers!I1163),"Outlier","Normal")</f>
        <v>Outlier</v>
      </c>
      <c r="M1147" s="18">
        <v>66</v>
      </c>
    </row>
    <row r="1148" spans="1:13" ht="20" customHeight="1" x14ac:dyDescent="0.35">
      <c r="A1148" s="17">
        <v>759664</v>
      </c>
      <c r="B1148" s="18">
        <v>494</v>
      </c>
      <c r="C1148" s="23" t="s">
        <v>100</v>
      </c>
      <c r="D1148" s="27">
        <v>45125.986111111109</v>
      </c>
      <c r="E1148" s="18" t="s">
        <v>133</v>
      </c>
      <c r="F1148" s="18" t="s">
        <v>11</v>
      </c>
      <c r="G1148" s="18">
        <v>8605</v>
      </c>
      <c r="H1148" s="25">
        <f t="shared" si="68"/>
        <v>45125</v>
      </c>
      <c r="I1148" s="26">
        <f t="shared" si="69"/>
        <v>0.98611111110949423</v>
      </c>
      <c r="J1148" s="18" t="str">
        <f t="shared" si="70"/>
        <v>July</v>
      </c>
      <c r="K1148" s="56" t="str">
        <f t="shared" si="71"/>
        <v>Tuesday</v>
      </c>
      <c r="L1148" s="18" t="str">
        <f>IF(OR(G1148&gt;Answers!I1163,G1148&lt;Answers!I1164),"Outlier","Normal")</f>
        <v>Outlier</v>
      </c>
      <c r="M1148" s="18">
        <v>19</v>
      </c>
    </row>
    <row r="1149" spans="1:13" ht="20" customHeight="1" x14ac:dyDescent="0.35">
      <c r="A1149" s="17">
        <v>759796</v>
      </c>
      <c r="B1149" s="18">
        <v>92</v>
      </c>
      <c r="C1149" s="23" t="s">
        <v>108</v>
      </c>
      <c r="D1149" s="27">
        <v>45227.006944444445</v>
      </c>
      <c r="E1149" s="18" t="s">
        <v>96</v>
      </c>
      <c r="F1149" s="18" t="s">
        <v>72</v>
      </c>
      <c r="G1149" s="18">
        <v>545</v>
      </c>
      <c r="H1149" s="25">
        <f t="shared" si="68"/>
        <v>45227</v>
      </c>
      <c r="I1149" s="26">
        <f t="shared" si="69"/>
        <v>6.9444444452528842E-3</v>
      </c>
      <c r="J1149" s="18" t="str">
        <f t="shared" si="70"/>
        <v>October</v>
      </c>
      <c r="K1149" s="56" t="str">
        <f t="shared" si="71"/>
        <v>Saturday</v>
      </c>
      <c r="L1149" s="18" t="str">
        <f>IF(OR(G1149&gt;Answers!I1164,G1149&lt;Answers!I1165),"Outlier","Normal")</f>
        <v>Outlier</v>
      </c>
      <c r="M1149" s="18">
        <v>75</v>
      </c>
    </row>
    <row r="1150" spans="1:13" ht="20" customHeight="1" x14ac:dyDescent="0.35">
      <c r="A1150" s="17">
        <v>760774</v>
      </c>
      <c r="B1150" s="18">
        <v>63</v>
      </c>
      <c r="C1150" s="23" t="s">
        <v>103</v>
      </c>
      <c r="D1150" s="27">
        <v>45019.006944444445</v>
      </c>
      <c r="E1150" s="18" t="s">
        <v>98</v>
      </c>
      <c r="F1150" s="18" t="s">
        <v>27</v>
      </c>
      <c r="G1150" s="18">
        <v>2846</v>
      </c>
      <c r="H1150" s="25">
        <f t="shared" si="68"/>
        <v>45019</v>
      </c>
      <c r="I1150" s="26">
        <f t="shared" si="69"/>
        <v>6.9444444452528842E-3</v>
      </c>
      <c r="J1150" s="18" t="str">
        <f t="shared" si="70"/>
        <v>April</v>
      </c>
      <c r="K1150" s="56" t="str">
        <f t="shared" si="71"/>
        <v>Monday</v>
      </c>
      <c r="L1150" s="18" t="str">
        <f>IF(OR(G1150&gt;Answers!I1165,G1150&lt;Answers!I1166),"Outlier","Normal")</f>
        <v>Outlier</v>
      </c>
      <c r="M1150" s="18">
        <v>23</v>
      </c>
    </row>
    <row r="1151" spans="1:13" ht="20" customHeight="1" x14ac:dyDescent="0.35">
      <c r="A1151" s="17">
        <v>761079</v>
      </c>
      <c r="B1151" s="18">
        <v>1813</v>
      </c>
      <c r="C1151" s="23" t="s">
        <v>99</v>
      </c>
      <c r="D1151" s="27">
        <v>45149.009027777778</v>
      </c>
      <c r="E1151" s="18" t="s">
        <v>98</v>
      </c>
      <c r="F1151" s="18" t="s">
        <v>13</v>
      </c>
      <c r="G1151" s="18">
        <v>8446</v>
      </c>
      <c r="H1151" s="25">
        <f t="shared" si="68"/>
        <v>45149</v>
      </c>
      <c r="I1151" s="26">
        <f t="shared" si="69"/>
        <v>9.0277777781011537E-3</v>
      </c>
      <c r="J1151" s="18" t="str">
        <f t="shared" si="70"/>
        <v>August</v>
      </c>
      <c r="K1151" s="56" t="str">
        <f t="shared" si="71"/>
        <v>Friday</v>
      </c>
      <c r="L1151" s="18" t="str">
        <f>IF(OR(G1151&gt;Answers!I1166,G1151&lt;Answers!I1167),"Outlier","Normal")</f>
        <v>Outlier</v>
      </c>
      <c r="M1151" s="18">
        <v>21</v>
      </c>
    </row>
    <row r="1152" spans="1:13" ht="20" customHeight="1" x14ac:dyDescent="0.35">
      <c r="A1152" s="17">
        <v>761261</v>
      </c>
      <c r="B1152" s="18">
        <v>930</v>
      </c>
      <c r="C1152" s="23" t="s">
        <v>101</v>
      </c>
      <c r="D1152" s="27">
        <v>45095.979861111111</v>
      </c>
      <c r="E1152" s="18" t="s">
        <v>96</v>
      </c>
      <c r="F1152" s="18" t="s">
        <v>73</v>
      </c>
      <c r="G1152" s="18">
        <v>2321</v>
      </c>
      <c r="H1152" s="25">
        <f t="shared" si="68"/>
        <v>45095</v>
      </c>
      <c r="I1152" s="26">
        <f t="shared" si="69"/>
        <v>0.97986111111094942</v>
      </c>
      <c r="J1152" s="18" t="str">
        <f t="shared" si="70"/>
        <v>June</v>
      </c>
      <c r="K1152" s="56" t="str">
        <f t="shared" si="71"/>
        <v>Sunday</v>
      </c>
      <c r="L1152" s="18" t="str">
        <f>IF(OR(G1152&gt;Answers!I1167,G1152&lt;Answers!I1168),"Outlier","Normal")</f>
        <v>Outlier</v>
      </c>
      <c r="M1152" s="18">
        <v>21</v>
      </c>
    </row>
    <row r="1153" spans="1:13" ht="20" customHeight="1" x14ac:dyDescent="0.35">
      <c r="A1153" s="17">
        <v>762584</v>
      </c>
      <c r="B1153" s="18">
        <v>226</v>
      </c>
      <c r="C1153" s="23" t="s">
        <v>99</v>
      </c>
      <c r="D1153" s="27">
        <v>45018.05</v>
      </c>
      <c r="E1153" s="18" t="s">
        <v>133</v>
      </c>
      <c r="F1153" s="18" t="s">
        <v>52</v>
      </c>
      <c r="G1153" s="18">
        <v>6342</v>
      </c>
      <c r="H1153" s="25">
        <f t="shared" si="68"/>
        <v>45018</v>
      </c>
      <c r="I1153" s="26">
        <f t="shared" si="69"/>
        <v>5.0000000002910383E-2</v>
      </c>
      <c r="J1153" s="18" t="str">
        <f t="shared" si="70"/>
        <v>April</v>
      </c>
      <c r="K1153" s="56" t="str">
        <f t="shared" si="71"/>
        <v>Sunday</v>
      </c>
      <c r="L1153" s="18" t="str">
        <f>IF(OR(G1153&gt;Answers!I1168,G1153&lt;Answers!I1169),"Outlier","Normal")</f>
        <v>Outlier</v>
      </c>
      <c r="M1153" s="18">
        <v>31</v>
      </c>
    </row>
    <row r="1154" spans="1:13" ht="20" customHeight="1" x14ac:dyDescent="0.35">
      <c r="A1154" s="17">
        <v>763962</v>
      </c>
      <c r="B1154" s="18">
        <v>1590</v>
      </c>
      <c r="C1154" s="23" t="s">
        <v>106</v>
      </c>
      <c r="D1154" s="27">
        <v>44942.018750000003</v>
      </c>
      <c r="E1154" s="18" t="s">
        <v>98</v>
      </c>
      <c r="F1154" s="18" t="s">
        <v>13</v>
      </c>
      <c r="G1154" s="18">
        <v>4623</v>
      </c>
      <c r="H1154" s="25">
        <f t="shared" si="68"/>
        <v>44942</v>
      </c>
      <c r="I1154" s="26">
        <f t="shared" si="69"/>
        <v>1.8750000002910383E-2</v>
      </c>
      <c r="J1154" s="18" t="str">
        <f t="shared" si="70"/>
        <v>January</v>
      </c>
      <c r="K1154" s="56" t="str">
        <f t="shared" si="71"/>
        <v>Monday</v>
      </c>
      <c r="L1154" s="18" t="str">
        <f>IF(OR(G1154&gt;Answers!I1169,G1154&lt;Answers!I1170),"Outlier","Normal")</f>
        <v>Outlier</v>
      </c>
      <c r="M1154" s="18">
        <v>69</v>
      </c>
    </row>
    <row r="1155" spans="1:13" ht="20" customHeight="1" x14ac:dyDescent="0.35">
      <c r="A1155" s="17">
        <v>764467</v>
      </c>
      <c r="B1155" s="18">
        <v>1998</v>
      </c>
      <c r="C1155" s="23" t="s">
        <v>101</v>
      </c>
      <c r="D1155" s="27">
        <v>45001.067361111112</v>
      </c>
      <c r="E1155" s="18" t="s">
        <v>133</v>
      </c>
      <c r="F1155" s="18" t="s">
        <v>91</v>
      </c>
      <c r="G1155" s="18">
        <v>7362</v>
      </c>
      <c r="H1155" s="25">
        <f t="shared" ref="H1155:H1218" si="72">INT(D1155)</f>
        <v>45001</v>
      </c>
      <c r="I1155" s="26">
        <f t="shared" ref="I1155:I1218" si="73">MOD(D1155,1)</f>
        <v>6.7361111112404615E-2</v>
      </c>
      <c r="J1155" s="18" t="str">
        <f t="shared" ref="J1155:J1218" si="74">TEXT(D1155,"mmmm")</f>
        <v>March</v>
      </c>
      <c r="K1155" s="56" t="str">
        <f t="shared" ref="K1155:K1218" si="75">TEXT(D1155,"dddd")</f>
        <v>Thursday</v>
      </c>
      <c r="L1155" s="18" t="str">
        <f>IF(OR(G1155&gt;Answers!I1170,G1155&lt;Answers!I1171),"Outlier","Normal")</f>
        <v>Outlier</v>
      </c>
      <c r="M1155" s="18">
        <v>82</v>
      </c>
    </row>
    <row r="1156" spans="1:13" ht="20" customHeight="1" x14ac:dyDescent="0.35">
      <c r="A1156" s="17">
        <v>765043</v>
      </c>
      <c r="B1156" s="18">
        <v>273</v>
      </c>
      <c r="C1156" s="23" t="s">
        <v>99</v>
      </c>
      <c r="D1156" s="27">
        <v>45222.97152777778</v>
      </c>
      <c r="E1156" s="18" t="s">
        <v>133</v>
      </c>
      <c r="F1156" s="18" t="s">
        <v>75</v>
      </c>
      <c r="G1156" s="18">
        <v>7579</v>
      </c>
      <c r="H1156" s="25">
        <f t="shared" si="72"/>
        <v>45222</v>
      </c>
      <c r="I1156" s="26">
        <f t="shared" si="73"/>
        <v>0.97152777777955635</v>
      </c>
      <c r="J1156" s="18" t="str">
        <f t="shared" si="74"/>
        <v>October</v>
      </c>
      <c r="K1156" s="56" t="str">
        <f t="shared" si="75"/>
        <v>Monday</v>
      </c>
      <c r="L1156" s="18" t="str">
        <f>IF(OR(G1156&gt;Answers!I1171,G1156&lt;Answers!I1172),"Outlier","Normal")</f>
        <v>Outlier</v>
      </c>
      <c r="M1156" s="18">
        <v>34</v>
      </c>
    </row>
    <row r="1157" spans="1:13" ht="20" customHeight="1" x14ac:dyDescent="0.35">
      <c r="A1157" s="17">
        <v>765994</v>
      </c>
      <c r="B1157" s="18">
        <v>220</v>
      </c>
      <c r="C1157" s="23" t="s">
        <v>101</v>
      </c>
      <c r="D1157" s="27">
        <v>45056.015972222223</v>
      </c>
      <c r="E1157" s="18" t="s">
        <v>98</v>
      </c>
      <c r="F1157" s="18" t="s">
        <v>73</v>
      </c>
      <c r="G1157" s="18">
        <v>5250</v>
      </c>
      <c r="H1157" s="25">
        <f t="shared" si="72"/>
        <v>45056</v>
      </c>
      <c r="I1157" s="26">
        <f t="shared" si="73"/>
        <v>1.5972222223354038E-2</v>
      </c>
      <c r="J1157" s="18" t="str">
        <f t="shared" si="74"/>
        <v>May</v>
      </c>
      <c r="K1157" s="56" t="str">
        <f t="shared" si="75"/>
        <v>Wednesday</v>
      </c>
      <c r="L1157" s="18" t="str">
        <f>IF(OR(G1157&gt;Answers!I1172,G1157&lt;Answers!I1173),"Outlier","Normal")</f>
        <v>Outlier</v>
      </c>
      <c r="M1157" s="18">
        <v>71</v>
      </c>
    </row>
    <row r="1158" spans="1:13" ht="20" customHeight="1" x14ac:dyDescent="0.35">
      <c r="A1158" s="17">
        <v>767130</v>
      </c>
      <c r="B1158" s="18">
        <v>1627</v>
      </c>
      <c r="C1158" s="23" t="s">
        <v>101</v>
      </c>
      <c r="D1158" s="27">
        <v>45096.956250000003</v>
      </c>
      <c r="E1158" s="18" t="s">
        <v>133</v>
      </c>
      <c r="F1158" s="18" t="s">
        <v>76</v>
      </c>
      <c r="G1158" s="18">
        <v>4936</v>
      </c>
      <c r="H1158" s="25">
        <f t="shared" si="72"/>
        <v>45096</v>
      </c>
      <c r="I1158" s="26">
        <f t="shared" si="73"/>
        <v>0.95625000000291038</v>
      </c>
      <c r="J1158" s="18" t="str">
        <f t="shared" si="74"/>
        <v>June</v>
      </c>
      <c r="K1158" s="56" t="str">
        <f t="shared" si="75"/>
        <v>Monday</v>
      </c>
      <c r="L1158" s="18" t="str">
        <f>IF(OR(G1158&gt;Answers!I1173,G1158&lt;Answers!I1174),"Outlier","Normal")</f>
        <v>Outlier</v>
      </c>
      <c r="M1158" s="18">
        <v>61</v>
      </c>
    </row>
    <row r="1159" spans="1:13" ht="20" customHeight="1" x14ac:dyDescent="0.35">
      <c r="A1159" s="17">
        <v>767512</v>
      </c>
      <c r="B1159" s="18">
        <v>1219</v>
      </c>
      <c r="C1159" s="23" t="s">
        <v>99</v>
      </c>
      <c r="D1159" s="27">
        <v>45290.024305555555</v>
      </c>
      <c r="E1159" s="18" t="s">
        <v>97</v>
      </c>
      <c r="F1159" s="18" t="s">
        <v>72</v>
      </c>
      <c r="G1159" s="18">
        <v>4002</v>
      </c>
      <c r="H1159" s="25">
        <f t="shared" si="72"/>
        <v>45290</v>
      </c>
      <c r="I1159" s="26">
        <f t="shared" si="73"/>
        <v>2.4305555554747116E-2</v>
      </c>
      <c r="J1159" s="18" t="str">
        <f t="shared" si="74"/>
        <v>December</v>
      </c>
      <c r="K1159" s="56" t="str">
        <f t="shared" si="75"/>
        <v>Saturday</v>
      </c>
      <c r="L1159" s="18" t="str">
        <f>IF(OR(G1159&gt;Answers!I1174,G1159&lt;Answers!I1175),"Outlier","Normal")</f>
        <v>Outlier</v>
      </c>
      <c r="M1159" s="18">
        <v>19</v>
      </c>
    </row>
    <row r="1160" spans="1:13" ht="20" customHeight="1" x14ac:dyDescent="0.35">
      <c r="A1160" s="17">
        <v>767976</v>
      </c>
      <c r="B1160" s="18">
        <v>1079</v>
      </c>
      <c r="C1160" s="23" t="s">
        <v>113</v>
      </c>
      <c r="D1160" s="27">
        <v>45213.03125</v>
      </c>
      <c r="E1160" s="18" t="s">
        <v>97</v>
      </c>
      <c r="F1160" s="18" t="s">
        <v>28</v>
      </c>
      <c r="G1160" s="18">
        <v>4080</v>
      </c>
      <c r="H1160" s="25">
        <f t="shared" si="72"/>
        <v>45213</v>
      </c>
      <c r="I1160" s="26">
        <f t="shared" si="73"/>
        <v>3.125E-2</v>
      </c>
      <c r="J1160" s="18" t="str">
        <f t="shared" si="74"/>
        <v>October</v>
      </c>
      <c r="K1160" s="56" t="str">
        <f t="shared" si="75"/>
        <v>Saturday</v>
      </c>
      <c r="L1160" s="18" t="str">
        <f>IF(OR(G1160&gt;Answers!I1175,G1160&lt;Answers!I1176),"Outlier","Normal")</f>
        <v>Outlier</v>
      </c>
      <c r="M1160" s="18">
        <v>29</v>
      </c>
    </row>
    <row r="1161" spans="1:13" ht="20" customHeight="1" x14ac:dyDescent="0.35">
      <c r="A1161" s="17">
        <v>768093</v>
      </c>
      <c r="B1161" s="18">
        <v>680</v>
      </c>
      <c r="C1161" s="23" t="s">
        <v>99</v>
      </c>
      <c r="D1161" s="27">
        <v>44986.020833333336</v>
      </c>
      <c r="E1161" s="18" t="s">
        <v>96</v>
      </c>
      <c r="F1161" s="18" t="s">
        <v>70</v>
      </c>
      <c r="G1161" s="18">
        <v>8126</v>
      </c>
      <c r="H1161" s="25">
        <f t="shared" si="72"/>
        <v>44986</v>
      </c>
      <c r="I1161" s="26">
        <f t="shared" si="73"/>
        <v>2.0833333335758653E-2</v>
      </c>
      <c r="J1161" s="18" t="str">
        <f t="shared" si="74"/>
        <v>March</v>
      </c>
      <c r="K1161" s="56" t="str">
        <f t="shared" si="75"/>
        <v>Wednesday</v>
      </c>
      <c r="L1161" s="18" t="str">
        <f>IF(OR(G1161&gt;Answers!I1176,G1161&lt;Answers!I1177),"Outlier","Normal")</f>
        <v>Outlier</v>
      </c>
      <c r="M1161" s="18">
        <v>81</v>
      </c>
    </row>
    <row r="1162" spans="1:13" ht="20" customHeight="1" x14ac:dyDescent="0.35">
      <c r="A1162" s="17">
        <v>768435</v>
      </c>
      <c r="B1162" s="18">
        <v>1878</v>
      </c>
      <c r="C1162" s="23" t="s">
        <v>105</v>
      </c>
      <c r="D1162" s="27">
        <v>45092.029861111114</v>
      </c>
      <c r="E1162" s="18" t="s">
        <v>98</v>
      </c>
      <c r="F1162" s="18" t="s">
        <v>14</v>
      </c>
      <c r="G1162" s="18">
        <v>1281</v>
      </c>
      <c r="H1162" s="25">
        <f t="shared" si="72"/>
        <v>45092</v>
      </c>
      <c r="I1162" s="26">
        <f t="shared" si="73"/>
        <v>2.9861111113859806E-2</v>
      </c>
      <c r="J1162" s="18" t="str">
        <f t="shared" si="74"/>
        <v>June</v>
      </c>
      <c r="K1162" s="56" t="str">
        <f t="shared" si="75"/>
        <v>Thursday</v>
      </c>
      <c r="L1162" s="18" t="str">
        <f>IF(OR(G1162&gt;Answers!I1177,G1162&lt;Answers!I1178),"Outlier","Normal")</f>
        <v>Outlier</v>
      </c>
      <c r="M1162" s="18">
        <v>24</v>
      </c>
    </row>
    <row r="1163" spans="1:13" ht="20" customHeight="1" x14ac:dyDescent="0.35">
      <c r="A1163" s="17">
        <v>769005</v>
      </c>
      <c r="B1163" s="18">
        <v>1308</v>
      </c>
      <c r="C1163" s="23" t="s">
        <v>105</v>
      </c>
      <c r="D1163" s="27">
        <v>45291.07708333333</v>
      </c>
      <c r="E1163" s="18" t="s">
        <v>96</v>
      </c>
      <c r="F1163" s="18" t="s">
        <v>27</v>
      </c>
      <c r="G1163" s="18">
        <v>6183</v>
      </c>
      <c r="H1163" s="25">
        <f t="shared" si="72"/>
        <v>45291</v>
      </c>
      <c r="I1163" s="26">
        <f t="shared" si="73"/>
        <v>7.7083333329937886E-2</v>
      </c>
      <c r="J1163" s="18" t="str">
        <f t="shared" si="74"/>
        <v>December</v>
      </c>
      <c r="K1163" s="56" t="str">
        <f t="shared" si="75"/>
        <v>Sunday</v>
      </c>
      <c r="L1163" s="18" t="str">
        <f>IF(OR(G1163&gt;Answers!I1178,G1163&lt;Answers!I1179),"Outlier","Normal")</f>
        <v>Outlier</v>
      </c>
      <c r="M1163" s="18">
        <v>56</v>
      </c>
    </row>
    <row r="1164" spans="1:13" ht="20" customHeight="1" x14ac:dyDescent="0.35">
      <c r="A1164" s="17">
        <v>769009</v>
      </c>
      <c r="B1164" s="18">
        <v>541</v>
      </c>
      <c r="C1164" s="23" t="s">
        <v>99</v>
      </c>
      <c r="D1164" s="27">
        <v>45206.957638888889</v>
      </c>
      <c r="E1164" s="18" t="s">
        <v>133</v>
      </c>
      <c r="F1164" s="18" t="s">
        <v>77</v>
      </c>
      <c r="G1164" s="18">
        <v>2143</v>
      </c>
      <c r="H1164" s="25">
        <f t="shared" si="72"/>
        <v>45206</v>
      </c>
      <c r="I1164" s="26">
        <f t="shared" si="73"/>
        <v>0.95763888888905058</v>
      </c>
      <c r="J1164" s="18" t="str">
        <f t="shared" si="74"/>
        <v>October</v>
      </c>
      <c r="K1164" s="56" t="str">
        <f t="shared" si="75"/>
        <v>Saturday</v>
      </c>
      <c r="L1164" s="18" t="str">
        <f>IF(OR(G1164&gt;Answers!I1179,G1164&lt;Answers!I1180),"Outlier","Normal")</f>
        <v>Outlier</v>
      </c>
      <c r="M1164" s="18">
        <v>85</v>
      </c>
    </row>
    <row r="1165" spans="1:13" ht="20" customHeight="1" x14ac:dyDescent="0.35">
      <c r="A1165" s="17">
        <v>769050</v>
      </c>
      <c r="B1165" s="18">
        <v>1934</v>
      </c>
      <c r="C1165" s="23" t="s">
        <v>105</v>
      </c>
      <c r="D1165" s="27">
        <v>45010.000694444447</v>
      </c>
      <c r="E1165" s="18" t="s">
        <v>97</v>
      </c>
      <c r="F1165" s="18" t="s">
        <v>27</v>
      </c>
      <c r="G1165" s="18">
        <v>1290</v>
      </c>
      <c r="H1165" s="25">
        <f t="shared" si="72"/>
        <v>45010</v>
      </c>
      <c r="I1165" s="26">
        <f t="shared" si="73"/>
        <v>6.944444467080757E-4</v>
      </c>
      <c r="J1165" s="18" t="str">
        <f t="shared" si="74"/>
        <v>March</v>
      </c>
      <c r="K1165" s="56" t="str">
        <f t="shared" si="75"/>
        <v>Saturday</v>
      </c>
      <c r="L1165" s="18" t="str">
        <f>IF(OR(G1165&gt;Answers!I1180,G1165&lt;Answers!I1181),"Outlier","Normal")</f>
        <v>Outlier</v>
      </c>
      <c r="M1165" s="18">
        <v>25</v>
      </c>
    </row>
    <row r="1166" spans="1:13" ht="20" customHeight="1" x14ac:dyDescent="0.35">
      <c r="A1166" s="17">
        <v>770892</v>
      </c>
      <c r="B1166" s="18">
        <v>824</v>
      </c>
      <c r="C1166" s="23" t="s">
        <v>99</v>
      </c>
      <c r="D1166" s="27">
        <v>45140.101388888892</v>
      </c>
      <c r="E1166" s="18" t="s">
        <v>98</v>
      </c>
      <c r="F1166" s="18" t="s">
        <v>43</v>
      </c>
      <c r="G1166" s="18">
        <v>8032</v>
      </c>
      <c r="H1166" s="25">
        <f t="shared" si="72"/>
        <v>45140</v>
      </c>
      <c r="I1166" s="26">
        <f t="shared" si="73"/>
        <v>0.10138888889196096</v>
      </c>
      <c r="J1166" s="18" t="str">
        <f t="shared" si="74"/>
        <v>August</v>
      </c>
      <c r="K1166" s="56" t="str">
        <f t="shared" si="75"/>
        <v>Wednesday</v>
      </c>
      <c r="L1166" s="18" t="str">
        <f>IF(OR(G1166&gt;Answers!I1181,G1166&lt;Answers!I1182),"Outlier","Normal")</f>
        <v>Outlier</v>
      </c>
      <c r="M1166" s="18">
        <v>35</v>
      </c>
    </row>
    <row r="1167" spans="1:13" ht="20" customHeight="1" x14ac:dyDescent="0.35">
      <c r="A1167" s="17">
        <v>772693</v>
      </c>
      <c r="B1167" s="18">
        <v>1191</v>
      </c>
      <c r="C1167" s="23" t="s">
        <v>101</v>
      </c>
      <c r="D1167" s="27">
        <v>45047.978472222225</v>
      </c>
      <c r="E1167" s="18" t="s">
        <v>97</v>
      </c>
      <c r="F1167" s="18" t="s">
        <v>49</v>
      </c>
      <c r="G1167" s="18">
        <v>8999</v>
      </c>
      <c r="H1167" s="25">
        <f t="shared" si="72"/>
        <v>45047</v>
      </c>
      <c r="I1167" s="26">
        <f t="shared" si="73"/>
        <v>0.97847222222480923</v>
      </c>
      <c r="J1167" s="18" t="str">
        <f t="shared" si="74"/>
        <v>May</v>
      </c>
      <c r="K1167" s="56" t="str">
        <f t="shared" si="75"/>
        <v>Monday</v>
      </c>
      <c r="L1167" s="18" t="str">
        <f>IF(OR(G1167&gt;Answers!I1182,G1167&lt;Answers!I1183),"Outlier","Normal")</f>
        <v>Outlier</v>
      </c>
      <c r="M1167" s="18">
        <v>48</v>
      </c>
    </row>
    <row r="1168" spans="1:13" ht="20" customHeight="1" x14ac:dyDescent="0.35">
      <c r="A1168" s="17">
        <v>772763</v>
      </c>
      <c r="B1168" s="18">
        <v>452</v>
      </c>
      <c r="C1168" s="23" t="s">
        <v>105</v>
      </c>
      <c r="D1168" s="27">
        <v>45007.006944444445</v>
      </c>
      <c r="E1168" s="18" t="s">
        <v>133</v>
      </c>
      <c r="F1168" s="18" t="s">
        <v>50</v>
      </c>
      <c r="G1168" s="18">
        <v>5141</v>
      </c>
      <c r="H1168" s="25">
        <f t="shared" si="72"/>
        <v>45007</v>
      </c>
      <c r="I1168" s="26">
        <f t="shared" si="73"/>
        <v>6.9444444452528842E-3</v>
      </c>
      <c r="J1168" s="18" t="str">
        <f t="shared" si="74"/>
        <v>March</v>
      </c>
      <c r="K1168" s="56" t="str">
        <f t="shared" si="75"/>
        <v>Wednesday</v>
      </c>
      <c r="L1168" s="18" t="str">
        <f>IF(OR(G1168&gt;Answers!I1183,G1168&lt;Answers!I1184),"Outlier","Normal")</f>
        <v>Outlier</v>
      </c>
      <c r="M1168" s="18">
        <v>75</v>
      </c>
    </row>
    <row r="1169" spans="1:13" ht="20" customHeight="1" x14ac:dyDescent="0.35">
      <c r="A1169" s="17">
        <v>774603</v>
      </c>
      <c r="B1169" s="18">
        <v>101</v>
      </c>
      <c r="C1169" s="23" t="s">
        <v>99</v>
      </c>
      <c r="D1169" s="27">
        <v>45049.038194444445</v>
      </c>
      <c r="E1169" s="18" t="s">
        <v>96</v>
      </c>
      <c r="F1169" s="18" t="s">
        <v>5</v>
      </c>
      <c r="G1169" s="18">
        <v>1913</v>
      </c>
      <c r="H1169" s="25">
        <f t="shared" si="72"/>
        <v>45049</v>
      </c>
      <c r="I1169" s="26">
        <f t="shared" si="73"/>
        <v>3.8194444445252884E-2</v>
      </c>
      <c r="J1169" s="18" t="str">
        <f t="shared" si="74"/>
        <v>May</v>
      </c>
      <c r="K1169" s="56" t="str">
        <f t="shared" si="75"/>
        <v>Wednesday</v>
      </c>
      <c r="L1169" s="18" t="str">
        <f>IF(OR(G1169&gt;Answers!I1184,G1169&lt;Answers!I1185),"Outlier","Normal")</f>
        <v>Outlier</v>
      </c>
      <c r="M1169" s="18">
        <v>63</v>
      </c>
    </row>
    <row r="1170" spans="1:13" ht="20" customHeight="1" x14ac:dyDescent="0.35">
      <c r="A1170" s="17">
        <v>775306</v>
      </c>
      <c r="B1170" s="18">
        <v>655</v>
      </c>
      <c r="C1170" s="23" t="s">
        <v>99</v>
      </c>
      <c r="D1170" s="27">
        <v>45101.959722222222</v>
      </c>
      <c r="E1170" s="18" t="s">
        <v>98</v>
      </c>
      <c r="F1170" s="18" t="s">
        <v>46</v>
      </c>
      <c r="G1170" s="18">
        <v>7346</v>
      </c>
      <c r="H1170" s="25">
        <f t="shared" si="72"/>
        <v>45101</v>
      </c>
      <c r="I1170" s="26">
        <f t="shared" si="73"/>
        <v>0.95972222222189885</v>
      </c>
      <c r="J1170" s="18" t="str">
        <f t="shared" si="74"/>
        <v>June</v>
      </c>
      <c r="K1170" s="56" t="str">
        <f t="shared" si="75"/>
        <v>Saturday</v>
      </c>
      <c r="L1170" s="18" t="str">
        <f>IF(OR(G1170&gt;Answers!I1185,G1170&lt;Answers!I1186),"Outlier","Normal")</f>
        <v>Outlier</v>
      </c>
      <c r="M1170" s="18">
        <v>22</v>
      </c>
    </row>
    <row r="1171" spans="1:13" ht="20" customHeight="1" x14ac:dyDescent="0.35">
      <c r="A1171" s="17">
        <v>775387</v>
      </c>
      <c r="B1171" s="18">
        <v>945</v>
      </c>
      <c r="C1171" s="23" t="s">
        <v>100</v>
      </c>
      <c r="D1171" s="27">
        <v>45185.963194444441</v>
      </c>
      <c r="E1171" s="18" t="s">
        <v>133</v>
      </c>
      <c r="F1171" s="18" t="s">
        <v>82</v>
      </c>
      <c r="G1171" s="18">
        <v>8620</v>
      </c>
      <c r="H1171" s="25">
        <f t="shared" si="72"/>
        <v>45185</v>
      </c>
      <c r="I1171" s="26">
        <f t="shared" si="73"/>
        <v>0.96319444444088731</v>
      </c>
      <c r="J1171" s="18" t="str">
        <f t="shared" si="74"/>
        <v>September</v>
      </c>
      <c r="K1171" s="56" t="str">
        <f t="shared" si="75"/>
        <v>Saturday</v>
      </c>
      <c r="L1171" s="18" t="str">
        <f>IF(OR(G1171&gt;Answers!I1186,G1171&lt;Answers!I1187),"Outlier","Normal")</f>
        <v>Outlier</v>
      </c>
      <c r="M1171" s="18">
        <v>34</v>
      </c>
    </row>
    <row r="1172" spans="1:13" ht="20" customHeight="1" x14ac:dyDescent="0.35">
      <c r="A1172" s="17">
        <v>775856</v>
      </c>
      <c r="B1172" s="18">
        <v>146</v>
      </c>
      <c r="C1172" s="23" t="s">
        <v>103</v>
      </c>
      <c r="D1172" s="27">
        <v>45214.01666666667</v>
      </c>
      <c r="E1172" s="18" t="s">
        <v>97</v>
      </c>
      <c r="F1172" s="18" t="s">
        <v>17</v>
      </c>
      <c r="G1172" s="18">
        <v>5780</v>
      </c>
      <c r="H1172" s="25">
        <f t="shared" si="72"/>
        <v>45214</v>
      </c>
      <c r="I1172" s="26">
        <f t="shared" si="73"/>
        <v>1.6666666670062114E-2</v>
      </c>
      <c r="J1172" s="18" t="str">
        <f t="shared" si="74"/>
        <v>October</v>
      </c>
      <c r="K1172" s="56" t="str">
        <f t="shared" si="75"/>
        <v>Sunday</v>
      </c>
      <c r="L1172" s="18" t="str">
        <f>IF(OR(G1172&gt;Answers!I1187,G1172&lt;Answers!I1188),"Outlier","Normal")</f>
        <v>Outlier</v>
      </c>
      <c r="M1172" s="18">
        <v>85</v>
      </c>
    </row>
    <row r="1173" spans="1:13" ht="20" customHeight="1" x14ac:dyDescent="0.35">
      <c r="A1173" s="17">
        <v>778907</v>
      </c>
      <c r="B1173" s="18">
        <v>915</v>
      </c>
      <c r="C1173" s="23" t="s">
        <v>100</v>
      </c>
      <c r="D1173" s="27">
        <v>45238.006249999999</v>
      </c>
      <c r="E1173" s="18" t="s">
        <v>96</v>
      </c>
      <c r="F1173" s="18" t="s">
        <v>11</v>
      </c>
      <c r="G1173" s="18">
        <v>8273</v>
      </c>
      <c r="H1173" s="25">
        <f t="shared" si="72"/>
        <v>45238</v>
      </c>
      <c r="I1173" s="26">
        <f t="shared" si="73"/>
        <v>6.2499999985448085E-3</v>
      </c>
      <c r="J1173" s="18" t="str">
        <f t="shared" si="74"/>
        <v>November</v>
      </c>
      <c r="K1173" s="56" t="str">
        <f t="shared" si="75"/>
        <v>Wednesday</v>
      </c>
      <c r="L1173" s="18" t="str">
        <f>IF(OR(G1173&gt;Answers!I1188,G1173&lt;Answers!I1189),"Outlier","Normal")</f>
        <v>Outlier</v>
      </c>
      <c r="M1173" s="18">
        <v>39</v>
      </c>
    </row>
    <row r="1174" spans="1:13" ht="20" customHeight="1" x14ac:dyDescent="0.35">
      <c r="A1174" s="17">
        <v>779276</v>
      </c>
      <c r="B1174" s="18">
        <v>1162</v>
      </c>
      <c r="C1174" s="23" t="s">
        <v>99</v>
      </c>
      <c r="D1174" s="27">
        <v>45087.997916666667</v>
      </c>
      <c r="E1174" s="18" t="s">
        <v>98</v>
      </c>
      <c r="F1174" s="18" t="s">
        <v>44</v>
      </c>
      <c r="G1174" s="18">
        <v>4738</v>
      </c>
      <c r="H1174" s="25">
        <f t="shared" si="72"/>
        <v>45087</v>
      </c>
      <c r="I1174" s="26">
        <f t="shared" si="73"/>
        <v>0.99791666666715173</v>
      </c>
      <c r="J1174" s="18" t="str">
        <f t="shared" si="74"/>
        <v>June</v>
      </c>
      <c r="K1174" s="56" t="str">
        <f t="shared" si="75"/>
        <v>Saturday</v>
      </c>
      <c r="L1174" s="18" t="str">
        <f>IF(OR(G1174&gt;Answers!I1189,G1174&lt;Answers!I1190),"Outlier","Normal")</f>
        <v>Outlier</v>
      </c>
      <c r="M1174" s="18">
        <v>87</v>
      </c>
    </row>
    <row r="1175" spans="1:13" ht="20" customHeight="1" x14ac:dyDescent="0.35">
      <c r="A1175" s="17">
        <v>780193</v>
      </c>
      <c r="B1175" s="18">
        <v>1979</v>
      </c>
      <c r="C1175" s="23" t="s">
        <v>102</v>
      </c>
      <c r="D1175" s="27">
        <v>45143.074999999997</v>
      </c>
      <c r="E1175" s="18" t="s">
        <v>96</v>
      </c>
      <c r="F1175" s="18" t="s">
        <v>78</v>
      </c>
      <c r="G1175" s="18">
        <v>1562</v>
      </c>
      <c r="H1175" s="25">
        <f t="shared" si="72"/>
        <v>45143</v>
      </c>
      <c r="I1175" s="26">
        <f t="shared" si="73"/>
        <v>7.4999999997089617E-2</v>
      </c>
      <c r="J1175" s="18" t="str">
        <f t="shared" si="74"/>
        <v>August</v>
      </c>
      <c r="K1175" s="56" t="str">
        <f t="shared" si="75"/>
        <v>Saturday</v>
      </c>
      <c r="L1175" s="18" t="str">
        <f>IF(OR(G1175&gt;Answers!I1190,G1175&lt;Answers!I1191),"Outlier","Normal")</f>
        <v>Outlier</v>
      </c>
      <c r="M1175" s="18">
        <v>21</v>
      </c>
    </row>
    <row r="1176" spans="1:13" ht="20" customHeight="1" x14ac:dyDescent="0.35">
      <c r="A1176" s="17">
        <v>780651</v>
      </c>
      <c r="B1176" s="18">
        <v>1630</v>
      </c>
      <c r="C1176" s="23" t="s">
        <v>100</v>
      </c>
      <c r="D1176" s="27">
        <v>45130.070833333331</v>
      </c>
      <c r="E1176" s="18" t="s">
        <v>96</v>
      </c>
      <c r="F1176" s="18" t="s">
        <v>27</v>
      </c>
      <c r="G1176" s="18">
        <v>2596</v>
      </c>
      <c r="H1176" s="25">
        <f t="shared" si="72"/>
        <v>45130</v>
      </c>
      <c r="I1176" s="26">
        <f t="shared" si="73"/>
        <v>7.0833333331393078E-2</v>
      </c>
      <c r="J1176" s="18" t="str">
        <f t="shared" si="74"/>
        <v>July</v>
      </c>
      <c r="K1176" s="56" t="str">
        <f t="shared" si="75"/>
        <v>Sunday</v>
      </c>
      <c r="L1176" s="18" t="str">
        <f>IF(OR(G1176&gt;Answers!I1191,G1176&lt;Answers!I1192),"Outlier","Normal")</f>
        <v>Outlier</v>
      </c>
      <c r="M1176" s="18">
        <v>21</v>
      </c>
    </row>
    <row r="1177" spans="1:13" ht="20" customHeight="1" x14ac:dyDescent="0.35">
      <c r="A1177" s="17">
        <v>780700</v>
      </c>
      <c r="B1177" s="18">
        <v>1677</v>
      </c>
      <c r="C1177" s="23" t="s">
        <v>107</v>
      </c>
      <c r="D1177" s="27">
        <v>45055.993750000001</v>
      </c>
      <c r="E1177" s="18" t="s">
        <v>96</v>
      </c>
      <c r="F1177" s="18" t="s">
        <v>59</v>
      </c>
      <c r="G1177" s="18">
        <v>9948</v>
      </c>
      <c r="H1177" s="25">
        <f t="shared" si="72"/>
        <v>45055</v>
      </c>
      <c r="I1177" s="26">
        <f t="shared" si="73"/>
        <v>0.99375000000145519</v>
      </c>
      <c r="J1177" s="18" t="str">
        <f t="shared" si="74"/>
        <v>May</v>
      </c>
      <c r="K1177" s="56" t="str">
        <f t="shared" si="75"/>
        <v>Tuesday</v>
      </c>
      <c r="L1177" s="18" t="str">
        <f>IF(OR(G1177&gt;Answers!I1192,G1177&lt;Answers!I1193),"Outlier","Normal")</f>
        <v>Outlier</v>
      </c>
      <c r="M1177" s="18">
        <v>51</v>
      </c>
    </row>
    <row r="1178" spans="1:13" ht="20" customHeight="1" x14ac:dyDescent="0.35">
      <c r="A1178" s="17">
        <v>780895</v>
      </c>
      <c r="B1178" s="18">
        <v>1569</v>
      </c>
      <c r="C1178" s="23" t="s">
        <v>105</v>
      </c>
      <c r="D1178" s="27">
        <v>45046.994444444441</v>
      </c>
      <c r="E1178" s="18" t="s">
        <v>98</v>
      </c>
      <c r="F1178" s="18" t="s">
        <v>48</v>
      </c>
      <c r="G1178" s="18">
        <v>5917</v>
      </c>
      <c r="H1178" s="25">
        <f t="shared" si="72"/>
        <v>45046</v>
      </c>
      <c r="I1178" s="26">
        <f t="shared" si="73"/>
        <v>0.99444444444088731</v>
      </c>
      <c r="J1178" s="18" t="str">
        <f t="shared" si="74"/>
        <v>April</v>
      </c>
      <c r="K1178" s="56" t="str">
        <f t="shared" si="75"/>
        <v>Sunday</v>
      </c>
      <c r="L1178" s="18" t="str">
        <f>IF(OR(G1178&gt;Answers!I1193,G1178&lt;Answers!I1194),"Outlier","Normal")</f>
        <v>Outlier</v>
      </c>
      <c r="M1178" s="18">
        <v>20</v>
      </c>
    </row>
    <row r="1179" spans="1:13" ht="20" customHeight="1" x14ac:dyDescent="0.35">
      <c r="A1179" s="17">
        <v>781125</v>
      </c>
      <c r="B1179" s="18">
        <v>1723</v>
      </c>
      <c r="C1179" s="23" t="s">
        <v>105</v>
      </c>
      <c r="D1179" s="27">
        <v>44950.040277777778</v>
      </c>
      <c r="E1179" s="18" t="s">
        <v>96</v>
      </c>
      <c r="F1179" s="18" t="s">
        <v>26</v>
      </c>
      <c r="G1179" s="18">
        <v>3855</v>
      </c>
      <c r="H1179" s="25">
        <f t="shared" si="72"/>
        <v>44950</v>
      </c>
      <c r="I1179" s="26">
        <f t="shared" si="73"/>
        <v>4.0277777778101154E-2</v>
      </c>
      <c r="J1179" s="18" t="str">
        <f t="shared" si="74"/>
        <v>January</v>
      </c>
      <c r="K1179" s="56" t="str">
        <f t="shared" si="75"/>
        <v>Tuesday</v>
      </c>
      <c r="L1179" s="18" t="str">
        <f>IF(OR(G1179&gt;Answers!I1194,G1179&lt;Answers!I1195),"Outlier","Normal")</f>
        <v>Outlier</v>
      </c>
      <c r="M1179" s="18">
        <v>82</v>
      </c>
    </row>
    <row r="1180" spans="1:13" ht="20" customHeight="1" x14ac:dyDescent="0.35">
      <c r="A1180" s="17">
        <v>781195</v>
      </c>
      <c r="B1180" s="18">
        <v>184</v>
      </c>
      <c r="C1180" s="23" t="s">
        <v>106</v>
      </c>
      <c r="D1180" s="27">
        <v>45232.007638888892</v>
      </c>
      <c r="E1180" s="18" t="s">
        <v>97</v>
      </c>
      <c r="F1180" s="18" t="s">
        <v>74</v>
      </c>
      <c r="G1180" s="18">
        <v>5349</v>
      </c>
      <c r="H1180" s="25">
        <f t="shared" si="72"/>
        <v>45232</v>
      </c>
      <c r="I1180" s="26">
        <f t="shared" si="73"/>
        <v>7.6388888919609599E-3</v>
      </c>
      <c r="J1180" s="18" t="str">
        <f t="shared" si="74"/>
        <v>November</v>
      </c>
      <c r="K1180" s="56" t="str">
        <f t="shared" si="75"/>
        <v>Thursday</v>
      </c>
      <c r="L1180" s="18" t="str">
        <f>IF(OR(G1180&gt;Answers!I1195,G1180&lt;Answers!I1196),"Outlier","Normal")</f>
        <v>Outlier</v>
      </c>
      <c r="M1180" s="18">
        <v>79</v>
      </c>
    </row>
    <row r="1181" spans="1:13" ht="20" customHeight="1" x14ac:dyDescent="0.35">
      <c r="A1181" s="17">
        <v>781771</v>
      </c>
      <c r="B1181" s="18">
        <v>1377</v>
      </c>
      <c r="C1181" s="23" t="s">
        <v>109</v>
      </c>
      <c r="D1181" s="27">
        <v>44969.006944444445</v>
      </c>
      <c r="E1181" s="18" t="s">
        <v>96</v>
      </c>
      <c r="F1181" s="18" t="s">
        <v>88</v>
      </c>
      <c r="G1181" s="18">
        <v>9605</v>
      </c>
      <c r="H1181" s="25">
        <f t="shared" si="72"/>
        <v>44969</v>
      </c>
      <c r="I1181" s="26">
        <f t="shared" si="73"/>
        <v>6.9444444452528842E-3</v>
      </c>
      <c r="J1181" s="18" t="str">
        <f t="shared" si="74"/>
        <v>February</v>
      </c>
      <c r="K1181" s="56" t="str">
        <f t="shared" si="75"/>
        <v>Sunday</v>
      </c>
      <c r="L1181" s="18" t="str">
        <f>IF(OR(G1181&gt;Answers!I1196,G1181&lt;Answers!I1197),"Outlier","Normal")</f>
        <v>Outlier</v>
      </c>
      <c r="M1181" s="18">
        <v>33</v>
      </c>
    </row>
    <row r="1182" spans="1:13" ht="20" customHeight="1" x14ac:dyDescent="0.35">
      <c r="A1182" s="17">
        <v>782836</v>
      </c>
      <c r="B1182" s="18">
        <v>1896</v>
      </c>
      <c r="C1182" s="23" t="s">
        <v>100</v>
      </c>
      <c r="D1182" s="27">
        <v>45141.018750000003</v>
      </c>
      <c r="E1182" s="18" t="s">
        <v>133</v>
      </c>
      <c r="F1182" s="18" t="s">
        <v>73</v>
      </c>
      <c r="G1182" s="18">
        <v>8153</v>
      </c>
      <c r="H1182" s="25">
        <f t="shared" si="72"/>
        <v>45141</v>
      </c>
      <c r="I1182" s="26">
        <f t="shared" si="73"/>
        <v>1.8750000002910383E-2</v>
      </c>
      <c r="J1182" s="18" t="str">
        <f t="shared" si="74"/>
        <v>August</v>
      </c>
      <c r="K1182" s="56" t="str">
        <f t="shared" si="75"/>
        <v>Thursday</v>
      </c>
      <c r="L1182" s="18" t="str">
        <f>IF(OR(G1182&gt;Answers!I1197,G1182&lt;Answers!I1198),"Outlier","Normal")</f>
        <v>Outlier</v>
      </c>
      <c r="M1182" s="18">
        <v>22</v>
      </c>
    </row>
    <row r="1183" spans="1:13" ht="20" customHeight="1" x14ac:dyDescent="0.35">
      <c r="A1183" s="17">
        <v>783763</v>
      </c>
      <c r="B1183" s="18">
        <v>447</v>
      </c>
      <c r="C1183" s="23" t="s">
        <v>99</v>
      </c>
      <c r="D1183" s="27">
        <v>45127.063888888886</v>
      </c>
      <c r="E1183" s="18" t="s">
        <v>97</v>
      </c>
      <c r="F1183" s="18" t="s">
        <v>89</v>
      </c>
      <c r="G1183" s="18">
        <v>3794</v>
      </c>
      <c r="H1183" s="25">
        <f t="shared" si="72"/>
        <v>45127</v>
      </c>
      <c r="I1183" s="26">
        <f t="shared" si="73"/>
        <v>6.3888888886140194E-2</v>
      </c>
      <c r="J1183" s="18" t="str">
        <f t="shared" si="74"/>
        <v>July</v>
      </c>
      <c r="K1183" s="56" t="str">
        <f t="shared" si="75"/>
        <v>Thursday</v>
      </c>
      <c r="L1183" s="18" t="str">
        <f>IF(OR(G1183&gt;Answers!I1198,G1183&lt;Answers!I1199),"Outlier","Normal")</f>
        <v>Outlier</v>
      </c>
      <c r="M1183" s="18">
        <v>77</v>
      </c>
    </row>
    <row r="1184" spans="1:13" ht="20" customHeight="1" x14ac:dyDescent="0.35">
      <c r="A1184" s="17">
        <v>783822</v>
      </c>
      <c r="B1184" s="18">
        <v>221</v>
      </c>
      <c r="C1184" s="23" t="s">
        <v>101</v>
      </c>
      <c r="D1184" s="27">
        <v>45253.981249999997</v>
      </c>
      <c r="E1184" s="18" t="s">
        <v>97</v>
      </c>
      <c r="F1184" s="18" t="s">
        <v>27</v>
      </c>
      <c r="G1184" s="18">
        <v>5404</v>
      </c>
      <c r="H1184" s="25">
        <f t="shared" si="72"/>
        <v>45253</v>
      </c>
      <c r="I1184" s="26">
        <f t="shared" si="73"/>
        <v>0.98124999999708962</v>
      </c>
      <c r="J1184" s="18" t="str">
        <f t="shared" si="74"/>
        <v>November</v>
      </c>
      <c r="K1184" s="56" t="str">
        <f t="shared" si="75"/>
        <v>Thursday</v>
      </c>
      <c r="L1184" s="18" t="str">
        <f>IF(OR(G1184&gt;Answers!I1199,G1184&lt;Answers!I1200),"Outlier","Normal")</f>
        <v>Outlier</v>
      </c>
      <c r="M1184" s="18">
        <v>64</v>
      </c>
    </row>
    <row r="1185" spans="1:13" ht="20" customHeight="1" x14ac:dyDescent="0.35">
      <c r="A1185" s="17">
        <v>784475</v>
      </c>
      <c r="B1185" s="18">
        <v>109</v>
      </c>
      <c r="C1185" s="23" t="s">
        <v>99</v>
      </c>
      <c r="D1185" s="27">
        <v>45284.071527777778</v>
      </c>
      <c r="E1185" s="18" t="s">
        <v>97</v>
      </c>
      <c r="F1185" s="18" t="s">
        <v>25</v>
      </c>
      <c r="G1185" s="18">
        <v>505</v>
      </c>
      <c r="H1185" s="25">
        <f t="shared" si="72"/>
        <v>45284</v>
      </c>
      <c r="I1185" s="26">
        <f t="shared" si="73"/>
        <v>7.1527777778101154E-2</v>
      </c>
      <c r="J1185" s="18" t="str">
        <f t="shared" si="74"/>
        <v>December</v>
      </c>
      <c r="K1185" s="56" t="str">
        <f t="shared" si="75"/>
        <v>Sunday</v>
      </c>
      <c r="L1185" s="18" t="str">
        <f>IF(OR(G1185&gt;Answers!I1200,G1185&lt;Answers!I1201),"Outlier","Normal")</f>
        <v>Outlier</v>
      </c>
      <c r="M1185" s="18">
        <v>32</v>
      </c>
    </row>
    <row r="1186" spans="1:13" ht="20" customHeight="1" x14ac:dyDescent="0.35">
      <c r="A1186" s="17">
        <v>784839</v>
      </c>
      <c r="B1186" s="18">
        <v>222</v>
      </c>
      <c r="C1186" s="23" t="s">
        <v>103</v>
      </c>
      <c r="D1186" s="27">
        <v>45226.945138888892</v>
      </c>
      <c r="E1186" s="18" t="s">
        <v>133</v>
      </c>
      <c r="F1186" s="18" t="s">
        <v>49</v>
      </c>
      <c r="G1186" s="18">
        <v>6391</v>
      </c>
      <c r="H1186" s="25">
        <f t="shared" si="72"/>
        <v>45226</v>
      </c>
      <c r="I1186" s="26">
        <f t="shared" si="73"/>
        <v>0.94513888889196096</v>
      </c>
      <c r="J1186" s="18" t="str">
        <f t="shared" si="74"/>
        <v>October</v>
      </c>
      <c r="K1186" s="56" t="str">
        <f t="shared" si="75"/>
        <v>Friday</v>
      </c>
      <c r="L1186" s="18" t="str">
        <f>IF(OR(G1186&gt;Answers!I1201,G1186&lt;Answers!I1202),"Outlier","Normal")</f>
        <v>Outlier</v>
      </c>
      <c r="M1186" s="18">
        <v>37</v>
      </c>
    </row>
    <row r="1187" spans="1:13" ht="20" customHeight="1" x14ac:dyDescent="0.35">
      <c r="A1187" s="17">
        <v>786170</v>
      </c>
      <c r="B1187" s="18">
        <v>1676</v>
      </c>
      <c r="C1187" s="23" t="s">
        <v>104</v>
      </c>
      <c r="D1187" s="27">
        <v>45182.030555555553</v>
      </c>
      <c r="E1187" s="18" t="s">
        <v>98</v>
      </c>
      <c r="F1187" s="18" t="s">
        <v>5</v>
      </c>
      <c r="G1187" s="18">
        <v>5008</v>
      </c>
      <c r="H1187" s="25">
        <f t="shared" si="72"/>
        <v>45182</v>
      </c>
      <c r="I1187" s="26">
        <f t="shared" si="73"/>
        <v>3.0555555553291924E-2</v>
      </c>
      <c r="J1187" s="18" t="str">
        <f t="shared" si="74"/>
        <v>September</v>
      </c>
      <c r="K1187" s="56" t="str">
        <f t="shared" si="75"/>
        <v>Wednesday</v>
      </c>
      <c r="L1187" s="18" t="str">
        <f>IF(OR(G1187&gt;Answers!I1202,G1187&lt;Answers!I1203),"Outlier","Normal")</f>
        <v>Outlier</v>
      </c>
      <c r="M1187" s="18">
        <v>25</v>
      </c>
    </row>
    <row r="1188" spans="1:13" ht="20" customHeight="1" x14ac:dyDescent="0.35">
      <c r="A1188" s="17">
        <v>787058</v>
      </c>
      <c r="B1188" s="18">
        <v>1587</v>
      </c>
      <c r="C1188" s="23" t="s">
        <v>99</v>
      </c>
      <c r="D1188" s="27">
        <v>45063.036805555559</v>
      </c>
      <c r="E1188" s="18" t="s">
        <v>97</v>
      </c>
      <c r="F1188" s="18" t="s">
        <v>7</v>
      </c>
      <c r="G1188" s="18">
        <v>7663</v>
      </c>
      <c r="H1188" s="25">
        <f t="shared" si="72"/>
        <v>45063</v>
      </c>
      <c r="I1188" s="26">
        <f t="shared" si="73"/>
        <v>3.680555555911269E-2</v>
      </c>
      <c r="J1188" s="18" t="str">
        <f t="shared" si="74"/>
        <v>May</v>
      </c>
      <c r="K1188" s="56" t="str">
        <f t="shared" si="75"/>
        <v>Wednesday</v>
      </c>
      <c r="L1188" s="18" t="str">
        <f>IF(OR(G1188&gt;Answers!I1203,G1188&lt;Answers!I1204),"Outlier","Normal")</f>
        <v>Outlier</v>
      </c>
      <c r="M1188" s="18">
        <v>41</v>
      </c>
    </row>
    <row r="1189" spans="1:13" ht="20" customHeight="1" x14ac:dyDescent="0.35">
      <c r="A1189" s="17">
        <v>787848</v>
      </c>
      <c r="B1189" s="18">
        <v>1855</v>
      </c>
      <c r="C1189" s="23" t="s">
        <v>108</v>
      </c>
      <c r="D1189" s="27">
        <v>45091.997916666667</v>
      </c>
      <c r="E1189" s="18" t="s">
        <v>133</v>
      </c>
      <c r="F1189" s="18" t="s">
        <v>27</v>
      </c>
      <c r="G1189" s="18">
        <v>7298</v>
      </c>
      <c r="H1189" s="25">
        <f t="shared" si="72"/>
        <v>45091</v>
      </c>
      <c r="I1189" s="26">
        <f t="shared" si="73"/>
        <v>0.99791666666715173</v>
      </c>
      <c r="J1189" s="18" t="str">
        <f t="shared" si="74"/>
        <v>June</v>
      </c>
      <c r="K1189" s="56" t="str">
        <f t="shared" si="75"/>
        <v>Wednesday</v>
      </c>
      <c r="L1189" s="18" t="str">
        <f>IF(OR(G1189&gt;Answers!I1204,G1189&lt;Answers!I1205),"Outlier","Normal")</f>
        <v>Outlier</v>
      </c>
      <c r="M1189" s="18">
        <v>44</v>
      </c>
    </row>
    <row r="1190" spans="1:13" ht="20" customHeight="1" x14ac:dyDescent="0.35">
      <c r="A1190" s="17">
        <v>788037</v>
      </c>
      <c r="B1190" s="18">
        <v>284</v>
      </c>
      <c r="C1190" s="23" t="s">
        <v>99</v>
      </c>
      <c r="D1190" s="27">
        <v>45066.025000000001</v>
      </c>
      <c r="E1190" s="18" t="s">
        <v>133</v>
      </c>
      <c r="F1190" s="18" t="s">
        <v>52</v>
      </c>
      <c r="G1190" s="18">
        <v>4007</v>
      </c>
      <c r="H1190" s="25">
        <f t="shared" si="72"/>
        <v>45066</v>
      </c>
      <c r="I1190" s="26">
        <f t="shared" si="73"/>
        <v>2.5000000001455192E-2</v>
      </c>
      <c r="J1190" s="18" t="str">
        <f t="shared" si="74"/>
        <v>May</v>
      </c>
      <c r="K1190" s="56" t="str">
        <f t="shared" si="75"/>
        <v>Saturday</v>
      </c>
      <c r="L1190" s="18" t="str">
        <f>IF(OR(G1190&gt;Answers!I1205,G1190&lt;Answers!I1206),"Outlier","Normal")</f>
        <v>Outlier</v>
      </c>
      <c r="M1190" s="18">
        <v>82</v>
      </c>
    </row>
    <row r="1191" spans="1:13" ht="20" customHeight="1" x14ac:dyDescent="0.35">
      <c r="A1191" s="17">
        <v>788243</v>
      </c>
      <c r="B1191" s="18">
        <v>1856</v>
      </c>
      <c r="C1191" s="23" t="s">
        <v>99</v>
      </c>
      <c r="D1191" s="27">
        <v>45218.008333333331</v>
      </c>
      <c r="E1191" s="18" t="s">
        <v>97</v>
      </c>
      <c r="F1191" s="18" t="s">
        <v>23</v>
      </c>
      <c r="G1191" s="18">
        <v>1117</v>
      </c>
      <c r="H1191" s="25">
        <f t="shared" si="72"/>
        <v>45218</v>
      </c>
      <c r="I1191" s="26">
        <f t="shared" si="73"/>
        <v>8.333333331393078E-3</v>
      </c>
      <c r="J1191" s="18" t="str">
        <f t="shared" si="74"/>
        <v>October</v>
      </c>
      <c r="K1191" s="56" t="str">
        <f t="shared" si="75"/>
        <v>Thursday</v>
      </c>
      <c r="L1191" s="18" t="str">
        <f>IF(OR(G1191&gt;Answers!I1206,G1191&lt;Answers!I1207),"Outlier","Normal")</f>
        <v>Outlier</v>
      </c>
      <c r="M1191" s="18">
        <v>78</v>
      </c>
    </row>
    <row r="1192" spans="1:13" ht="20" customHeight="1" x14ac:dyDescent="0.35">
      <c r="A1192" s="17">
        <v>788263</v>
      </c>
      <c r="B1192" s="18">
        <v>759</v>
      </c>
      <c r="C1192" s="23" t="s">
        <v>99</v>
      </c>
      <c r="D1192" s="27">
        <v>44934.044444444444</v>
      </c>
      <c r="E1192" s="18" t="s">
        <v>97</v>
      </c>
      <c r="F1192" s="18" t="s">
        <v>70</v>
      </c>
      <c r="G1192" s="18">
        <v>8883</v>
      </c>
      <c r="H1192" s="25">
        <f t="shared" si="72"/>
        <v>44934</v>
      </c>
      <c r="I1192" s="26">
        <f t="shared" si="73"/>
        <v>4.4444444443797693E-2</v>
      </c>
      <c r="J1192" s="18" t="str">
        <f t="shared" si="74"/>
        <v>January</v>
      </c>
      <c r="K1192" s="56" t="str">
        <f t="shared" si="75"/>
        <v>Sunday</v>
      </c>
      <c r="L1192" s="18" t="str">
        <f>IF(OR(G1192&gt;Answers!I1207,G1192&lt;Answers!I1208),"Outlier","Normal")</f>
        <v>Outlier</v>
      </c>
      <c r="M1192" s="18">
        <v>19</v>
      </c>
    </row>
    <row r="1193" spans="1:13" ht="20" customHeight="1" x14ac:dyDescent="0.35">
      <c r="A1193" s="17">
        <v>788290</v>
      </c>
      <c r="B1193" s="18">
        <v>29</v>
      </c>
      <c r="C1193" s="23" t="s">
        <v>105</v>
      </c>
      <c r="D1193" s="27">
        <v>45167.049305555556</v>
      </c>
      <c r="E1193" s="18" t="s">
        <v>97</v>
      </c>
      <c r="F1193" s="18" t="s">
        <v>71</v>
      </c>
      <c r="G1193" s="18">
        <v>9872</v>
      </c>
      <c r="H1193" s="25">
        <f t="shared" si="72"/>
        <v>45167</v>
      </c>
      <c r="I1193" s="26">
        <f t="shared" si="73"/>
        <v>4.9305555556202307E-2</v>
      </c>
      <c r="J1193" s="18" t="str">
        <f t="shared" si="74"/>
        <v>August</v>
      </c>
      <c r="K1193" s="56" t="str">
        <f t="shared" si="75"/>
        <v>Tuesday</v>
      </c>
      <c r="L1193" s="18" t="str">
        <f>IF(OR(G1193&gt;Answers!I1208,G1193&lt;Answers!I1209),"Outlier","Normal")</f>
        <v>Outlier</v>
      </c>
      <c r="M1193" s="18">
        <v>19</v>
      </c>
    </row>
    <row r="1194" spans="1:13" ht="20" customHeight="1" x14ac:dyDescent="0.35">
      <c r="A1194" s="17">
        <v>789675</v>
      </c>
      <c r="B1194" s="18">
        <v>817</v>
      </c>
      <c r="C1194" s="23" t="s">
        <v>99</v>
      </c>
      <c r="D1194" s="27">
        <v>45211.010416666664</v>
      </c>
      <c r="E1194" s="18" t="s">
        <v>98</v>
      </c>
      <c r="F1194" s="18" t="s">
        <v>43</v>
      </c>
      <c r="G1194" s="18">
        <v>627</v>
      </c>
      <c r="H1194" s="25">
        <f t="shared" si="72"/>
        <v>45211</v>
      </c>
      <c r="I1194" s="26">
        <f t="shared" si="73"/>
        <v>1.0416666664241347E-2</v>
      </c>
      <c r="J1194" s="18" t="str">
        <f t="shared" si="74"/>
        <v>October</v>
      </c>
      <c r="K1194" s="56" t="str">
        <f t="shared" si="75"/>
        <v>Thursday</v>
      </c>
      <c r="L1194" s="18" t="str">
        <f>IF(OR(G1194&gt;Answers!I1209,G1194&lt;Answers!I1210),"Outlier","Normal")</f>
        <v>Outlier</v>
      </c>
      <c r="M1194" s="18">
        <v>39</v>
      </c>
    </row>
    <row r="1195" spans="1:13" ht="20" customHeight="1" x14ac:dyDescent="0.35">
      <c r="A1195" s="17">
        <v>794197</v>
      </c>
      <c r="B1195" s="18">
        <v>313</v>
      </c>
      <c r="C1195" s="23" t="s">
        <v>113</v>
      </c>
      <c r="D1195" s="27">
        <v>45170.990972222222</v>
      </c>
      <c r="E1195" s="18" t="s">
        <v>96</v>
      </c>
      <c r="F1195" s="18" t="s">
        <v>92</v>
      </c>
      <c r="G1195" s="18">
        <v>4130</v>
      </c>
      <c r="H1195" s="25">
        <f t="shared" si="72"/>
        <v>45170</v>
      </c>
      <c r="I1195" s="26">
        <f t="shared" si="73"/>
        <v>0.99097222222189885</v>
      </c>
      <c r="J1195" s="18" t="str">
        <f t="shared" si="74"/>
        <v>September</v>
      </c>
      <c r="K1195" s="56" t="str">
        <f t="shared" si="75"/>
        <v>Friday</v>
      </c>
      <c r="L1195" s="18" t="str">
        <f>IF(OR(G1195&gt;Answers!I1210,G1195&lt;Answers!I1211),"Outlier","Normal")</f>
        <v>Outlier</v>
      </c>
      <c r="M1195" s="18">
        <v>61</v>
      </c>
    </row>
    <row r="1196" spans="1:13" ht="20" customHeight="1" x14ac:dyDescent="0.35">
      <c r="A1196" s="17">
        <v>794297</v>
      </c>
      <c r="B1196" s="18">
        <v>221</v>
      </c>
      <c r="C1196" s="23" t="s">
        <v>101</v>
      </c>
      <c r="D1196" s="27">
        <v>45111.034722222219</v>
      </c>
      <c r="E1196" s="18" t="s">
        <v>96</v>
      </c>
      <c r="F1196" s="18" t="s">
        <v>8</v>
      </c>
      <c r="G1196" s="18">
        <v>7199</v>
      </c>
      <c r="H1196" s="25">
        <f t="shared" si="72"/>
        <v>45111</v>
      </c>
      <c r="I1196" s="26">
        <f t="shared" si="73"/>
        <v>3.4722222218988463E-2</v>
      </c>
      <c r="J1196" s="18" t="str">
        <f t="shared" si="74"/>
        <v>July</v>
      </c>
      <c r="K1196" s="56" t="str">
        <f t="shared" si="75"/>
        <v>Tuesday</v>
      </c>
      <c r="L1196" s="18" t="str">
        <f>IF(OR(G1196&gt;Answers!I1211,G1196&lt;Answers!I1212),"Outlier","Normal")</f>
        <v>Outlier</v>
      </c>
      <c r="M1196" s="18">
        <v>64</v>
      </c>
    </row>
    <row r="1197" spans="1:13" ht="20" customHeight="1" x14ac:dyDescent="0.35">
      <c r="A1197" s="17">
        <v>794975</v>
      </c>
      <c r="B1197" s="18">
        <v>738</v>
      </c>
      <c r="C1197" s="23" t="s">
        <v>100</v>
      </c>
      <c r="D1197" s="27">
        <v>44979.058333333334</v>
      </c>
      <c r="E1197" s="18" t="s">
        <v>97</v>
      </c>
      <c r="F1197" s="18" t="s">
        <v>46</v>
      </c>
      <c r="G1197" s="18">
        <v>1230</v>
      </c>
      <c r="H1197" s="25">
        <f t="shared" si="72"/>
        <v>44979</v>
      </c>
      <c r="I1197" s="26">
        <f t="shared" si="73"/>
        <v>5.8333333334303461E-2</v>
      </c>
      <c r="J1197" s="18" t="str">
        <f t="shared" si="74"/>
        <v>February</v>
      </c>
      <c r="K1197" s="56" t="str">
        <f t="shared" si="75"/>
        <v>Wednesday</v>
      </c>
      <c r="L1197" s="18" t="str">
        <f>IF(OR(G1197&gt;Answers!I1212,G1197&lt;Answers!I1213),"Outlier","Normal")</f>
        <v>Outlier</v>
      </c>
      <c r="M1197" s="18">
        <v>25</v>
      </c>
    </row>
    <row r="1198" spans="1:13" ht="20" customHeight="1" x14ac:dyDescent="0.35">
      <c r="A1198" s="17">
        <v>795216</v>
      </c>
      <c r="B1198" s="18">
        <v>1588</v>
      </c>
      <c r="C1198" s="23" t="s">
        <v>100</v>
      </c>
      <c r="D1198" s="27">
        <v>45268.006249999999</v>
      </c>
      <c r="E1198" s="18" t="s">
        <v>133</v>
      </c>
      <c r="F1198" s="18" t="s">
        <v>10</v>
      </c>
      <c r="G1198" s="18">
        <v>1033</v>
      </c>
      <c r="H1198" s="25">
        <f t="shared" si="72"/>
        <v>45268</v>
      </c>
      <c r="I1198" s="26">
        <f t="shared" si="73"/>
        <v>6.2499999985448085E-3</v>
      </c>
      <c r="J1198" s="18" t="str">
        <f t="shared" si="74"/>
        <v>December</v>
      </c>
      <c r="K1198" s="56" t="str">
        <f t="shared" si="75"/>
        <v>Friday</v>
      </c>
      <c r="L1198" s="18" t="str">
        <f>IF(OR(G1198&gt;Answers!I1213,G1198&lt;Answers!I1214),"Outlier","Normal")</f>
        <v>Outlier</v>
      </c>
      <c r="M1198" s="18">
        <v>74</v>
      </c>
    </row>
    <row r="1199" spans="1:13" ht="20" customHeight="1" x14ac:dyDescent="0.35">
      <c r="A1199" s="17">
        <v>795276</v>
      </c>
      <c r="B1199" s="18">
        <v>836</v>
      </c>
      <c r="C1199" s="23" t="s">
        <v>113</v>
      </c>
      <c r="D1199" s="27">
        <v>45034.954861111109</v>
      </c>
      <c r="E1199" s="18" t="s">
        <v>133</v>
      </c>
      <c r="F1199" s="18" t="s">
        <v>72</v>
      </c>
      <c r="G1199" s="18">
        <v>1032</v>
      </c>
      <c r="H1199" s="25">
        <f t="shared" si="72"/>
        <v>45034</v>
      </c>
      <c r="I1199" s="26">
        <f t="shared" si="73"/>
        <v>0.95486111110949423</v>
      </c>
      <c r="J1199" s="18" t="str">
        <f t="shared" si="74"/>
        <v>April</v>
      </c>
      <c r="K1199" s="56" t="str">
        <f t="shared" si="75"/>
        <v>Tuesday</v>
      </c>
      <c r="L1199" s="18" t="str">
        <f>IF(OR(G1199&gt;Answers!I1214,G1199&lt;Answers!I1215),"Outlier","Normal")</f>
        <v>Outlier</v>
      </c>
      <c r="M1199" s="18">
        <v>70</v>
      </c>
    </row>
    <row r="1200" spans="1:13" ht="20" customHeight="1" x14ac:dyDescent="0.35">
      <c r="A1200" s="17">
        <v>797415</v>
      </c>
      <c r="B1200" s="18">
        <v>842</v>
      </c>
      <c r="C1200" s="23" t="s">
        <v>100</v>
      </c>
      <c r="D1200" s="27">
        <v>45269</v>
      </c>
      <c r="E1200" s="18" t="s">
        <v>98</v>
      </c>
      <c r="F1200" s="18" t="s">
        <v>13</v>
      </c>
      <c r="G1200" s="18">
        <v>7700</v>
      </c>
      <c r="H1200" s="25">
        <f t="shared" si="72"/>
        <v>45269</v>
      </c>
      <c r="I1200" s="26">
        <f t="shared" si="73"/>
        <v>0</v>
      </c>
      <c r="J1200" s="18" t="str">
        <f t="shared" si="74"/>
        <v>December</v>
      </c>
      <c r="K1200" s="56" t="str">
        <f t="shared" si="75"/>
        <v>Saturday</v>
      </c>
      <c r="L1200" s="18" t="str">
        <f>IF(OR(G1200&gt;Answers!I1215,G1200&lt;Answers!I1216),"Outlier","Normal")</f>
        <v>Outlier</v>
      </c>
      <c r="M1200" s="18">
        <v>41</v>
      </c>
    </row>
    <row r="1201" spans="1:13" ht="20" customHeight="1" x14ac:dyDescent="0.35">
      <c r="A1201" s="17">
        <v>797735</v>
      </c>
      <c r="B1201" s="18">
        <v>1192</v>
      </c>
      <c r="C1201" s="23" t="s">
        <v>99</v>
      </c>
      <c r="D1201" s="27">
        <v>45276.048611111109</v>
      </c>
      <c r="E1201" s="18" t="s">
        <v>98</v>
      </c>
      <c r="F1201" s="18" t="s">
        <v>10</v>
      </c>
      <c r="G1201" s="18">
        <v>322</v>
      </c>
      <c r="H1201" s="25">
        <f t="shared" si="72"/>
        <v>45276</v>
      </c>
      <c r="I1201" s="26">
        <f t="shared" si="73"/>
        <v>4.8611111109494232E-2</v>
      </c>
      <c r="J1201" s="18" t="str">
        <f t="shared" si="74"/>
        <v>December</v>
      </c>
      <c r="K1201" s="56" t="str">
        <f t="shared" si="75"/>
        <v>Saturday</v>
      </c>
      <c r="L1201" s="18" t="str">
        <f>IF(OR(G1201&gt;Answers!I1216,G1201&lt;Answers!I1217),"Outlier","Normal")</f>
        <v>Outlier</v>
      </c>
      <c r="M1201" s="18">
        <v>87</v>
      </c>
    </row>
    <row r="1202" spans="1:13" ht="20" customHeight="1" x14ac:dyDescent="0.35">
      <c r="A1202" s="17">
        <v>797824</v>
      </c>
      <c r="B1202" s="18">
        <v>931</v>
      </c>
      <c r="C1202" s="23" t="s">
        <v>99</v>
      </c>
      <c r="D1202" s="27">
        <v>45164.984722222223</v>
      </c>
      <c r="E1202" s="18" t="s">
        <v>96</v>
      </c>
      <c r="F1202" s="18" t="s">
        <v>15</v>
      </c>
      <c r="G1202" s="18">
        <v>7354</v>
      </c>
      <c r="H1202" s="25">
        <f t="shared" si="72"/>
        <v>45164</v>
      </c>
      <c r="I1202" s="26">
        <f t="shared" si="73"/>
        <v>0.98472222222335404</v>
      </c>
      <c r="J1202" s="18" t="str">
        <f t="shared" si="74"/>
        <v>August</v>
      </c>
      <c r="K1202" s="56" t="str">
        <f t="shared" si="75"/>
        <v>Saturday</v>
      </c>
      <c r="L1202" s="18" t="str">
        <f>IF(OR(G1202&gt;Answers!I1217,G1202&lt;Answers!I1218),"Outlier","Normal")</f>
        <v>Outlier</v>
      </c>
      <c r="M1202" s="18">
        <v>58</v>
      </c>
    </row>
    <row r="1203" spans="1:13" ht="20" customHeight="1" x14ac:dyDescent="0.35">
      <c r="A1203" s="17">
        <v>798176</v>
      </c>
      <c r="B1203" s="18">
        <v>1070</v>
      </c>
      <c r="C1203" s="23" t="s">
        <v>106</v>
      </c>
      <c r="D1203" s="27">
        <v>45283.052083333336</v>
      </c>
      <c r="E1203" s="18" t="s">
        <v>133</v>
      </c>
      <c r="F1203" s="18" t="s">
        <v>13</v>
      </c>
      <c r="G1203" s="18">
        <v>311</v>
      </c>
      <c r="H1203" s="25">
        <f t="shared" si="72"/>
        <v>45283</v>
      </c>
      <c r="I1203" s="26">
        <f t="shared" si="73"/>
        <v>5.2083333335758653E-2</v>
      </c>
      <c r="J1203" s="18" t="str">
        <f t="shared" si="74"/>
        <v>December</v>
      </c>
      <c r="K1203" s="56" t="str">
        <f t="shared" si="75"/>
        <v>Saturday</v>
      </c>
      <c r="L1203" s="18" t="str">
        <f>IF(OR(G1203&gt;Answers!I1218,G1203&lt;Answers!I1219),"Outlier","Normal")</f>
        <v>Outlier</v>
      </c>
      <c r="M1203" s="18">
        <v>60</v>
      </c>
    </row>
    <row r="1204" spans="1:13" ht="20" customHeight="1" x14ac:dyDescent="0.35">
      <c r="A1204" s="17">
        <v>799277</v>
      </c>
      <c r="B1204" s="18">
        <v>1432</v>
      </c>
      <c r="C1204" s="23" t="s">
        <v>99</v>
      </c>
      <c r="D1204" s="27">
        <v>45258.979861111111</v>
      </c>
      <c r="E1204" s="18" t="s">
        <v>97</v>
      </c>
      <c r="F1204" s="18" t="s">
        <v>62</v>
      </c>
      <c r="G1204" s="18">
        <v>9518</v>
      </c>
      <c r="H1204" s="25">
        <f t="shared" si="72"/>
        <v>45258</v>
      </c>
      <c r="I1204" s="26">
        <f t="shared" si="73"/>
        <v>0.97986111111094942</v>
      </c>
      <c r="J1204" s="18" t="str">
        <f t="shared" si="74"/>
        <v>November</v>
      </c>
      <c r="K1204" s="56" t="str">
        <f t="shared" si="75"/>
        <v>Tuesday</v>
      </c>
      <c r="L1204" s="18" t="str">
        <f>IF(OR(G1204&gt;Answers!I1219,G1204&lt;Answers!I1220),"Outlier","Normal")</f>
        <v>Outlier</v>
      </c>
      <c r="M1204" s="18">
        <v>30</v>
      </c>
    </row>
    <row r="1205" spans="1:13" ht="20" customHeight="1" x14ac:dyDescent="0.35">
      <c r="A1205" s="17">
        <v>800145</v>
      </c>
      <c r="B1205" s="18">
        <v>653</v>
      </c>
      <c r="C1205" s="23" t="s">
        <v>100</v>
      </c>
      <c r="D1205" s="27">
        <v>45017.03402777778</v>
      </c>
      <c r="E1205" s="18" t="s">
        <v>98</v>
      </c>
      <c r="F1205" s="18" t="s">
        <v>75</v>
      </c>
      <c r="G1205" s="18">
        <v>2086</v>
      </c>
      <c r="H1205" s="25">
        <f t="shared" si="72"/>
        <v>45017</v>
      </c>
      <c r="I1205" s="26">
        <f t="shared" si="73"/>
        <v>3.4027777779556345E-2</v>
      </c>
      <c r="J1205" s="18" t="str">
        <f t="shared" si="74"/>
        <v>April</v>
      </c>
      <c r="K1205" s="56" t="str">
        <f t="shared" si="75"/>
        <v>Saturday</v>
      </c>
      <c r="L1205" s="18" t="str">
        <f>IF(OR(G1205&gt;Answers!I1220,G1205&lt;Answers!I1221),"Outlier","Normal")</f>
        <v>Outlier</v>
      </c>
      <c r="M1205" s="18">
        <v>68</v>
      </c>
    </row>
    <row r="1206" spans="1:13" ht="20" customHeight="1" x14ac:dyDescent="0.35">
      <c r="A1206" s="17">
        <v>800248</v>
      </c>
      <c r="B1206" s="18">
        <v>1360</v>
      </c>
      <c r="C1206" s="23" t="s">
        <v>105</v>
      </c>
      <c r="D1206" s="27">
        <v>45130.056250000001</v>
      </c>
      <c r="E1206" s="18" t="s">
        <v>98</v>
      </c>
      <c r="F1206" s="18" t="s">
        <v>66</v>
      </c>
      <c r="G1206" s="18">
        <v>4265</v>
      </c>
      <c r="H1206" s="25">
        <f t="shared" si="72"/>
        <v>45130</v>
      </c>
      <c r="I1206" s="26">
        <f t="shared" si="73"/>
        <v>5.6250000001455192E-2</v>
      </c>
      <c r="J1206" s="18" t="str">
        <f t="shared" si="74"/>
        <v>July</v>
      </c>
      <c r="K1206" s="56" t="str">
        <f t="shared" si="75"/>
        <v>Sunday</v>
      </c>
      <c r="L1206" s="18" t="str">
        <f>IF(OR(G1206&gt;Answers!I1221,G1206&lt;Answers!I1222),"Outlier","Normal")</f>
        <v>Outlier</v>
      </c>
      <c r="M1206" s="18">
        <v>40</v>
      </c>
    </row>
    <row r="1207" spans="1:13" ht="20" customHeight="1" x14ac:dyDescent="0.35">
      <c r="A1207" s="17">
        <v>800421</v>
      </c>
      <c r="B1207" s="18">
        <v>736</v>
      </c>
      <c r="C1207" s="23" t="s">
        <v>99</v>
      </c>
      <c r="D1207" s="27">
        <v>45133.083333333336</v>
      </c>
      <c r="E1207" s="18" t="s">
        <v>97</v>
      </c>
      <c r="F1207" s="18" t="s">
        <v>20</v>
      </c>
      <c r="G1207" s="18">
        <v>3687</v>
      </c>
      <c r="H1207" s="25">
        <f t="shared" si="72"/>
        <v>45133</v>
      </c>
      <c r="I1207" s="26">
        <f t="shared" si="73"/>
        <v>8.3333333335758653E-2</v>
      </c>
      <c r="J1207" s="18" t="str">
        <f t="shared" si="74"/>
        <v>July</v>
      </c>
      <c r="K1207" s="56" t="str">
        <f t="shared" si="75"/>
        <v>Wednesday</v>
      </c>
      <c r="L1207" s="18" t="str">
        <f>IF(OR(G1207&gt;Answers!I1222,G1207&lt;Answers!I1223),"Outlier","Normal")</f>
        <v>Outlier</v>
      </c>
      <c r="M1207" s="18">
        <v>50</v>
      </c>
    </row>
    <row r="1208" spans="1:13" ht="20" customHeight="1" x14ac:dyDescent="0.35">
      <c r="A1208" s="17">
        <v>801394</v>
      </c>
      <c r="B1208" s="18">
        <v>1922</v>
      </c>
      <c r="C1208" s="23" t="s">
        <v>105</v>
      </c>
      <c r="D1208" s="27">
        <v>45017.073611111111</v>
      </c>
      <c r="E1208" s="18" t="s">
        <v>98</v>
      </c>
      <c r="F1208" s="18" t="s">
        <v>72</v>
      </c>
      <c r="G1208" s="18">
        <v>5526</v>
      </c>
      <c r="H1208" s="25">
        <f t="shared" si="72"/>
        <v>45017</v>
      </c>
      <c r="I1208" s="26">
        <f t="shared" si="73"/>
        <v>7.3611111110949423E-2</v>
      </c>
      <c r="J1208" s="18" t="str">
        <f t="shared" si="74"/>
        <v>April</v>
      </c>
      <c r="K1208" s="56" t="str">
        <f t="shared" si="75"/>
        <v>Saturday</v>
      </c>
      <c r="L1208" s="18" t="str">
        <f>IF(OR(G1208&gt;Answers!I1223,G1208&lt;Answers!I1224),"Outlier","Normal")</f>
        <v>Outlier</v>
      </c>
      <c r="M1208" s="18">
        <v>59</v>
      </c>
    </row>
    <row r="1209" spans="1:13" ht="20" customHeight="1" x14ac:dyDescent="0.35">
      <c r="A1209" s="17">
        <v>802352</v>
      </c>
      <c r="B1209" s="18">
        <v>1838</v>
      </c>
      <c r="C1209" s="23" t="s">
        <v>99</v>
      </c>
      <c r="D1209" s="27">
        <v>45086.043749999997</v>
      </c>
      <c r="E1209" s="18" t="s">
        <v>98</v>
      </c>
      <c r="F1209" s="18" t="s">
        <v>83</v>
      </c>
      <c r="G1209" s="18">
        <v>7995</v>
      </c>
      <c r="H1209" s="25">
        <f t="shared" si="72"/>
        <v>45086</v>
      </c>
      <c r="I1209" s="26">
        <f t="shared" si="73"/>
        <v>4.3749999997089617E-2</v>
      </c>
      <c r="J1209" s="18" t="str">
        <f t="shared" si="74"/>
        <v>June</v>
      </c>
      <c r="K1209" s="56" t="str">
        <f t="shared" si="75"/>
        <v>Friday</v>
      </c>
      <c r="L1209" s="18" t="str">
        <f>IF(OR(G1209&gt;Answers!I1224,G1209&lt;Answers!I1225),"Outlier","Normal")</f>
        <v>Outlier</v>
      </c>
      <c r="M1209" s="18">
        <v>48</v>
      </c>
    </row>
    <row r="1210" spans="1:13" ht="20" customHeight="1" x14ac:dyDescent="0.35">
      <c r="A1210" s="17">
        <v>804031</v>
      </c>
      <c r="B1210" s="18">
        <v>1267</v>
      </c>
      <c r="C1210" s="23" t="s">
        <v>107</v>
      </c>
      <c r="D1210" s="27">
        <v>44928.054861111108</v>
      </c>
      <c r="E1210" s="18" t="s">
        <v>96</v>
      </c>
      <c r="F1210" s="18" t="s">
        <v>70</v>
      </c>
      <c r="G1210" s="18">
        <v>9935</v>
      </c>
      <c r="H1210" s="25">
        <f t="shared" si="72"/>
        <v>44928</v>
      </c>
      <c r="I1210" s="26">
        <f t="shared" si="73"/>
        <v>5.486111110803904E-2</v>
      </c>
      <c r="J1210" s="18" t="str">
        <f t="shared" si="74"/>
        <v>January</v>
      </c>
      <c r="K1210" s="56" t="str">
        <f t="shared" si="75"/>
        <v>Monday</v>
      </c>
      <c r="L1210" s="18" t="str">
        <f>IF(OR(G1210&gt;Answers!I1225,G1210&lt;Answers!I1226),"Outlier","Normal")</f>
        <v>Outlier</v>
      </c>
      <c r="M1210" s="18">
        <v>62</v>
      </c>
    </row>
    <row r="1211" spans="1:13" ht="20" customHeight="1" x14ac:dyDescent="0.35">
      <c r="A1211" s="17">
        <v>804076</v>
      </c>
      <c r="B1211" s="18">
        <v>279</v>
      </c>
      <c r="C1211" s="23" t="s">
        <v>113</v>
      </c>
      <c r="D1211" s="27">
        <v>45151.009027777778</v>
      </c>
      <c r="E1211" s="18" t="s">
        <v>96</v>
      </c>
      <c r="F1211" s="18" t="s">
        <v>14</v>
      </c>
      <c r="G1211" s="18">
        <v>4684</v>
      </c>
      <c r="H1211" s="25">
        <f t="shared" si="72"/>
        <v>45151</v>
      </c>
      <c r="I1211" s="26">
        <f t="shared" si="73"/>
        <v>9.0277777781011537E-3</v>
      </c>
      <c r="J1211" s="18" t="str">
        <f t="shared" si="74"/>
        <v>August</v>
      </c>
      <c r="K1211" s="56" t="str">
        <f t="shared" si="75"/>
        <v>Sunday</v>
      </c>
      <c r="L1211" s="18" t="str">
        <f>IF(OR(G1211&gt;Answers!I1226,G1211&lt;Answers!I1227),"Outlier","Normal")</f>
        <v>Outlier</v>
      </c>
      <c r="M1211" s="18">
        <v>80</v>
      </c>
    </row>
    <row r="1212" spans="1:13" ht="20" customHeight="1" x14ac:dyDescent="0.35">
      <c r="A1212" s="17">
        <v>804356</v>
      </c>
      <c r="B1212" s="18">
        <v>1586</v>
      </c>
      <c r="C1212" s="23" t="s">
        <v>100</v>
      </c>
      <c r="D1212" s="27">
        <v>45174.088194444441</v>
      </c>
      <c r="E1212" s="18" t="s">
        <v>133</v>
      </c>
      <c r="F1212" s="18" t="s">
        <v>27</v>
      </c>
      <c r="G1212" s="18">
        <v>9054</v>
      </c>
      <c r="H1212" s="25">
        <f t="shared" si="72"/>
        <v>45174</v>
      </c>
      <c r="I1212" s="26">
        <f t="shared" si="73"/>
        <v>8.819444444088731E-2</v>
      </c>
      <c r="J1212" s="18" t="str">
        <f t="shared" si="74"/>
        <v>September</v>
      </c>
      <c r="K1212" s="56" t="str">
        <f t="shared" si="75"/>
        <v>Tuesday</v>
      </c>
      <c r="L1212" s="18" t="str">
        <f>IF(OR(G1212&gt;Answers!I1227,G1212&lt;Answers!I1228),"Outlier","Normal")</f>
        <v>Outlier</v>
      </c>
      <c r="M1212" s="18">
        <v>42</v>
      </c>
    </row>
    <row r="1213" spans="1:13" ht="20" customHeight="1" x14ac:dyDescent="0.35">
      <c r="A1213" s="17">
        <v>805121</v>
      </c>
      <c r="B1213" s="18">
        <v>704</v>
      </c>
      <c r="C1213" s="23" t="s">
        <v>99</v>
      </c>
      <c r="D1213" s="27">
        <v>45174.073611111111</v>
      </c>
      <c r="E1213" s="18" t="s">
        <v>98</v>
      </c>
      <c r="F1213" s="18" t="s">
        <v>77</v>
      </c>
      <c r="G1213" s="18">
        <v>6764</v>
      </c>
      <c r="H1213" s="25">
        <f t="shared" si="72"/>
        <v>45174</v>
      </c>
      <c r="I1213" s="26">
        <f t="shared" si="73"/>
        <v>7.3611111110949423E-2</v>
      </c>
      <c r="J1213" s="18" t="str">
        <f t="shared" si="74"/>
        <v>September</v>
      </c>
      <c r="K1213" s="56" t="str">
        <f t="shared" si="75"/>
        <v>Tuesday</v>
      </c>
      <c r="L1213" s="18" t="str">
        <f>IF(OR(G1213&gt;Answers!I1228,G1213&lt;Answers!I1229),"Outlier","Normal")</f>
        <v>Outlier</v>
      </c>
      <c r="M1213" s="18">
        <v>76</v>
      </c>
    </row>
    <row r="1214" spans="1:13" ht="20" customHeight="1" x14ac:dyDescent="0.35">
      <c r="A1214" s="17">
        <v>805282</v>
      </c>
      <c r="B1214" s="18">
        <v>935</v>
      </c>
      <c r="C1214" s="23" t="s">
        <v>100</v>
      </c>
      <c r="D1214" s="27">
        <v>45148.015277777777</v>
      </c>
      <c r="E1214" s="18" t="s">
        <v>133</v>
      </c>
      <c r="F1214" s="18" t="s">
        <v>27</v>
      </c>
      <c r="G1214" s="18">
        <v>7748</v>
      </c>
      <c r="H1214" s="25">
        <f t="shared" si="72"/>
        <v>45148</v>
      </c>
      <c r="I1214" s="26">
        <f t="shared" si="73"/>
        <v>1.5277777776645962E-2</v>
      </c>
      <c r="J1214" s="18" t="str">
        <f t="shared" si="74"/>
        <v>August</v>
      </c>
      <c r="K1214" s="56" t="str">
        <f t="shared" si="75"/>
        <v>Thursday</v>
      </c>
      <c r="L1214" s="18" t="str">
        <f>IF(OR(G1214&gt;Answers!I1229,G1214&lt;Answers!I1230),"Outlier","Normal")</f>
        <v>Outlier</v>
      </c>
      <c r="M1214" s="18">
        <v>38</v>
      </c>
    </row>
    <row r="1215" spans="1:13" ht="20" customHeight="1" x14ac:dyDescent="0.35">
      <c r="A1215" s="17">
        <v>806906</v>
      </c>
      <c r="B1215" s="18">
        <v>1603</v>
      </c>
      <c r="C1215" s="23" t="s">
        <v>99</v>
      </c>
      <c r="D1215" s="27">
        <v>45058.972222222219</v>
      </c>
      <c r="E1215" s="18" t="s">
        <v>98</v>
      </c>
      <c r="F1215" s="18" t="s">
        <v>43</v>
      </c>
      <c r="G1215" s="18">
        <v>585</v>
      </c>
      <c r="H1215" s="25">
        <f t="shared" si="72"/>
        <v>45058</v>
      </c>
      <c r="I1215" s="26">
        <f t="shared" si="73"/>
        <v>0.97222222221898846</v>
      </c>
      <c r="J1215" s="18" t="str">
        <f t="shared" si="74"/>
        <v>May</v>
      </c>
      <c r="K1215" s="56" t="str">
        <f t="shared" si="75"/>
        <v>Friday</v>
      </c>
      <c r="L1215" s="18" t="str">
        <f>IF(OR(G1215&gt;Answers!I1230,G1215&lt;Answers!I1231),"Outlier","Normal")</f>
        <v>Outlier</v>
      </c>
      <c r="M1215" s="18">
        <v>73</v>
      </c>
    </row>
    <row r="1216" spans="1:13" ht="20" customHeight="1" x14ac:dyDescent="0.35">
      <c r="A1216" s="17">
        <v>807901</v>
      </c>
      <c r="B1216" s="18">
        <v>768</v>
      </c>
      <c r="C1216" s="23" t="s">
        <v>99</v>
      </c>
      <c r="D1216" s="27">
        <v>44971.067361111112</v>
      </c>
      <c r="E1216" s="18" t="s">
        <v>96</v>
      </c>
      <c r="F1216" s="18" t="s">
        <v>26</v>
      </c>
      <c r="G1216" s="18">
        <v>1538</v>
      </c>
      <c r="H1216" s="25">
        <f t="shared" si="72"/>
        <v>44971</v>
      </c>
      <c r="I1216" s="26">
        <f t="shared" si="73"/>
        <v>6.7361111112404615E-2</v>
      </c>
      <c r="J1216" s="18" t="str">
        <f t="shared" si="74"/>
        <v>February</v>
      </c>
      <c r="K1216" s="56" t="str">
        <f t="shared" si="75"/>
        <v>Tuesday</v>
      </c>
      <c r="L1216" s="18" t="str">
        <f>IF(OR(G1216&gt;Answers!I1231,G1216&lt;Answers!I1232),"Outlier","Normal")</f>
        <v>Outlier</v>
      </c>
      <c r="M1216" s="18">
        <v>38</v>
      </c>
    </row>
    <row r="1217" spans="1:13" ht="20" customHeight="1" x14ac:dyDescent="0.35">
      <c r="A1217" s="17">
        <v>808278</v>
      </c>
      <c r="B1217" s="18">
        <v>1796</v>
      </c>
      <c r="C1217" s="23" t="s">
        <v>108</v>
      </c>
      <c r="D1217" s="27">
        <v>45194.98541666667</v>
      </c>
      <c r="E1217" s="18" t="s">
        <v>98</v>
      </c>
      <c r="F1217" s="18" t="s">
        <v>90</v>
      </c>
      <c r="G1217" s="18">
        <v>1968</v>
      </c>
      <c r="H1217" s="25">
        <f t="shared" si="72"/>
        <v>45194</v>
      </c>
      <c r="I1217" s="26">
        <f t="shared" si="73"/>
        <v>0.98541666667006211</v>
      </c>
      <c r="J1217" s="18" t="str">
        <f t="shared" si="74"/>
        <v>September</v>
      </c>
      <c r="K1217" s="56" t="str">
        <f t="shared" si="75"/>
        <v>Monday</v>
      </c>
      <c r="L1217" s="18" t="str">
        <f>IF(OR(G1217&gt;Answers!I1232,G1217&lt;Answers!I1233),"Outlier","Normal")</f>
        <v>Outlier</v>
      </c>
      <c r="M1217" s="18">
        <v>86</v>
      </c>
    </row>
    <row r="1218" spans="1:13" ht="20" customHeight="1" x14ac:dyDescent="0.35">
      <c r="A1218" s="17">
        <v>808789</v>
      </c>
      <c r="B1218" s="18">
        <v>1538</v>
      </c>
      <c r="C1218" s="23" t="s">
        <v>99</v>
      </c>
      <c r="D1218" s="27">
        <v>45123.978472222225</v>
      </c>
      <c r="E1218" s="18" t="s">
        <v>133</v>
      </c>
      <c r="F1218" s="18" t="s">
        <v>23</v>
      </c>
      <c r="G1218" s="18">
        <v>5681</v>
      </c>
      <c r="H1218" s="25">
        <f t="shared" si="72"/>
        <v>45123</v>
      </c>
      <c r="I1218" s="26">
        <f t="shared" si="73"/>
        <v>0.97847222222480923</v>
      </c>
      <c r="J1218" s="18" t="str">
        <f t="shared" si="74"/>
        <v>July</v>
      </c>
      <c r="K1218" s="56" t="str">
        <f t="shared" si="75"/>
        <v>Sunday</v>
      </c>
      <c r="L1218" s="18" t="str">
        <f>IF(OR(G1218&gt;Answers!I1233,G1218&lt;Answers!I1234),"Outlier","Normal")</f>
        <v>Outlier</v>
      </c>
      <c r="M1218" s="18">
        <v>21</v>
      </c>
    </row>
    <row r="1219" spans="1:13" ht="20" customHeight="1" x14ac:dyDescent="0.35">
      <c r="A1219" s="17">
        <v>810114</v>
      </c>
      <c r="B1219" s="18">
        <v>62</v>
      </c>
      <c r="C1219" s="23" t="s">
        <v>99</v>
      </c>
      <c r="D1219" s="27">
        <v>45081.082638888889</v>
      </c>
      <c r="E1219" s="18" t="s">
        <v>97</v>
      </c>
      <c r="F1219" s="18" t="s">
        <v>95</v>
      </c>
      <c r="G1219" s="18">
        <v>2084</v>
      </c>
      <c r="H1219" s="25">
        <f t="shared" ref="H1219:H1282" si="76">INT(D1219)</f>
        <v>45081</v>
      </c>
      <c r="I1219" s="26">
        <f t="shared" ref="I1219:I1282" si="77">MOD(D1219,1)</f>
        <v>8.2638888889050577E-2</v>
      </c>
      <c r="J1219" s="18" t="str">
        <f t="shared" ref="J1219:J1282" si="78">TEXT(D1219,"mmmm")</f>
        <v>June</v>
      </c>
      <c r="K1219" s="56" t="str">
        <f t="shared" ref="K1219:K1282" si="79">TEXT(D1219,"dddd")</f>
        <v>Sunday</v>
      </c>
      <c r="L1219" s="18" t="str">
        <f>IF(OR(G1219&gt;Answers!I1234,G1219&lt;Answers!I1235),"Outlier","Normal")</f>
        <v>Outlier</v>
      </c>
      <c r="M1219" s="18">
        <v>42</v>
      </c>
    </row>
    <row r="1220" spans="1:13" ht="20" customHeight="1" x14ac:dyDescent="0.35">
      <c r="A1220" s="17">
        <v>812395</v>
      </c>
      <c r="B1220" s="18">
        <v>717</v>
      </c>
      <c r="C1220" s="23" t="s">
        <v>101</v>
      </c>
      <c r="D1220" s="27">
        <v>45139.974999999999</v>
      </c>
      <c r="E1220" s="18" t="s">
        <v>96</v>
      </c>
      <c r="F1220" s="18" t="s">
        <v>54</v>
      </c>
      <c r="G1220" s="18">
        <v>9421</v>
      </c>
      <c r="H1220" s="25">
        <f t="shared" si="76"/>
        <v>45139</v>
      </c>
      <c r="I1220" s="26">
        <f t="shared" si="77"/>
        <v>0.97499999999854481</v>
      </c>
      <c r="J1220" s="18" t="str">
        <f t="shared" si="78"/>
        <v>August</v>
      </c>
      <c r="K1220" s="56" t="str">
        <f t="shared" si="79"/>
        <v>Tuesday</v>
      </c>
      <c r="L1220" s="18" t="str">
        <f>IF(OR(G1220&gt;Answers!I1235,G1220&lt;Answers!I1236),"Outlier","Normal")</f>
        <v>Outlier</v>
      </c>
      <c r="M1220" s="18">
        <v>90</v>
      </c>
    </row>
    <row r="1221" spans="1:13" ht="20" customHeight="1" x14ac:dyDescent="0.35">
      <c r="A1221" s="17">
        <v>812558</v>
      </c>
      <c r="B1221" s="18">
        <v>1160</v>
      </c>
      <c r="C1221" s="23" t="s">
        <v>101</v>
      </c>
      <c r="D1221" s="27">
        <v>45100.043749999997</v>
      </c>
      <c r="E1221" s="18" t="s">
        <v>97</v>
      </c>
      <c r="F1221" s="18" t="s">
        <v>20</v>
      </c>
      <c r="G1221" s="18">
        <v>4185</v>
      </c>
      <c r="H1221" s="25">
        <f t="shared" si="76"/>
        <v>45100</v>
      </c>
      <c r="I1221" s="26">
        <f t="shared" si="77"/>
        <v>4.3749999997089617E-2</v>
      </c>
      <c r="J1221" s="18" t="str">
        <f t="shared" si="78"/>
        <v>June</v>
      </c>
      <c r="K1221" s="56" t="str">
        <f t="shared" si="79"/>
        <v>Friday</v>
      </c>
      <c r="L1221" s="18" t="str">
        <f>IF(OR(G1221&gt;Answers!I1236,G1221&lt;Answers!I1237),"Outlier","Normal")</f>
        <v>Outlier</v>
      </c>
      <c r="M1221" s="18">
        <v>58</v>
      </c>
    </row>
    <row r="1222" spans="1:13" ht="20" customHeight="1" x14ac:dyDescent="0.35">
      <c r="A1222" s="17">
        <v>812612</v>
      </c>
      <c r="B1222" s="18">
        <v>509</v>
      </c>
      <c r="C1222" s="23" t="s">
        <v>100</v>
      </c>
      <c r="D1222" s="27">
        <v>45256.061805555553</v>
      </c>
      <c r="E1222" s="18" t="s">
        <v>133</v>
      </c>
      <c r="F1222" s="18" t="s">
        <v>41</v>
      </c>
      <c r="G1222" s="18">
        <v>3471</v>
      </c>
      <c r="H1222" s="25">
        <f t="shared" si="76"/>
        <v>45256</v>
      </c>
      <c r="I1222" s="26">
        <f t="shared" si="77"/>
        <v>6.1805555553291924E-2</v>
      </c>
      <c r="J1222" s="18" t="str">
        <f t="shared" si="78"/>
        <v>November</v>
      </c>
      <c r="K1222" s="56" t="str">
        <f t="shared" si="79"/>
        <v>Sunday</v>
      </c>
      <c r="L1222" s="18" t="str">
        <f>IF(OR(G1222&gt;Answers!I1237,G1222&lt;Answers!I1238),"Outlier","Normal")</f>
        <v>Outlier</v>
      </c>
      <c r="M1222" s="18">
        <v>24</v>
      </c>
    </row>
    <row r="1223" spans="1:13" ht="20" customHeight="1" x14ac:dyDescent="0.35">
      <c r="A1223" s="17">
        <v>812864</v>
      </c>
      <c r="B1223" s="18">
        <v>1007</v>
      </c>
      <c r="C1223" s="23" t="s">
        <v>99</v>
      </c>
      <c r="D1223" s="27">
        <v>45149.007638888892</v>
      </c>
      <c r="E1223" s="18" t="s">
        <v>98</v>
      </c>
      <c r="F1223" s="18" t="s">
        <v>55</v>
      </c>
      <c r="G1223" s="18">
        <v>9730</v>
      </c>
      <c r="H1223" s="25">
        <f t="shared" si="76"/>
        <v>45149</v>
      </c>
      <c r="I1223" s="26">
        <f t="shared" si="77"/>
        <v>7.6388888919609599E-3</v>
      </c>
      <c r="J1223" s="18" t="str">
        <f t="shared" si="78"/>
        <v>August</v>
      </c>
      <c r="K1223" s="56" t="str">
        <f t="shared" si="79"/>
        <v>Friday</v>
      </c>
      <c r="L1223" s="18" t="str">
        <f>IF(OR(G1223&gt;Answers!I1238,G1223&lt;Answers!I1239),"Outlier","Normal")</f>
        <v>Outlier</v>
      </c>
      <c r="M1223" s="18">
        <v>62</v>
      </c>
    </row>
    <row r="1224" spans="1:13" ht="20" customHeight="1" x14ac:dyDescent="0.35">
      <c r="A1224" s="17">
        <v>813036</v>
      </c>
      <c r="B1224" s="18">
        <v>22</v>
      </c>
      <c r="C1224" s="23" t="s">
        <v>105</v>
      </c>
      <c r="D1224" s="27">
        <v>45248.945138888892</v>
      </c>
      <c r="E1224" s="18" t="s">
        <v>97</v>
      </c>
      <c r="F1224" s="18" t="s">
        <v>56</v>
      </c>
      <c r="G1224" s="18">
        <v>5132</v>
      </c>
      <c r="H1224" s="25">
        <f t="shared" si="76"/>
        <v>45248</v>
      </c>
      <c r="I1224" s="26">
        <f t="shared" si="77"/>
        <v>0.94513888889196096</v>
      </c>
      <c r="J1224" s="18" t="str">
        <f t="shared" si="78"/>
        <v>November</v>
      </c>
      <c r="K1224" s="56" t="str">
        <f t="shared" si="79"/>
        <v>Saturday</v>
      </c>
      <c r="L1224" s="18" t="str">
        <f>IF(OR(G1224&gt;Answers!I1239,G1224&lt;Answers!I1240),"Outlier","Normal")</f>
        <v>Outlier</v>
      </c>
      <c r="M1224" s="18">
        <v>78</v>
      </c>
    </row>
    <row r="1225" spans="1:13" ht="20" customHeight="1" x14ac:dyDescent="0.35">
      <c r="A1225" s="17">
        <v>813819</v>
      </c>
      <c r="B1225" s="18">
        <v>437</v>
      </c>
      <c r="C1225" s="23" t="s">
        <v>99</v>
      </c>
      <c r="D1225" s="27">
        <v>44981.972916666666</v>
      </c>
      <c r="E1225" s="18" t="s">
        <v>97</v>
      </c>
      <c r="F1225" s="18" t="s">
        <v>57</v>
      </c>
      <c r="G1225" s="18">
        <v>8001</v>
      </c>
      <c r="H1225" s="25">
        <f t="shared" si="76"/>
        <v>44981</v>
      </c>
      <c r="I1225" s="26">
        <f t="shared" si="77"/>
        <v>0.97291666666569654</v>
      </c>
      <c r="J1225" s="18" t="str">
        <f t="shared" si="78"/>
        <v>February</v>
      </c>
      <c r="K1225" s="56" t="str">
        <f t="shared" si="79"/>
        <v>Friday</v>
      </c>
      <c r="L1225" s="18" t="str">
        <f>IF(OR(G1225&gt;Answers!I1240,G1225&lt;Answers!I1241),"Outlier","Normal")</f>
        <v>Outlier</v>
      </c>
      <c r="M1225" s="18">
        <v>22</v>
      </c>
    </row>
    <row r="1226" spans="1:13" ht="20" customHeight="1" x14ac:dyDescent="0.35">
      <c r="A1226" s="17">
        <v>813822</v>
      </c>
      <c r="B1226" s="18">
        <v>894</v>
      </c>
      <c r="C1226" s="23" t="s">
        <v>101</v>
      </c>
      <c r="D1226" s="27">
        <v>45030.951388888891</v>
      </c>
      <c r="E1226" s="18" t="s">
        <v>133</v>
      </c>
      <c r="F1226" s="18" t="s">
        <v>58</v>
      </c>
      <c r="G1226" s="18">
        <v>3283</v>
      </c>
      <c r="H1226" s="25">
        <f t="shared" si="76"/>
        <v>45030</v>
      </c>
      <c r="I1226" s="26">
        <f t="shared" si="77"/>
        <v>0.95138888889050577</v>
      </c>
      <c r="J1226" s="18" t="str">
        <f t="shared" si="78"/>
        <v>April</v>
      </c>
      <c r="K1226" s="56" t="str">
        <f t="shared" si="79"/>
        <v>Friday</v>
      </c>
      <c r="L1226" s="18" t="str">
        <f>IF(OR(G1226&gt;Answers!I1241,G1226&lt;Answers!I1242),"Outlier","Normal")</f>
        <v>Outlier</v>
      </c>
      <c r="M1226" s="18">
        <v>37</v>
      </c>
    </row>
    <row r="1227" spans="1:13" ht="20" customHeight="1" x14ac:dyDescent="0.35">
      <c r="A1227" s="17">
        <v>814175</v>
      </c>
      <c r="B1227" s="18">
        <v>836</v>
      </c>
      <c r="C1227" s="23" t="s">
        <v>113</v>
      </c>
      <c r="D1227" s="27">
        <v>45015.038194444445</v>
      </c>
      <c r="E1227" s="18" t="s">
        <v>98</v>
      </c>
      <c r="F1227" s="18" t="s">
        <v>59</v>
      </c>
      <c r="G1227" s="18">
        <v>7467</v>
      </c>
      <c r="H1227" s="25">
        <f t="shared" si="76"/>
        <v>45015</v>
      </c>
      <c r="I1227" s="26">
        <f t="shared" si="77"/>
        <v>3.8194444445252884E-2</v>
      </c>
      <c r="J1227" s="18" t="str">
        <f t="shared" si="78"/>
        <v>March</v>
      </c>
      <c r="K1227" s="56" t="str">
        <f t="shared" si="79"/>
        <v>Thursday</v>
      </c>
      <c r="L1227" s="18" t="str">
        <f>IF(OR(G1227&gt;Answers!I1242,G1227&lt;Answers!I1243),"Outlier","Normal")</f>
        <v>Outlier</v>
      </c>
      <c r="M1227" s="18">
        <v>70</v>
      </c>
    </row>
    <row r="1228" spans="1:13" ht="20" customHeight="1" x14ac:dyDescent="0.35">
      <c r="A1228" s="17">
        <v>814705</v>
      </c>
      <c r="B1228" s="18">
        <v>1590</v>
      </c>
      <c r="C1228" s="23" t="s">
        <v>106</v>
      </c>
      <c r="D1228" s="27">
        <v>45024.018750000003</v>
      </c>
      <c r="E1228" s="18" t="s">
        <v>133</v>
      </c>
      <c r="F1228" s="18" t="s">
        <v>37</v>
      </c>
      <c r="G1228" s="18">
        <v>6227</v>
      </c>
      <c r="H1228" s="25">
        <f t="shared" si="76"/>
        <v>45024</v>
      </c>
      <c r="I1228" s="26">
        <f t="shared" si="77"/>
        <v>1.8750000002910383E-2</v>
      </c>
      <c r="J1228" s="18" t="str">
        <f t="shared" si="78"/>
        <v>April</v>
      </c>
      <c r="K1228" s="56" t="str">
        <f t="shared" si="79"/>
        <v>Saturday</v>
      </c>
      <c r="L1228" s="18" t="str">
        <f>IF(OR(G1228&gt;Answers!I1243,G1228&lt;Answers!I1244),"Outlier","Normal")</f>
        <v>Outlier</v>
      </c>
      <c r="M1228" s="18">
        <v>69</v>
      </c>
    </row>
    <row r="1229" spans="1:13" ht="20" customHeight="1" x14ac:dyDescent="0.35">
      <c r="A1229" s="17">
        <v>816536</v>
      </c>
      <c r="B1229" s="18">
        <v>1147</v>
      </c>
      <c r="C1229" s="23" t="s">
        <v>100</v>
      </c>
      <c r="D1229" s="27">
        <v>45180.977777777778</v>
      </c>
      <c r="E1229" s="18" t="s">
        <v>133</v>
      </c>
      <c r="F1229" s="18" t="s">
        <v>27</v>
      </c>
      <c r="G1229" s="18">
        <v>5485</v>
      </c>
      <c r="H1229" s="25">
        <f t="shared" si="76"/>
        <v>45180</v>
      </c>
      <c r="I1229" s="26">
        <f t="shared" si="77"/>
        <v>0.97777777777810115</v>
      </c>
      <c r="J1229" s="18" t="str">
        <f t="shared" si="78"/>
        <v>September</v>
      </c>
      <c r="K1229" s="56" t="str">
        <f t="shared" si="79"/>
        <v>Monday</v>
      </c>
      <c r="L1229" s="18" t="str">
        <f>IF(OR(G1229&gt;Answers!I1244,G1229&lt;Answers!I1245),"Outlier","Normal")</f>
        <v>Outlier</v>
      </c>
      <c r="M1229" s="18">
        <v>53</v>
      </c>
    </row>
    <row r="1230" spans="1:13" ht="20" customHeight="1" x14ac:dyDescent="0.35">
      <c r="A1230" s="17">
        <v>817610</v>
      </c>
      <c r="B1230" s="18">
        <v>493</v>
      </c>
      <c r="C1230" s="23" t="s">
        <v>99</v>
      </c>
      <c r="D1230" s="27">
        <v>44930.98333333333</v>
      </c>
      <c r="E1230" s="18" t="s">
        <v>98</v>
      </c>
      <c r="F1230" s="18" t="s">
        <v>60</v>
      </c>
      <c r="G1230" s="18">
        <v>4047</v>
      </c>
      <c r="H1230" s="25">
        <f t="shared" si="76"/>
        <v>44930</v>
      </c>
      <c r="I1230" s="26">
        <f t="shared" si="77"/>
        <v>0.98333333332993789</v>
      </c>
      <c r="J1230" s="18" t="str">
        <f t="shared" si="78"/>
        <v>January</v>
      </c>
      <c r="K1230" s="56" t="str">
        <f t="shared" si="79"/>
        <v>Wednesday</v>
      </c>
      <c r="L1230" s="18" t="str">
        <f>IF(OR(G1230&gt;Answers!I1245,G1230&lt;Answers!I1246),"Outlier","Normal")</f>
        <v>Outlier</v>
      </c>
      <c r="M1230" s="18">
        <v>82</v>
      </c>
    </row>
    <row r="1231" spans="1:13" ht="20" customHeight="1" x14ac:dyDescent="0.35">
      <c r="A1231" s="17">
        <v>818956</v>
      </c>
      <c r="B1231" s="18">
        <v>857</v>
      </c>
      <c r="C1231" s="23" t="s">
        <v>99</v>
      </c>
      <c r="D1231" s="27">
        <v>45112.023611111108</v>
      </c>
      <c r="E1231" s="18" t="s">
        <v>133</v>
      </c>
      <c r="F1231" s="18" t="s">
        <v>61</v>
      </c>
      <c r="G1231" s="18">
        <v>1268</v>
      </c>
      <c r="H1231" s="25">
        <f t="shared" si="76"/>
        <v>45112</v>
      </c>
      <c r="I1231" s="26">
        <f t="shared" si="77"/>
        <v>2.361111110803904E-2</v>
      </c>
      <c r="J1231" s="18" t="str">
        <f t="shared" si="78"/>
        <v>July</v>
      </c>
      <c r="K1231" s="56" t="str">
        <f t="shared" si="79"/>
        <v>Wednesday</v>
      </c>
      <c r="L1231" s="18" t="str">
        <f>IF(OR(G1231&gt;Answers!I1246,G1231&lt;Answers!I1247),"Outlier","Normal")</f>
        <v>Outlier</v>
      </c>
      <c r="M1231" s="18">
        <v>34</v>
      </c>
    </row>
    <row r="1232" spans="1:13" ht="20" customHeight="1" x14ac:dyDescent="0.35">
      <c r="A1232" s="17">
        <v>821575</v>
      </c>
      <c r="B1232" s="18">
        <v>1215</v>
      </c>
      <c r="C1232" s="23" t="s">
        <v>99</v>
      </c>
      <c r="D1232" s="27">
        <v>44937.037499999999</v>
      </c>
      <c r="E1232" s="18" t="s">
        <v>98</v>
      </c>
      <c r="F1232" s="18" t="s">
        <v>93</v>
      </c>
      <c r="G1232" s="18">
        <v>4655</v>
      </c>
      <c r="H1232" s="25">
        <f t="shared" si="76"/>
        <v>44937</v>
      </c>
      <c r="I1232" s="26">
        <f t="shared" si="77"/>
        <v>3.7499999998544808E-2</v>
      </c>
      <c r="J1232" s="18" t="str">
        <f t="shared" si="78"/>
        <v>January</v>
      </c>
      <c r="K1232" s="56" t="str">
        <f t="shared" si="79"/>
        <v>Wednesday</v>
      </c>
      <c r="L1232" s="18" t="str">
        <f>IF(OR(G1232&gt;Answers!I1247,G1232&lt;Answers!I1248),"Outlier","Normal")</f>
        <v>Outlier</v>
      </c>
      <c r="M1232" s="18">
        <v>33</v>
      </c>
    </row>
    <row r="1233" spans="1:13" ht="20" customHeight="1" x14ac:dyDescent="0.35">
      <c r="A1233" s="17">
        <v>822544</v>
      </c>
      <c r="B1233" s="18">
        <v>1930</v>
      </c>
      <c r="C1233" s="23" t="s">
        <v>99</v>
      </c>
      <c r="D1233" s="27">
        <v>45173.083333333336</v>
      </c>
      <c r="E1233" s="18" t="s">
        <v>98</v>
      </c>
      <c r="F1233" s="18" t="s">
        <v>33</v>
      </c>
      <c r="G1233" s="18">
        <v>708</v>
      </c>
      <c r="H1233" s="25">
        <f t="shared" si="76"/>
        <v>45173</v>
      </c>
      <c r="I1233" s="26">
        <f t="shared" si="77"/>
        <v>8.3333333335758653E-2</v>
      </c>
      <c r="J1233" s="18" t="str">
        <f t="shared" si="78"/>
        <v>September</v>
      </c>
      <c r="K1233" s="56" t="str">
        <f t="shared" si="79"/>
        <v>Monday</v>
      </c>
      <c r="L1233" s="18" t="str">
        <f>IF(OR(G1233&gt;Answers!I1248,G1233&lt;Answers!I1249),"Outlier","Normal")</f>
        <v>Outlier</v>
      </c>
      <c r="M1233" s="18">
        <v>40</v>
      </c>
    </row>
    <row r="1234" spans="1:13" ht="20" customHeight="1" x14ac:dyDescent="0.35">
      <c r="A1234" s="17">
        <v>822906</v>
      </c>
      <c r="B1234" s="18">
        <v>882</v>
      </c>
      <c r="C1234" s="23" t="s">
        <v>106</v>
      </c>
      <c r="D1234" s="27">
        <v>45201.020138888889</v>
      </c>
      <c r="E1234" s="18" t="s">
        <v>97</v>
      </c>
      <c r="F1234" s="18" t="s">
        <v>63</v>
      </c>
      <c r="G1234" s="18">
        <v>8093</v>
      </c>
      <c r="H1234" s="25">
        <f t="shared" si="76"/>
        <v>45201</v>
      </c>
      <c r="I1234" s="26">
        <f t="shared" si="77"/>
        <v>2.0138888889050577E-2</v>
      </c>
      <c r="J1234" s="18" t="str">
        <f t="shared" si="78"/>
        <v>October</v>
      </c>
      <c r="K1234" s="56" t="str">
        <f t="shared" si="79"/>
        <v>Monday</v>
      </c>
      <c r="L1234" s="18" t="str">
        <f>IF(OR(G1234&gt;Answers!I1249,G1234&lt;Answers!I1250),"Outlier","Normal")</f>
        <v>Outlier</v>
      </c>
      <c r="M1234" s="18">
        <v>20</v>
      </c>
    </row>
    <row r="1235" spans="1:13" ht="20" customHeight="1" x14ac:dyDescent="0.35">
      <c r="A1235" s="17">
        <v>823294</v>
      </c>
      <c r="B1235" s="18">
        <v>1466</v>
      </c>
      <c r="C1235" s="23" t="s">
        <v>111</v>
      </c>
      <c r="D1235" s="27">
        <v>45261.96875</v>
      </c>
      <c r="E1235" s="18" t="s">
        <v>97</v>
      </c>
      <c r="F1235" s="18" t="s">
        <v>90</v>
      </c>
      <c r="G1235" s="18">
        <v>255</v>
      </c>
      <c r="H1235" s="25">
        <f t="shared" si="76"/>
        <v>45261</v>
      </c>
      <c r="I1235" s="26">
        <f t="shared" si="77"/>
        <v>0.96875</v>
      </c>
      <c r="J1235" s="18" t="str">
        <f t="shared" si="78"/>
        <v>December</v>
      </c>
      <c r="K1235" s="56" t="str">
        <f t="shared" si="79"/>
        <v>Friday</v>
      </c>
      <c r="L1235" s="18" t="str">
        <f>IF(OR(G1235&gt;Answers!I1250,G1235&lt;Answers!I1251),"Outlier","Normal")</f>
        <v>Outlier</v>
      </c>
      <c r="M1235" s="18">
        <v>39</v>
      </c>
    </row>
    <row r="1236" spans="1:13" ht="20" customHeight="1" x14ac:dyDescent="0.35">
      <c r="A1236" s="17">
        <v>823885</v>
      </c>
      <c r="B1236" s="18">
        <v>687</v>
      </c>
      <c r="C1236" s="23" t="s">
        <v>100</v>
      </c>
      <c r="D1236" s="27">
        <v>45054.044444444444</v>
      </c>
      <c r="E1236" s="18" t="s">
        <v>133</v>
      </c>
      <c r="F1236" s="18" t="s">
        <v>94</v>
      </c>
      <c r="G1236" s="18">
        <v>5519</v>
      </c>
      <c r="H1236" s="25">
        <f t="shared" si="76"/>
        <v>45054</v>
      </c>
      <c r="I1236" s="26">
        <f t="shared" si="77"/>
        <v>4.4444444443797693E-2</v>
      </c>
      <c r="J1236" s="18" t="str">
        <f t="shared" si="78"/>
        <v>May</v>
      </c>
      <c r="K1236" s="56" t="str">
        <f t="shared" si="79"/>
        <v>Monday</v>
      </c>
      <c r="L1236" s="18" t="str">
        <f>IF(OR(G1236&gt;Answers!I1251,G1236&lt;Answers!I1252),"Outlier","Normal")</f>
        <v>Outlier</v>
      </c>
      <c r="M1236" s="18">
        <v>50</v>
      </c>
    </row>
    <row r="1237" spans="1:13" ht="20" customHeight="1" x14ac:dyDescent="0.35">
      <c r="A1237" s="17">
        <v>823894</v>
      </c>
      <c r="B1237" s="18">
        <v>700</v>
      </c>
      <c r="C1237" s="23" t="s">
        <v>99</v>
      </c>
      <c r="D1237" s="27">
        <v>45033.040277777778</v>
      </c>
      <c r="E1237" s="18" t="s">
        <v>98</v>
      </c>
      <c r="F1237" s="18" t="s">
        <v>53</v>
      </c>
      <c r="G1237" s="18">
        <v>1666</v>
      </c>
      <c r="H1237" s="25">
        <f t="shared" si="76"/>
        <v>45033</v>
      </c>
      <c r="I1237" s="26">
        <f t="shared" si="77"/>
        <v>4.0277777778101154E-2</v>
      </c>
      <c r="J1237" s="18" t="str">
        <f t="shared" si="78"/>
        <v>April</v>
      </c>
      <c r="K1237" s="56" t="str">
        <f t="shared" si="79"/>
        <v>Monday</v>
      </c>
      <c r="L1237" s="18" t="str">
        <f>IF(OR(G1237&gt;Answers!I1252,G1237&lt;Answers!I1253),"Outlier","Normal")</f>
        <v>Outlier</v>
      </c>
      <c r="M1237" s="18">
        <v>53</v>
      </c>
    </row>
    <row r="1238" spans="1:13" ht="20" customHeight="1" x14ac:dyDescent="0.35">
      <c r="A1238" s="17">
        <v>824383</v>
      </c>
      <c r="B1238" s="18">
        <v>1728</v>
      </c>
      <c r="C1238" s="23" t="s">
        <v>100</v>
      </c>
      <c r="D1238" s="27">
        <v>44928.033333333333</v>
      </c>
      <c r="E1238" s="18" t="s">
        <v>98</v>
      </c>
      <c r="F1238" s="18" t="s">
        <v>64</v>
      </c>
      <c r="G1238" s="18">
        <v>66</v>
      </c>
      <c r="H1238" s="25">
        <f t="shared" si="76"/>
        <v>44928</v>
      </c>
      <c r="I1238" s="26">
        <f t="shared" si="77"/>
        <v>3.3333333332848269E-2</v>
      </c>
      <c r="J1238" s="18" t="str">
        <f t="shared" si="78"/>
        <v>January</v>
      </c>
      <c r="K1238" s="56" t="str">
        <f t="shared" si="79"/>
        <v>Monday</v>
      </c>
      <c r="L1238" s="18" t="str">
        <f>IF(OR(G1238&gt;Answers!I1253,G1238&lt;Answers!I1254),"Outlier","Normal")</f>
        <v>Outlier</v>
      </c>
      <c r="M1238" s="18">
        <v>27</v>
      </c>
    </row>
    <row r="1239" spans="1:13" ht="20" customHeight="1" x14ac:dyDescent="0.35">
      <c r="A1239" s="17">
        <v>824598</v>
      </c>
      <c r="B1239" s="18">
        <v>189</v>
      </c>
      <c r="C1239" s="23" t="s">
        <v>99</v>
      </c>
      <c r="D1239" s="27">
        <v>45253.03402777778</v>
      </c>
      <c r="E1239" s="18" t="s">
        <v>96</v>
      </c>
      <c r="F1239" s="18" t="s">
        <v>27</v>
      </c>
      <c r="G1239" s="18">
        <v>5989</v>
      </c>
      <c r="H1239" s="25">
        <f t="shared" si="76"/>
        <v>45253</v>
      </c>
      <c r="I1239" s="26">
        <f t="shared" si="77"/>
        <v>3.4027777779556345E-2</v>
      </c>
      <c r="J1239" s="18" t="str">
        <f t="shared" si="78"/>
        <v>November</v>
      </c>
      <c r="K1239" s="56" t="str">
        <f t="shared" si="79"/>
        <v>Thursday</v>
      </c>
      <c r="L1239" s="18" t="str">
        <f>IF(OR(G1239&gt;Answers!I1254,G1239&lt;Answers!I1255),"Outlier","Normal")</f>
        <v>Outlier</v>
      </c>
      <c r="M1239" s="18">
        <v>59</v>
      </c>
    </row>
    <row r="1240" spans="1:13" ht="20" customHeight="1" x14ac:dyDescent="0.35">
      <c r="A1240" s="17">
        <v>825270</v>
      </c>
      <c r="B1240" s="18">
        <v>926</v>
      </c>
      <c r="C1240" s="23" t="s">
        <v>99</v>
      </c>
      <c r="D1240" s="27">
        <v>44939.973611111112</v>
      </c>
      <c r="E1240" s="18" t="s">
        <v>97</v>
      </c>
      <c r="F1240" s="18" t="s">
        <v>5</v>
      </c>
      <c r="G1240" s="18">
        <v>9917</v>
      </c>
      <c r="H1240" s="25">
        <f t="shared" si="76"/>
        <v>44939</v>
      </c>
      <c r="I1240" s="26">
        <f t="shared" si="77"/>
        <v>0.97361111111240461</v>
      </c>
      <c r="J1240" s="18" t="str">
        <f t="shared" si="78"/>
        <v>January</v>
      </c>
      <c r="K1240" s="56" t="str">
        <f t="shared" si="79"/>
        <v>Friday</v>
      </c>
      <c r="L1240" s="18" t="str">
        <f>IF(OR(G1240&gt;Answers!I1255,G1240&lt;Answers!I1256),"Outlier","Normal")</f>
        <v>Outlier</v>
      </c>
      <c r="M1240" s="18">
        <v>19</v>
      </c>
    </row>
    <row r="1241" spans="1:13" ht="20" customHeight="1" x14ac:dyDescent="0.35">
      <c r="A1241" s="17">
        <v>825424</v>
      </c>
      <c r="B1241" s="18">
        <v>916</v>
      </c>
      <c r="C1241" s="23" t="s">
        <v>100</v>
      </c>
      <c r="D1241" s="27">
        <v>45094.034722222219</v>
      </c>
      <c r="E1241" s="18" t="s">
        <v>133</v>
      </c>
      <c r="F1241" s="18" t="s">
        <v>65</v>
      </c>
      <c r="G1241" s="18">
        <v>7143</v>
      </c>
      <c r="H1241" s="25">
        <f t="shared" si="76"/>
        <v>45094</v>
      </c>
      <c r="I1241" s="26">
        <f t="shared" si="77"/>
        <v>3.4722222218988463E-2</v>
      </c>
      <c r="J1241" s="18" t="str">
        <f t="shared" si="78"/>
        <v>June</v>
      </c>
      <c r="K1241" s="56" t="str">
        <f t="shared" si="79"/>
        <v>Saturday</v>
      </c>
      <c r="L1241" s="18" t="str">
        <f>IF(OR(G1241&gt;Answers!I1256,G1241&lt;Answers!I1257),"Outlier","Normal")</f>
        <v>Outlier</v>
      </c>
      <c r="M1241" s="18">
        <v>61</v>
      </c>
    </row>
    <row r="1242" spans="1:13" ht="20" customHeight="1" x14ac:dyDescent="0.35">
      <c r="A1242" s="17">
        <v>829148</v>
      </c>
      <c r="B1242" s="18">
        <v>1294</v>
      </c>
      <c r="C1242" s="23" t="s">
        <v>100</v>
      </c>
      <c r="D1242" s="27">
        <v>44943.023611111108</v>
      </c>
      <c r="E1242" s="18" t="s">
        <v>133</v>
      </c>
      <c r="F1242" s="18" t="s">
        <v>91</v>
      </c>
      <c r="G1242" s="18">
        <v>2908</v>
      </c>
      <c r="H1242" s="25">
        <f t="shared" si="76"/>
        <v>44943</v>
      </c>
      <c r="I1242" s="26">
        <f t="shared" si="77"/>
        <v>2.361111110803904E-2</v>
      </c>
      <c r="J1242" s="18" t="str">
        <f t="shared" si="78"/>
        <v>January</v>
      </c>
      <c r="K1242" s="56" t="str">
        <f t="shared" si="79"/>
        <v>Tuesday</v>
      </c>
      <c r="L1242" s="18" t="str">
        <f>IF(OR(G1242&gt;Answers!I1257,G1242&lt;Answers!I1258),"Outlier","Normal")</f>
        <v>Outlier</v>
      </c>
      <c r="M1242" s="18">
        <v>54</v>
      </c>
    </row>
    <row r="1243" spans="1:13" ht="20" customHeight="1" x14ac:dyDescent="0.35">
      <c r="A1243" s="17">
        <v>829375</v>
      </c>
      <c r="B1243" s="18">
        <v>956</v>
      </c>
      <c r="C1243" s="23" t="s">
        <v>100</v>
      </c>
      <c r="D1243" s="27">
        <v>45183.011111111111</v>
      </c>
      <c r="E1243" s="18" t="s">
        <v>96</v>
      </c>
      <c r="F1243" s="18" t="s">
        <v>27</v>
      </c>
      <c r="G1243" s="18">
        <v>1515</v>
      </c>
      <c r="H1243" s="25">
        <f t="shared" si="76"/>
        <v>45183</v>
      </c>
      <c r="I1243" s="26">
        <f t="shared" si="77"/>
        <v>1.1111111110949423E-2</v>
      </c>
      <c r="J1243" s="18" t="str">
        <f t="shared" si="78"/>
        <v>September</v>
      </c>
      <c r="K1243" s="56" t="str">
        <f t="shared" si="79"/>
        <v>Thursday</v>
      </c>
      <c r="L1243" s="18" t="str">
        <f>IF(OR(G1243&gt;Answers!I1258,G1243&lt;Answers!I1259),"Outlier","Normal")</f>
        <v>Outlier</v>
      </c>
      <c r="M1243" s="18">
        <v>27</v>
      </c>
    </row>
    <row r="1244" spans="1:13" ht="20" customHeight="1" x14ac:dyDescent="0.35">
      <c r="A1244" s="17">
        <v>831130</v>
      </c>
      <c r="B1244" s="18">
        <v>315</v>
      </c>
      <c r="C1244" s="23" t="s">
        <v>113</v>
      </c>
      <c r="D1244" s="27">
        <v>45180.024305555555</v>
      </c>
      <c r="E1244" s="18" t="s">
        <v>98</v>
      </c>
      <c r="F1244" s="18" t="s">
        <v>30</v>
      </c>
      <c r="G1244" s="18">
        <v>7205</v>
      </c>
      <c r="H1244" s="25">
        <f t="shared" si="76"/>
        <v>45180</v>
      </c>
      <c r="I1244" s="26">
        <f t="shared" si="77"/>
        <v>2.4305555554747116E-2</v>
      </c>
      <c r="J1244" s="18" t="str">
        <f t="shared" si="78"/>
        <v>September</v>
      </c>
      <c r="K1244" s="56" t="str">
        <f t="shared" si="79"/>
        <v>Monday</v>
      </c>
      <c r="L1244" s="18" t="str">
        <f>IF(OR(G1244&gt;Answers!I1259,G1244&lt;Answers!I1260),"Outlier","Normal")</f>
        <v>Outlier</v>
      </c>
      <c r="M1244" s="18">
        <v>85</v>
      </c>
    </row>
    <row r="1245" spans="1:13" ht="20" customHeight="1" x14ac:dyDescent="0.35">
      <c r="A1245" s="17">
        <v>831821</v>
      </c>
      <c r="B1245" s="18">
        <v>609</v>
      </c>
      <c r="C1245" s="23" t="s">
        <v>99</v>
      </c>
      <c r="D1245" s="27">
        <v>45069.024305555555</v>
      </c>
      <c r="E1245" s="18" t="s">
        <v>97</v>
      </c>
      <c r="F1245" s="18" t="s">
        <v>78</v>
      </c>
      <c r="G1245" s="18">
        <v>1827</v>
      </c>
      <c r="H1245" s="25">
        <f t="shared" si="76"/>
        <v>45069</v>
      </c>
      <c r="I1245" s="26">
        <f t="shared" si="77"/>
        <v>2.4305555554747116E-2</v>
      </c>
      <c r="J1245" s="18" t="str">
        <f t="shared" si="78"/>
        <v>May</v>
      </c>
      <c r="K1245" s="56" t="str">
        <f t="shared" si="79"/>
        <v>Tuesday</v>
      </c>
      <c r="L1245" s="18" t="str">
        <f>IF(OR(G1245&gt;Answers!I1260,G1245&lt;Answers!I1261),"Outlier","Normal")</f>
        <v>Outlier</v>
      </c>
      <c r="M1245" s="18">
        <v>87</v>
      </c>
    </row>
    <row r="1246" spans="1:13" ht="20" customHeight="1" x14ac:dyDescent="0.35">
      <c r="A1246" s="17">
        <v>831974</v>
      </c>
      <c r="B1246" s="18">
        <v>548</v>
      </c>
      <c r="C1246" s="23" t="s">
        <v>99</v>
      </c>
      <c r="D1246" s="27">
        <v>45286.037499999999</v>
      </c>
      <c r="E1246" s="18" t="s">
        <v>98</v>
      </c>
      <c r="F1246" s="18" t="s">
        <v>43</v>
      </c>
      <c r="G1246" s="18">
        <v>6182</v>
      </c>
      <c r="H1246" s="25">
        <f t="shared" si="76"/>
        <v>45286</v>
      </c>
      <c r="I1246" s="26">
        <f t="shared" si="77"/>
        <v>3.7499999998544808E-2</v>
      </c>
      <c r="J1246" s="18" t="str">
        <f t="shared" si="78"/>
        <v>December</v>
      </c>
      <c r="K1246" s="56" t="str">
        <f t="shared" si="79"/>
        <v>Tuesday</v>
      </c>
      <c r="L1246" s="18" t="str">
        <f>IF(OR(G1246&gt;Answers!I1261,G1246&lt;Answers!I1262),"Outlier","Normal")</f>
        <v>Outlier</v>
      </c>
      <c r="M1246" s="18">
        <v>48</v>
      </c>
    </row>
    <row r="1247" spans="1:13" ht="20" customHeight="1" x14ac:dyDescent="0.35">
      <c r="A1247" s="17">
        <v>832154</v>
      </c>
      <c r="B1247" s="18">
        <v>1586</v>
      </c>
      <c r="C1247" s="23" t="s">
        <v>100</v>
      </c>
      <c r="D1247" s="27">
        <v>45061.039583333331</v>
      </c>
      <c r="E1247" s="18" t="s">
        <v>96</v>
      </c>
      <c r="F1247" s="18" t="s">
        <v>32</v>
      </c>
      <c r="G1247" s="18">
        <v>1928</v>
      </c>
      <c r="H1247" s="25">
        <f t="shared" si="76"/>
        <v>45061</v>
      </c>
      <c r="I1247" s="26">
        <f t="shared" si="77"/>
        <v>3.9583333331393078E-2</v>
      </c>
      <c r="J1247" s="18" t="str">
        <f t="shared" si="78"/>
        <v>May</v>
      </c>
      <c r="K1247" s="56" t="str">
        <f t="shared" si="79"/>
        <v>Monday</v>
      </c>
      <c r="L1247" s="18" t="str">
        <f>IF(OR(G1247&gt;Answers!I1262,G1247&lt;Answers!I1263),"Outlier","Normal")</f>
        <v>Outlier</v>
      </c>
      <c r="M1247" s="18">
        <v>42</v>
      </c>
    </row>
    <row r="1248" spans="1:13" ht="20" customHeight="1" x14ac:dyDescent="0.35">
      <c r="A1248" s="17">
        <v>832361</v>
      </c>
      <c r="B1248" s="18">
        <v>1891</v>
      </c>
      <c r="C1248" s="23" t="s">
        <v>106</v>
      </c>
      <c r="D1248" s="27">
        <v>44982.034722222219</v>
      </c>
      <c r="E1248" s="18" t="s">
        <v>96</v>
      </c>
      <c r="F1248" s="18" t="s">
        <v>30</v>
      </c>
      <c r="G1248" s="18">
        <v>6245</v>
      </c>
      <c r="H1248" s="25">
        <f t="shared" si="76"/>
        <v>44982</v>
      </c>
      <c r="I1248" s="26">
        <f t="shared" si="77"/>
        <v>3.4722222218988463E-2</v>
      </c>
      <c r="J1248" s="18" t="str">
        <f t="shared" si="78"/>
        <v>February</v>
      </c>
      <c r="K1248" s="56" t="str">
        <f t="shared" si="79"/>
        <v>Saturday</v>
      </c>
      <c r="L1248" s="18" t="str">
        <f>IF(OR(G1248&gt;Answers!I1263,G1248&lt;Answers!I1264),"Outlier","Normal")</f>
        <v>Outlier</v>
      </c>
      <c r="M1248" s="18">
        <v>54</v>
      </c>
    </row>
    <row r="1249" spans="1:13" ht="20" customHeight="1" x14ac:dyDescent="0.35">
      <c r="A1249" s="17">
        <v>832627</v>
      </c>
      <c r="B1249" s="18">
        <v>1634</v>
      </c>
      <c r="C1249" s="23" t="s">
        <v>105</v>
      </c>
      <c r="D1249" s="27">
        <v>45095.99722222222</v>
      </c>
      <c r="E1249" s="18" t="s">
        <v>96</v>
      </c>
      <c r="F1249" s="18" t="s">
        <v>74</v>
      </c>
      <c r="G1249" s="18">
        <v>1375</v>
      </c>
      <c r="H1249" s="25">
        <f t="shared" si="76"/>
        <v>45095</v>
      </c>
      <c r="I1249" s="26">
        <f t="shared" si="77"/>
        <v>0.99722222222044365</v>
      </c>
      <c r="J1249" s="18" t="str">
        <f t="shared" si="78"/>
        <v>June</v>
      </c>
      <c r="K1249" s="56" t="str">
        <f t="shared" si="79"/>
        <v>Sunday</v>
      </c>
      <c r="L1249" s="18" t="str">
        <f>IF(OR(G1249&gt;Answers!I1264,G1249&lt;Answers!I1265),"Outlier","Normal")</f>
        <v>Outlier</v>
      </c>
      <c r="M1249" s="18">
        <v>34</v>
      </c>
    </row>
    <row r="1250" spans="1:13" ht="20" customHeight="1" x14ac:dyDescent="0.35">
      <c r="A1250" s="17">
        <v>833286</v>
      </c>
      <c r="B1250" s="18">
        <v>1797</v>
      </c>
      <c r="C1250" s="23" t="s">
        <v>99</v>
      </c>
      <c r="D1250" s="27">
        <v>45276.987500000003</v>
      </c>
      <c r="E1250" s="18" t="s">
        <v>133</v>
      </c>
      <c r="F1250" s="18" t="s">
        <v>54</v>
      </c>
      <c r="G1250" s="18">
        <v>1274</v>
      </c>
      <c r="H1250" s="25">
        <f t="shared" si="76"/>
        <v>45276</v>
      </c>
      <c r="I1250" s="26">
        <f t="shared" si="77"/>
        <v>0.98750000000291038</v>
      </c>
      <c r="J1250" s="18" t="str">
        <f t="shared" si="78"/>
        <v>December</v>
      </c>
      <c r="K1250" s="56" t="str">
        <f t="shared" si="79"/>
        <v>Saturday</v>
      </c>
      <c r="L1250" s="18" t="str">
        <f>IF(OR(G1250&gt;Answers!I1265,G1250&lt;Answers!I1266),"Outlier","Normal")</f>
        <v>Outlier</v>
      </c>
      <c r="M1250" s="18">
        <v>45</v>
      </c>
    </row>
    <row r="1251" spans="1:13" ht="20" customHeight="1" x14ac:dyDescent="0.35">
      <c r="A1251" s="17">
        <v>833957</v>
      </c>
      <c r="B1251" s="18">
        <v>1398</v>
      </c>
      <c r="C1251" s="23" t="s">
        <v>108</v>
      </c>
      <c r="D1251" s="27">
        <v>45284.012499999997</v>
      </c>
      <c r="E1251" s="18" t="s">
        <v>98</v>
      </c>
      <c r="F1251" s="18" t="s">
        <v>38</v>
      </c>
      <c r="G1251" s="18">
        <v>4953</v>
      </c>
      <c r="H1251" s="25">
        <f t="shared" si="76"/>
        <v>45284</v>
      </c>
      <c r="I1251" s="26">
        <f t="shared" si="77"/>
        <v>1.2499999997089617E-2</v>
      </c>
      <c r="J1251" s="18" t="str">
        <f t="shared" si="78"/>
        <v>December</v>
      </c>
      <c r="K1251" s="56" t="str">
        <f t="shared" si="79"/>
        <v>Sunday</v>
      </c>
      <c r="L1251" s="18" t="str">
        <f>IF(OR(G1251&gt;Answers!I1266,G1251&lt;Answers!I1267),"Outlier","Normal")</f>
        <v>Outlier</v>
      </c>
      <c r="M1251" s="18">
        <v>44</v>
      </c>
    </row>
    <row r="1252" spans="1:13" ht="20" customHeight="1" x14ac:dyDescent="0.35">
      <c r="A1252" s="17">
        <v>834746</v>
      </c>
      <c r="B1252" s="18">
        <v>1204</v>
      </c>
      <c r="C1252" s="23" t="s">
        <v>99</v>
      </c>
      <c r="D1252" s="27">
        <v>44999.035416666666</v>
      </c>
      <c r="E1252" s="18" t="s">
        <v>133</v>
      </c>
      <c r="F1252" s="18" t="s">
        <v>68</v>
      </c>
      <c r="G1252" s="18">
        <v>3237</v>
      </c>
      <c r="H1252" s="25">
        <f t="shared" si="76"/>
        <v>44999</v>
      </c>
      <c r="I1252" s="26">
        <f t="shared" si="77"/>
        <v>3.5416666665696539E-2</v>
      </c>
      <c r="J1252" s="18" t="str">
        <f t="shared" si="78"/>
        <v>March</v>
      </c>
      <c r="K1252" s="56" t="str">
        <f t="shared" si="79"/>
        <v>Tuesday</v>
      </c>
      <c r="L1252" s="18" t="str">
        <f>IF(OR(G1252&gt;Answers!I1267,G1252&lt;Answers!I1268),"Outlier","Normal")</f>
        <v>Outlier</v>
      </c>
      <c r="M1252" s="18">
        <v>89</v>
      </c>
    </row>
    <row r="1253" spans="1:13" ht="20" customHeight="1" x14ac:dyDescent="0.35">
      <c r="A1253" s="17">
        <v>835376</v>
      </c>
      <c r="B1253" s="18">
        <v>1936</v>
      </c>
      <c r="C1253" s="23" t="s">
        <v>101</v>
      </c>
      <c r="D1253" s="27">
        <v>45008.015277777777</v>
      </c>
      <c r="E1253" s="18" t="s">
        <v>97</v>
      </c>
      <c r="F1253" s="18" t="s">
        <v>79</v>
      </c>
      <c r="G1253" s="18">
        <v>6418</v>
      </c>
      <c r="H1253" s="25">
        <f t="shared" si="76"/>
        <v>45008</v>
      </c>
      <c r="I1253" s="26">
        <f t="shared" si="77"/>
        <v>1.5277777776645962E-2</v>
      </c>
      <c r="J1253" s="18" t="str">
        <f t="shared" si="78"/>
        <v>March</v>
      </c>
      <c r="K1253" s="56" t="str">
        <f t="shared" si="79"/>
        <v>Thursday</v>
      </c>
      <c r="L1253" s="18" t="str">
        <f>IF(OR(G1253&gt;Answers!I1268,G1253&lt;Answers!I1269),"Outlier","Normal")</f>
        <v>Outlier</v>
      </c>
      <c r="M1253" s="18">
        <v>78</v>
      </c>
    </row>
    <row r="1254" spans="1:13" ht="20" customHeight="1" x14ac:dyDescent="0.35">
      <c r="A1254" s="17">
        <v>837272</v>
      </c>
      <c r="B1254" s="18">
        <v>924</v>
      </c>
      <c r="C1254" s="23" t="s">
        <v>113</v>
      </c>
      <c r="D1254" s="27">
        <v>45023.038194444445</v>
      </c>
      <c r="E1254" s="18" t="s">
        <v>97</v>
      </c>
      <c r="F1254" s="18" t="s">
        <v>76</v>
      </c>
      <c r="G1254" s="18">
        <v>3774</v>
      </c>
      <c r="H1254" s="25">
        <f t="shared" si="76"/>
        <v>45023</v>
      </c>
      <c r="I1254" s="26">
        <f t="shared" si="77"/>
        <v>3.8194444445252884E-2</v>
      </c>
      <c r="J1254" s="18" t="str">
        <f t="shared" si="78"/>
        <v>April</v>
      </c>
      <c r="K1254" s="56" t="str">
        <f t="shared" si="79"/>
        <v>Friday</v>
      </c>
      <c r="L1254" s="18" t="str">
        <f>IF(OR(G1254&gt;Answers!I1269,G1254&lt;Answers!I1270),"Outlier","Normal")</f>
        <v>Outlier</v>
      </c>
      <c r="M1254" s="18">
        <v>64</v>
      </c>
    </row>
    <row r="1255" spans="1:13" ht="20" customHeight="1" x14ac:dyDescent="0.35">
      <c r="A1255" s="17">
        <v>837273</v>
      </c>
      <c r="B1255" s="18">
        <v>226</v>
      </c>
      <c r="C1255" s="23" t="s">
        <v>99</v>
      </c>
      <c r="D1255" s="27">
        <v>45273.977777777778</v>
      </c>
      <c r="E1255" s="18" t="s">
        <v>96</v>
      </c>
      <c r="F1255" s="18" t="s">
        <v>77</v>
      </c>
      <c r="G1255" s="18">
        <v>2647</v>
      </c>
      <c r="H1255" s="25">
        <f t="shared" si="76"/>
        <v>45273</v>
      </c>
      <c r="I1255" s="26">
        <f t="shared" si="77"/>
        <v>0.97777777777810115</v>
      </c>
      <c r="J1255" s="18" t="str">
        <f t="shared" si="78"/>
        <v>December</v>
      </c>
      <c r="K1255" s="56" t="str">
        <f t="shared" si="79"/>
        <v>Wednesday</v>
      </c>
      <c r="L1255" s="18" t="str">
        <f>IF(OR(G1255&gt;Answers!I1270,G1255&lt;Answers!I1271),"Outlier","Normal")</f>
        <v>Outlier</v>
      </c>
      <c r="M1255" s="18">
        <v>31</v>
      </c>
    </row>
    <row r="1256" spans="1:13" ht="20" customHeight="1" x14ac:dyDescent="0.35">
      <c r="A1256" s="17">
        <v>837435</v>
      </c>
      <c r="B1256" s="18">
        <v>670</v>
      </c>
      <c r="C1256" s="23" t="s">
        <v>101</v>
      </c>
      <c r="D1256" s="27">
        <v>45173.994444444441</v>
      </c>
      <c r="E1256" s="18" t="s">
        <v>133</v>
      </c>
      <c r="F1256" s="18" t="s">
        <v>22</v>
      </c>
      <c r="G1256" s="18">
        <v>4671</v>
      </c>
      <c r="H1256" s="25">
        <f t="shared" si="76"/>
        <v>45173</v>
      </c>
      <c r="I1256" s="26">
        <f t="shared" si="77"/>
        <v>0.99444444444088731</v>
      </c>
      <c r="J1256" s="18" t="str">
        <f t="shared" si="78"/>
        <v>September</v>
      </c>
      <c r="K1256" s="56" t="str">
        <f t="shared" si="79"/>
        <v>Monday</v>
      </c>
      <c r="L1256" s="18" t="str">
        <f>IF(OR(G1256&gt;Answers!I1271,G1256&lt;Answers!I1272),"Outlier","Normal")</f>
        <v>Outlier</v>
      </c>
      <c r="M1256" s="18">
        <v>57</v>
      </c>
    </row>
    <row r="1257" spans="1:13" ht="20" customHeight="1" x14ac:dyDescent="0.35">
      <c r="A1257" s="17">
        <v>837592</v>
      </c>
      <c r="B1257" s="18">
        <v>1839</v>
      </c>
      <c r="C1257" s="23" t="s">
        <v>109</v>
      </c>
      <c r="D1257" s="27">
        <v>44932.078472222223</v>
      </c>
      <c r="E1257" s="18" t="s">
        <v>97</v>
      </c>
      <c r="F1257" s="18" t="s">
        <v>43</v>
      </c>
      <c r="G1257" s="18">
        <v>4917</v>
      </c>
      <c r="H1257" s="25">
        <f t="shared" si="76"/>
        <v>44932</v>
      </c>
      <c r="I1257" s="26">
        <f t="shared" si="77"/>
        <v>7.8472222223354038E-2</v>
      </c>
      <c r="J1257" s="18" t="str">
        <f t="shared" si="78"/>
        <v>January</v>
      </c>
      <c r="K1257" s="56" t="str">
        <f t="shared" si="79"/>
        <v>Friday</v>
      </c>
      <c r="L1257" s="18" t="str">
        <f>IF(OR(G1257&gt;Answers!I1272,G1257&lt;Answers!I1273),"Outlier","Normal")</f>
        <v>Outlier</v>
      </c>
      <c r="M1257" s="18">
        <v>33</v>
      </c>
    </row>
    <row r="1258" spans="1:13" ht="20" customHeight="1" x14ac:dyDescent="0.35">
      <c r="A1258" s="17">
        <v>837731</v>
      </c>
      <c r="B1258" s="18">
        <v>783</v>
      </c>
      <c r="C1258" s="23" t="s">
        <v>99</v>
      </c>
      <c r="D1258" s="27">
        <v>45166.970833333333</v>
      </c>
      <c r="E1258" s="18" t="s">
        <v>96</v>
      </c>
      <c r="F1258" s="18" t="s">
        <v>4</v>
      </c>
      <c r="G1258" s="18">
        <v>3632</v>
      </c>
      <c r="H1258" s="25">
        <f t="shared" si="76"/>
        <v>45166</v>
      </c>
      <c r="I1258" s="26">
        <f t="shared" si="77"/>
        <v>0.97083333333284827</v>
      </c>
      <c r="J1258" s="18" t="str">
        <f t="shared" si="78"/>
        <v>August</v>
      </c>
      <c r="K1258" s="56" t="str">
        <f t="shared" si="79"/>
        <v>Monday</v>
      </c>
      <c r="L1258" s="18" t="str">
        <f>IF(OR(G1258&gt;Answers!I1273,G1258&lt;Answers!I1274),"Outlier","Normal")</f>
        <v>Outlier</v>
      </c>
      <c r="M1258" s="18">
        <v>42</v>
      </c>
    </row>
    <row r="1259" spans="1:13" ht="20" customHeight="1" x14ac:dyDescent="0.35">
      <c r="A1259" s="17">
        <v>839161</v>
      </c>
      <c r="B1259" s="18">
        <v>1055</v>
      </c>
      <c r="C1259" s="23" t="s">
        <v>113</v>
      </c>
      <c r="D1259" s="27">
        <v>45160.030555555553</v>
      </c>
      <c r="E1259" s="18" t="s">
        <v>97</v>
      </c>
      <c r="F1259" s="18" t="s">
        <v>81</v>
      </c>
      <c r="G1259" s="18">
        <v>9736</v>
      </c>
      <c r="H1259" s="25">
        <f t="shared" si="76"/>
        <v>45160</v>
      </c>
      <c r="I1259" s="26">
        <f t="shared" si="77"/>
        <v>3.0555555553291924E-2</v>
      </c>
      <c r="J1259" s="18" t="str">
        <f t="shared" si="78"/>
        <v>August</v>
      </c>
      <c r="K1259" s="56" t="str">
        <f t="shared" si="79"/>
        <v>Tuesday</v>
      </c>
      <c r="L1259" s="18" t="str">
        <f>IF(OR(G1259&gt;Answers!I1274,G1259&lt;Answers!I1275),"Outlier","Normal")</f>
        <v>Outlier</v>
      </c>
      <c r="M1259" s="18">
        <v>21</v>
      </c>
    </row>
    <row r="1260" spans="1:13" ht="20" customHeight="1" x14ac:dyDescent="0.35">
      <c r="A1260" s="17">
        <v>840518</v>
      </c>
      <c r="B1260" s="18">
        <v>1150</v>
      </c>
      <c r="C1260" s="23" t="s">
        <v>99</v>
      </c>
      <c r="D1260" s="27">
        <v>45194.972222222219</v>
      </c>
      <c r="E1260" s="18" t="s">
        <v>96</v>
      </c>
      <c r="F1260" s="18" t="s">
        <v>82</v>
      </c>
      <c r="G1260" s="18">
        <v>4427</v>
      </c>
      <c r="H1260" s="25">
        <f t="shared" si="76"/>
        <v>45194</v>
      </c>
      <c r="I1260" s="26">
        <f t="shared" si="77"/>
        <v>0.97222222221898846</v>
      </c>
      <c r="J1260" s="18" t="str">
        <f t="shared" si="78"/>
        <v>September</v>
      </c>
      <c r="K1260" s="56" t="str">
        <f t="shared" si="79"/>
        <v>Monday</v>
      </c>
      <c r="L1260" s="18" t="str">
        <f>IF(OR(G1260&gt;Answers!I1275,G1260&lt;Answers!I1276),"Outlier","Normal")</f>
        <v>Outlier</v>
      </c>
      <c r="M1260" s="18">
        <v>77</v>
      </c>
    </row>
    <row r="1261" spans="1:13" ht="20" customHeight="1" x14ac:dyDescent="0.35">
      <c r="A1261" s="17">
        <v>840743</v>
      </c>
      <c r="B1261" s="18">
        <v>736</v>
      </c>
      <c r="C1261" s="23" t="s">
        <v>99</v>
      </c>
      <c r="D1261" s="27">
        <v>45231.975694444445</v>
      </c>
      <c r="E1261" s="18" t="s">
        <v>98</v>
      </c>
      <c r="F1261" s="18" t="s">
        <v>15</v>
      </c>
      <c r="G1261" s="18">
        <v>3437</v>
      </c>
      <c r="H1261" s="25">
        <f t="shared" si="76"/>
        <v>45231</v>
      </c>
      <c r="I1261" s="26">
        <f t="shared" si="77"/>
        <v>0.97569444444525288</v>
      </c>
      <c r="J1261" s="18" t="str">
        <f t="shared" si="78"/>
        <v>November</v>
      </c>
      <c r="K1261" s="56" t="str">
        <f t="shared" si="79"/>
        <v>Wednesday</v>
      </c>
      <c r="L1261" s="18" t="str">
        <f>IF(OR(G1261&gt;Answers!I1276,G1261&lt;Answers!I1277),"Outlier","Normal")</f>
        <v>Outlier</v>
      </c>
      <c r="M1261" s="18">
        <v>50</v>
      </c>
    </row>
    <row r="1262" spans="1:13" ht="20" customHeight="1" x14ac:dyDescent="0.35">
      <c r="A1262" s="17">
        <v>841079</v>
      </c>
      <c r="B1262" s="18">
        <v>1350</v>
      </c>
      <c r="C1262" s="23" t="s">
        <v>105</v>
      </c>
      <c r="D1262" s="27">
        <v>45110.056944444441</v>
      </c>
      <c r="E1262" s="18" t="s">
        <v>96</v>
      </c>
      <c r="F1262" s="18" t="s">
        <v>31</v>
      </c>
      <c r="G1262" s="18">
        <v>9133</v>
      </c>
      <c r="H1262" s="25">
        <f t="shared" si="76"/>
        <v>45110</v>
      </c>
      <c r="I1262" s="26">
        <f t="shared" si="77"/>
        <v>5.694444444088731E-2</v>
      </c>
      <c r="J1262" s="18" t="str">
        <f t="shared" si="78"/>
        <v>July</v>
      </c>
      <c r="K1262" s="56" t="str">
        <f t="shared" si="79"/>
        <v>Monday</v>
      </c>
      <c r="L1262" s="18" t="str">
        <f>IF(OR(G1262&gt;Answers!I1277,G1262&lt;Answers!I1278),"Outlier","Normal")</f>
        <v>Outlier</v>
      </c>
      <c r="M1262" s="18">
        <v>51</v>
      </c>
    </row>
    <row r="1263" spans="1:13" ht="20" customHeight="1" x14ac:dyDescent="0.35">
      <c r="A1263" s="17">
        <v>841572</v>
      </c>
      <c r="B1263" s="18">
        <v>622</v>
      </c>
      <c r="C1263" s="23" t="s">
        <v>113</v>
      </c>
      <c r="D1263" s="27">
        <v>44985.941666666666</v>
      </c>
      <c r="E1263" s="18" t="s">
        <v>97</v>
      </c>
      <c r="F1263" s="18" t="s">
        <v>78</v>
      </c>
      <c r="G1263" s="18">
        <v>7748</v>
      </c>
      <c r="H1263" s="25">
        <f t="shared" si="76"/>
        <v>44985</v>
      </c>
      <c r="I1263" s="26">
        <f t="shared" si="77"/>
        <v>0.94166666666569654</v>
      </c>
      <c r="J1263" s="18" t="str">
        <f t="shared" si="78"/>
        <v>February</v>
      </c>
      <c r="K1263" s="56" t="str">
        <f t="shared" si="79"/>
        <v>Tuesday</v>
      </c>
      <c r="L1263" s="18" t="str">
        <f>IF(OR(G1263&gt;Answers!I1278,G1263&lt;Answers!I1279),"Outlier","Normal")</f>
        <v>Outlier</v>
      </c>
      <c r="M1263" s="18">
        <v>71</v>
      </c>
    </row>
    <row r="1264" spans="1:13" ht="20" customHeight="1" x14ac:dyDescent="0.35">
      <c r="A1264" s="17">
        <v>844238</v>
      </c>
      <c r="B1264" s="18">
        <v>16</v>
      </c>
      <c r="C1264" s="23" t="s">
        <v>103</v>
      </c>
      <c r="D1264" s="27">
        <v>45131.027777777781</v>
      </c>
      <c r="E1264" s="18" t="s">
        <v>97</v>
      </c>
      <c r="F1264" s="18" t="s">
        <v>27</v>
      </c>
      <c r="G1264" s="18">
        <v>4887</v>
      </c>
      <c r="H1264" s="25">
        <f t="shared" si="76"/>
        <v>45131</v>
      </c>
      <c r="I1264" s="26">
        <f t="shared" si="77"/>
        <v>2.7777777781011537E-2</v>
      </c>
      <c r="J1264" s="18" t="str">
        <f t="shared" si="78"/>
        <v>July</v>
      </c>
      <c r="K1264" s="56" t="str">
        <f t="shared" si="79"/>
        <v>Monday</v>
      </c>
      <c r="L1264" s="18" t="str">
        <f>IF(OR(G1264&gt;Answers!I1279,G1264&lt;Answers!I1280),"Outlier","Normal")</f>
        <v>Outlier</v>
      </c>
      <c r="M1264" s="18">
        <v>81</v>
      </c>
    </row>
    <row r="1265" spans="1:13" ht="20" customHeight="1" x14ac:dyDescent="0.35">
      <c r="A1265" s="17">
        <v>844243</v>
      </c>
      <c r="B1265" s="18">
        <v>1897</v>
      </c>
      <c r="C1265" s="23" t="s">
        <v>99</v>
      </c>
      <c r="D1265" s="27">
        <v>45156.940972222219</v>
      </c>
      <c r="E1265" s="18" t="s">
        <v>98</v>
      </c>
      <c r="F1265" s="18" t="s">
        <v>39</v>
      </c>
      <c r="G1265" s="18">
        <v>911</v>
      </c>
      <c r="H1265" s="25">
        <f t="shared" si="76"/>
        <v>45156</v>
      </c>
      <c r="I1265" s="26">
        <f t="shared" si="77"/>
        <v>0.94097222221898846</v>
      </c>
      <c r="J1265" s="18" t="str">
        <f t="shared" si="78"/>
        <v>August</v>
      </c>
      <c r="K1265" s="56" t="str">
        <f t="shared" si="79"/>
        <v>Friday</v>
      </c>
      <c r="L1265" s="18" t="str">
        <f>IF(OR(G1265&gt;Answers!I1280,G1265&lt;Answers!I1281),"Outlier","Normal")</f>
        <v>Outlier</v>
      </c>
      <c r="M1265" s="18">
        <v>28</v>
      </c>
    </row>
    <row r="1266" spans="1:13" ht="20" customHeight="1" x14ac:dyDescent="0.35">
      <c r="A1266" s="17">
        <v>844669</v>
      </c>
      <c r="B1266" s="18">
        <v>1599</v>
      </c>
      <c r="C1266" s="23" t="s">
        <v>99</v>
      </c>
      <c r="D1266" s="27">
        <v>45202.003472222219</v>
      </c>
      <c r="E1266" s="18" t="s">
        <v>98</v>
      </c>
      <c r="F1266" s="18" t="s">
        <v>27</v>
      </c>
      <c r="G1266" s="18">
        <v>3252</v>
      </c>
      <c r="H1266" s="25">
        <f t="shared" si="76"/>
        <v>45202</v>
      </c>
      <c r="I1266" s="26">
        <f t="shared" si="77"/>
        <v>3.4722222189884633E-3</v>
      </c>
      <c r="J1266" s="18" t="str">
        <f t="shared" si="78"/>
        <v>October</v>
      </c>
      <c r="K1266" s="56" t="str">
        <f t="shared" si="79"/>
        <v>Tuesday</v>
      </c>
      <c r="L1266" s="18" t="str">
        <f>IF(OR(G1266&gt;Answers!I1281,G1266&lt;Answers!I1282),"Outlier","Normal")</f>
        <v>Outlier</v>
      </c>
      <c r="M1266" s="18">
        <v>81</v>
      </c>
    </row>
    <row r="1267" spans="1:13" ht="20" customHeight="1" x14ac:dyDescent="0.35">
      <c r="A1267" s="17">
        <v>844797</v>
      </c>
      <c r="B1267" s="18">
        <v>1785</v>
      </c>
      <c r="C1267" s="23" t="s">
        <v>106</v>
      </c>
      <c r="D1267" s="27">
        <v>45231.07916666667</v>
      </c>
      <c r="E1267" s="18" t="s">
        <v>133</v>
      </c>
      <c r="F1267" s="18" t="s">
        <v>27</v>
      </c>
      <c r="G1267" s="18">
        <v>4452</v>
      </c>
      <c r="H1267" s="25">
        <f t="shared" si="76"/>
        <v>45231</v>
      </c>
      <c r="I1267" s="26">
        <f t="shared" si="77"/>
        <v>7.9166666670062114E-2</v>
      </c>
      <c r="J1267" s="18" t="str">
        <f t="shared" si="78"/>
        <v>November</v>
      </c>
      <c r="K1267" s="56" t="str">
        <f t="shared" si="79"/>
        <v>Wednesday</v>
      </c>
      <c r="L1267" s="18" t="str">
        <f>IF(OR(G1267&gt;Answers!I1282,G1267&lt;Answers!I1283),"Outlier","Normal")</f>
        <v>Outlier</v>
      </c>
      <c r="M1267" s="18">
        <v>42</v>
      </c>
    </row>
    <row r="1268" spans="1:13" ht="20" customHeight="1" x14ac:dyDescent="0.35">
      <c r="A1268" s="17">
        <v>844829</v>
      </c>
      <c r="B1268" s="18">
        <v>1597</v>
      </c>
      <c r="C1268" s="23" t="s">
        <v>108</v>
      </c>
      <c r="D1268" s="27">
        <v>44963.022916666669</v>
      </c>
      <c r="E1268" s="18" t="s">
        <v>98</v>
      </c>
      <c r="F1268" s="18" t="s">
        <v>17</v>
      </c>
      <c r="G1268" s="18">
        <v>6954</v>
      </c>
      <c r="H1268" s="25">
        <f t="shared" si="76"/>
        <v>44963</v>
      </c>
      <c r="I1268" s="26">
        <f t="shared" si="77"/>
        <v>2.2916666668606922E-2</v>
      </c>
      <c r="J1268" s="18" t="str">
        <f t="shared" si="78"/>
        <v>February</v>
      </c>
      <c r="K1268" s="56" t="str">
        <f t="shared" si="79"/>
        <v>Monday</v>
      </c>
      <c r="L1268" s="18" t="str">
        <f>IF(OR(G1268&gt;Answers!I1283,G1268&lt;Answers!I1284),"Outlier","Normal")</f>
        <v>Outlier</v>
      </c>
      <c r="M1268" s="18">
        <v>44</v>
      </c>
    </row>
    <row r="1269" spans="1:13" ht="20" customHeight="1" x14ac:dyDescent="0.35">
      <c r="A1269" s="17">
        <v>845718</v>
      </c>
      <c r="B1269" s="18">
        <v>90</v>
      </c>
      <c r="C1269" s="23" t="s">
        <v>99</v>
      </c>
      <c r="D1269" s="27">
        <v>44972.959027777775</v>
      </c>
      <c r="E1269" s="18" t="s">
        <v>96</v>
      </c>
      <c r="F1269" s="18" t="s">
        <v>44</v>
      </c>
      <c r="G1269" s="18">
        <v>1208</v>
      </c>
      <c r="H1269" s="25">
        <f t="shared" si="76"/>
        <v>44972</v>
      </c>
      <c r="I1269" s="26">
        <f t="shared" si="77"/>
        <v>0.95902777777519077</v>
      </c>
      <c r="J1269" s="18" t="str">
        <f t="shared" si="78"/>
        <v>February</v>
      </c>
      <c r="K1269" s="56" t="str">
        <f t="shared" si="79"/>
        <v>Wednesday</v>
      </c>
      <c r="L1269" s="18" t="str">
        <f>IF(OR(G1269&gt;Answers!I1284,G1269&lt;Answers!I1285),"Outlier","Normal")</f>
        <v>Outlier</v>
      </c>
      <c r="M1269" s="18">
        <v>48</v>
      </c>
    </row>
    <row r="1270" spans="1:13" ht="20" customHeight="1" x14ac:dyDescent="0.35">
      <c r="A1270" s="17">
        <v>845773</v>
      </c>
      <c r="B1270" s="18">
        <v>509</v>
      </c>
      <c r="C1270" s="23" t="s">
        <v>100</v>
      </c>
      <c r="D1270" s="27">
        <v>45219.024305555555</v>
      </c>
      <c r="E1270" s="18" t="s">
        <v>96</v>
      </c>
      <c r="F1270" s="18" t="s">
        <v>81</v>
      </c>
      <c r="G1270" s="18">
        <v>1906</v>
      </c>
      <c r="H1270" s="25">
        <f t="shared" si="76"/>
        <v>45219</v>
      </c>
      <c r="I1270" s="26">
        <f t="shared" si="77"/>
        <v>2.4305555554747116E-2</v>
      </c>
      <c r="J1270" s="18" t="str">
        <f t="shared" si="78"/>
        <v>October</v>
      </c>
      <c r="K1270" s="56" t="str">
        <f t="shared" si="79"/>
        <v>Friday</v>
      </c>
      <c r="L1270" s="18" t="str">
        <f>IF(OR(G1270&gt;Answers!I1285,G1270&lt;Answers!I1286),"Outlier","Normal")</f>
        <v>Outlier</v>
      </c>
      <c r="M1270" s="18">
        <v>24</v>
      </c>
    </row>
    <row r="1271" spans="1:13" ht="20" customHeight="1" x14ac:dyDescent="0.35">
      <c r="A1271" s="17">
        <v>846161</v>
      </c>
      <c r="B1271" s="18">
        <v>458</v>
      </c>
      <c r="C1271" s="23" t="s">
        <v>102</v>
      </c>
      <c r="D1271" s="27">
        <v>45124.002083333333</v>
      </c>
      <c r="E1271" s="18" t="s">
        <v>133</v>
      </c>
      <c r="F1271" s="18" t="s">
        <v>88</v>
      </c>
      <c r="G1271" s="18">
        <v>2523</v>
      </c>
      <c r="H1271" s="25">
        <f t="shared" si="76"/>
        <v>45124</v>
      </c>
      <c r="I1271" s="26">
        <f t="shared" si="77"/>
        <v>2.0833333328482695E-3</v>
      </c>
      <c r="J1271" s="18" t="str">
        <f t="shared" si="78"/>
        <v>July</v>
      </c>
      <c r="K1271" s="56" t="str">
        <f t="shared" si="79"/>
        <v>Monday</v>
      </c>
      <c r="L1271" s="18" t="str">
        <f>IF(OR(G1271&gt;Answers!I1286,G1271&lt;Answers!I1287),"Outlier","Normal")</f>
        <v>Outlier</v>
      </c>
      <c r="M1271" s="18">
        <v>60</v>
      </c>
    </row>
    <row r="1272" spans="1:13" ht="20" customHeight="1" x14ac:dyDescent="0.35">
      <c r="A1272" s="17">
        <v>846198</v>
      </c>
      <c r="B1272" s="18">
        <v>312</v>
      </c>
      <c r="C1272" s="23" t="s">
        <v>107</v>
      </c>
      <c r="D1272" s="27">
        <v>45235.959722222222</v>
      </c>
      <c r="E1272" s="18" t="s">
        <v>96</v>
      </c>
      <c r="F1272" s="18" t="s">
        <v>46</v>
      </c>
      <c r="G1272" s="18">
        <v>9762</v>
      </c>
      <c r="H1272" s="25">
        <f t="shared" si="76"/>
        <v>45235</v>
      </c>
      <c r="I1272" s="26">
        <f t="shared" si="77"/>
        <v>0.95972222222189885</v>
      </c>
      <c r="J1272" s="18" t="str">
        <f t="shared" si="78"/>
        <v>November</v>
      </c>
      <c r="K1272" s="56" t="str">
        <f t="shared" si="79"/>
        <v>Sunday</v>
      </c>
      <c r="L1272" s="18" t="str">
        <f>IF(OR(G1272&gt;Answers!I1287,G1272&lt;Answers!I1288),"Outlier","Normal")</f>
        <v>Outlier</v>
      </c>
      <c r="M1272" s="18">
        <v>38</v>
      </c>
    </row>
    <row r="1273" spans="1:13" ht="20" customHeight="1" x14ac:dyDescent="0.35">
      <c r="A1273" s="17">
        <v>846209</v>
      </c>
      <c r="B1273" s="18">
        <v>1271</v>
      </c>
      <c r="C1273" s="23" t="s">
        <v>100</v>
      </c>
      <c r="D1273" s="27">
        <v>44977.040277777778</v>
      </c>
      <c r="E1273" s="18" t="s">
        <v>98</v>
      </c>
      <c r="F1273" s="18" t="s">
        <v>8</v>
      </c>
      <c r="G1273" s="18">
        <v>9945</v>
      </c>
      <c r="H1273" s="25">
        <f t="shared" si="76"/>
        <v>44977</v>
      </c>
      <c r="I1273" s="26">
        <f t="shared" si="77"/>
        <v>4.0277777778101154E-2</v>
      </c>
      <c r="J1273" s="18" t="str">
        <f t="shared" si="78"/>
        <v>February</v>
      </c>
      <c r="K1273" s="56" t="str">
        <f t="shared" si="79"/>
        <v>Monday</v>
      </c>
      <c r="L1273" s="18" t="str">
        <f>IF(OR(G1273&gt;Answers!I1288,G1273&lt;Answers!I1289),"Outlier","Normal")</f>
        <v>Outlier</v>
      </c>
      <c r="M1273" s="18">
        <v>43</v>
      </c>
    </row>
    <row r="1274" spans="1:13" ht="20" customHeight="1" x14ac:dyDescent="0.35">
      <c r="A1274" s="17">
        <v>846419</v>
      </c>
      <c r="B1274" s="18">
        <v>1731</v>
      </c>
      <c r="C1274" s="23" t="s">
        <v>105</v>
      </c>
      <c r="D1274" s="27">
        <v>45080.944444444445</v>
      </c>
      <c r="E1274" s="18" t="s">
        <v>97</v>
      </c>
      <c r="F1274" s="18" t="s">
        <v>90</v>
      </c>
      <c r="G1274" s="18">
        <v>3664</v>
      </c>
      <c r="H1274" s="25">
        <f t="shared" si="76"/>
        <v>45080</v>
      </c>
      <c r="I1274" s="26">
        <f t="shared" si="77"/>
        <v>0.94444444444525288</v>
      </c>
      <c r="J1274" s="18" t="str">
        <f t="shared" si="78"/>
        <v>June</v>
      </c>
      <c r="K1274" s="56" t="str">
        <f t="shared" si="79"/>
        <v>Saturday</v>
      </c>
      <c r="L1274" s="18" t="str">
        <f>IF(OR(G1274&gt;Answers!I1289,G1274&lt;Answers!I1290),"Outlier","Normal")</f>
        <v>Outlier</v>
      </c>
      <c r="M1274" s="18">
        <v>65</v>
      </c>
    </row>
    <row r="1275" spans="1:13" ht="20" customHeight="1" x14ac:dyDescent="0.35">
      <c r="A1275" s="17">
        <v>846919</v>
      </c>
      <c r="B1275" s="18">
        <v>338</v>
      </c>
      <c r="C1275" s="23" t="s">
        <v>113</v>
      </c>
      <c r="D1275" s="27">
        <v>45158.088194444441</v>
      </c>
      <c r="E1275" s="18" t="s">
        <v>98</v>
      </c>
      <c r="F1275" s="18" t="s">
        <v>43</v>
      </c>
      <c r="G1275" s="18">
        <v>2100</v>
      </c>
      <c r="H1275" s="25">
        <f t="shared" si="76"/>
        <v>45158</v>
      </c>
      <c r="I1275" s="26">
        <f t="shared" si="77"/>
        <v>8.819444444088731E-2</v>
      </c>
      <c r="J1275" s="18" t="str">
        <f t="shared" si="78"/>
        <v>August</v>
      </c>
      <c r="K1275" s="56" t="str">
        <f t="shared" si="79"/>
        <v>Sunday</v>
      </c>
      <c r="L1275" s="18" t="str">
        <f>IF(OR(G1275&gt;Answers!I1290,G1275&lt;Answers!I1291),"Outlier","Normal")</f>
        <v>Outlier</v>
      </c>
      <c r="M1275" s="18">
        <v>51</v>
      </c>
    </row>
    <row r="1276" spans="1:13" ht="20" customHeight="1" x14ac:dyDescent="0.35">
      <c r="A1276" s="17">
        <v>847595</v>
      </c>
      <c r="B1276" s="18">
        <v>558</v>
      </c>
      <c r="C1276" s="23" t="s">
        <v>113</v>
      </c>
      <c r="D1276" s="27">
        <v>45115.056944444441</v>
      </c>
      <c r="E1276" s="18" t="s">
        <v>96</v>
      </c>
      <c r="F1276" s="18" t="s">
        <v>91</v>
      </c>
      <c r="G1276" s="18">
        <v>7327</v>
      </c>
      <c r="H1276" s="25">
        <f t="shared" si="76"/>
        <v>45115</v>
      </c>
      <c r="I1276" s="26">
        <f t="shared" si="77"/>
        <v>5.694444444088731E-2</v>
      </c>
      <c r="J1276" s="18" t="str">
        <f t="shared" si="78"/>
        <v>July</v>
      </c>
      <c r="K1276" s="56" t="str">
        <f t="shared" si="79"/>
        <v>Saturday</v>
      </c>
      <c r="L1276" s="18" t="str">
        <f>IF(OR(G1276&gt;Answers!I1291,G1276&lt;Answers!I1292),"Outlier","Normal")</f>
        <v>Outlier</v>
      </c>
      <c r="M1276" s="18">
        <v>72</v>
      </c>
    </row>
    <row r="1277" spans="1:13" ht="20" customHeight="1" x14ac:dyDescent="0.35">
      <c r="A1277" s="17">
        <v>848551</v>
      </c>
      <c r="B1277" s="18">
        <v>330</v>
      </c>
      <c r="C1277" s="23" t="s">
        <v>113</v>
      </c>
      <c r="D1277" s="27">
        <v>44951.008333333331</v>
      </c>
      <c r="E1277" s="18" t="s">
        <v>133</v>
      </c>
      <c r="F1277" s="18" t="s">
        <v>78</v>
      </c>
      <c r="G1277" s="18">
        <v>6624</v>
      </c>
      <c r="H1277" s="25">
        <f t="shared" si="76"/>
        <v>44951</v>
      </c>
      <c r="I1277" s="26">
        <f t="shared" si="77"/>
        <v>8.333333331393078E-3</v>
      </c>
      <c r="J1277" s="18" t="str">
        <f t="shared" si="78"/>
        <v>January</v>
      </c>
      <c r="K1277" s="56" t="str">
        <f t="shared" si="79"/>
        <v>Wednesday</v>
      </c>
      <c r="L1277" s="18" t="str">
        <f>IF(OR(G1277&gt;Answers!I1292,G1277&lt;Answers!I1293),"Outlier","Normal")</f>
        <v>Outlier</v>
      </c>
      <c r="M1277" s="18">
        <v>43</v>
      </c>
    </row>
    <row r="1278" spans="1:13" ht="20" customHeight="1" x14ac:dyDescent="0.35">
      <c r="A1278" s="17">
        <v>848868</v>
      </c>
      <c r="B1278" s="18">
        <v>1010</v>
      </c>
      <c r="C1278" s="23" t="s">
        <v>105</v>
      </c>
      <c r="D1278" s="27">
        <v>45132.988888888889</v>
      </c>
      <c r="E1278" s="18" t="s">
        <v>97</v>
      </c>
      <c r="F1278" s="18" t="s">
        <v>56</v>
      </c>
      <c r="G1278" s="18">
        <v>7710</v>
      </c>
      <c r="H1278" s="25">
        <f t="shared" si="76"/>
        <v>45132</v>
      </c>
      <c r="I1278" s="26">
        <f t="shared" si="77"/>
        <v>0.98888888888905058</v>
      </c>
      <c r="J1278" s="18" t="str">
        <f t="shared" si="78"/>
        <v>July</v>
      </c>
      <c r="K1278" s="56" t="str">
        <f t="shared" si="79"/>
        <v>Tuesday</v>
      </c>
      <c r="L1278" s="18" t="str">
        <f>IF(OR(G1278&gt;Answers!I1293,G1278&lt;Answers!I1294),"Outlier","Normal")</f>
        <v>Outlier</v>
      </c>
      <c r="M1278" s="18">
        <v>28</v>
      </c>
    </row>
    <row r="1279" spans="1:13" ht="20" customHeight="1" x14ac:dyDescent="0.35">
      <c r="A1279" s="17">
        <v>849992</v>
      </c>
      <c r="B1279" s="18">
        <v>445</v>
      </c>
      <c r="C1279" s="23" t="s">
        <v>99</v>
      </c>
      <c r="D1279" s="27">
        <v>44940.959027777775</v>
      </c>
      <c r="E1279" s="18" t="s">
        <v>133</v>
      </c>
      <c r="F1279" s="18" t="s">
        <v>34</v>
      </c>
      <c r="G1279" s="18">
        <v>4522</v>
      </c>
      <c r="H1279" s="25">
        <f t="shared" si="76"/>
        <v>44940</v>
      </c>
      <c r="I1279" s="26">
        <f t="shared" si="77"/>
        <v>0.95902777777519077</v>
      </c>
      <c r="J1279" s="18" t="str">
        <f t="shared" si="78"/>
        <v>January</v>
      </c>
      <c r="K1279" s="56" t="str">
        <f t="shared" si="79"/>
        <v>Saturday</v>
      </c>
      <c r="L1279" s="18" t="str">
        <f>IF(OR(G1279&gt;Answers!I1294,G1279&lt;Answers!I1295),"Outlier","Normal")</f>
        <v>Outlier</v>
      </c>
      <c r="M1279" s="18">
        <v>47</v>
      </c>
    </row>
    <row r="1280" spans="1:13" ht="20" customHeight="1" x14ac:dyDescent="0.35">
      <c r="A1280" s="17">
        <v>850051</v>
      </c>
      <c r="B1280" s="18">
        <v>1914</v>
      </c>
      <c r="C1280" s="23" t="s">
        <v>101</v>
      </c>
      <c r="D1280" s="27">
        <v>45230.986111111109</v>
      </c>
      <c r="E1280" s="18" t="s">
        <v>97</v>
      </c>
      <c r="F1280" s="18" t="s">
        <v>87</v>
      </c>
      <c r="G1280" s="18">
        <v>6638</v>
      </c>
      <c r="H1280" s="25">
        <f t="shared" si="76"/>
        <v>45230</v>
      </c>
      <c r="I1280" s="26">
        <f t="shared" si="77"/>
        <v>0.98611111110949423</v>
      </c>
      <c r="J1280" s="18" t="str">
        <f t="shared" si="78"/>
        <v>October</v>
      </c>
      <c r="K1280" s="56" t="str">
        <f t="shared" si="79"/>
        <v>Tuesday</v>
      </c>
      <c r="L1280" s="18" t="str">
        <f>IF(OR(G1280&gt;Answers!I1295,G1280&lt;Answers!I1296),"Outlier","Normal")</f>
        <v>Outlier</v>
      </c>
      <c r="M1280" s="18">
        <v>34</v>
      </c>
    </row>
    <row r="1281" spans="1:13" ht="20" customHeight="1" x14ac:dyDescent="0.35">
      <c r="A1281" s="17">
        <v>850122</v>
      </c>
      <c r="B1281" s="18">
        <v>1112</v>
      </c>
      <c r="C1281" s="23" t="s">
        <v>105</v>
      </c>
      <c r="D1281" s="27">
        <v>45096.071527777778</v>
      </c>
      <c r="E1281" s="18" t="s">
        <v>98</v>
      </c>
      <c r="F1281" s="18" t="s">
        <v>40</v>
      </c>
      <c r="G1281" s="18">
        <v>8887</v>
      </c>
      <c r="H1281" s="25">
        <f t="shared" si="76"/>
        <v>45096</v>
      </c>
      <c r="I1281" s="26">
        <f t="shared" si="77"/>
        <v>7.1527777778101154E-2</v>
      </c>
      <c r="J1281" s="18" t="str">
        <f t="shared" si="78"/>
        <v>June</v>
      </c>
      <c r="K1281" s="56" t="str">
        <f t="shared" si="79"/>
        <v>Monday</v>
      </c>
      <c r="L1281" s="18" t="str">
        <f>IF(OR(G1281&gt;Answers!I1296,G1281&lt;Answers!I1297),"Outlier","Normal")</f>
        <v>Outlier</v>
      </c>
      <c r="M1281" s="18">
        <v>30</v>
      </c>
    </row>
    <row r="1282" spans="1:13" ht="20" customHeight="1" x14ac:dyDescent="0.35">
      <c r="A1282" s="17">
        <v>850897</v>
      </c>
      <c r="B1282" s="18">
        <v>297</v>
      </c>
      <c r="C1282" s="23" t="s">
        <v>113</v>
      </c>
      <c r="D1282" s="27">
        <v>45056.027777777781</v>
      </c>
      <c r="E1282" s="18" t="s">
        <v>133</v>
      </c>
      <c r="F1282" s="18" t="s">
        <v>69</v>
      </c>
      <c r="G1282" s="18">
        <v>975</v>
      </c>
      <c r="H1282" s="25">
        <f t="shared" si="76"/>
        <v>45056</v>
      </c>
      <c r="I1282" s="26">
        <f t="shared" si="77"/>
        <v>2.7777777781011537E-2</v>
      </c>
      <c r="J1282" s="18" t="str">
        <f t="shared" si="78"/>
        <v>May</v>
      </c>
      <c r="K1282" s="56" t="str">
        <f t="shared" si="79"/>
        <v>Wednesday</v>
      </c>
      <c r="L1282" s="18" t="str">
        <f>IF(OR(G1282&gt;Answers!I1297,G1282&lt;Answers!I1298),"Outlier","Normal")</f>
        <v>Outlier</v>
      </c>
      <c r="M1282" s="18">
        <v>25</v>
      </c>
    </row>
    <row r="1283" spans="1:13" ht="20" customHeight="1" x14ac:dyDescent="0.35">
      <c r="A1283" s="17">
        <v>854481</v>
      </c>
      <c r="B1283" s="18">
        <v>712</v>
      </c>
      <c r="C1283" s="23" t="s">
        <v>99</v>
      </c>
      <c r="D1283" s="27">
        <v>45278.947222222225</v>
      </c>
      <c r="E1283" s="18" t="s">
        <v>96</v>
      </c>
      <c r="F1283" s="18" t="s">
        <v>26</v>
      </c>
      <c r="G1283" s="18">
        <v>1745</v>
      </c>
      <c r="H1283" s="25">
        <f t="shared" ref="H1283:H1346" si="80">INT(D1283)</f>
        <v>45278</v>
      </c>
      <c r="I1283" s="26">
        <f t="shared" ref="I1283:I1346" si="81">MOD(D1283,1)</f>
        <v>0.94722222222480923</v>
      </c>
      <c r="J1283" s="18" t="str">
        <f t="shared" ref="J1283:J1346" si="82">TEXT(D1283,"mmmm")</f>
        <v>December</v>
      </c>
      <c r="K1283" s="56" t="str">
        <f t="shared" ref="K1283:K1346" si="83">TEXT(D1283,"dddd")</f>
        <v>Monday</v>
      </c>
      <c r="L1283" s="18" t="str">
        <f>IF(OR(G1283&gt;Answers!I1298,G1283&lt;Answers!I1299),"Outlier","Normal")</f>
        <v>Outlier</v>
      </c>
      <c r="M1283" s="18">
        <v>90</v>
      </c>
    </row>
    <row r="1284" spans="1:13" ht="20" customHeight="1" x14ac:dyDescent="0.35">
      <c r="A1284" s="17">
        <v>857496</v>
      </c>
      <c r="B1284" s="18">
        <v>597</v>
      </c>
      <c r="C1284" s="23" t="s">
        <v>100</v>
      </c>
      <c r="D1284" s="27">
        <v>44997.044444444444</v>
      </c>
      <c r="E1284" s="18" t="s">
        <v>98</v>
      </c>
      <c r="F1284" s="18" t="s">
        <v>27</v>
      </c>
      <c r="G1284" s="18">
        <v>4933</v>
      </c>
      <c r="H1284" s="25">
        <f t="shared" si="80"/>
        <v>44997</v>
      </c>
      <c r="I1284" s="26">
        <f t="shared" si="81"/>
        <v>4.4444444443797693E-2</v>
      </c>
      <c r="J1284" s="18" t="str">
        <f t="shared" si="82"/>
        <v>March</v>
      </c>
      <c r="K1284" s="56" t="str">
        <f t="shared" si="83"/>
        <v>Sunday</v>
      </c>
      <c r="L1284" s="18" t="str">
        <f>IF(OR(G1284&gt;Answers!I1299,G1284&lt;Answers!I1300),"Outlier","Normal")</f>
        <v>Outlier</v>
      </c>
      <c r="M1284" s="18">
        <v>43</v>
      </c>
    </row>
    <row r="1285" spans="1:13" ht="20" customHeight="1" x14ac:dyDescent="0.35">
      <c r="A1285" s="17">
        <v>858083</v>
      </c>
      <c r="B1285" s="18">
        <v>569</v>
      </c>
      <c r="C1285" s="23" t="s">
        <v>99</v>
      </c>
      <c r="D1285" s="27">
        <v>45004.017361111109</v>
      </c>
      <c r="E1285" s="18" t="s">
        <v>98</v>
      </c>
      <c r="F1285" s="18" t="s">
        <v>81</v>
      </c>
      <c r="G1285" s="18">
        <v>5575</v>
      </c>
      <c r="H1285" s="25">
        <f t="shared" si="80"/>
        <v>45004</v>
      </c>
      <c r="I1285" s="26">
        <f t="shared" si="81"/>
        <v>1.7361111109494232E-2</v>
      </c>
      <c r="J1285" s="18" t="str">
        <f t="shared" si="82"/>
        <v>March</v>
      </c>
      <c r="K1285" s="56" t="str">
        <f t="shared" si="83"/>
        <v>Sunday</v>
      </c>
      <c r="L1285" s="18" t="str">
        <f>IF(OR(G1285&gt;Answers!I1300,G1285&lt;Answers!I1301),"Outlier","Normal")</f>
        <v>Outlier</v>
      </c>
      <c r="M1285" s="18">
        <v>62</v>
      </c>
    </row>
    <row r="1286" spans="1:13" ht="20" customHeight="1" x14ac:dyDescent="0.35">
      <c r="A1286" s="17">
        <v>858912</v>
      </c>
      <c r="B1286" s="18">
        <v>1105</v>
      </c>
      <c r="C1286" s="23" t="s">
        <v>100</v>
      </c>
      <c r="D1286" s="27">
        <v>45086.005555555559</v>
      </c>
      <c r="E1286" s="18" t="s">
        <v>96</v>
      </c>
      <c r="F1286" s="18" t="s">
        <v>71</v>
      </c>
      <c r="G1286" s="18">
        <v>4421</v>
      </c>
      <c r="H1286" s="25">
        <f t="shared" si="80"/>
        <v>45086</v>
      </c>
      <c r="I1286" s="26">
        <f t="shared" si="81"/>
        <v>5.5555555591126904E-3</v>
      </c>
      <c r="J1286" s="18" t="str">
        <f t="shared" si="82"/>
        <v>June</v>
      </c>
      <c r="K1286" s="56" t="str">
        <f t="shared" si="83"/>
        <v>Friday</v>
      </c>
      <c r="L1286" s="18" t="str">
        <f>IF(OR(G1286&gt;Answers!I1301,G1286&lt;Answers!I1302),"Outlier","Normal")</f>
        <v>Outlier</v>
      </c>
      <c r="M1286" s="18">
        <v>79</v>
      </c>
    </row>
    <row r="1287" spans="1:13" ht="20" customHeight="1" x14ac:dyDescent="0.35">
      <c r="A1287" s="17">
        <v>859166</v>
      </c>
      <c r="B1287" s="18">
        <v>982</v>
      </c>
      <c r="C1287" s="23" t="s">
        <v>99</v>
      </c>
      <c r="D1287" s="27">
        <v>45103.04791666667</v>
      </c>
      <c r="E1287" s="18" t="s">
        <v>97</v>
      </c>
      <c r="F1287" s="18" t="s">
        <v>7</v>
      </c>
      <c r="G1287" s="18">
        <v>34</v>
      </c>
      <c r="H1287" s="25">
        <f t="shared" si="80"/>
        <v>45103</v>
      </c>
      <c r="I1287" s="26">
        <f t="shared" si="81"/>
        <v>4.7916666670062114E-2</v>
      </c>
      <c r="J1287" s="18" t="str">
        <f t="shared" si="82"/>
        <v>June</v>
      </c>
      <c r="K1287" s="56" t="str">
        <f t="shared" si="83"/>
        <v>Monday</v>
      </c>
      <c r="L1287" s="18" t="str">
        <f>IF(OR(G1287&gt;Answers!I1302,G1287&lt;Answers!I1303),"Outlier","Normal")</f>
        <v>Outlier</v>
      </c>
      <c r="M1287" s="18">
        <v>35</v>
      </c>
    </row>
    <row r="1288" spans="1:13" ht="20" customHeight="1" x14ac:dyDescent="0.35">
      <c r="A1288" s="17">
        <v>860417</v>
      </c>
      <c r="B1288" s="18">
        <v>1546</v>
      </c>
      <c r="C1288" s="23" t="s">
        <v>104</v>
      </c>
      <c r="D1288" s="27">
        <v>45280.050694444442</v>
      </c>
      <c r="E1288" s="18" t="s">
        <v>98</v>
      </c>
      <c r="F1288" s="18" t="s">
        <v>27</v>
      </c>
      <c r="G1288" s="18">
        <v>2332</v>
      </c>
      <c r="H1288" s="25">
        <f t="shared" si="80"/>
        <v>45280</v>
      </c>
      <c r="I1288" s="26">
        <f t="shared" si="81"/>
        <v>5.0694444442342501E-2</v>
      </c>
      <c r="J1288" s="18" t="str">
        <f t="shared" si="82"/>
        <v>December</v>
      </c>
      <c r="K1288" s="56" t="str">
        <f t="shared" si="83"/>
        <v>Wednesday</v>
      </c>
      <c r="L1288" s="18" t="str">
        <f>IF(OR(G1288&gt;Answers!I1303,G1288&lt;Answers!I1304),"Outlier","Normal")</f>
        <v>Outlier</v>
      </c>
      <c r="M1288" s="18">
        <v>33</v>
      </c>
    </row>
    <row r="1289" spans="1:13" ht="20" customHeight="1" x14ac:dyDescent="0.35">
      <c r="A1289" s="17">
        <v>860659</v>
      </c>
      <c r="B1289" s="18">
        <v>1635</v>
      </c>
      <c r="C1289" s="23" t="s">
        <v>99</v>
      </c>
      <c r="D1289" s="27">
        <v>45247.038888888892</v>
      </c>
      <c r="E1289" s="18" t="s">
        <v>97</v>
      </c>
      <c r="F1289" s="18" t="s">
        <v>65</v>
      </c>
      <c r="G1289" s="18">
        <v>9192</v>
      </c>
      <c r="H1289" s="25">
        <f t="shared" si="80"/>
        <v>45247</v>
      </c>
      <c r="I1289" s="26">
        <f t="shared" si="81"/>
        <v>3.888888889196096E-2</v>
      </c>
      <c r="J1289" s="18" t="str">
        <f t="shared" si="82"/>
        <v>November</v>
      </c>
      <c r="K1289" s="56" t="str">
        <f t="shared" si="83"/>
        <v>Friday</v>
      </c>
      <c r="L1289" s="18" t="str">
        <f>IF(OR(G1289&gt;Answers!I1304,G1289&lt;Answers!I1305),"Outlier","Normal")</f>
        <v>Outlier</v>
      </c>
      <c r="M1289" s="18">
        <v>41</v>
      </c>
    </row>
    <row r="1290" spans="1:13" ht="20" customHeight="1" x14ac:dyDescent="0.35">
      <c r="A1290" s="17">
        <v>861120</v>
      </c>
      <c r="B1290" s="18">
        <v>1274</v>
      </c>
      <c r="C1290" s="23" t="s">
        <v>99</v>
      </c>
      <c r="D1290" s="27">
        <v>45100.018055555556</v>
      </c>
      <c r="E1290" s="18" t="s">
        <v>133</v>
      </c>
      <c r="F1290" s="18" t="s">
        <v>24</v>
      </c>
      <c r="G1290" s="18">
        <v>6826</v>
      </c>
      <c r="H1290" s="25">
        <f t="shared" si="80"/>
        <v>45100</v>
      </c>
      <c r="I1290" s="26">
        <f t="shared" si="81"/>
        <v>1.8055555556202307E-2</v>
      </c>
      <c r="J1290" s="18" t="str">
        <f t="shared" si="82"/>
        <v>June</v>
      </c>
      <c r="K1290" s="56" t="str">
        <f t="shared" si="83"/>
        <v>Friday</v>
      </c>
      <c r="L1290" s="18" t="str">
        <f>IF(OR(G1290&gt;Answers!I1305,G1290&lt;Answers!I1306),"Outlier","Normal")</f>
        <v>Outlier</v>
      </c>
      <c r="M1290" s="18">
        <v>78</v>
      </c>
    </row>
    <row r="1291" spans="1:13" ht="20" customHeight="1" x14ac:dyDescent="0.35">
      <c r="A1291" s="17">
        <v>861875</v>
      </c>
      <c r="B1291" s="18">
        <v>1398</v>
      </c>
      <c r="C1291" s="23" t="s">
        <v>108</v>
      </c>
      <c r="D1291" s="27">
        <v>45058.030555555553</v>
      </c>
      <c r="E1291" s="18" t="s">
        <v>133</v>
      </c>
      <c r="F1291" s="18" t="s">
        <v>52</v>
      </c>
      <c r="G1291" s="18">
        <v>3774</v>
      </c>
      <c r="H1291" s="25">
        <f t="shared" si="80"/>
        <v>45058</v>
      </c>
      <c r="I1291" s="26">
        <f t="shared" si="81"/>
        <v>3.0555555553291924E-2</v>
      </c>
      <c r="J1291" s="18" t="str">
        <f t="shared" si="82"/>
        <v>May</v>
      </c>
      <c r="K1291" s="56" t="str">
        <f t="shared" si="83"/>
        <v>Friday</v>
      </c>
      <c r="L1291" s="18" t="str">
        <f>IF(OR(G1291&gt;Answers!I1306,G1291&lt;Answers!I1307),"Outlier","Normal")</f>
        <v>Outlier</v>
      </c>
      <c r="M1291" s="18">
        <v>44</v>
      </c>
    </row>
    <row r="1292" spans="1:13" ht="20" customHeight="1" x14ac:dyDescent="0.35">
      <c r="A1292" s="17">
        <v>862127</v>
      </c>
      <c r="B1292" s="18">
        <v>1388</v>
      </c>
      <c r="C1292" s="23" t="s">
        <v>106</v>
      </c>
      <c r="D1292" s="27">
        <v>45140.057638888888</v>
      </c>
      <c r="E1292" s="18" t="s">
        <v>133</v>
      </c>
      <c r="F1292" s="18" t="s">
        <v>30</v>
      </c>
      <c r="G1292" s="18">
        <v>891</v>
      </c>
      <c r="H1292" s="25">
        <f t="shared" si="80"/>
        <v>45140</v>
      </c>
      <c r="I1292" s="26">
        <f t="shared" si="81"/>
        <v>5.7638888887595385E-2</v>
      </c>
      <c r="J1292" s="18" t="str">
        <f t="shared" si="82"/>
        <v>August</v>
      </c>
      <c r="K1292" s="56" t="str">
        <f t="shared" si="83"/>
        <v>Wednesday</v>
      </c>
      <c r="L1292" s="18" t="str">
        <f>IF(OR(G1292&gt;Answers!I1307,G1292&lt;Answers!I1308),"Outlier","Normal")</f>
        <v>Outlier</v>
      </c>
      <c r="M1292" s="18">
        <v>65</v>
      </c>
    </row>
    <row r="1293" spans="1:13" ht="20" customHeight="1" x14ac:dyDescent="0.35">
      <c r="A1293" s="17">
        <v>862595</v>
      </c>
      <c r="B1293" s="18">
        <v>1734</v>
      </c>
      <c r="C1293" s="23" t="s">
        <v>99</v>
      </c>
      <c r="D1293" s="27">
        <v>45101.031944444447</v>
      </c>
      <c r="E1293" s="18" t="s">
        <v>96</v>
      </c>
      <c r="F1293" s="18" t="s">
        <v>27</v>
      </c>
      <c r="G1293" s="18">
        <v>2309</v>
      </c>
      <c r="H1293" s="25">
        <f t="shared" si="80"/>
        <v>45101</v>
      </c>
      <c r="I1293" s="26">
        <f t="shared" si="81"/>
        <v>3.1944444446708076E-2</v>
      </c>
      <c r="J1293" s="18" t="str">
        <f t="shared" si="82"/>
        <v>June</v>
      </c>
      <c r="K1293" s="56" t="str">
        <f t="shared" si="83"/>
        <v>Saturday</v>
      </c>
      <c r="L1293" s="18" t="str">
        <f>IF(OR(G1293&gt;Answers!I1308,G1293&lt;Answers!I1309),"Outlier","Normal")</f>
        <v>Outlier</v>
      </c>
      <c r="M1293" s="18">
        <v>62</v>
      </c>
    </row>
    <row r="1294" spans="1:13" ht="20" customHeight="1" x14ac:dyDescent="0.35">
      <c r="A1294" s="17">
        <v>862868</v>
      </c>
      <c r="B1294" s="18">
        <v>872</v>
      </c>
      <c r="C1294" s="23" t="s">
        <v>100</v>
      </c>
      <c r="D1294" s="27">
        <v>45094.972222222219</v>
      </c>
      <c r="E1294" s="18" t="s">
        <v>97</v>
      </c>
      <c r="F1294" s="18" t="s">
        <v>43</v>
      </c>
      <c r="G1294" s="18">
        <v>735</v>
      </c>
      <c r="H1294" s="25">
        <f t="shared" si="80"/>
        <v>45094</v>
      </c>
      <c r="I1294" s="26">
        <f t="shared" si="81"/>
        <v>0.97222222221898846</v>
      </c>
      <c r="J1294" s="18" t="str">
        <f t="shared" si="82"/>
        <v>June</v>
      </c>
      <c r="K1294" s="56" t="str">
        <f t="shared" si="83"/>
        <v>Saturday</v>
      </c>
      <c r="L1294" s="18" t="str">
        <f>IF(OR(G1294&gt;Answers!I1309,G1294&lt;Answers!I1310),"Outlier","Normal")</f>
        <v>Outlier</v>
      </c>
      <c r="M1294" s="18">
        <v>20</v>
      </c>
    </row>
    <row r="1295" spans="1:13" ht="20" customHeight="1" x14ac:dyDescent="0.35">
      <c r="A1295" s="17">
        <v>863202</v>
      </c>
      <c r="B1295" s="18">
        <v>1103</v>
      </c>
      <c r="C1295" s="23" t="s">
        <v>113</v>
      </c>
      <c r="D1295" s="27">
        <v>45159.058333333334</v>
      </c>
      <c r="E1295" s="18" t="s">
        <v>133</v>
      </c>
      <c r="F1295" s="18" t="s">
        <v>27</v>
      </c>
      <c r="G1295" s="18">
        <v>5136</v>
      </c>
      <c r="H1295" s="25">
        <f t="shared" si="80"/>
        <v>45159</v>
      </c>
      <c r="I1295" s="26">
        <f t="shared" si="81"/>
        <v>5.8333333334303461E-2</v>
      </c>
      <c r="J1295" s="18" t="str">
        <f t="shared" si="82"/>
        <v>August</v>
      </c>
      <c r="K1295" s="56" t="str">
        <f t="shared" si="83"/>
        <v>Monday</v>
      </c>
      <c r="L1295" s="18" t="str">
        <f>IF(OR(G1295&gt;Answers!I1310,G1295&lt;Answers!I1311),"Outlier","Normal")</f>
        <v>Outlier</v>
      </c>
      <c r="M1295" s="18">
        <v>32</v>
      </c>
    </row>
    <row r="1296" spans="1:13" ht="20" customHeight="1" x14ac:dyDescent="0.35">
      <c r="A1296" s="17">
        <v>863877</v>
      </c>
      <c r="B1296" s="18">
        <v>1217</v>
      </c>
      <c r="C1296" s="23" t="s">
        <v>99</v>
      </c>
      <c r="D1296" s="27">
        <v>45275.038194444445</v>
      </c>
      <c r="E1296" s="18" t="s">
        <v>98</v>
      </c>
      <c r="F1296" s="18" t="s">
        <v>25</v>
      </c>
      <c r="G1296" s="18">
        <v>509</v>
      </c>
      <c r="H1296" s="25">
        <f t="shared" si="80"/>
        <v>45275</v>
      </c>
      <c r="I1296" s="26">
        <f t="shared" si="81"/>
        <v>3.8194444445252884E-2</v>
      </c>
      <c r="J1296" s="18" t="str">
        <f t="shared" si="82"/>
        <v>December</v>
      </c>
      <c r="K1296" s="56" t="str">
        <f t="shared" si="83"/>
        <v>Friday</v>
      </c>
      <c r="L1296" s="18" t="str">
        <f>IF(OR(G1296&gt;Answers!I1311,G1296&lt;Answers!I1312),"Outlier","Normal")</f>
        <v>Outlier</v>
      </c>
      <c r="M1296" s="18">
        <v>68</v>
      </c>
    </row>
    <row r="1297" spans="1:13" ht="20" customHeight="1" x14ac:dyDescent="0.35">
      <c r="A1297" s="17">
        <v>864174</v>
      </c>
      <c r="B1297" s="18">
        <v>1442</v>
      </c>
      <c r="C1297" s="23" t="s">
        <v>99</v>
      </c>
      <c r="D1297" s="27">
        <v>45027.072916666664</v>
      </c>
      <c r="E1297" s="18" t="s">
        <v>98</v>
      </c>
      <c r="F1297" s="18" t="s">
        <v>80</v>
      </c>
      <c r="G1297" s="18">
        <v>1523</v>
      </c>
      <c r="H1297" s="25">
        <f t="shared" si="80"/>
        <v>45027</v>
      </c>
      <c r="I1297" s="26">
        <f t="shared" si="81"/>
        <v>7.2916666664241347E-2</v>
      </c>
      <c r="J1297" s="18" t="str">
        <f t="shared" si="82"/>
        <v>April</v>
      </c>
      <c r="K1297" s="56" t="str">
        <f t="shared" si="83"/>
        <v>Tuesday</v>
      </c>
      <c r="L1297" s="18" t="str">
        <f>IF(OR(G1297&gt;Answers!I1312,G1297&lt;Answers!I1313),"Outlier","Normal")</f>
        <v>Outlier</v>
      </c>
      <c r="M1297" s="18">
        <v>82</v>
      </c>
    </row>
    <row r="1298" spans="1:13" ht="20" customHeight="1" x14ac:dyDescent="0.35">
      <c r="A1298" s="17">
        <v>864744</v>
      </c>
      <c r="B1298" s="18">
        <v>709</v>
      </c>
      <c r="C1298" s="23" t="s">
        <v>100</v>
      </c>
      <c r="D1298" s="27">
        <v>44955.98541666667</v>
      </c>
      <c r="E1298" s="18" t="s">
        <v>96</v>
      </c>
      <c r="F1298" s="18" t="s">
        <v>54</v>
      </c>
      <c r="G1298" s="18">
        <v>2914</v>
      </c>
      <c r="H1298" s="25">
        <f t="shared" si="80"/>
        <v>44955</v>
      </c>
      <c r="I1298" s="26">
        <f t="shared" si="81"/>
        <v>0.98541666667006211</v>
      </c>
      <c r="J1298" s="18" t="str">
        <f t="shared" si="82"/>
        <v>January</v>
      </c>
      <c r="K1298" s="56" t="str">
        <f t="shared" si="83"/>
        <v>Sunday</v>
      </c>
      <c r="L1298" s="18" t="str">
        <f>IF(OR(G1298&gt;Answers!I1313,G1298&lt;Answers!I1314),"Outlier","Normal")</f>
        <v>Outlier</v>
      </c>
      <c r="M1298" s="18">
        <v>58</v>
      </c>
    </row>
    <row r="1299" spans="1:13" ht="20" customHeight="1" x14ac:dyDescent="0.35">
      <c r="A1299" s="17">
        <v>864760</v>
      </c>
      <c r="B1299" s="18">
        <v>1777</v>
      </c>
      <c r="C1299" s="23" t="s">
        <v>99</v>
      </c>
      <c r="D1299" s="27">
        <v>45195.050694444442</v>
      </c>
      <c r="E1299" s="18" t="s">
        <v>97</v>
      </c>
      <c r="F1299" s="18" t="s">
        <v>57</v>
      </c>
      <c r="G1299" s="18">
        <v>1621</v>
      </c>
      <c r="H1299" s="25">
        <f t="shared" si="80"/>
        <v>45195</v>
      </c>
      <c r="I1299" s="26">
        <f t="shared" si="81"/>
        <v>5.0694444442342501E-2</v>
      </c>
      <c r="J1299" s="18" t="str">
        <f t="shared" si="82"/>
        <v>September</v>
      </c>
      <c r="K1299" s="56" t="str">
        <f t="shared" si="83"/>
        <v>Tuesday</v>
      </c>
      <c r="L1299" s="18" t="str">
        <f>IF(OR(G1299&gt;Answers!I1314,G1299&lt;Answers!I1315),"Outlier","Normal")</f>
        <v>Outlier</v>
      </c>
      <c r="M1299" s="18">
        <v>58</v>
      </c>
    </row>
    <row r="1300" spans="1:13" ht="20" customHeight="1" x14ac:dyDescent="0.35">
      <c r="A1300" s="17">
        <v>865712</v>
      </c>
      <c r="B1300" s="18">
        <v>599</v>
      </c>
      <c r="C1300" s="23" t="s">
        <v>101</v>
      </c>
      <c r="D1300" s="27">
        <v>45174.068749999999</v>
      </c>
      <c r="E1300" s="18" t="s">
        <v>98</v>
      </c>
      <c r="F1300" s="18" t="s">
        <v>34</v>
      </c>
      <c r="G1300" s="18">
        <v>8680</v>
      </c>
      <c r="H1300" s="25">
        <f t="shared" si="80"/>
        <v>45174</v>
      </c>
      <c r="I1300" s="26">
        <f t="shared" si="81"/>
        <v>6.8749999998544808E-2</v>
      </c>
      <c r="J1300" s="18" t="str">
        <f t="shared" si="82"/>
        <v>September</v>
      </c>
      <c r="K1300" s="56" t="str">
        <f t="shared" si="83"/>
        <v>Tuesday</v>
      </c>
      <c r="L1300" s="18" t="str">
        <f>IF(OR(G1300&gt;Answers!I1315,G1300&lt;Answers!I1316),"Outlier","Normal")</f>
        <v>Outlier</v>
      </c>
      <c r="M1300" s="18">
        <v>32</v>
      </c>
    </row>
    <row r="1301" spans="1:13" ht="20" customHeight="1" x14ac:dyDescent="0.35">
      <c r="A1301" s="17">
        <v>866403</v>
      </c>
      <c r="B1301" s="18">
        <v>417</v>
      </c>
      <c r="C1301" s="23" t="s">
        <v>100</v>
      </c>
      <c r="D1301" s="27">
        <v>45109.991666666669</v>
      </c>
      <c r="E1301" s="18" t="s">
        <v>98</v>
      </c>
      <c r="F1301" s="18" t="s">
        <v>60</v>
      </c>
      <c r="G1301" s="18">
        <v>122</v>
      </c>
      <c r="H1301" s="25">
        <f t="shared" si="80"/>
        <v>45109</v>
      </c>
      <c r="I1301" s="26">
        <f t="shared" si="81"/>
        <v>0.99166666666860692</v>
      </c>
      <c r="J1301" s="18" t="str">
        <f t="shared" si="82"/>
        <v>July</v>
      </c>
      <c r="K1301" s="56" t="str">
        <f t="shared" si="83"/>
        <v>Sunday</v>
      </c>
      <c r="L1301" s="18" t="str">
        <f>IF(OR(G1301&gt;Answers!I1316,G1301&lt;Answers!I1317),"Outlier","Normal")</f>
        <v>Outlier</v>
      </c>
      <c r="M1301" s="18">
        <v>53</v>
      </c>
    </row>
    <row r="1302" spans="1:13" ht="20" customHeight="1" x14ac:dyDescent="0.35">
      <c r="A1302" s="17">
        <v>867012</v>
      </c>
      <c r="B1302" s="18">
        <v>557</v>
      </c>
      <c r="C1302" s="23" t="s">
        <v>109</v>
      </c>
      <c r="D1302" s="27">
        <v>44983.011111111111</v>
      </c>
      <c r="E1302" s="18" t="s">
        <v>97</v>
      </c>
      <c r="F1302" s="18" t="s">
        <v>63</v>
      </c>
      <c r="G1302" s="18">
        <v>7900</v>
      </c>
      <c r="H1302" s="25">
        <f t="shared" si="80"/>
        <v>44983</v>
      </c>
      <c r="I1302" s="26">
        <f t="shared" si="81"/>
        <v>1.1111111110949423E-2</v>
      </c>
      <c r="J1302" s="18" t="str">
        <f t="shared" si="82"/>
        <v>February</v>
      </c>
      <c r="K1302" s="56" t="str">
        <f t="shared" si="83"/>
        <v>Sunday</v>
      </c>
      <c r="L1302" s="18" t="str">
        <f>IF(OR(G1302&gt;Answers!I1317,G1302&lt;Answers!I1318),"Outlier","Normal")</f>
        <v>Outlier</v>
      </c>
      <c r="M1302" s="18">
        <v>84</v>
      </c>
    </row>
    <row r="1303" spans="1:13" ht="20" customHeight="1" x14ac:dyDescent="0.35">
      <c r="A1303" s="17">
        <v>867108</v>
      </c>
      <c r="B1303" s="18">
        <v>1310</v>
      </c>
      <c r="C1303" s="23" t="s">
        <v>105</v>
      </c>
      <c r="D1303" s="27">
        <v>45147.052777777775</v>
      </c>
      <c r="E1303" s="18" t="s">
        <v>96</v>
      </c>
      <c r="F1303" s="18" t="s">
        <v>4</v>
      </c>
      <c r="G1303" s="18">
        <v>9531</v>
      </c>
      <c r="H1303" s="25">
        <f t="shared" si="80"/>
        <v>45147</v>
      </c>
      <c r="I1303" s="26">
        <f t="shared" si="81"/>
        <v>5.2777777775190771E-2</v>
      </c>
      <c r="J1303" s="18" t="str">
        <f t="shared" si="82"/>
        <v>August</v>
      </c>
      <c r="K1303" s="56" t="str">
        <f t="shared" si="83"/>
        <v>Wednesday</v>
      </c>
      <c r="L1303" s="18" t="str">
        <f>IF(OR(G1303&gt;Answers!I1318,G1303&lt;Answers!I1319),"Outlier","Normal")</f>
        <v>Outlier</v>
      </c>
      <c r="M1303" s="18">
        <v>70</v>
      </c>
    </row>
    <row r="1304" spans="1:13" ht="20" customHeight="1" x14ac:dyDescent="0.35">
      <c r="A1304" s="17">
        <v>867276</v>
      </c>
      <c r="B1304" s="18">
        <v>360</v>
      </c>
      <c r="C1304" s="23" t="s">
        <v>113</v>
      </c>
      <c r="D1304" s="27">
        <v>44938.043749999997</v>
      </c>
      <c r="E1304" s="18" t="s">
        <v>97</v>
      </c>
      <c r="F1304" s="18" t="s">
        <v>47</v>
      </c>
      <c r="G1304" s="18">
        <v>6820</v>
      </c>
      <c r="H1304" s="25">
        <f t="shared" si="80"/>
        <v>44938</v>
      </c>
      <c r="I1304" s="26">
        <f t="shared" si="81"/>
        <v>4.3749999997089617E-2</v>
      </c>
      <c r="J1304" s="18" t="str">
        <f t="shared" si="82"/>
        <v>January</v>
      </c>
      <c r="K1304" s="56" t="str">
        <f t="shared" si="83"/>
        <v>Thursday</v>
      </c>
      <c r="L1304" s="18" t="str">
        <f>IF(OR(G1304&gt;Answers!I1319,G1304&lt;Answers!I1320),"Outlier","Normal")</f>
        <v>Outlier</v>
      </c>
      <c r="M1304" s="18">
        <v>32</v>
      </c>
    </row>
    <row r="1305" spans="1:13" ht="20" customHeight="1" x14ac:dyDescent="0.35">
      <c r="A1305" s="17">
        <v>867382</v>
      </c>
      <c r="B1305" s="18">
        <v>1007</v>
      </c>
      <c r="C1305" s="23" t="s">
        <v>99</v>
      </c>
      <c r="D1305" s="27">
        <v>44954.024305555555</v>
      </c>
      <c r="E1305" s="18" t="s">
        <v>98</v>
      </c>
      <c r="F1305" s="18" t="s">
        <v>60</v>
      </c>
      <c r="G1305" s="18">
        <v>2855</v>
      </c>
      <c r="H1305" s="25">
        <f t="shared" si="80"/>
        <v>44954</v>
      </c>
      <c r="I1305" s="26">
        <f t="shared" si="81"/>
        <v>2.4305555554747116E-2</v>
      </c>
      <c r="J1305" s="18" t="str">
        <f t="shared" si="82"/>
        <v>January</v>
      </c>
      <c r="K1305" s="56" t="str">
        <f t="shared" si="83"/>
        <v>Saturday</v>
      </c>
      <c r="L1305" s="18" t="str">
        <f>IF(OR(G1305&gt;Answers!I1320,G1305&lt;Answers!I1321),"Outlier","Normal")</f>
        <v>Outlier</v>
      </c>
      <c r="M1305" s="18">
        <v>62</v>
      </c>
    </row>
    <row r="1306" spans="1:13" ht="20" customHeight="1" x14ac:dyDescent="0.35">
      <c r="A1306" s="17">
        <v>869884</v>
      </c>
      <c r="B1306" s="18">
        <v>1701</v>
      </c>
      <c r="C1306" s="23" t="s">
        <v>99</v>
      </c>
      <c r="D1306" s="27">
        <v>45256.03402777778</v>
      </c>
      <c r="E1306" s="18" t="s">
        <v>133</v>
      </c>
      <c r="F1306" s="18" t="s">
        <v>61</v>
      </c>
      <c r="G1306" s="18">
        <v>4256</v>
      </c>
      <c r="H1306" s="25">
        <f t="shared" si="80"/>
        <v>45256</v>
      </c>
      <c r="I1306" s="26">
        <f t="shared" si="81"/>
        <v>3.4027777779556345E-2</v>
      </c>
      <c r="J1306" s="18" t="str">
        <f t="shared" si="82"/>
        <v>November</v>
      </c>
      <c r="K1306" s="56" t="str">
        <f t="shared" si="83"/>
        <v>Sunday</v>
      </c>
      <c r="L1306" s="18" t="str">
        <f>IF(OR(G1306&gt;Answers!I1321,G1306&lt;Answers!I1322),"Outlier","Normal")</f>
        <v>Outlier</v>
      </c>
      <c r="M1306" s="18">
        <v>41</v>
      </c>
    </row>
    <row r="1307" spans="1:13" ht="20" customHeight="1" x14ac:dyDescent="0.35">
      <c r="A1307" s="17">
        <v>869899</v>
      </c>
      <c r="B1307" s="18">
        <v>623</v>
      </c>
      <c r="C1307" s="23" t="s">
        <v>113</v>
      </c>
      <c r="D1307" s="27">
        <v>45097.067361111112</v>
      </c>
      <c r="E1307" s="18" t="s">
        <v>97</v>
      </c>
      <c r="F1307" s="18" t="s">
        <v>40</v>
      </c>
      <c r="G1307" s="18">
        <v>7143</v>
      </c>
      <c r="H1307" s="25">
        <f t="shared" si="80"/>
        <v>45097</v>
      </c>
      <c r="I1307" s="26">
        <f t="shared" si="81"/>
        <v>6.7361111112404615E-2</v>
      </c>
      <c r="J1307" s="18" t="str">
        <f t="shared" si="82"/>
        <v>June</v>
      </c>
      <c r="K1307" s="56" t="str">
        <f t="shared" si="83"/>
        <v>Tuesday</v>
      </c>
      <c r="L1307" s="18" t="str">
        <f>IF(OR(G1307&gt;Answers!I1322,G1307&lt;Answers!I1323),"Outlier","Normal")</f>
        <v>Outlier</v>
      </c>
      <c r="M1307" s="18">
        <v>80</v>
      </c>
    </row>
    <row r="1308" spans="1:13" ht="20" customHeight="1" x14ac:dyDescent="0.35">
      <c r="A1308" s="17">
        <v>870081</v>
      </c>
      <c r="B1308" s="18">
        <v>1667</v>
      </c>
      <c r="C1308" s="23" t="s">
        <v>100</v>
      </c>
      <c r="D1308" s="27">
        <v>45099.039583333331</v>
      </c>
      <c r="E1308" s="18" t="s">
        <v>98</v>
      </c>
      <c r="F1308" s="18" t="s">
        <v>81</v>
      </c>
      <c r="G1308" s="18">
        <v>1176</v>
      </c>
      <c r="H1308" s="25">
        <f t="shared" si="80"/>
        <v>45099</v>
      </c>
      <c r="I1308" s="26">
        <f t="shared" si="81"/>
        <v>3.9583333331393078E-2</v>
      </c>
      <c r="J1308" s="18" t="str">
        <f t="shared" si="82"/>
        <v>June</v>
      </c>
      <c r="K1308" s="56" t="str">
        <f t="shared" si="83"/>
        <v>Thursday</v>
      </c>
      <c r="L1308" s="18" t="str">
        <f>IF(OR(G1308&gt;Answers!I1323,G1308&lt;Answers!I1324),"Outlier","Normal")</f>
        <v>Outlier</v>
      </c>
      <c r="M1308" s="18">
        <v>73</v>
      </c>
    </row>
    <row r="1309" spans="1:13" ht="20" customHeight="1" x14ac:dyDescent="0.35">
      <c r="A1309" s="17">
        <v>870973</v>
      </c>
      <c r="B1309" s="18">
        <v>429</v>
      </c>
      <c r="C1309" s="23" t="s">
        <v>109</v>
      </c>
      <c r="D1309" s="27">
        <v>45225.974305555559</v>
      </c>
      <c r="E1309" s="18" t="s">
        <v>97</v>
      </c>
      <c r="F1309" s="18" t="s">
        <v>18</v>
      </c>
      <c r="G1309" s="18">
        <v>2728</v>
      </c>
      <c r="H1309" s="25">
        <f t="shared" si="80"/>
        <v>45225</v>
      </c>
      <c r="I1309" s="26">
        <f t="shared" si="81"/>
        <v>0.97430555555911269</v>
      </c>
      <c r="J1309" s="18" t="str">
        <f t="shared" si="82"/>
        <v>October</v>
      </c>
      <c r="K1309" s="56" t="str">
        <f t="shared" si="83"/>
        <v>Thursday</v>
      </c>
      <c r="L1309" s="18" t="str">
        <f>IF(OR(G1309&gt;Answers!I1324,G1309&lt;Answers!I1325),"Outlier","Normal")</f>
        <v>Outlier</v>
      </c>
      <c r="M1309" s="18">
        <v>58</v>
      </c>
    </row>
    <row r="1310" spans="1:13" ht="20" customHeight="1" x14ac:dyDescent="0.35">
      <c r="A1310" s="17">
        <v>871057</v>
      </c>
      <c r="B1310" s="18">
        <v>52</v>
      </c>
      <c r="C1310" s="23" t="s">
        <v>99</v>
      </c>
      <c r="D1310" s="27">
        <v>45240.019444444442</v>
      </c>
      <c r="E1310" s="18" t="s">
        <v>98</v>
      </c>
      <c r="F1310" s="18" t="s">
        <v>28</v>
      </c>
      <c r="G1310" s="18">
        <v>6246</v>
      </c>
      <c r="H1310" s="25">
        <f t="shared" si="80"/>
        <v>45240</v>
      </c>
      <c r="I1310" s="26">
        <f t="shared" si="81"/>
        <v>1.9444444442342501E-2</v>
      </c>
      <c r="J1310" s="18" t="str">
        <f t="shared" si="82"/>
        <v>November</v>
      </c>
      <c r="K1310" s="56" t="str">
        <f t="shared" si="83"/>
        <v>Friday</v>
      </c>
      <c r="L1310" s="18" t="str">
        <f>IF(OR(G1310&gt;Answers!I1325,G1310&lt;Answers!I1326),"Outlier","Normal")</f>
        <v>Outlier</v>
      </c>
      <c r="M1310" s="18">
        <v>75</v>
      </c>
    </row>
    <row r="1311" spans="1:13" ht="20" customHeight="1" x14ac:dyDescent="0.35">
      <c r="A1311" s="17">
        <v>871258</v>
      </c>
      <c r="B1311" s="18">
        <v>461</v>
      </c>
      <c r="C1311" s="23" t="s">
        <v>101</v>
      </c>
      <c r="D1311" s="27">
        <v>45072.023611111108</v>
      </c>
      <c r="E1311" s="18" t="s">
        <v>97</v>
      </c>
      <c r="F1311" s="18" t="s">
        <v>31</v>
      </c>
      <c r="G1311" s="18">
        <v>2564</v>
      </c>
      <c r="H1311" s="25">
        <f t="shared" si="80"/>
        <v>45072</v>
      </c>
      <c r="I1311" s="26">
        <f t="shared" si="81"/>
        <v>2.361111110803904E-2</v>
      </c>
      <c r="J1311" s="18" t="str">
        <f t="shared" si="82"/>
        <v>May</v>
      </c>
      <c r="K1311" s="56" t="str">
        <f t="shared" si="83"/>
        <v>Friday</v>
      </c>
      <c r="L1311" s="18" t="str">
        <f>IF(OR(G1311&gt;Answers!I1326,G1311&lt;Answers!I1327),"Outlier","Normal")</f>
        <v>Outlier</v>
      </c>
      <c r="M1311" s="18">
        <v>77</v>
      </c>
    </row>
    <row r="1312" spans="1:13" ht="20" customHeight="1" x14ac:dyDescent="0.35">
      <c r="A1312" s="17">
        <v>872066</v>
      </c>
      <c r="B1312" s="18">
        <v>510</v>
      </c>
      <c r="C1312" s="23" t="s">
        <v>99</v>
      </c>
      <c r="D1312" s="27">
        <v>45203.992361111108</v>
      </c>
      <c r="E1312" s="18" t="s">
        <v>97</v>
      </c>
      <c r="F1312" s="18" t="s">
        <v>27</v>
      </c>
      <c r="G1312" s="18">
        <v>7354</v>
      </c>
      <c r="H1312" s="25">
        <f t="shared" si="80"/>
        <v>45203</v>
      </c>
      <c r="I1312" s="26">
        <f t="shared" si="81"/>
        <v>0.99236111110803904</v>
      </c>
      <c r="J1312" s="18" t="str">
        <f t="shared" si="82"/>
        <v>October</v>
      </c>
      <c r="K1312" s="56" t="str">
        <f t="shared" si="83"/>
        <v>Wednesday</v>
      </c>
      <c r="L1312" s="18" t="str">
        <f>IF(OR(G1312&gt;Answers!I1327,G1312&lt;Answers!I1328),"Outlier","Normal")</f>
        <v>Outlier</v>
      </c>
      <c r="M1312" s="18">
        <v>39</v>
      </c>
    </row>
    <row r="1313" spans="1:13" ht="20" customHeight="1" x14ac:dyDescent="0.35">
      <c r="A1313" s="17">
        <v>874091</v>
      </c>
      <c r="B1313" s="18">
        <v>1236</v>
      </c>
      <c r="C1313" s="23" t="s">
        <v>99</v>
      </c>
      <c r="D1313" s="27">
        <v>45121.970833333333</v>
      </c>
      <c r="E1313" s="18" t="s">
        <v>98</v>
      </c>
      <c r="F1313" s="18" t="s">
        <v>39</v>
      </c>
      <c r="G1313" s="18">
        <v>54</v>
      </c>
      <c r="H1313" s="25">
        <f t="shared" si="80"/>
        <v>45121</v>
      </c>
      <c r="I1313" s="26">
        <f t="shared" si="81"/>
        <v>0.97083333333284827</v>
      </c>
      <c r="J1313" s="18" t="str">
        <f t="shared" si="82"/>
        <v>July</v>
      </c>
      <c r="K1313" s="56" t="str">
        <f t="shared" si="83"/>
        <v>Friday</v>
      </c>
      <c r="L1313" s="18" t="str">
        <f>IF(OR(G1313&gt;Answers!I1328,G1313&lt;Answers!I1329),"Outlier","Normal")</f>
        <v>Outlier</v>
      </c>
      <c r="M1313" s="18">
        <v>47</v>
      </c>
    </row>
    <row r="1314" spans="1:13" ht="20" customHeight="1" x14ac:dyDescent="0.35">
      <c r="A1314" s="17">
        <v>875005</v>
      </c>
      <c r="B1314" s="18">
        <v>1859</v>
      </c>
      <c r="C1314" s="23" t="s">
        <v>105</v>
      </c>
      <c r="D1314" s="27">
        <v>45100.986805555556</v>
      </c>
      <c r="E1314" s="18" t="s">
        <v>98</v>
      </c>
      <c r="F1314" s="18" t="s">
        <v>27</v>
      </c>
      <c r="G1314" s="18">
        <v>538</v>
      </c>
      <c r="H1314" s="25">
        <f t="shared" si="80"/>
        <v>45100</v>
      </c>
      <c r="I1314" s="26">
        <f t="shared" si="81"/>
        <v>0.98680555555620231</v>
      </c>
      <c r="J1314" s="18" t="str">
        <f t="shared" si="82"/>
        <v>June</v>
      </c>
      <c r="K1314" s="56" t="str">
        <f t="shared" si="83"/>
        <v>Friday</v>
      </c>
      <c r="L1314" s="18" t="str">
        <f>IF(OR(G1314&gt;Answers!I1329,G1314&lt;Answers!I1330),"Outlier","Normal")</f>
        <v>Outlier</v>
      </c>
      <c r="M1314" s="18">
        <v>64</v>
      </c>
    </row>
    <row r="1315" spans="1:13" ht="20" customHeight="1" x14ac:dyDescent="0.35">
      <c r="A1315" s="17">
        <v>875015</v>
      </c>
      <c r="B1315" s="18">
        <v>849</v>
      </c>
      <c r="C1315" s="23" t="s">
        <v>100</v>
      </c>
      <c r="D1315" s="27">
        <v>45162.017361111109</v>
      </c>
      <c r="E1315" s="18" t="s">
        <v>133</v>
      </c>
      <c r="F1315" s="18" t="s">
        <v>43</v>
      </c>
      <c r="G1315" s="18">
        <v>235</v>
      </c>
      <c r="H1315" s="25">
        <f t="shared" si="80"/>
        <v>45162</v>
      </c>
      <c r="I1315" s="26">
        <f t="shared" si="81"/>
        <v>1.7361111109494232E-2</v>
      </c>
      <c r="J1315" s="18" t="str">
        <f t="shared" si="82"/>
        <v>August</v>
      </c>
      <c r="K1315" s="56" t="str">
        <f t="shared" si="83"/>
        <v>Thursday</v>
      </c>
      <c r="L1315" s="18" t="str">
        <f>IF(OR(G1315&gt;Answers!I1330,G1315&lt;Answers!I1331),"Outlier","Normal")</f>
        <v>Outlier</v>
      </c>
      <c r="M1315" s="18">
        <v>19</v>
      </c>
    </row>
    <row r="1316" spans="1:13" ht="20" customHeight="1" x14ac:dyDescent="0.35">
      <c r="A1316" s="17">
        <v>875813</v>
      </c>
      <c r="B1316" s="18">
        <v>1088</v>
      </c>
      <c r="C1316" s="23" t="s">
        <v>113</v>
      </c>
      <c r="D1316" s="27">
        <v>45046.007638888892</v>
      </c>
      <c r="E1316" s="18" t="s">
        <v>133</v>
      </c>
      <c r="F1316" s="18" t="s">
        <v>62</v>
      </c>
      <c r="G1316" s="18">
        <v>1198</v>
      </c>
      <c r="H1316" s="25">
        <f t="shared" si="80"/>
        <v>45046</v>
      </c>
      <c r="I1316" s="26">
        <f t="shared" si="81"/>
        <v>7.6388888919609599E-3</v>
      </c>
      <c r="J1316" s="18" t="str">
        <f t="shared" si="82"/>
        <v>April</v>
      </c>
      <c r="K1316" s="56" t="str">
        <f t="shared" si="83"/>
        <v>Sunday</v>
      </c>
      <c r="L1316" s="18" t="str">
        <f>IF(OR(G1316&gt;Answers!I1331,G1316&lt;Answers!I1332),"Outlier","Normal")</f>
        <v>Outlier</v>
      </c>
      <c r="M1316" s="18">
        <v>72</v>
      </c>
    </row>
    <row r="1317" spans="1:13" ht="20" customHeight="1" x14ac:dyDescent="0.35">
      <c r="A1317" s="17">
        <v>875981</v>
      </c>
      <c r="B1317" s="18">
        <v>991</v>
      </c>
      <c r="C1317" s="23" t="s">
        <v>99</v>
      </c>
      <c r="D1317" s="27">
        <v>45174.051388888889</v>
      </c>
      <c r="E1317" s="18" t="s">
        <v>98</v>
      </c>
      <c r="F1317" s="18" t="s">
        <v>21</v>
      </c>
      <c r="G1317" s="18">
        <v>6567</v>
      </c>
      <c r="H1317" s="25">
        <f t="shared" si="80"/>
        <v>45174</v>
      </c>
      <c r="I1317" s="26">
        <f t="shared" si="81"/>
        <v>5.1388888889050577E-2</v>
      </c>
      <c r="J1317" s="18" t="str">
        <f t="shared" si="82"/>
        <v>September</v>
      </c>
      <c r="K1317" s="56" t="str">
        <f t="shared" si="83"/>
        <v>Tuesday</v>
      </c>
      <c r="L1317" s="18" t="str">
        <f>IF(OR(G1317&gt;Answers!I1332,G1317&lt;Answers!I1333),"Outlier","Normal")</f>
        <v>Outlier</v>
      </c>
      <c r="M1317" s="18">
        <v>55</v>
      </c>
    </row>
    <row r="1318" spans="1:13" ht="20" customHeight="1" x14ac:dyDescent="0.35">
      <c r="A1318" s="17">
        <v>876685</v>
      </c>
      <c r="B1318" s="18">
        <v>1061</v>
      </c>
      <c r="C1318" s="23" t="s">
        <v>102</v>
      </c>
      <c r="D1318" s="27">
        <v>44950.98541666667</v>
      </c>
      <c r="E1318" s="18" t="s">
        <v>98</v>
      </c>
      <c r="F1318" s="18" t="s">
        <v>66</v>
      </c>
      <c r="G1318" s="18">
        <v>3507</v>
      </c>
      <c r="H1318" s="25">
        <f t="shared" si="80"/>
        <v>44950</v>
      </c>
      <c r="I1318" s="26">
        <f t="shared" si="81"/>
        <v>0.98541666667006211</v>
      </c>
      <c r="J1318" s="18" t="str">
        <f t="shared" si="82"/>
        <v>January</v>
      </c>
      <c r="K1318" s="56" t="str">
        <f t="shared" si="83"/>
        <v>Tuesday</v>
      </c>
      <c r="L1318" s="18" t="str">
        <f>IF(OR(G1318&gt;Answers!I1333,G1318&lt;Answers!I1334),"Outlier","Normal")</f>
        <v>Outlier</v>
      </c>
      <c r="M1318" s="18">
        <v>61</v>
      </c>
    </row>
    <row r="1319" spans="1:13" ht="20" customHeight="1" x14ac:dyDescent="0.35">
      <c r="A1319" s="17">
        <v>877616</v>
      </c>
      <c r="B1319" s="18">
        <v>1685</v>
      </c>
      <c r="C1319" s="23" t="s">
        <v>99</v>
      </c>
      <c r="D1319" s="27">
        <v>45279</v>
      </c>
      <c r="E1319" s="18" t="s">
        <v>97</v>
      </c>
      <c r="F1319" s="18" t="s">
        <v>29</v>
      </c>
      <c r="G1319" s="18">
        <v>6662</v>
      </c>
      <c r="H1319" s="25">
        <f t="shared" si="80"/>
        <v>45279</v>
      </c>
      <c r="I1319" s="26">
        <f t="shared" si="81"/>
        <v>0</v>
      </c>
      <c r="J1319" s="18" t="str">
        <f t="shared" si="82"/>
        <v>December</v>
      </c>
      <c r="K1319" s="56" t="str">
        <f t="shared" si="83"/>
        <v>Tuesday</v>
      </c>
      <c r="L1319" s="18" t="str">
        <f>IF(OR(G1319&gt;Answers!I1334,G1319&lt;Answers!I1335),"Outlier","Normal")</f>
        <v>Outlier</v>
      </c>
      <c r="M1319" s="18">
        <v>74</v>
      </c>
    </row>
    <row r="1320" spans="1:13" ht="20" customHeight="1" x14ac:dyDescent="0.35">
      <c r="A1320" s="17">
        <v>877681</v>
      </c>
      <c r="B1320" s="18">
        <v>166</v>
      </c>
      <c r="C1320" s="23" t="s">
        <v>100</v>
      </c>
      <c r="D1320" s="27">
        <v>45284.078472222223</v>
      </c>
      <c r="E1320" s="18" t="s">
        <v>96</v>
      </c>
      <c r="F1320" s="18" t="s">
        <v>9</v>
      </c>
      <c r="G1320" s="18">
        <v>2796</v>
      </c>
      <c r="H1320" s="25">
        <f t="shared" si="80"/>
        <v>45284</v>
      </c>
      <c r="I1320" s="26">
        <f t="shared" si="81"/>
        <v>7.8472222223354038E-2</v>
      </c>
      <c r="J1320" s="18" t="str">
        <f t="shared" si="82"/>
        <v>December</v>
      </c>
      <c r="K1320" s="56" t="str">
        <f t="shared" si="83"/>
        <v>Sunday</v>
      </c>
      <c r="L1320" s="18" t="str">
        <f>IF(OR(G1320&gt;Answers!I1335,G1320&lt;Answers!I1336),"Outlier","Normal")</f>
        <v>Outlier</v>
      </c>
      <c r="M1320" s="18">
        <v>27</v>
      </c>
    </row>
    <row r="1321" spans="1:13" ht="20" customHeight="1" x14ac:dyDescent="0.35">
      <c r="A1321" s="17">
        <v>877784</v>
      </c>
      <c r="B1321" s="18">
        <v>422</v>
      </c>
      <c r="C1321" s="23" t="s">
        <v>113</v>
      </c>
      <c r="D1321" s="27">
        <v>44984.951388888891</v>
      </c>
      <c r="E1321" s="18" t="s">
        <v>96</v>
      </c>
      <c r="F1321" s="18" t="s">
        <v>30</v>
      </c>
      <c r="G1321" s="18">
        <v>9049</v>
      </c>
      <c r="H1321" s="25">
        <f t="shared" si="80"/>
        <v>44984</v>
      </c>
      <c r="I1321" s="26">
        <f t="shared" si="81"/>
        <v>0.95138888889050577</v>
      </c>
      <c r="J1321" s="18" t="str">
        <f t="shared" si="82"/>
        <v>February</v>
      </c>
      <c r="K1321" s="56" t="str">
        <f t="shared" si="83"/>
        <v>Monday</v>
      </c>
      <c r="L1321" s="18" t="str">
        <f>IF(OR(G1321&gt;Answers!I1336,G1321&lt;Answers!I1337),"Outlier","Normal")</f>
        <v>Outlier</v>
      </c>
      <c r="M1321" s="18">
        <v>64</v>
      </c>
    </row>
    <row r="1322" spans="1:13" ht="20" customHeight="1" x14ac:dyDescent="0.35">
      <c r="A1322" s="17">
        <v>878611</v>
      </c>
      <c r="B1322" s="18">
        <v>1668</v>
      </c>
      <c r="C1322" s="23" t="s">
        <v>99</v>
      </c>
      <c r="D1322" s="27">
        <v>45254.036805555559</v>
      </c>
      <c r="E1322" s="18" t="s">
        <v>133</v>
      </c>
      <c r="F1322" s="18" t="s">
        <v>67</v>
      </c>
      <c r="G1322" s="18">
        <v>3591</v>
      </c>
      <c r="H1322" s="25">
        <f t="shared" si="80"/>
        <v>45254</v>
      </c>
      <c r="I1322" s="26">
        <f t="shared" si="81"/>
        <v>3.680555555911269E-2</v>
      </c>
      <c r="J1322" s="18" t="str">
        <f t="shared" si="82"/>
        <v>November</v>
      </c>
      <c r="K1322" s="56" t="str">
        <f t="shared" si="83"/>
        <v>Friday</v>
      </c>
      <c r="L1322" s="18" t="str">
        <f>IF(OR(G1322&gt;Answers!I1337,G1322&lt;Answers!I1338),"Outlier","Normal")</f>
        <v>Outlier</v>
      </c>
      <c r="M1322" s="18">
        <v>68</v>
      </c>
    </row>
    <row r="1323" spans="1:13" ht="20" customHeight="1" x14ac:dyDescent="0.35">
      <c r="A1323" s="17">
        <v>878658</v>
      </c>
      <c r="B1323" s="18">
        <v>780</v>
      </c>
      <c r="C1323" s="23" t="s">
        <v>113</v>
      </c>
      <c r="D1323" s="27">
        <v>45217.061111111114</v>
      </c>
      <c r="E1323" s="18" t="s">
        <v>96</v>
      </c>
      <c r="F1323" s="18" t="s">
        <v>53</v>
      </c>
      <c r="G1323" s="18">
        <v>3114</v>
      </c>
      <c r="H1323" s="25">
        <f t="shared" si="80"/>
        <v>45217</v>
      </c>
      <c r="I1323" s="26">
        <f t="shared" si="81"/>
        <v>6.1111111113859806E-2</v>
      </c>
      <c r="J1323" s="18" t="str">
        <f t="shared" si="82"/>
        <v>October</v>
      </c>
      <c r="K1323" s="56" t="str">
        <f t="shared" si="83"/>
        <v>Wednesday</v>
      </c>
      <c r="L1323" s="18" t="str">
        <f>IF(OR(G1323&gt;Answers!I1338,G1323&lt;Answers!I1339),"Outlier","Normal")</f>
        <v>Outlier</v>
      </c>
      <c r="M1323" s="18">
        <v>43</v>
      </c>
    </row>
    <row r="1324" spans="1:13" ht="20" customHeight="1" x14ac:dyDescent="0.35">
      <c r="A1324" s="17">
        <v>878771</v>
      </c>
      <c r="B1324" s="18">
        <v>194</v>
      </c>
      <c r="C1324" s="23" t="s">
        <v>113</v>
      </c>
      <c r="D1324" s="27">
        <v>45128.081944444442</v>
      </c>
      <c r="E1324" s="18" t="s">
        <v>133</v>
      </c>
      <c r="F1324" s="18" t="s">
        <v>33</v>
      </c>
      <c r="G1324" s="18">
        <v>7705</v>
      </c>
      <c r="H1324" s="25">
        <f t="shared" si="80"/>
        <v>45128</v>
      </c>
      <c r="I1324" s="26">
        <f t="shared" si="81"/>
        <v>8.1944444442342501E-2</v>
      </c>
      <c r="J1324" s="18" t="str">
        <f t="shared" si="82"/>
        <v>July</v>
      </c>
      <c r="K1324" s="56" t="str">
        <f t="shared" si="83"/>
        <v>Friday</v>
      </c>
      <c r="L1324" s="18" t="str">
        <f>IF(OR(G1324&gt;Answers!I1339,G1324&lt;Answers!I1340),"Outlier","Normal")</f>
        <v>Outlier</v>
      </c>
      <c r="M1324" s="18">
        <v>64</v>
      </c>
    </row>
    <row r="1325" spans="1:13" ht="20" customHeight="1" x14ac:dyDescent="0.35">
      <c r="A1325" s="17">
        <v>879541</v>
      </c>
      <c r="B1325" s="18">
        <v>907</v>
      </c>
      <c r="C1325" s="23" t="s">
        <v>108</v>
      </c>
      <c r="D1325" s="27">
        <v>45164.956944444442</v>
      </c>
      <c r="E1325" s="18" t="s">
        <v>133</v>
      </c>
      <c r="F1325" s="18" t="s">
        <v>34</v>
      </c>
      <c r="G1325" s="18">
        <v>1465</v>
      </c>
      <c r="H1325" s="25">
        <f t="shared" si="80"/>
        <v>45164</v>
      </c>
      <c r="I1325" s="26">
        <f t="shared" si="81"/>
        <v>0.9569444444423425</v>
      </c>
      <c r="J1325" s="18" t="str">
        <f t="shared" si="82"/>
        <v>August</v>
      </c>
      <c r="K1325" s="56" t="str">
        <f t="shared" si="83"/>
        <v>Saturday</v>
      </c>
      <c r="L1325" s="18" t="str">
        <f>IF(OR(G1325&gt;Answers!I1340,G1325&lt;Answers!I1341),"Outlier","Normal")</f>
        <v>Outlier</v>
      </c>
      <c r="M1325" s="18">
        <v>55</v>
      </c>
    </row>
    <row r="1326" spans="1:13" ht="20" customHeight="1" x14ac:dyDescent="0.35">
      <c r="A1326" s="17">
        <v>879819</v>
      </c>
      <c r="B1326" s="18">
        <v>286</v>
      </c>
      <c r="C1326" s="23" t="s">
        <v>99</v>
      </c>
      <c r="D1326" s="27">
        <v>45085.035416666666</v>
      </c>
      <c r="E1326" s="18" t="s">
        <v>96</v>
      </c>
      <c r="F1326" s="18" t="s">
        <v>68</v>
      </c>
      <c r="G1326" s="18">
        <v>6894</v>
      </c>
      <c r="H1326" s="25">
        <f t="shared" si="80"/>
        <v>45085</v>
      </c>
      <c r="I1326" s="26">
        <f t="shared" si="81"/>
        <v>3.5416666665696539E-2</v>
      </c>
      <c r="J1326" s="18" t="str">
        <f t="shared" si="82"/>
        <v>June</v>
      </c>
      <c r="K1326" s="56" t="str">
        <f t="shared" si="83"/>
        <v>Thursday</v>
      </c>
      <c r="L1326" s="18" t="str">
        <f>IF(OR(G1326&gt;Answers!I1341,G1326&lt;Answers!I1342),"Outlier","Normal")</f>
        <v>Outlier</v>
      </c>
      <c r="M1326" s="18">
        <v>79</v>
      </c>
    </row>
    <row r="1327" spans="1:13" ht="20" customHeight="1" x14ac:dyDescent="0.35">
      <c r="A1327" s="17">
        <v>881346</v>
      </c>
      <c r="B1327" s="18">
        <v>327</v>
      </c>
      <c r="C1327" s="23" t="s">
        <v>113</v>
      </c>
      <c r="D1327" s="27">
        <v>45279.986111111109</v>
      </c>
      <c r="E1327" s="18" t="s">
        <v>96</v>
      </c>
      <c r="F1327" s="18" t="s">
        <v>69</v>
      </c>
      <c r="G1327" s="18">
        <v>8816</v>
      </c>
      <c r="H1327" s="25">
        <f t="shared" si="80"/>
        <v>45279</v>
      </c>
      <c r="I1327" s="26">
        <f t="shared" si="81"/>
        <v>0.98611111110949423</v>
      </c>
      <c r="J1327" s="18" t="str">
        <f t="shared" si="82"/>
        <v>December</v>
      </c>
      <c r="K1327" s="56" t="str">
        <f t="shared" si="83"/>
        <v>Tuesday</v>
      </c>
      <c r="L1327" s="18" t="str">
        <f>IF(OR(G1327&gt;Answers!I1342,G1327&lt;Answers!I1343),"Outlier","Normal")</f>
        <v>Outlier</v>
      </c>
      <c r="M1327" s="18">
        <v>32</v>
      </c>
    </row>
    <row r="1328" spans="1:13" ht="20" customHeight="1" x14ac:dyDescent="0.35">
      <c r="A1328" s="17">
        <v>882347</v>
      </c>
      <c r="B1328" s="18">
        <v>1938</v>
      </c>
      <c r="C1328" s="23" t="s">
        <v>99</v>
      </c>
      <c r="D1328" s="27">
        <v>45187.940972222219</v>
      </c>
      <c r="E1328" s="18" t="s">
        <v>97</v>
      </c>
      <c r="F1328" s="18" t="s">
        <v>43</v>
      </c>
      <c r="G1328" s="18">
        <v>3811</v>
      </c>
      <c r="H1328" s="25">
        <f t="shared" si="80"/>
        <v>45187</v>
      </c>
      <c r="I1328" s="26">
        <f t="shared" si="81"/>
        <v>0.94097222221898846</v>
      </c>
      <c r="J1328" s="18" t="str">
        <f t="shared" si="82"/>
        <v>September</v>
      </c>
      <c r="K1328" s="56" t="str">
        <f t="shared" si="83"/>
        <v>Monday</v>
      </c>
      <c r="L1328" s="18" t="str">
        <f>IF(OR(G1328&gt;Answers!I1343,G1328&lt;Answers!I1344),"Outlier","Normal")</f>
        <v>Outlier</v>
      </c>
      <c r="M1328" s="18">
        <v>70</v>
      </c>
    </row>
    <row r="1329" spans="1:13" ht="20" customHeight="1" x14ac:dyDescent="0.35">
      <c r="A1329" s="17">
        <v>883228</v>
      </c>
      <c r="B1329" s="18">
        <v>1251</v>
      </c>
      <c r="C1329" s="23" t="s">
        <v>99</v>
      </c>
      <c r="D1329" s="27">
        <v>45035.058333333334</v>
      </c>
      <c r="E1329" s="18" t="s">
        <v>96</v>
      </c>
      <c r="F1329" s="18" t="s">
        <v>38</v>
      </c>
      <c r="G1329" s="18">
        <v>381</v>
      </c>
      <c r="H1329" s="25">
        <f t="shared" si="80"/>
        <v>45035</v>
      </c>
      <c r="I1329" s="26">
        <f t="shared" si="81"/>
        <v>5.8333333334303461E-2</v>
      </c>
      <c r="J1329" s="18" t="str">
        <f t="shared" si="82"/>
        <v>April</v>
      </c>
      <c r="K1329" s="56" t="str">
        <f t="shared" si="83"/>
        <v>Wednesday</v>
      </c>
      <c r="L1329" s="18" t="str">
        <f>IF(OR(G1329&gt;Answers!I1344,G1329&lt;Answers!I1345),"Outlier","Normal")</f>
        <v>Outlier</v>
      </c>
      <c r="M1329" s="18">
        <v>31</v>
      </c>
    </row>
    <row r="1330" spans="1:13" ht="20" customHeight="1" x14ac:dyDescent="0.35">
      <c r="A1330" s="17">
        <v>883461</v>
      </c>
      <c r="B1330" s="18">
        <v>1023</v>
      </c>
      <c r="C1330" s="23" t="s">
        <v>109</v>
      </c>
      <c r="D1330" s="27">
        <v>45235.961805555555</v>
      </c>
      <c r="E1330" s="18" t="s">
        <v>133</v>
      </c>
      <c r="F1330" s="18" t="s">
        <v>69</v>
      </c>
      <c r="G1330" s="18">
        <v>7192</v>
      </c>
      <c r="H1330" s="25">
        <f t="shared" si="80"/>
        <v>45235</v>
      </c>
      <c r="I1330" s="26">
        <f t="shared" si="81"/>
        <v>0.96180555555474712</v>
      </c>
      <c r="J1330" s="18" t="str">
        <f t="shared" si="82"/>
        <v>November</v>
      </c>
      <c r="K1330" s="56" t="str">
        <f t="shared" si="83"/>
        <v>Sunday</v>
      </c>
      <c r="L1330" s="18" t="str">
        <f>IF(OR(G1330&gt;Answers!I1345,G1330&lt;Answers!I1346),"Outlier","Normal")</f>
        <v>Outlier</v>
      </c>
      <c r="M1330" s="18">
        <v>52</v>
      </c>
    </row>
    <row r="1331" spans="1:13" ht="20" customHeight="1" x14ac:dyDescent="0.35">
      <c r="A1331" s="17">
        <v>883497</v>
      </c>
      <c r="B1331" s="18">
        <v>954</v>
      </c>
      <c r="C1331" s="23" t="s">
        <v>113</v>
      </c>
      <c r="D1331" s="27">
        <v>45141.040277777778</v>
      </c>
      <c r="E1331" s="18" t="s">
        <v>98</v>
      </c>
      <c r="F1331" s="18" t="s">
        <v>24</v>
      </c>
      <c r="G1331" s="18">
        <v>1216</v>
      </c>
      <c r="H1331" s="25">
        <f t="shared" si="80"/>
        <v>45141</v>
      </c>
      <c r="I1331" s="26">
        <f t="shared" si="81"/>
        <v>4.0277777778101154E-2</v>
      </c>
      <c r="J1331" s="18" t="str">
        <f t="shared" si="82"/>
        <v>August</v>
      </c>
      <c r="K1331" s="56" t="str">
        <f t="shared" si="83"/>
        <v>Thursday</v>
      </c>
      <c r="L1331" s="18" t="str">
        <f>IF(OR(G1331&gt;Answers!I1346,G1331&lt;Answers!I1347),"Outlier","Normal")</f>
        <v>Outlier</v>
      </c>
      <c r="M1331" s="18">
        <v>35</v>
      </c>
    </row>
    <row r="1332" spans="1:13" ht="20" customHeight="1" x14ac:dyDescent="0.35">
      <c r="A1332" s="17">
        <v>884628</v>
      </c>
      <c r="B1332" s="18">
        <v>464</v>
      </c>
      <c r="C1332" s="23" t="s">
        <v>107</v>
      </c>
      <c r="D1332" s="27">
        <v>45266.000694444447</v>
      </c>
      <c r="E1332" s="18" t="s">
        <v>98</v>
      </c>
      <c r="F1332" s="18" t="s">
        <v>22</v>
      </c>
      <c r="G1332" s="18">
        <v>7177</v>
      </c>
      <c r="H1332" s="25">
        <f t="shared" si="80"/>
        <v>45266</v>
      </c>
      <c r="I1332" s="26">
        <f t="shared" si="81"/>
        <v>6.944444467080757E-4</v>
      </c>
      <c r="J1332" s="18" t="str">
        <f t="shared" si="82"/>
        <v>December</v>
      </c>
      <c r="K1332" s="56" t="str">
        <f t="shared" si="83"/>
        <v>Wednesday</v>
      </c>
      <c r="L1332" s="18" t="str">
        <f>IF(OR(G1332&gt;Answers!I1347,G1332&lt;Answers!I1348),"Outlier","Normal")</f>
        <v>Outlier</v>
      </c>
      <c r="M1332" s="18">
        <v>26</v>
      </c>
    </row>
    <row r="1333" spans="1:13" ht="20" customHeight="1" x14ac:dyDescent="0.35">
      <c r="A1333" s="17">
        <v>885377</v>
      </c>
      <c r="B1333" s="18">
        <v>1622</v>
      </c>
      <c r="C1333" s="23" t="s">
        <v>100</v>
      </c>
      <c r="D1333" s="27">
        <v>44968.037499999999</v>
      </c>
      <c r="E1333" s="18" t="s">
        <v>96</v>
      </c>
      <c r="F1333" s="18" t="s">
        <v>41</v>
      </c>
      <c r="G1333" s="18">
        <v>7139</v>
      </c>
      <c r="H1333" s="25">
        <f t="shared" si="80"/>
        <v>44968</v>
      </c>
      <c r="I1333" s="26">
        <f t="shared" si="81"/>
        <v>3.7499999998544808E-2</v>
      </c>
      <c r="J1333" s="18" t="str">
        <f t="shared" si="82"/>
        <v>February</v>
      </c>
      <c r="K1333" s="56" t="str">
        <f t="shared" si="83"/>
        <v>Saturday</v>
      </c>
      <c r="L1333" s="18" t="str">
        <f>IF(OR(G1333&gt;Answers!I1348,G1333&lt;Answers!I1349),"Outlier","Normal")</f>
        <v>Outlier</v>
      </c>
      <c r="M1333" s="18">
        <v>87</v>
      </c>
    </row>
    <row r="1334" spans="1:13" ht="20" customHeight="1" x14ac:dyDescent="0.35">
      <c r="A1334" s="17">
        <v>885750</v>
      </c>
      <c r="B1334" s="18">
        <v>1837</v>
      </c>
      <c r="C1334" s="23" t="s">
        <v>110</v>
      </c>
      <c r="D1334" s="27">
        <v>45267.039583333331</v>
      </c>
      <c r="E1334" s="18" t="s">
        <v>97</v>
      </c>
      <c r="F1334" s="18" t="s">
        <v>19</v>
      </c>
      <c r="G1334" s="18">
        <v>1520</v>
      </c>
      <c r="H1334" s="25">
        <f t="shared" si="80"/>
        <v>45267</v>
      </c>
      <c r="I1334" s="26">
        <f t="shared" si="81"/>
        <v>3.9583333331393078E-2</v>
      </c>
      <c r="J1334" s="18" t="str">
        <f t="shared" si="82"/>
        <v>December</v>
      </c>
      <c r="K1334" s="56" t="str">
        <f t="shared" si="83"/>
        <v>Thursday</v>
      </c>
      <c r="L1334" s="18" t="str">
        <f>IF(OR(G1334&gt;Answers!I1349,G1334&lt;Answers!I1350),"Outlier","Normal")</f>
        <v>Outlier</v>
      </c>
      <c r="M1334" s="18">
        <v>87</v>
      </c>
    </row>
    <row r="1335" spans="1:13" ht="20" customHeight="1" x14ac:dyDescent="0.35">
      <c r="A1335" s="17">
        <v>885987</v>
      </c>
      <c r="B1335" s="18">
        <v>1601</v>
      </c>
      <c r="C1335" s="23" t="s">
        <v>100</v>
      </c>
      <c r="D1335" s="27">
        <v>45226.015972222223</v>
      </c>
      <c r="E1335" s="18" t="s">
        <v>97</v>
      </c>
      <c r="F1335" s="18" t="s">
        <v>35</v>
      </c>
      <c r="G1335" s="18">
        <v>8973</v>
      </c>
      <c r="H1335" s="25">
        <f t="shared" si="80"/>
        <v>45226</v>
      </c>
      <c r="I1335" s="26">
        <f t="shared" si="81"/>
        <v>1.5972222223354038E-2</v>
      </c>
      <c r="J1335" s="18" t="str">
        <f t="shared" si="82"/>
        <v>October</v>
      </c>
      <c r="K1335" s="56" t="str">
        <f t="shared" si="83"/>
        <v>Friday</v>
      </c>
      <c r="L1335" s="18" t="str">
        <f>IF(OR(G1335&gt;Answers!I1350,G1335&lt;Answers!I1351),"Outlier","Normal")</f>
        <v>Outlier</v>
      </c>
      <c r="M1335" s="18">
        <v>22</v>
      </c>
    </row>
    <row r="1336" spans="1:13" ht="20" customHeight="1" x14ac:dyDescent="0.35">
      <c r="A1336" s="17">
        <v>886188</v>
      </c>
      <c r="B1336" s="18">
        <v>581</v>
      </c>
      <c r="C1336" s="23" t="s">
        <v>99</v>
      </c>
      <c r="D1336" s="27">
        <v>45202.05</v>
      </c>
      <c r="E1336" s="18" t="s">
        <v>98</v>
      </c>
      <c r="F1336" s="18" t="s">
        <v>76</v>
      </c>
      <c r="G1336" s="18">
        <v>5000</v>
      </c>
      <c r="H1336" s="25">
        <f t="shared" si="80"/>
        <v>45202</v>
      </c>
      <c r="I1336" s="26">
        <f t="shared" si="81"/>
        <v>5.0000000002910383E-2</v>
      </c>
      <c r="J1336" s="18" t="str">
        <f t="shared" si="82"/>
        <v>October</v>
      </c>
      <c r="K1336" s="56" t="str">
        <f t="shared" si="83"/>
        <v>Tuesday</v>
      </c>
      <c r="L1336" s="18" t="str">
        <f>IF(OR(G1336&gt;Answers!I1351,G1336&lt;Answers!I1352),"Outlier","Normal")</f>
        <v>Outlier</v>
      </c>
      <c r="M1336" s="18">
        <v>53</v>
      </c>
    </row>
    <row r="1337" spans="1:13" ht="20" customHeight="1" x14ac:dyDescent="0.35">
      <c r="A1337" s="17">
        <v>887239</v>
      </c>
      <c r="B1337" s="18">
        <v>1157</v>
      </c>
      <c r="C1337" s="23" t="s">
        <v>106</v>
      </c>
      <c r="D1337" s="27">
        <v>45101.086805555555</v>
      </c>
      <c r="E1337" s="18" t="s">
        <v>98</v>
      </c>
      <c r="F1337" s="18" t="s">
        <v>28</v>
      </c>
      <c r="G1337" s="18">
        <v>9005</v>
      </c>
      <c r="H1337" s="25">
        <f t="shared" si="80"/>
        <v>45101</v>
      </c>
      <c r="I1337" s="26">
        <f t="shared" si="81"/>
        <v>8.6805555554747116E-2</v>
      </c>
      <c r="J1337" s="18" t="str">
        <f t="shared" si="82"/>
        <v>June</v>
      </c>
      <c r="K1337" s="56" t="str">
        <f t="shared" si="83"/>
        <v>Saturday</v>
      </c>
      <c r="L1337" s="18" t="str">
        <f>IF(OR(G1337&gt;Answers!I1352,G1337&lt;Answers!I1353),"Outlier","Normal")</f>
        <v>Outlier</v>
      </c>
      <c r="M1337" s="18">
        <v>70</v>
      </c>
    </row>
    <row r="1338" spans="1:13" ht="20" customHeight="1" x14ac:dyDescent="0.35">
      <c r="A1338" s="17">
        <v>888702</v>
      </c>
      <c r="B1338" s="18">
        <v>746</v>
      </c>
      <c r="C1338" s="23" t="s">
        <v>99</v>
      </c>
      <c r="D1338" s="27">
        <v>45188.036111111112</v>
      </c>
      <c r="E1338" s="18" t="s">
        <v>97</v>
      </c>
      <c r="F1338" s="18" t="s">
        <v>14</v>
      </c>
      <c r="G1338" s="18">
        <v>98</v>
      </c>
      <c r="H1338" s="25">
        <f t="shared" si="80"/>
        <v>45188</v>
      </c>
      <c r="I1338" s="26">
        <f t="shared" si="81"/>
        <v>3.6111111112404615E-2</v>
      </c>
      <c r="J1338" s="18" t="str">
        <f t="shared" si="82"/>
        <v>September</v>
      </c>
      <c r="K1338" s="56" t="str">
        <f t="shared" si="83"/>
        <v>Tuesday</v>
      </c>
      <c r="L1338" s="18" t="str">
        <f>IF(OR(G1338&gt;Answers!I1353,G1338&lt;Answers!I1354),"Outlier","Normal")</f>
        <v>Outlier</v>
      </c>
      <c r="M1338" s="18">
        <v>75</v>
      </c>
    </row>
    <row r="1339" spans="1:13" ht="20" customHeight="1" x14ac:dyDescent="0.35">
      <c r="A1339" s="17">
        <v>888938</v>
      </c>
      <c r="B1339" s="18">
        <v>1606</v>
      </c>
      <c r="C1339" s="23" t="s">
        <v>100</v>
      </c>
      <c r="D1339" s="27">
        <v>45170.06527777778</v>
      </c>
      <c r="E1339" s="18" t="s">
        <v>96</v>
      </c>
      <c r="F1339" s="18" t="s">
        <v>43</v>
      </c>
      <c r="G1339" s="18">
        <v>1061</v>
      </c>
      <c r="H1339" s="25">
        <f t="shared" si="80"/>
        <v>45170</v>
      </c>
      <c r="I1339" s="26">
        <f t="shared" si="81"/>
        <v>6.5277777779556345E-2</v>
      </c>
      <c r="J1339" s="18" t="str">
        <f t="shared" si="82"/>
        <v>September</v>
      </c>
      <c r="K1339" s="56" t="str">
        <f t="shared" si="83"/>
        <v>Friday</v>
      </c>
      <c r="L1339" s="18" t="str">
        <f>IF(OR(G1339&gt;Answers!I1354,G1339&lt;Answers!I1355),"Outlier","Normal")</f>
        <v>Outlier</v>
      </c>
      <c r="M1339" s="18">
        <v>23</v>
      </c>
    </row>
    <row r="1340" spans="1:13" ht="20" customHeight="1" x14ac:dyDescent="0.35">
      <c r="A1340" s="17">
        <v>889356</v>
      </c>
      <c r="B1340" s="18">
        <v>1246</v>
      </c>
      <c r="C1340" s="23" t="s">
        <v>100</v>
      </c>
      <c r="D1340" s="27">
        <v>45002.027083333334</v>
      </c>
      <c r="E1340" s="18" t="s">
        <v>96</v>
      </c>
      <c r="F1340" s="18" t="s">
        <v>46</v>
      </c>
      <c r="G1340" s="18">
        <v>2670</v>
      </c>
      <c r="H1340" s="25">
        <f t="shared" si="80"/>
        <v>45002</v>
      </c>
      <c r="I1340" s="26">
        <f t="shared" si="81"/>
        <v>2.7083333334303461E-2</v>
      </c>
      <c r="J1340" s="18" t="str">
        <f t="shared" si="82"/>
        <v>March</v>
      </c>
      <c r="K1340" s="56" t="str">
        <f t="shared" si="83"/>
        <v>Friday</v>
      </c>
      <c r="L1340" s="18" t="str">
        <f>IF(OR(G1340&gt;Answers!I1355,G1340&lt;Answers!I1356),"Outlier","Normal")</f>
        <v>Outlier</v>
      </c>
      <c r="M1340" s="18">
        <v>85</v>
      </c>
    </row>
    <row r="1341" spans="1:13" ht="20" customHeight="1" x14ac:dyDescent="0.35">
      <c r="A1341" s="17">
        <v>890131</v>
      </c>
      <c r="B1341" s="18">
        <v>879</v>
      </c>
      <c r="C1341" s="23" t="s">
        <v>99</v>
      </c>
      <c r="D1341" s="27">
        <v>45197.07708333333</v>
      </c>
      <c r="E1341" s="18" t="s">
        <v>98</v>
      </c>
      <c r="F1341" s="18" t="s">
        <v>43</v>
      </c>
      <c r="G1341" s="18">
        <v>3832</v>
      </c>
      <c r="H1341" s="25">
        <f t="shared" si="80"/>
        <v>45197</v>
      </c>
      <c r="I1341" s="26">
        <f t="shared" si="81"/>
        <v>7.7083333329937886E-2</v>
      </c>
      <c r="J1341" s="18" t="str">
        <f t="shared" si="82"/>
        <v>September</v>
      </c>
      <c r="K1341" s="56" t="str">
        <f t="shared" si="83"/>
        <v>Thursday</v>
      </c>
      <c r="L1341" s="18" t="str">
        <f>IF(OR(G1341&gt;Answers!I1356,G1341&lt;Answers!I1357),"Outlier","Normal")</f>
        <v>Outlier</v>
      </c>
      <c r="M1341" s="18">
        <v>70</v>
      </c>
    </row>
    <row r="1342" spans="1:13" ht="20" customHeight="1" x14ac:dyDescent="0.35">
      <c r="A1342" s="17">
        <v>890922</v>
      </c>
      <c r="B1342" s="18">
        <v>1077</v>
      </c>
      <c r="C1342" s="23" t="s">
        <v>113</v>
      </c>
      <c r="D1342" s="27">
        <v>45139.973611111112</v>
      </c>
      <c r="E1342" s="18" t="s">
        <v>133</v>
      </c>
      <c r="F1342" s="18" t="s">
        <v>47</v>
      </c>
      <c r="G1342" s="18">
        <v>2256</v>
      </c>
      <c r="H1342" s="25">
        <f t="shared" si="80"/>
        <v>45139</v>
      </c>
      <c r="I1342" s="26">
        <f t="shared" si="81"/>
        <v>0.97361111111240461</v>
      </c>
      <c r="J1342" s="18" t="str">
        <f t="shared" si="82"/>
        <v>August</v>
      </c>
      <c r="K1342" s="56" t="str">
        <f t="shared" si="83"/>
        <v>Tuesday</v>
      </c>
      <c r="L1342" s="18" t="str">
        <f>IF(OR(G1342&gt;Answers!I1357,G1342&lt;Answers!I1358),"Outlier","Normal")</f>
        <v>Outlier</v>
      </c>
      <c r="M1342" s="18">
        <v>24</v>
      </c>
    </row>
    <row r="1343" spans="1:13" ht="20" customHeight="1" x14ac:dyDescent="0.35">
      <c r="A1343" s="17">
        <v>892608</v>
      </c>
      <c r="B1343" s="18">
        <v>417</v>
      </c>
      <c r="C1343" s="23" t="s">
        <v>100</v>
      </c>
      <c r="D1343" s="27">
        <v>45270.011111111111</v>
      </c>
      <c r="E1343" s="18" t="s">
        <v>96</v>
      </c>
      <c r="F1343" s="18" t="s">
        <v>18</v>
      </c>
      <c r="G1343" s="18">
        <v>9919</v>
      </c>
      <c r="H1343" s="25">
        <f t="shared" si="80"/>
        <v>45270</v>
      </c>
      <c r="I1343" s="26">
        <f t="shared" si="81"/>
        <v>1.1111111110949423E-2</v>
      </c>
      <c r="J1343" s="18" t="str">
        <f t="shared" si="82"/>
        <v>December</v>
      </c>
      <c r="K1343" s="56" t="str">
        <f t="shared" si="83"/>
        <v>Sunday</v>
      </c>
      <c r="L1343" s="18" t="str">
        <f>IF(OR(G1343&gt;Answers!I1358,G1343&lt;Answers!I1359),"Outlier","Normal")</f>
        <v>Outlier</v>
      </c>
      <c r="M1343" s="18">
        <v>53</v>
      </c>
    </row>
    <row r="1344" spans="1:13" ht="20" customHeight="1" x14ac:dyDescent="0.35">
      <c r="A1344" s="17">
        <v>892773</v>
      </c>
      <c r="B1344" s="18">
        <v>1804</v>
      </c>
      <c r="C1344" s="23" t="s">
        <v>101</v>
      </c>
      <c r="D1344" s="27">
        <v>45275.967361111114</v>
      </c>
      <c r="E1344" s="18" t="s">
        <v>96</v>
      </c>
      <c r="F1344" s="18" t="s">
        <v>21</v>
      </c>
      <c r="G1344" s="18">
        <v>999</v>
      </c>
      <c r="H1344" s="25">
        <f t="shared" si="80"/>
        <v>45275</v>
      </c>
      <c r="I1344" s="26">
        <f t="shared" si="81"/>
        <v>0.96736111111385981</v>
      </c>
      <c r="J1344" s="18" t="str">
        <f t="shared" si="82"/>
        <v>December</v>
      </c>
      <c r="K1344" s="56" t="str">
        <f t="shared" si="83"/>
        <v>Friday</v>
      </c>
      <c r="L1344" s="18" t="str">
        <f>IF(OR(G1344&gt;Answers!I1359,G1344&lt;Answers!I1360),"Outlier","Normal")</f>
        <v>Outlier</v>
      </c>
      <c r="M1344" s="18">
        <v>81</v>
      </c>
    </row>
    <row r="1345" spans="1:13" ht="20" customHeight="1" x14ac:dyDescent="0.35">
      <c r="A1345" s="17">
        <v>893103</v>
      </c>
      <c r="B1345" s="18">
        <v>1877</v>
      </c>
      <c r="C1345" s="23" t="s">
        <v>105</v>
      </c>
      <c r="D1345" s="27">
        <v>44965.981249999997</v>
      </c>
      <c r="E1345" s="18" t="s">
        <v>96</v>
      </c>
      <c r="F1345" s="18" t="s">
        <v>43</v>
      </c>
      <c r="G1345" s="18">
        <v>1604</v>
      </c>
      <c r="H1345" s="25">
        <f t="shared" si="80"/>
        <v>44965</v>
      </c>
      <c r="I1345" s="26">
        <f t="shared" si="81"/>
        <v>0.98124999999708962</v>
      </c>
      <c r="J1345" s="18" t="str">
        <f t="shared" si="82"/>
        <v>February</v>
      </c>
      <c r="K1345" s="56" t="str">
        <f t="shared" si="83"/>
        <v>Wednesday</v>
      </c>
      <c r="L1345" s="18" t="str">
        <f>IF(OR(G1345&gt;Answers!I1360,G1345&lt;Answers!I1361),"Outlier","Normal")</f>
        <v>Outlier</v>
      </c>
      <c r="M1345" s="18">
        <v>22</v>
      </c>
    </row>
    <row r="1346" spans="1:13" ht="20" customHeight="1" x14ac:dyDescent="0.35">
      <c r="A1346" s="17">
        <v>893771</v>
      </c>
      <c r="B1346" s="18">
        <v>416</v>
      </c>
      <c r="C1346" s="23" t="s">
        <v>113</v>
      </c>
      <c r="D1346" s="27">
        <v>45170.023611111108</v>
      </c>
      <c r="E1346" s="18" t="s">
        <v>133</v>
      </c>
      <c r="F1346" s="18" t="s">
        <v>29</v>
      </c>
      <c r="G1346" s="18">
        <v>1398</v>
      </c>
      <c r="H1346" s="25">
        <f t="shared" si="80"/>
        <v>45170</v>
      </c>
      <c r="I1346" s="26">
        <f t="shared" si="81"/>
        <v>2.361111110803904E-2</v>
      </c>
      <c r="J1346" s="18" t="str">
        <f t="shared" si="82"/>
        <v>September</v>
      </c>
      <c r="K1346" s="56" t="str">
        <f t="shared" si="83"/>
        <v>Friday</v>
      </c>
      <c r="L1346" s="18" t="str">
        <f>IF(OR(G1346&gt;Answers!I1361,G1346&lt;Answers!I1362),"Outlier","Normal")</f>
        <v>Outlier</v>
      </c>
      <c r="M1346" s="18">
        <v>64</v>
      </c>
    </row>
    <row r="1347" spans="1:13" ht="20" customHeight="1" x14ac:dyDescent="0.35">
      <c r="A1347" s="17">
        <v>894762</v>
      </c>
      <c r="B1347" s="18">
        <v>393</v>
      </c>
      <c r="C1347" s="23" t="s">
        <v>113</v>
      </c>
      <c r="D1347" s="27">
        <v>45141.027777777781</v>
      </c>
      <c r="E1347" s="18" t="s">
        <v>97</v>
      </c>
      <c r="F1347" s="18" t="s">
        <v>9</v>
      </c>
      <c r="G1347" s="18">
        <v>4907</v>
      </c>
      <c r="H1347" s="25">
        <f t="shared" ref="H1347:H1410" si="84">INT(D1347)</f>
        <v>45141</v>
      </c>
      <c r="I1347" s="26">
        <f t="shared" ref="I1347:I1410" si="85">MOD(D1347,1)</f>
        <v>2.7777777781011537E-2</v>
      </c>
      <c r="J1347" s="18" t="str">
        <f t="shared" ref="J1347:J1410" si="86">TEXT(D1347,"mmmm")</f>
        <v>August</v>
      </c>
      <c r="K1347" s="56" t="str">
        <f t="shared" ref="K1347:K1410" si="87">TEXT(D1347,"dddd")</f>
        <v>Thursday</v>
      </c>
      <c r="L1347" s="18" t="str">
        <f>IF(OR(G1347&gt;Answers!I1362,G1347&lt;Answers!I1363),"Outlier","Normal")</f>
        <v>Outlier</v>
      </c>
      <c r="M1347" s="18">
        <v>19</v>
      </c>
    </row>
    <row r="1348" spans="1:13" ht="20" customHeight="1" x14ac:dyDescent="0.35">
      <c r="A1348" s="17">
        <v>894938</v>
      </c>
      <c r="B1348" s="18">
        <v>1376</v>
      </c>
      <c r="C1348" s="23" t="s">
        <v>99</v>
      </c>
      <c r="D1348" s="27">
        <v>44945.978472222225</v>
      </c>
      <c r="E1348" s="18" t="s">
        <v>97</v>
      </c>
      <c r="F1348" s="18" t="s">
        <v>30</v>
      </c>
      <c r="G1348" s="18">
        <v>7358</v>
      </c>
      <c r="H1348" s="25">
        <f t="shared" si="84"/>
        <v>44945</v>
      </c>
      <c r="I1348" s="26">
        <f t="shared" si="85"/>
        <v>0.97847222222480923</v>
      </c>
      <c r="J1348" s="18" t="str">
        <f t="shared" si="86"/>
        <v>January</v>
      </c>
      <c r="K1348" s="56" t="str">
        <f t="shared" si="87"/>
        <v>Thursday</v>
      </c>
      <c r="L1348" s="18" t="str">
        <f>IF(OR(G1348&gt;Answers!I1363,G1348&lt;Answers!I1364),"Outlier","Normal")</f>
        <v>Outlier</v>
      </c>
      <c r="M1348" s="18">
        <v>74</v>
      </c>
    </row>
    <row r="1349" spans="1:13" ht="20" customHeight="1" x14ac:dyDescent="0.35">
      <c r="A1349" s="17">
        <v>895383</v>
      </c>
      <c r="B1349" s="18">
        <v>854</v>
      </c>
      <c r="C1349" s="23" t="s">
        <v>99</v>
      </c>
      <c r="D1349" s="27">
        <v>45090.070833333331</v>
      </c>
      <c r="E1349" s="18" t="s">
        <v>96</v>
      </c>
      <c r="F1349" s="18" t="s">
        <v>67</v>
      </c>
      <c r="G1349" s="18">
        <v>7452</v>
      </c>
      <c r="H1349" s="25">
        <f t="shared" si="84"/>
        <v>45090</v>
      </c>
      <c r="I1349" s="26">
        <f t="shared" si="85"/>
        <v>7.0833333331393078E-2</v>
      </c>
      <c r="J1349" s="18" t="str">
        <f t="shared" si="86"/>
        <v>June</v>
      </c>
      <c r="K1349" s="56" t="str">
        <f t="shared" si="87"/>
        <v>Tuesday</v>
      </c>
      <c r="L1349" s="18" t="str">
        <f>IF(OR(G1349&gt;Answers!I1364,G1349&lt;Answers!I1365),"Outlier","Normal")</f>
        <v>Outlier</v>
      </c>
      <c r="M1349" s="18">
        <v>61</v>
      </c>
    </row>
    <row r="1350" spans="1:13" ht="20" customHeight="1" x14ac:dyDescent="0.35">
      <c r="A1350" s="17">
        <v>895436</v>
      </c>
      <c r="B1350" s="18">
        <v>346</v>
      </c>
      <c r="C1350" s="23" t="s">
        <v>105</v>
      </c>
      <c r="D1350" s="27">
        <v>45177.026388888888</v>
      </c>
      <c r="E1350" s="18" t="s">
        <v>96</v>
      </c>
      <c r="F1350" s="18" t="s">
        <v>32</v>
      </c>
      <c r="G1350" s="18">
        <v>6750</v>
      </c>
      <c r="H1350" s="25">
        <f t="shared" si="84"/>
        <v>45177</v>
      </c>
      <c r="I1350" s="26">
        <f t="shared" si="85"/>
        <v>2.6388888887595385E-2</v>
      </c>
      <c r="J1350" s="18" t="str">
        <f t="shared" si="86"/>
        <v>September</v>
      </c>
      <c r="K1350" s="56" t="str">
        <f t="shared" si="87"/>
        <v>Friday</v>
      </c>
      <c r="L1350" s="18" t="str">
        <f>IF(OR(G1350&gt;Answers!I1365,G1350&lt;Answers!I1366),"Outlier","Normal")</f>
        <v>Outlier</v>
      </c>
      <c r="M1350" s="18">
        <v>27</v>
      </c>
    </row>
    <row r="1351" spans="1:13" ht="20" customHeight="1" x14ac:dyDescent="0.35">
      <c r="A1351" s="17">
        <v>896228</v>
      </c>
      <c r="B1351" s="18">
        <v>741</v>
      </c>
      <c r="C1351" s="23" t="s">
        <v>99</v>
      </c>
      <c r="D1351" s="27">
        <v>45235.008333333331</v>
      </c>
      <c r="E1351" s="18" t="s">
        <v>133</v>
      </c>
      <c r="F1351" s="18" t="s">
        <v>33</v>
      </c>
      <c r="G1351" s="18">
        <v>3208</v>
      </c>
      <c r="H1351" s="25">
        <f t="shared" si="84"/>
        <v>45235</v>
      </c>
      <c r="I1351" s="26">
        <f t="shared" si="85"/>
        <v>8.333333331393078E-3</v>
      </c>
      <c r="J1351" s="18" t="str">
        <f t="shared" si="86"/>
        <v>November</v>
      </c>
      <c r="K1351" s="56" t="str">
        <f t="shared" si="87"/>
        <v>Sunday</v>
      </c>
      <c r="L1351" s="18" t="str">
        <f>IF(OR(G1351&gt;Answers!I1366,G1351&lt;Answers!I1367),"Outlier","Normal")</f>
        <v>Outlier</v>
      </c>
      <c r="M1351" s="18">
        <v>25</v>
      </c>
    </row>
    <row r="1352" spans="1:13" ht="20" customHeight="1" x14ac:dyDescent="0.35">
      <c r="A1352" s="17">
        <v>897460</v>
      </c>
      <c r="B1352" s="18">
        <v>711</v>
      </c>
      <c r="C1352" s="23" t="s">
        <v>99</v>
      </c>
      <c r="D1352" s="27">
        <v>45193.961805555555</v>
      </c>
      <c r="E1352" s="18" t="s">
        <v>97</v>
      </c>
      <c r="F1352" s="18" t="s">
        <v>34</v>
      </c>
      <c r="G1352" s="18">
        <v>3851</v>
      </c>
      <c r="H1352" s="25">
        <f t="shared" si="84"/>
        <v>45193</v>
      </c>
      <c r="I1352" s="26">
        <f t="shared" si="85"/>
        <v>0.96180555555474712</v>
      </c>
      <c r="J1352" s="18" t="str">
        <f t="shared" si="86"/>
        <v>September</v>
      </c>
      <c r="K1352" s="56" t="str">
        <f t="shared" si="87"/>
        <v>Sunday</v>
      </c>
      <c r="L1352" s="18" t="str">
        <f>IF(OR(G1352&gt;Answers!I1367,G1352&lt;Answers!I1368),"Outlier","Normal")</f>
        <v>Outlier</v>
      </c>
      <c r="M1352" s="18">
        <v>56</v>
      </c>
    </row>
    <row r="1353" spans="1:13" ht="20" customHeight="1" x14ac:dyDescent="0.35">
      <c r="A1353" s="17">
        <v>897997</v>
      </c>
      <c r="B1353" s="18">
        <v>1884</v>
      </c>
      <c r="C1353" s="23" t="s">
        <v>99</v>
      </c>
      <c r="D1353" s="27">
        <v>45024.962500000001</v>
      </c>
      <c r="E1353" s="18" t="s">
        <v>97</v>
      </c>
      <c r="F1353" s="18" t="s">
        <v>35</v>
      </c>
      <c r="G1353" s="18">
        <v>1149</v>
      </c>
      <c r="H1353" s="25">
        <f t="shared" si="84"/>
        <v>45024</v>
      </c>
      <c r="I1353" s="26">
        <f t="shared" si="85"/>
        <v>0.96250000000145519</v>
      </c>
      <c r="J1353" s="18" t="str">
        <f t="shared" si="86"/>
        <v>April</v>
      </c>
      <c r="K1353" s="56" t="str">
        <f t="shared" si="87"/>
        <v>Saturday</v>
      </c>
      <c r="L1353" s="18" t="str">
        <f>IF(OR(G1353&gt;Answers!I1368,G1353&lt;Answers!I1369),"Outlier","Normal")</f>
        <v>Outlier</v>
      </c>
      <c r="M1353" s="18">
        <v>31</v>
      </c>
    </row>
    <row r="1354" spans="1:13" ht="20" customHeight="1" x14ac:dyDescent="0.35">
      <c r="A1354" s="17">
        <v>899461</v>
      </c>
      <c r="B1354" s="18">
        <v>1382</v>
      </c>
      <c r="C1354" s="23" t="s">
        <v>105</v>
      </c>
      <c r="D1354" s="27">
        <v>45006.012499999997</v>
      </c>
      <c r="E1354" s="18" t="s">
        <v>97</v>
      </c>
      <c r="F1354" s="18" t="s">
        <v>36</v>
      </c>
      <c r="G1354" s="18">
        <v>6071</v>
      </c>
      <c r="H1354" s="25">
        <f t="shared" si="84"/>
        <v>45006</v>
      </c>
      <c r="I1354" s="26">
        <f t="shared" si="85"/>
        <v>1.2499999997089617E-2</v>
      </c>
      <c r="J1354" s="18" t="str">
        <f t="shared" si="86"/>
        <v>March</v>
      </c>
      <c r="K1354" s="56" t="str">
        <f t="shared" si="87"/>
        <v>Tuesday</v>
      </c>
      <c r="L1354" s="18" t="str">
        <f>IF(OR(G1354&gt;Answers!I1369,G1354&lt;Answers!I1370),"Outlier","Normal")</f>
        <v>Outlier</v>
      </c>
      <c r="M1354" s="18">
        <v>69</v>
      </c>
    </row>
    <row r="1355" spans="1:13" ht="20" customHeight="1" x14ac:dyDescent="0.35">
      <c r="A1355" s="17">
        <v>899739</v>
      </c>
      <c r="B1355" s="18">
        <v>842</v>
      </c>
      <c r="C1355" s="23" t="s">
        <v>100</v>
      </c>
      <c r="D1355" s="27">
        <v>44932.033333333333</v>
      </c>
      <c r="E1355" s="18" t="s">
        <v>97</v>
      </c>
      <c r="F1355" s="18" t="s">
        <v>43</v>
      </c>
      <c r="G1355" s="18">
        <v>3937</v>
      </c>
      <c r="H1355" s="25">
        <f t="shared" si="84"/>
        <v>44932</v>
      </c>
      <c r="I1355" s="26">
        <f t="shared" si="85"/>
        <v>3.3333333332848269E-2</v>
      </c>
      <c r="J1355" s="18" t="str">
        <f t="shared" si="86"/>
        <v>January</v>
      </c>
      <c r="K1355" s="56" t="str">
        <f t="shared" si="87"/>
        <v>Friday</v>
      </c>
      <c r="L1355" s="18" t="str">
        <f>IF(OR(G1355&gt;Answers!I1370,G1355&lt;Answers!I1371),"Outlier","Normal")</f>
        <v>Outlier</v>
      </c>
      <c r="M1355" s="18">
        <v>41</v>
      </c>
    </row>
    <row r="1356" spans="1:13" ht="20" customHeight="1" x14ac:dyDescent="0.35">
      <c r="A1356" s="17">
        <v>899991</v>
      </c>
      <c r="B1356" s="18">
        <v>980</v>
      </c>
      <c r="C1356" s="23" t="s">
        <v>99</v>
      </c>
      <c r="D1356" s="27">
        <v>44935.989583333336</v>
      </c>
      <c r="E1356" s="18" t="s">
        <v>97</v>
      </c>
      <c r="F1356" s="18" t="s">
        <v>38</v>
      </c>
      <c r="G1356" s="18">
        <v>4447</v>
      </c>
      <c r="H1356" s="25">
        <f t="shared" si="84"/>
        <v>44935</v>
      </c>
      <c r="I1356" s="26">
        <f t="shared" si="85"/>
        <v>0.98958333333575865</v>
      </c>
      <c r="J1356" s="18" t="str">
        <f t="shared" si="86"/>
        <v>January</v>
      </c>
      <c r="K1356" s="56" t="str">
        <f t="shared" si="87"/>
        <v>Monday</v>
      </c>
      <c r="L1356" s="18" t="str">
        <f>IF(OR(G1356&gt;Answers!I1371,G1356&lt;Answers!I1372),"Outlier","Normal")</f>
        <v>Outlier</v>
      </c>
      <c r="M1356" s="18">
        <v>31</v>
      </c>
    </row>
    <row r="1357" spans="1:13" ht="20" customHeight="1" x14ac:dyDescent="0.35">
      <c r="A1357" s="17">
        <v>901917</v>
      </c>
      <c r="B1357" s="18">
        <v>195</v>
      </c>
      <c r="C1357" s="23" t="s">
        <v>99</v>
      </c>
      <c r="D1357" s="27">
        <v>45124.068749999999</v>
      </c>
      <c r="E1357" s="18" t="s">
        <v>96</v>
      </c>
      <c r="F1357" s="18" t="s">
        <v>39</v>
      </c>
      <c r="G1357" s="18">
        <v>1318</v>
      </c>
      <c r="H1357" s="25">
        <f t="shared" si="84"/>
        <v>45124</v>
      </c>
      <c r="I1357" s="26">
        <f t="shared" si="85"/>
        <v>6.8749999998544808E-2</v>
      </c>
      <c r="J1357" s="18" t="str">
        <f t="shared" si="86"/>
        <v>July</v>
      </c>
      <c r="K1357" s="56" t="str">
        <f t="shared" si="87"/>
        <v>Monday</v>
      </c>
      <c r="L1357" s="18" t="str">
        <f>IF(OR(G1357&gt;Answers!I1372,G1357&lt;Answers!I1373),"Outlier","Normal")</f>
        <v>Outlier</v>
      </c>
      <c r="M1357" s="18">
        <v>51</v>
      </c>
    </row>
    <row r="1358" spans="1:13" ht="20" customHeight="1" x14ac:dyDescent="0.35">
      <c r="A1358" s="17">
        <v>903650</v>
      </c>
      <c r="B1358" s="18">
        <v>1971</v>
      </c>
      <c r="C1358" s="23" t="s">
        <v>105</v>
      </c>
      <c r="D1358" s="27">
        <v>44999.990277777775</v>
      </c>
      <c r="E1358" s="18" t="s">
        <v>133</v>
      </c>
      <c r="F1358" s="18" t="s">
        <v>24</v>
      </c>
      <c r="G1358" s="18">
        <v>8993</v>
      </c>
      <c r="H1358" s="25">
        <f t="shared" si="84"/>
        <v>44999</v>
      </c>
      <c r="I1358" s="26">
        <f t="shared" si="85"/>
        <v>0.99027777777519077</v>
      </c>
      <c r="J1358" s="18" t="str">
        <f t="shared" si="86"/>
        <v>March</v>
      </c>
      <c r="K1358" s="56" t="str">
        <f t="shared" si="87"/>
        <v>Tuesday</v>
      </c>
      <c r="L1358" s="18" t="str">
        <f>IF(OR(G1358&gt;Answers!I1373,G1358&lt;Answers!I1374),"Outlier","Normal")</f>
        <v>Outlier</v>
      </c>
      <c r="M1358" s="18">
        <v>44</v>
      </c>
    </row>
    <row r="1359" spans="1:13" ht="20" customHeight="1" x14ac:dyDescent="0.35">
      <c r="A1359" s="17">
        <v>904533</v>
      </c>
      <c r="B1359" s="18">
        <v>223</v>
      </c>
      <c r="C1359" s="23" t="s">
        <v>113</v>
      </c>
      <c r="D1359" s="27">
        <v>45083.057638888888</v>
      </c>
      <c r="E1359" s="18" t="s">
        <v>97</v>
      </c>
      <c r="F1359" s="18" t="s">
        <v>22</v>
      </c>
      <c r="G1359" s="18">
        <v>6781</v>
      </c>
      <c r="H1359" s="25">
        <f t="shared" si="84"/>
        <v>45083</v>
      </c>
      <c r="I1359" s="26">
        <f t="shared" si="85"/>
        <v>5.7638888887595385E-2</v>
      </c>
      <c r="J1359" s="18" t="str">
        <f t="shared" si="86"/>
        <v>June</v>
      </c>
      <c r="K1359" s="56" t="str">
        <f t="shared" si="87"/>
        <v>Tuesday</v>
      </c>
      <c r="L1359" s="18" t="str">
        <f>IF(OR(G1359&gt;Answers!I1374,G1359&lt;Answers!I1375),"Outlier","Normal")</f>
        <v>Outlier</v>
      </c>
      <c r="M1359" s="18">
        <v>41</v>
      </c>
    </row>
    <row r="1360" spans="1:13" ht="20" customHeight="1" x14ac:dyDescent="0.35">
      <c r="A1360" s="17">
        <v>904997</v>
      </c>
      <c r="B1360" s="18">
        <v>909</v>
      </c>
      <c r="C1360" s="23" t="s">
        <v>113</v>
      </c>
      <c r="D1360" s="27">
        <v>45237.949305555558</v>
      </c>
      <c r="E1360" s="18" t="s">
        <v>98</v>
      </c>
      <c r="F1360" s="18" t="s">
        <v>41</v>
      </c>
      <c r="G1360" s="18">
        <v>9811</v>
      </c>
      <c r="H1360" s="25">
        <f t="shared" si="84"/>
        <v>45237</v>
      </c>
      <c r="I1360" s="26">
        <f t="shared" si="85"/>
        <v>0.9493055555576575</v>
      </c>
      <c r="J1360" s="18" t="str">
        <f t="shared" si="86"/>
        <v>November</v>
      </c>
      <c r="K1360" s="56" t="str">
        <f t="shared" si="87"/>
        <v>Tuesday</v>
      </c>
      <c r="L1360" s="18" t="str">
        <f>IF(OR(G1360&gt;Answers!I1375,G1360&lt;Answers!I1376),"Outlier","Normal")</f>
        <v>Outlier</v>
      </c>
      <c r="M1360" s="18">
        <v>71</v>
      </c>
    </row>
    <row r="1361" spans="1:13" ht="20" customHeight="1" x14ac:dyDescent="0.35">
      <c r="A1361" s="17">
        <v>906886</v>
      </c>
      <c r="B1361" s="18">
        <v>373</v>
      </c>
      <c r="C1361" s="23" t="s">
        <v>113</v>
      </c>
      <c r="D1361" s="27">
        <v>44994.032638888886</v>
      </c>
      <c r="E1361" s="18" t="s">
        <v>96</v>
      </c>
      <c r="F1361" s="18" t="s">
        <v>42</v>
      </c>
      <c r="G1361" s="18">
        <v>7915</v>
      </c>
      <c r="H1361" s="25">
        <f t="shared" si="84"/>
        <v>44994</v>
      </c>
      <c r="I1361" s="26">
        <f t="shared" si="85"/>
        <v>3.2638888886140194E-2</v>
      </c>
      <c r="J1361" s="18" t="str">
        <f t="shared" si="86"/>
        <v>March</v>
      </c>
      <c r="K1361" s="56" t="str">
        <f t="shared" si="87"/>
        <v>Thursday</v>
      </c>
      <c r="L1361" s="18" t="str">
        <f>IF(OR(G1361&gt;Answers!I1376,G1361&lt;Answers!I1377),"Outlier","Normal")</f>
        <v>Outlier</v>
      </c>
      <c r="M1361" s="18">
        <v>89</v>
      </c>
    </row>
    <row r="1362" spans="1:13" ht="20" customHeight="1" x14ac:dyDescent="0.35">
      <c r="A1362" s="17">
        <v>908364</v>
      </c>
      <c r="B1362" s="18">
        <v>617</v>
      </c>
      <c r="C1362" s="23" t="s">
        <v>99</v>
      </c>
      <c r="D1362" s="27">
        <v>45078.996527777781</v>
      </c>
      <c r="E1362" s="18" t="s">
        <v>96</v>
      </c>
      <c r="F1362" s="18" t="s">
        <v>43</v>
      </c>
      <c r="G1362" s="18">
        <v>5116</v>
      </c>
      <c r="H1362" s="25">
        <f t="shared" si="84"/>
        <v>45078</v>
      </c>
      <c r="I1362" s="26">
        <f t="shared" si="85"/>
        <v>0.99652777778101154</v>
      </c>
      <c r="J1362" s="18" t="str">
        <f t="shared" si="86"/>
        <v>June</v>
      </c>
      <c r="K1362" s="56" t="str">
        <f t="shared" si="87"/>
        <v>Thursday</v>
      </c>
      <c r="L1362" s="18" t="str">
        <f>IF(OR(G1362&gt;Answers!I1377,G1362&lt;Answers!I1378),"Outlier","Normal")</f>
        <v>Outlier</v>
      </c>
      <c r="M1362" s="18">
        <v>45</v>
      </c>
    </row>
    <row r="1363" spans="1:13" ht="20" customHeight="1" x14ac:dyDescent="0.35">
      <c r="A1363" s="17">
        <v>908702</v>
      </c>
      <c r="B1363" s="18">
        <v>1392</v>
      </c>
      <c r="C1363" s="23" t="s">
        <v>111</v>
      </c>
      <c r="D1363" s="27">
        <v>45183.970833333333</v>
      </c>
      <c r="E1363" s="18" t="s">
        <v>98</v>
      </c>
      <c r="F1363" s="18" t="s">
        <v>15</v>
      </c>
      <c r="G1363" s="18">
        <v>8379</v>
      </c>
      <c r="H1363" s="25">
        <f t="shared" si="84"/>
        <v>45183</v>
      </c>
      <c r="I1363" s="26">
        <f t="shared" si="85"/>
        <v>0.97083333333284827</v>
      </c>
      <c r="J1363" s="18" t="str">
        <f t="shared" si="86"/>
        <v>September</v>
      </c>
      <c r="K1363" s="56" t="str">
        <f t="shared" si="87"/>
        <v>Thursday</v>
      </c>
      <c r="L1363" s="18" t="str">
        <f>IF(OR(G1363&gt;Answers!I1378,G1363&lt;Answers!I1379),"Outlier","Normal")</f>
        <v>Outlier</v>
      </c>
      <c r="M1363" s="18">
        <v>81</v>
      </c>
    </row>
    <row r="1364" spans="1:13" ht="20" customHeight="1" x14ac:dyDescent="0.35">
      <c r="A1364" s="17">
        <v>909180</v>
      </c>
      <c r="B1364" s="18">
        <v>667</v>
      </c>
      <c r="C1364" s="23" t="s">
        <v>100</v>
      </c>
      <c r="D1364" s="27">
        <v>45078.033333333333</v>
      </c>
      <c r="E1364" s="18" t="s">
        <v>133</v>
      </c>
      <c r="F1364" s="18" t="s">
        <v>12</v>
      </c>
      <c r="G1364" s="18">
        <v>1650</v>
      </c>
      <c r="H1364" s="25">
        <f t="shared" si="84"/>
        <v>45078</v>
      </c>
      <c r="I1364" s="26">
        <f t="shared" si="85"/>
        <v>3.3333333332848269E-2</v>
      </c>
      <c r="J1364" s="18" t="str">
        <f t="shared" si="86"/>
        <v>June</v>
      </c>
      <c r="K1364" s="56" t="str">
        <f t="shared" si="87"/>
        <v>Thursday</v>
      </c>
      <c r="L1364" s="18" t="str">
        <f>IF(OR(G1364&gt;Answers!I1379,G1364&lt;Answers!I1380),"Outlier","Normal")</f>
        <v>Outlier</v>
      </c>
      <c r="M1364" s="18">
        <v>64</v>
      </c>
    </row>
    <row r="1365" spans="1:13" ht="20" customHeight="1" x14ac:dyDescent="0.35">
      <c r="A1365" s="17">
        <v>910034</v>
      </c>
      <c r="B1365" s="18">
        <v>1798</v>
      </c>
      <c r="C1365" s="23" t="s">
        <v>99</v>
      </c>
      <c r="D1365" s="27">
        <v>45177.979861111111</v>
      </c>
      <c r="E1365" s="18" t="s">
        <v>98</v>
      </c>
      <c r="F1365" s="18" t="s">
        <v>29</v>
      </c>
      <c r="G1365" s="18">
        <v>3805</v>
      </c>
      <c r="H1365" s="25">
        <f t="shared" si="84"/>
        <v>45177</v>
      </c>
      <c r="I1365" s="26">
        <f t="shared" si="85"/>
        <v>0.97986111111094942</v>
      </c>
      <c r="J1365" s="18" t="str">
        <f t="shared" si="86"/>
        <v>September</v>
      </c>
      <c r="K1365" s="56" t="str">
        <f t="shared" si="87"/>
        <v>Friday</v>
      </c>
      <c r="L1365" s="18" t="str">
        <f>IF(OR(G1365&gt;Answers!I1380,G1365&lt;Answers!I1381),"Outlier","Normal")</f>
        <v>Outlier</v>
      </c>
      <c r="M1365" s="18">
        <v>31</v>
      </c>
    </row>
    <row r="1366" spans="1:13" ht="20" customHeight="1" x14ac:dyDescent="0.35">
      <c r="A1366" s="17">
        <v>910121</v>
      </c>
      <c r="B1366" s="18">
        <v>549</v>
      </c>
      <c r="C1366" s="23" t="s">
        <v>99</v>
      </c>
      <c r="D1366" s="27">
        <v>45154.013194444444</v>
      </c>
      <c r="E1366" s="18" t="s">
        <v>97</v>
      </c>
      <c r="F1366" s="18" t="s">
        <v>27</v>
      </c>
      <c r="G1366" s="18">
        <v>767</v>
      </c>
      <c r="H1366" s="25">
        <f t="shared" si="84"/>
        <v>45154</v>
      </c>
      <c r="I1366" s="26">
        <f t="shared" si="85"/>
        <v>1.3194444443797693E-2</v>
      </c>
      <c r="J1366" s="18" t="str">
        <f t="shared" si="86"/>
        <v>August</v>
      </c>
      <c r="K1366" s="56" t="str">
        <f t="shared" si="87"/>
        <v>Wednesday</v>
      </c>
      <c r="L1366" s="18" t="str">
        <f>IF(OR(G1366&gt;Answers!I1381,G1366&lt;Answers!I1382),"Outlier","Normal")</f>
        <v>Outlier</v>
      </c>
      <c r="M1366" s="18">
        <v>70</v>
      </c>
    </row>
    <row r="1367" spans="1:13" ht="20" customHeight="1" x14ac:dyDescent="0.35">
      <c r="A1367" s="17">
        <v>911307</v>
      </c>
      <c r="B1367" s="18">
        <v>1606</v>
      </c>
      <c r="C1367" s="23" t="s">
        <v>100</v>
      </c>
      <c r="D1367" s="27">
        <v>45165.980555555558</v>
      </c>
      <c r="E1367" s="18" t="s">
        <v>133</v>
      </c>
      <c r="F1367" s="18" t="s">
        <v>46</v>
      </c>
      <c r="G1367" s="18">
        <v>8205</v>
      </c>
      <c r="H1367" s="25">
        <f t="shared" si="84"/>
        <v>45165</v>
      </c>
      <c r="I1367" s="26">
        <f t="shared" si="85"/>
        <v>0.9805555555576575</v>
      </c>
      <c r="J1367" s="18" t="str">
        <f t="shared" si="86"/>
        <v>August</v>
      </c>
      <c r="K1367" s="56" t="str">
        <f t="shared" si="87"/>
        <v>Sunday</v>
      </c>
      <c r="L1367" s="18" t="str">
        <f>IF(OR(G1367&gt;Answers!I1382,G1367&lt;Answers!I1383),"Outlier","Normal")</f>
        <v>Outlier</v>
      </c>
      <c r="M1367" s="18">
        <v>23</v>
      </c>
    </row>
    <row r="1368" spans="1:13" ht="20" customHeight="1" x14ac:dyDescent="0.35">
      <c r="A1368" s="17">
        <v>911597</v>
      </c>
      <c r="B1368" s="18">
        <v>844</v>
      </c>
      <c r="C1368" s="23" t="s">
        <v>107</v>
      </c>
      <c r="D1368" s="27">
        <v>44941.95416666667</v>
      </c>
      <c r="E1368" s="18" t="s">
        <v>98</v>
      </c>
      <c r="F1368" s="18" t="s">
        <v>43</v>
      </c>
      <c r="G1368" s="18">
        <v>5409</v>
      </c>
      <c r="H1368" s="25">
        <f t="shared" si="84"/>
        <v>44941</v>
      </c>
      <c r="I1368" s="26">
        <f t="shared" si="85"/>
        <v>0.95416666667006211</v>
      </c>
      <c r="J1368" s="18" t="str">
        <f t="shared" si="86"/>
        <v>January</v>
      </c>
      <c r="K1368" s="56" t="str">
        <f t="shared" si="87"/>
        <v>Sunday</v>
      </c>
      <c r="L1368" s="18" t="str">
        <f>IF(OR(G1368&gt;Answers!I1383,G1368&lt;Answers!I1384),"Outlier","Normal")</f>
        <v>Outlier</v>
      </c>
      <c r="M1368" s="18">
        <v>90</v>
      </c>
    </row>
    <row r="1369" spans="1:13" ht="20" customHeight="1" x14ac:dyDescent="0.35">
      <c r="A1369" s="17">
        <v>912904</v>
      </c>
      <c r="B1369" s="18">
        <v>349</v>
      </c>
      <c r="C1369" s="23" t="s">
        <v>108</v>
      </c>
      <c r="D1369" s="27">
        <v>45266.993750000001</v>
      </c>
      <c r="E1369" s="18" t="s">
        <v>96</v>
      </c>
      <c r="F1369" s="18" t="s">
        <v>47</v>
      </c>
      <c r="G1369" s="18">
        <v>2520</v>
      </c>
      <c r="H1369" s="25">
        <f t="shared" si="84"/>
        <v>45266</v>
      </c>
      <c r="I1369" s="26">
        <f t="shared" si="85"/>
        <v>0.99375000000145519</v>
      </c>
      <c r="J1369" s="18" t="str">
        <f t="shared" si="86"/>
        <v>December</v>
      </c>
      <c r="K1369" s="56" t="str">
        <f t="shared" si="87"/>
        <v>Wednesday</v>
      </c>
      <c r="L1369" s="18" t="str">
        <f>IF(OR(G1369&gt;Answers!I1384,G1369&lt;Answers!I1385),"Outlier","Normal")</f>
        <v>Outlier</v>
      </c>
      <c r="M1369" s="18">
        <v>55</v>
      </c>
    </row>
    <row r="1370" spans="1:13" ht="20" customHeight="1" x14ac:dyDescent="0.35">
      <c r="A1370" s="17">
        <v>912973</v>
      </c>
      <c r="B1370" s="18">
        <v>646</v>
      </c>
      <c r="C1370" s="23" t="s">
        <v>106</v>
      </c>
      <c r="D1370" s="27">
        <v>45280.975694444445</v>
      </c>
      <c r="E1370" s="18" t="s">
        <v>133</v>
      </c>
      <c r="F1370" s="18" t="s">
        <v>27</v>
      </c>
      <c r="G1370" s="18">
        <v>816</v>
      </c>
      <c r="H1370" s="25">
        <f t="shared" si="84"/>
        <v>45280</v>
      </c>
      <c r="I1370" s="26">
        <f t="shared" si="85"/>
        <v>0.97569444444525288</v>
      </c>
      <c r="J1370" s="18" t="str">
        <f t="shared" si="86"/>
        <v>December</v>
      </c>
      <c r="K1370" s="56" t="str">
        <f t="shared" si="87"/>
        <v>Wednesday</v>
      </c>
      <c r="L1370" s="18" t="str">
        <f>IF(OR(G1370&gt;Answers!I1385,G1370&lt;Answers!I1386),"Outlier","Normal")</f>
        <v>Outlier</v>
      </c>
      <c r="M1370" s="18">
        <v>69</v>
      </c>
    </row>
    <row r="1371" spans="1:13" ht="20" customHeight="1" x14ac:dyDescent="0.35">
      <c r="A1371" s="17">
        <v>914101</v>
      </c>
      <c r="B1371" s="18">
        <v>1839</v>
      </c>
      <c r="C1371" s="23" t="s">
        <v>109</v>
      </c>
      <c r="D1371" s="27">
        <v>45152.010416666664</v>
      </c>
      <c r="E1371" s="18" t="s">
        <v>98</v>
      </c>
      <c r="F1371" s="18" t="s">
        <v>70</v>
      </c>
      <c r="G1371" s="18">
        <v>8372</v>
      </c>
      <c r="H1371" s="25">
        <f t="shared" si="84"/>
        <v>45152</v>
      </c>
      <c r="I1371" s="26">
        <f t="shared" si="85"/>
        <v>1.0416666664241347E-2</v>
      </c>
      <c r="J1371" s="18" t="str">
        <f t="shared" si="86"/>
        <v>August</v>
      </c>
      <c r="K1371" s="56" t="str">
        <f t="shared" si="87"/>
        <v>Monday</v>
      </c>
      <c r="L1371" s="18" t="str">
        <f>IF(OR(G1371&gt;Answers!I1386,G1371&lt;Answers!I1387),"Outlier","Normal")</f>
        <v>Outlier</v>
      </c>
      <c r="M1371" s="18">
        <v>33</v>
      </c>
    </row>
    <row r="1372" spans="1:13" ht="20" customHeight="1" x14ac:dyDescent="0.35">
      <c r="A1372" s="17">
        <v>914288</v>
      </c>
      <c r="B1372" s="18">
        <v>1090</v>
      </c>
      <c r="C1372" s="23" t="s">
        <v>100</v>
      </c>
      <c r="D1372" s="27">
        <v>45075.036111111112</v>
      </c>
      <c r="E1372" s="18" t="s">
        <v>97</v>
      </c>
      <c r="F1372" s="18" t="s">
        <v>71</v>
      </c>
      <c r="G1372" s="18">
        <v>1968</v>
      </c>
      <c r="H1372" s="25">
        <f t="shared" si="84"/>
        <v>45075</v>
      </c>
      <c r="I1372" s="26">
        <f t="shared" si="85"/>
        <v>3.6111111112404615E-2</v>
      </c>
      <c r="J1372" s="18" t="str">
        <f t="shared" si="86"/>
        <v>May</v>
      </c>
      <c r="K1372" s="56" t="str">
        <f t="shared" si="87"/>
        <v>Monday</v>
      </c>
      <c r="L1372" s="18" t="str">
        <f>IF(OR(G1372&gt;Answers!I1387,G1372&lt;Answers!I1388),"Outlier","Normal")</f>
        <v>Outlier</v>
      </c>
      <c r="M1372" s="18">
        <v>19</v>
      </c>
    </row>
    <row r="1373" spans="1:13" ht="20" customHeight="1" x14ac:dyDescent="0.35">
      <c r="A1373" s="17">
        <v>914311</v>
      </c>
      <c r="B1373" s="18">
        <v>1127</v>
      </c>
      <c r="C1373" s="23" t="s">
        <v>103</v>
      </c>
      <c r="D1373" s="27">
        <v>45021.011805555558</v>
      </c>
      <c r="E1373" s="18" t="s">
        <v>133</v>
      </c>
      <c r="F1373" s="18" t="s">
        <v>43</v>
      </c>
      <c r="G1373" s="18">
        <v>6090</v>
      </c>
      <c r="H1373" s="25">
        <f t="shared" si="84"/>
        <v>45021</v>
      </c>
      <c r="I1373" s="26">
        <f t="shared" si="85"/>
        <v>1.1805555557657499E-2</v>
      </c>
      <c r="J1373" s="18" t="str">
        <f t="shared" si="86"/>
        <v>April</v>
      </c>
      <c r="K1373" s="56" t="str">
        <f t="shared" si="87"/>
        <v>Wednesday</v>
      </c>
      <c r="L1373" s="18" t="str">
        <f>IF(OR(G1373&gt;Answers!I1388,G1373&lt;Answers!I1389),"Outlier","Normal")</f>
        <v>Outlier</v>
      </c>
      <c r="M1373" s="18">
        <v>83</v>
      </c>
    </row>
    <row r="1374" spans="1:13" ht="20" customHeight="1" x14ac:dyDescent="0.35">
      <c r="A1374" s="17">
        <v>914647</v>
      </c>
      <c r="B1374" s="18">
        <v>1671</v>
      </c>
      <c r="C1374" s="23" t="s">
        <v>99</v>
      </c>
      <c r="D1374" s="27">
        <v>45010.081944444442</v>
      </c>
      <c r="E1374" s="18" t="s">
        <v>98</v>
      </c>
      <c r="F1374" s="18" t="s">
        <v>92</v>
      </c>
      <c r="G1374" s="18">
        <v>7025</v>
      </c>
      <c r="H1374" s="25">
        <f t="shared" si="84"/>
        <v>45010</v>
      </c>
      <c r="I1374" s="26">
        <f t="shared" si="85"/>
        <v>8.1944444442342501E-2</v>
      </c>
      <c r="J1374" s="18" t="str">
        <f t="shared" si="86"/>
        <v>March</v>
      </c>
      <c r="K1374" s="56" t="str">
        <f t="shared" si="87"/>
        <v>Saturday</v>
      </c>
      <c r="L1374" s="18" t="str">
        <f>IF(OR(G1374&gt;Answers!I1389,G1374&lt;Answers!I1390),"Outlier","Normal")</f>
        <v>Outlier</v>
      </c>
      <c r="M1374" s="18">
        <v>56</v>
      </c>
    </row>
    <row r="1375" spans="1:13" ht="20" customHeight="1" x14ac:dyDescent="0.35">
      <c r="A1375" s="17">
        <v>914814</v>
      </c>
      <c r="B1375" s="18">
        <v>1729</v>
      </c>
      <c r="C1375" s="23" t="s">
        <v>101</v>
      </c>
      <c r="D1375" s="27">
        <v>45235.980555555558</v>
      </c>
      <c r="E1375" s="18" t="s">
        <v>133</v>
      </c>
      <c r="F1375" s="18" t="s">
        <v>8</v>
      </c>
      <c r="G1375" s="18">
        <v>6744</v>
      </c>
      <c r="H1375" s="25">
        <f t="shared" si="84"/>
        <v>45235</v>
      </c>
      <c r="I1375" s="26">
        <f t="shared" si="85"/>
        <v>0.9805555555576575</v>
      </c>
      <c r="J1375" s="18" t="str">
        <f t="shared" si="86"/>
        <v>November</v>
      </c>
      <c r="K1375" s="56" t="str">
        <f t="shared" si="87"/>
        <v>Sunday</v>
      </c>
      <c r="L1375" s="18" t="str">
        <f>IF(OR(G1375&gt;Answers!I1390,G1375&lt;Answers!I1391),"Outlier","Normal")</f>
        <v>Outlier</v>
      </c>
      <c r="M1375" s="18">
        <v>72</v>
      </c>
    </row>
    <row r="1376" spans="1:13" ht="20" customHeight="1" x14ac:dyDescent="0.35">
      <c r="A1376" s="17">
        <v>915353</v>
      </c>
      <c r="B1376" s="18">
        <v>48</v>
      </c>
      <c r="C1376" s="23" t="s">
        <v>99</v>
      </c>
      <c r="D1376" s="27">
        <v>45131.064583333333</v>
      </c>
      <c r="E1376" s="18" t="s">
        <v>133</v>
      </c>
      <c r="F1376" s="18" t="s">
        <v>46</v>
      </c>
      <c r="G1376" s="18">
        <v>2128</v>
      </c>
      <c r="H1376" s="25">
        <f t="shared" si="84"/>
        <v>45131</v>
      </c>
      <c r="I1376" s="26">
        <f t="shared" si="85"/>
        <v>6.4583333332848269E-2</v>
      </c>
      <c r="J1376" s="18" t="str">
        <f t="shared" si="86"/>
        <v>July</v>
      </c>
      <c r="K1376" s="56" t="str">
        <f t="shared" si="87"/>
        <v>Monday</v>
      </c>
      <c r="L1376" s="18" t="str">
        <f>IF(OR(G1376&gt;Answers!I1391,G1376&lt;Answers!I1392),"Outlier","Normal")</f>
        <v>Outlier</v>
      </c>
      <c r="M1376" s="18">
        <v>66</v>
      </c>
    </row>
    <row r="1377" spans="1:13" ht="20" customHeight="1" x14ac:dyDescent="0.35">
      <c r="A1377" s="17">
        <v>916383</v>
      </c>
      <c r="B1377" s="18">
        <v>1746</v>
      </c>
      <c r="C1377" s="23" t="s">
        <v>107</v>
      </c>
      <c r="D1377" s="27">
        <v>45287.041666666664</v>
      </c>
      <c r="E1377" s="18" t="s">
        <v>133</v>
      </c>
      <c r="F1377" s="18" t="s">
        <v>10</v>
      </c>
      <c r="G1377" s="18">
        <v>3491</v>
      </c>
      <c r="H1377" s="25">
        <f t="shared" si="84"/>
        <v>45287</v>
      </c>
      <c r="I1377" s="26">
        <f t="shared" si="85"/>
        <v>4.1666666664241347E-2</v>
      </c>
      <c r="J1377" s="18" t="str">
        <f t="shared" si="86"/>
        <v>December</v>
      </c>
      <c r="K1377" s="56" t="str">
        <f t="shared" si="87"/>
        <v>Wednesday</v>
      </c>
      <c r="L1377" s="18" t="str">
        <f>IF(OR(G1377&gt;Answers!I1392,G1377&lt;Answers!I1393),"Outlier","Normal")</f>
        <v>Outlier</v>
      </c>
      <c r="M1377" s="18">
        <v>66</v>
      </c>
    </row>
    <row r="1378" spans="1:13" ht="20" customHeight="1" x14ac:dyDescent="0.35">
      <c r="A1378" s="17">
        <v>917785</v>
      </c>
      <c r="B1378" s="18">
        <v>789</v>
      </c>
      <c r="C1378" s="23" t="s">
        <v>100</v>
      </c>
      <c r="D1378" s="27">
        <v>45053.001388888886</v>
      </c>
      <c r="E1378" s="18" t="s">
        <v>133</v>
      </c>
      <c r="F1378" s="18" t="s">
        <v>72</v>
      </c>
      <c r="G1378" s="18">
        <v>9379</v>
      </c>
      <c r="H1378" s="25">
        <f t="shared" si="84"/>
        <v>45053</v>
      </c>
      <c r="I1378" s="26">
        <f t="shared" si="85"/>
        <v>1.3888888861401938E-3</v>
      </c>
      <c r="J1378" s="18" t="str">
        <f t="shared" si="86"/>
        <v>May</v>
      </c>
      <c r="K1378" s="56" t="str">
        <f t="shared" si="87"/>
        <v>Sunday</v>
      </c>
      <c r="L1378" s="18" t="str">
        <f>IF(OR(G1378&gt;Answers!I1393,G1378&lt;Answers!I1394),"Outlier","Normal")</f>
        <v>Outlier</v>
      </c>
      <c r="M1378" s="18">
        <v>62</v>
      </c>
    </row>
    <row r="1379" spans="1:13" ht="20" customHeight="1" x14ac:dyDescent="0.35">
      <c r="A1379" s="17">
        <v>918151</v>
      </c>
      <c r="B1379" s="18">
        <v>981</v>
      </c>
      <c r="C1379" s="23" t="s">
        <v>99</v>
      </c>
      <c r="D1379" s="27">
        <v>45043.052777777775</v>
      </c>
      <c r="E1379" s="18" t="s">
        <v>97</v>
      </c>
      <c r="F1379" s="18" t="s">
        <v>13</v>
      </c>
      <c r="G1379" s="18">
        <v>1322</v>
      </c>
      <c r="H1379" s="25">
        <f t="shared" si="84"/>
        <v>45043</v>
      </c>
      <c r="I1379" s="26">
        <f t="shared" si="85"/>
        <v>5.2777777775190771E-2</v>
      </c>
      <c r="J1379" s="18" t="str">
        <f t="shared" si="86"/>
        <v>April</v>
      </c>
      <c r="K1379" s="56" t="str">
        <f t="shared" si="87"/>
        <v>Thursday</v>
      </c>
      <c r="L1379" s="18" t="str">
        <f>IF(OR(G1379&gt;Answers!I1394,G1379&lt;Answers!I1395),"Outlier","Normal")</f>
        <v>Outlier</v>
      </c>
      <c r="M1379" s="18">
        <v>78</v>
      </c>
    </row>
    <row r="1380" spans="1:13" ht="20" customHeight="1" x14ac:dyDescent="0.35">
      <c r="A1380" s="17">
        <v>918183</v>
      </c>
      <c r="B1380" s="18">
        <v>1795</v>
      </c>
      <c r="C1380" s="23" t="s">
        <v>100</v>
      </c>
      <c r="D1380" s="27">
        <v>45196.047222222223</v>
      </c>
      <c r="E1380" s="18" t="s">
        <v>98</v>
      </c>
      <c r="F1380" s="18" t="s">
        <v>73</v>
      </c>
      <c r="G1380" s="18">
        <v>4196</v>
      </c>
      <c r="H1380" s="25">
        <f t="shared" si="84"/>
        <v>45196</v>
      </c>
      <c r="I1380" s="26">
        <f t="shared" si="85"/>
        <v>4.7222222223354038E-2</v>
      </c>
      <c r="J1380" s="18" t="str">
        <f t="shared" si="86"/>
        <v>September</v>
      </c>
      <c r="K1380" s="56" t="str">
        <f t="shared" si="87"/>
        <v>Wednesday</v>
      </c>
      <c r="L1380" s="18" t="str">
        <f>IF(OR(G1380&gt;Answers!I1395,G1380&lt;Answers!I1396),"Outlier","Normal")</f>
        <v>Outlier</v>
      </c>
      <c r="M1380" s="18">
        <v>53</v>
      </c>
    </row>
    <row r="1381" spans="1:13" ht="20" customHeight="1" x14ac:dyDescent="0.35">
      <c r="A1381" s="17">
        <v>918347</v>
      </c>
      <c r="B1381" s="18">
        <v>449</v>
      </c>
      <c r="C1381" s="23" t="s">
        <v>99</v>
      </c>
      <c r="D1381" s="27">
        <v>45140.990972222222</v>
      </c>
      <c r="E1381" s="18" t="s">
        <v>98</v>
      </c>
      <c r="F1381" s="18" t="s">
        <v>52</v>
      </c>
      <c r="G1381" s="18">
        <v>1241</v>
      </c>
      <c r="H1381" s="25">
        <f t="shared" si="84"/>
        <v>45140</v>
      </c>
      <c r="I1381" s="26">
        <f t="shared" si="85"/>
        <v>0.99097222222189885</v>
      </c>
      <c r="J1381" s="18" t="str">
        <f t="shared" si="86"/>
        <v>August</v>
      </c>
      <c r="K1381" s="56" t="str">
        <f t="shared" si="87"/>
        <v>Wednesday</v>
      </c>
      <c r="L1381" s="18" t="str">
        <f>IF(OR(G1381&gt;Answers!I1396,G1381&lt;Answers!I1397),"Outlier","Normal")</f>
        <v>Outlier</v>
      </c>
      <c r="M1381" s="18">
        <v>53</v>
      </c>
    </row>
    <row r="1382" spans="1:13" ht="20" customHeight="1" x14ac:dyDescent="0.35">
      <c r="A1382" s="17">
        <v>919424</v>
      </c>
      <c r="B1382" s="18">
        <v>1079</v>
      </c>
      <c r="C1382" s="23" t="s">
        <v>113</v>
      </c>
      <c r="D1382" s="27">
        <v>45089.988194444442</v>
      </c>
      <c r="E1382" s="18" t="s">
        <v>97</v>
      </c>
      <c r="F1382" s="18" t="s">
        <v>13</v>
      </c>
      <c r="G1382" s="18">
        <v>9932</v>
      </c>
      <c r="H1382" s="25">
        <f t="shared" si="84"/>
        <v>45089</v>
      </c>
      <c r="I1382" s="26">
        <f t="shared" si="85"/>
        <v>0.9881944444423425</v>
      </c>
      <c r="J1382" s="18" t="str">
        <f t="shared" si="86"/>
        <v>June</v>
      </c>
      <c r="K1382" s="56" t="str">
        <f t="shared" si="87"/>
        <v>Monday</v>
      </c>
      <c r="L1382" s="18" t="str">
        <f>IF(OR(G1382&gt;Answers!I1397,G1382&lt;Answers!I1398),"Outlier","Normal")</f>
        <v>Outlier</v>
      </c>
      <c r="M1382" s="18">
        <v>29</v>
      </c>
    </row>
    <row r="1383" spans="1:13" ht="20" customHeight="1" x14ac:dyDescent="0.35">
      <c r="A1383" s="17">
        <v>920294</v>
      </c>
      <c r="B1383" s="18">
        <v>474</v>
      </c>
      <c r="C1383" s="23" t="s">
        <v>102</v>
      </c>
      <c r="D1383" s="27">
        <v>45204.056250000001</v>
      </c>
      <c r="E1383" s="18" t="s">
        <v>133</v>
      </c>
      <c r="F1383" s="18" t="s">
        <v>62</v>
      </c>
      <c r="G1383" s="18">
        <v>6177</v>
      </c>
      <c r="H1383" s="25">
        <f t="shared" si="84"/>
        <v>45204</v>
      </c>
      <c r="I1383" s="26">
        <f t="shared" si="85"/>
        <v>5.6250000001455192E-2</v>
      </c>
      <c r="J1383" s="18" t="str">
        <f t="shared" si="86"/>
        <v>October</v>
      </c>
      <c r="K1383" s="56" t="str">
        <f t="shared" si="87"/>
        <v>Thursday</v>
      </c>
      <c r="L1383" s="18" t="str">
        <f>IF(OR(G1383&gt;Answers!I1398,G1383&lt;Answers!I1399),"Outlier","Normal")</f>
        <v>Outlier</v>
      </c>
      <c r="M1383" s="18">
        <v>74</v>
      </c>
    </row>
    <row r="1384" spans="1:13" ht="20" customHeight="1" x14ac:dyDescent="0.35">
      <c r="A1384" s="17">
        <v>920645</v>
      </c>
      <c r="B1384" s="18">
        <v>1851</v>
      </c>
      <c r="C1384" s="23" t="s">
        <v>105</v>
      </c>
      <c r="D1384" s="27">
        <v>44990.040277777778</v>
      </c>
      <c r="E1384" s="18" t="s">
        <v>98</v>
      </c>
      <c r="F1384" s="18" t="s">
        <v>75</v>
      </c>
      <c r="G1384" s="18">
        <v>620</v>
      </c>
      <c r="H1384" s="25">
        <f t="shared" si="84"/>
        <v>44990</v>
      </c>
      <c r="I1384" s="26">
        <f t="shared" si="85"/>
        <v>4.0277777778101154E-2</v>
      </c>
      <c r="J1384" s="18" t="str">
        <f t="shared" si="86"/>
        <v>March</v>
      </c>
      <c r="K1384" s="56" t="str">
        <f t="shared" si="87"/>
        <v>Sunday</v>
      </c>
      <c r="L1384" s="18" t="str">
        <f>IF(OR(G1384&gt;Answers!I1399,G1384&lt;Answers!I1400),"Outlier","Normal")</f>
        <v>Outlier</v>
      </c>
      <c r="M1384" s="18">
        <v>76</v>
      </c>
    </row>
    <row r="1385" spans="1:13" ht="20" customHeight="1" x14ac:dyDescent="0.35">
      <c r="A1385" s="17">
        <v>921540</v>
      </c>
      <c r="B1385" s="18">
        <v>499</v>
      </c>
      <c r="C1385" s="23" t="s">
        <v>101</v>
      </c>
      <c r="D1385" s="27">
        <v>45280.993750000001</v>
      </c>
      <c r="E1385" s="18" t="s">
        <v>97</v>
      </c>
      <c r="F1385" s="18" t="s">
        <v>73</v>
      </c>
      <c r="G1385" s="18">
        <v>2164</v>
      </c>
      <c r="H1385" s="25">
        <f t="shared" si="84"/>
        <v>45280</v>
      </c>
      <c r="I1385" s="26">
        <f t="shared" si="85"/>
        <v>0.99375000000145519</v>
      </c>
      <c r="J1385" s="18" t="str">
        <f t="shared" si="86"/>
        <v>December</v>
      </c>
      <c r="K1385" s="56" t="str">
        <f t="shared" si="87"/>
        <v>Wednesday</v>
      </c>
      <c r="L1385" s="18" t="str">
        <f>IF(OR(G1385&gt;Answers!I1400,G1385&lt;Answers!I1401),"Outlier","Normal")</f>
        <v>Outlier</v>
      </c>
      <c r="M1385" s="18">
        <v>89</v>
      </c>
    </row>
    <row r="1386" spans="1:13" ht="20" customHeight="1" x14ac:dyDescent="0.35">
      <c r="A1386" s="17">
        <v>921826</v>
      </c>
      <c r="B1386" s="18">
        <v>1677</v>
      </c>
      <c r="C1386" s="23" t="s">
        <v>107</v>
      </c>
      <c r="D1386" s="27">
        <v>45027.998611111114</v>
      </c>
      <c r="E1386" s="18" t="s">
        <v>96</v>
      </c>
      <c r="F1386" s="18" t="s">
        <v>20</v>
      </c>
      <c r="G1386" s="18">
        <v>1726</v>
      </c>
      <c r="H1386" s="25">
        <f t="shared" si="84"/>
        <v>45027</v>
      </c>
      <c r="I1386" s="26">
        <f t="shared" si="85"/>
        <v>0.99861111111385981</v>
      </c>
      <c r="J1386" s="18" t="str">
        <f t="shared" si="86"/>
        <v>April</v>
      </c>
      <c r="K1386" s="56" t="str">
        <f t="shared" si="87"/>
        <v>Tuesday</v>
      </c>
      <c r="L1386" s="18" t="str">
        <f>IF(OR(G1386&gt;Answers!I1401,G1386&lt;Answers!I1402),"Outlier","Normal")</f>
        <v>Outlier</v>
      </c>
      <c r="M1386" s="18">
        <v>51</v>
      </c>
    </row>
    <row r="1387" spans="1:13" ht="20" customHeight="1" x14ac:dyDescent="0.35">
      <c r="A1387" s="17">
        <v>922883</v>
      </c>
      <c r="B1387" s="18">
        <v>243</v>
      </c>
      <c r="C1387" s="23" t="s">
        <v>99</v>
      </c>
      <c r="D1387" s="27">
        <v>45278.061805555553</v>
      </c>
      <c r="E1387" s="18" t="s">
        <v>133</v>
      </c>
      <c r="F1387" s="18" t="s">
        <v>72</v>
      </c>
      <c r="G1387" s="18">
        <v>4141</v>
      </c>
      <c r="H1387" s="25">
        <f t="shared" si="84"/>
        <v>45278</v>
      </c>
      <c r="I1387" s="26">
        <f t="shared" si="85"/>
        <v>6.1805555553291924E-2</v>
      </c>
      <c r="J1387" s="18" t="str">
        <f t="shared" si="86"/>
        <v>December</v>
      </c>
      <c r="K1387" s="56" t="str">
        <f t="shared" si="87"/>
        <v>Monday</v>
      </c>
      <c r="L1387" s="18" t="str">
        <f>IF(OR(G1387&gt;Answers!I1402,G1387&lt;Answers!I1403),"Outlier","Normal")</f>
        <v>Outlier</v>
      </c>
      <c r="M1387" s="18">
        <v>18</v>
      </c>
    </row>
    <row r="1388" spans="1:13" ht="20" customHeight="1" x14ac:dyDescent="0.35">
      <c r="A1388" s="17">
        <v>923178</v>
      </c>
      <c r="B1388" s="18">
        <v>1561</v>
      </c>
      <c r="C1388" s="23" t="s">
        <v>110</v>
      </c>
      <c r="D1388" s="27">
        <v>45225.998611111114</v>
      </c>
      <c r="E1388" s="18" t="s">
        <v>96</v>
      </c>
      <c r="F1388" s="18" t="s">
        <v>83</v>
      </c>
      <c r="G1388" s="18">
        <v>6590</v>
      </c>
      <c r="H1388" s="25">
        <f t="shared" si="84"/>
        <v>45225</v>
      </c>
      <c r="I1388" s="26">
        <f t="shared" si="85"/>
        <v>0.99861111111385981</v>
      </c>
      <c r="J1388" s="18" t="str">
        <f t="shared" si="86"/>
        <v>October</v>
      </c>
      <c r="K1388" s="56" t="str">
        <f t="shared" si="87"/>
        <v>Thursday</v>
      </c>
      <c r="L1388" s="18" t="str">
        <f>IF(OR(G1388&gt;Answers!I1403,G1388&lt;Answers!I1404),"Outlier","Normal")</f>
        <v>Outlier</v>
      </c>
      <c r="M1388" s="18">
        <v>28</v>
      </c>
    </row>
    <row r="1389" spans="1:13" ht="20" customHeight="1" x14ac:dyDescent="0.35">
      <c r="A1389" s="17">
        <v>924191</v>
      </c>
      <c r="B1389" s="18">
        <v>1970</v>
      </c>
      <c r="C1389" s="23" t="s">
        <v>100</v>
      </c>
      <c r="D1389" s="27">
        <v>45214.045138888891</v>
      </c>
      <c r="E1389" s="18" t="s">
        <v>96</v>
      </c>
      <c r="F1389" s="18" t="s">
        <v>70</v>
      </c>
      <c r="G1389" s="18">
        <v>925</v>
      </c>
      <c r="H1389" s="25">
        <f t="shared" si="84"/>
        <v>45214</v>
      </c>
      <c r="I1389" s="26">
        <f t="shared" si="85"/>
        <v>4.5138888890505768E-2</v>
      </c>
      <c r="J1389" s="18" t="str">
        <f t="shared" si="86"/>
        <v>October</v>
      </c>
      <c r="K1389" s="56" t="str">
        <f t="shared" si="87"/>
        <v>Sunday</v>
      </c>
      <c r="L1389" s="18" t="str">
        <f>IF(OR(G1389&gt;Answers!I1404,G1389&lt;Answers!I1405),"Outlier","Normal")</f>
        <v>Outlier</v>
      </c>
      <c r="M1389" s="18">
        <v>79</v>
      </c>
    </row>
    <row r="1390" spans="1:13" ht="20" customHeight="1" x14ac:dyDescent="0.35">
      <c r="A1390" s="17">
        <v>924407</v>
      </c>
      <c r="B1390" s="18">
        <v>1824</v>
      </c>
      <c r="C1390" s="23" t="s">
        <v>99</v>
      </c>
      <c r="D1390" s="27">
        <v>45177.938888888886</v>
      </c>
      <c r="E1390" s="18" t="s">
        <v>98</v>
      </c>
      <c r="F1390" s="18" t="s">
        <v>14</v>
      </c>
      <c r="G1390" s="18">
        <v>2760</v>
      </c>
      <c r="H1390" s="25">
        <f t="shared" si="84"/>
        <v>45177</v>
      </c>
      <c r="I1390" s="26">
        <f t="shared" si="85"/>
        <v>0.93888888888614019</v>
      </c>
      <c r="J1390" s="18" t="str">
        <f t="shared" si="86"/>
        <v>September</v>
      </c>
      <c r="K1390" s="56" t="str">
        <f t="shared" si="87"/>
        <v>Friday</v>
      </c>
      <c r="L1390" s="18" t="str">
        <f>IF(OR(G1390&gt;Answers!I1405,G1390&lt;Answers!I1406),"Outlier","Normal")</f>
        <v>Outlier</v>
      </c>
      <c r="M1390" s="18">
        <v>35</v>
      </c>
    </row>
    <row r="1391" spans="1:13" ht="20" customHeight="1" x14ac:dyDescent="0.35">
      <c r="A1391" s="17">
        <v>924612</v>
      </c>
      <c r="B1391" s="18">
        <v>549</v>
      </c>
      <c r="C1391" s="23" t="s">
        <v>99</v>
      </c>
      <c r="D1391" s="27">
        <v>45001.037499999999</v>
      </c>
      <c r="E1391" s="18" t="s">
        <v>97</v>
      </c>
      <c r="F1391" s="18" t="s">
        <v>27</v>
      </c>
      <c r="G1391" s="18">
        <v>7323</v>
      </c>
      <c r="H1391" s="25">
        <f t="shared" si="84"/>
        <v>45001</v>
      </c>
      <c r="I1391" s="26">
        <f t="shared" si="85"/>
        <v>3.7499999998544808E-2</v>
      </c>
      <c r="J1391" s="18" t="str">
        <f t="shared" si="86"/>
        <v>March</v>
      </c>
      <c r="K1391" s="56" t="str">
        <f t="shared" si="87"/>
        <v>Thursday</v>
      </c>
      <c r="L1391" s="18" t="str">
        <f>IF(OR(G1391&gt;Answers!I1406,G1391&lt;Answers!I1407),"Outlier","Normal")</f>
        <v>Outlier</v>
      </c>
      <c r="M1391" s="18">
        <v>70</v>
      </c>
    </row>
    <row r="1392" spans="1:13" ht="20" customHeight="1" x14ac:dyDescent="0.35">
      <c r="A1392" s="17">
        <v>926206</v>
      </c>
      <c r="B1392" s="18">
        <v>41</v>
      </c>
      <c r="C1392" s="23" t="s">
        <v>101</v>
      </c>
      <c r="D1392" s="27">
        <v>44982.958333333336</v>
      </c>
      <c r="E1392" s="18" t="s">
        <v>97</v>
      </c>
      <c r="F1392" s="18" t="s">
        <v>77</v>
      </c>
      <c r="G1392" s="18">
        <v>3952</v>
      </c>
      <c r="H1392" s="25">
        <f t="shared" si="84"/>
        <v>44982</v>
      </c>
      <c r="I1392" s="26">
        <f t="shared" si="85"/>
        <v>0.95833333333575865</v>
      </c>
      <c r="J1392" s="18" t="str">
        <f t="shared" si="86"/>
        <v>February</v>
      </c>
      <c r="K1392" s="56" t="str">
        <f t="shared" si="87"/>
        <v>Saturday</v>
      </c>
      <c r="L1392" s="18" t="str">
        <f>IF(OR(G1392&gt;Answers!I1407,G1392&lt;Answers!I1408),"Outlier","Normal")</f>
        <v>Outlier</v>
      </c>
      <c r="M1392" s="18">
        <v>42</v>
      </c>
    </row>
    <row r="1393" spans="1:13" ht="20" customHeight="1" x14ac:dyDescent="0.35">
      <c r="A1393" s="17">
        <v>926690</v>
      </c>
      <c r="B1393" s="18">
        <v>1286</v>
      </c>
      <c r="C1393" s="23" t="s">
        <v>99</v>
      </c>
      <c r="D1393" s="27">
        <v>45058.00277777778</v>
      </c>
      <c r="E1393" s="18" t="s">
        <v>98</v>
      </c>
      <c r="F1393" s="18" t="s">
        <v>27</v>
      </c>
      <c r="G1393" s="18">
        <v>197</v>
      </c>
      <c r="H1393" s="25">
        <f t="shared" si="84"/>
        <v>45058</v>
      </c>
      <c r="I1393" s="26">
        <f t="shared" si="85"/>
        <v>2.7777777795563452E-3</v>
      </c>
      <c r="J1393" s="18" t="str">
        <f t="shared" si="86"/>
        <v>May</v>
      </c>
      <c r="K1393" s="56" t="str">
        <f t="shared" si="87"/>
        <v>Friday</v>
      </c>
      <c r="L1393" s="18" t="str">
        <f>IF(OR(G1393&gt;Answers!I1408,G1393&lt;Answers!I1409),"Outlier","Normal")</f>
        <v>Outlier</v>
      </c>
      <c r="M1393" s="18">
        <v>61</v>
      </c>
    </row>
    <row r="1394" spans="1:13" ht="20" customHeight="1" x14ac:dyDescent="0.35">
      <c r="A1394" s="17">
        <v>929955</v>
      </c>
      <c r="B1394" s="18">
        <v>349</v>
      </c>
      <c r="C1394" s="23" t="s">
        <v>108</v>
      </c>
      <c r="D1394" s="27">
        <v>44947.987500000003</v>
      </c>
      <c r="E1394" s="18" t="s">
        <v>98</v>
      </c>
      <c r="F1394" s="18" t="s">
        <v>43</v>
      </c>
      <c r="G1394" s="18">
        <v>3242</v>
      </c>
      <c r="H1394" s="25">
        <f t="shared" si="84"/>
        <v>44947</v>
      </c>
      <c r="I1394" s="26">
        <f t="shared" si="85"/>
        <v>0.98750000000291038</v>
      </c>
      <c r="J1394" s="18" t="str">
        <f t="shared" si="86"/>
        <v>January</v>
      </c>
      <c r="K1394" s="56" t="str">
        <f t="shared" si="87"/>
        <v>Saturday</v>
      </c>
      <c r="L1394" s="18" t="str">
        <f>IF(OR(G1394&gt;Answers!I1409,G1394&lt;Answers!I1410),"Outlier","Normal")</f>
        <v>Outlier</v>
      </c>
      <c r="M1394" s="18">
        <v>55</v>
      </c>
    </row>
    <row r="1395" spans="1:13" ht="20" customHeight="1" x14ac:dyDescent="0.35">
      <c r="A1395" s="17">
        <v>930116</v>
      </c>
      <c r="B1395" s="18">
        <v>918</v>
      </c>
      <c r="C1395" s="23" t="s">
        <v>101</v>
      </c>
      <c r="D1395" s="27">
        <v>45156.984027777777</v>
      </c>
      <c r="E1395" s="18" t="s">
        <v>97</v>
      </c>
      <c r="F1395" s="18" t="s">
        <v>81</v>
      </c>
      <c r="G1395" s="18">
        <v>4873</v>
      </c>
      <c r="H1395" s="25">
        <f t="shared" si="84"/>
        <v>45156</v>
      </c>
      <c r="I1395" s="26">
        <f t="shared" si="85"/>
        <v>0.98402777777664596</v>
      </c>
      <c r="J1395" s="18" t="str">
        <f t="shared" si="86"/>
        <v>August</v>
      </c>
      <c r="K1395" s="56" t="str">
        <f t="shared" si="87"/>
        <v>Friday</v>
      </c>
      <c r="L1395" s="18" t="str">
        <f>IF(OR(G1395&gt;Answers!I1410,G1395&lt;Answers!I1411),"Outlier","Normal")</f>
        <v>Outlier</v>
      </c>
      <c r="M1395" s="18">
        <v>75</v>
      </c>
    </row>
    <row r="1396" spans="1:13" ht="20" customHeight="1" x14ac:dyDescent="0.35">
      <c r="A1396" s="17">
        <v>930552</v>
      </c>
      <c r="B1396" s="18">
        <v>1605</v>
      </c>
      <c r="C1396" s="23" t="s">
        <v>105</v>
      </c>
      <c r="D1396" s="27">
        <v>45021.009722222225</v>
      </c>
      <c r="E1396" s="18" t="s">
        <v>96</v>
      </c>
      <c r="F1396" s="18" t="s">
        <v>88</v>
      </c>
      <c r="G1396" s="18">
        <v>6840</v>
      </c>
      <c r="H1396" s="25">
        <f t="shared" si="84"/>
        <v>45021</v>
      </c>
      <c r="I1396" s="26">
        <f t="shared" si="85"/>
        <v>9.7222222248092294E-3</v>
      </c>
      <c r="J1396" s="18" t="str">
        <f t="shared" si="86"/>
        <v>April</v>
      </c>
      <c r="K1396" s="56" t="str">
        <f t="shared" si="87"/>
        <v>Wednesday</v>
      </c>
      <c r="L1396" s="18" t="str">
        <f>IF(OR(G1396&gt;Answers!I1411,G1396&lt;Answers!I1412),"Outlier","Normal")</f>
        <v>Outlier</v>
      </c>
      <c r="M1396" s="18">
        <v>45</v>
      </c>
    </row>
    <row r="1397" spans="1:13" ht="20" customHeight="1" x14ac:dyDescent="0.35">
      <c r="A1397" s="17">
        <v>930811</v>
      </c>
      <c r="B1397" s="18">
        <v>1778</v>
      </c>
      <c r="C1397" s="23" t="s">
        <v>99</v>
      </c>
      <c r="D1397" s="27">
        <v>44935.993750000001</v>
      </c>
      <c r="E1397" s="18" t="s">
        <v>96</v>
      </c>
      <c r="F1397" s="18" t="s">
        <v>46</v>
      </c>
      <c r="G1397" s="18">
        <v>3666</v>
      </c>
      <c r="H1397" s="25">
        <f t="shared" si="84"/>
        <v>44935</v>
      </c>
      <c r="I1397" s="26">
        <f t="shared" si="85"/>
        <v>0.99375000000145519</v>
      </c>
      <c r="J1397" s="18" t="str">
        <f t="shared" si="86"/>
        <v>January</v>
      </c>
      <c r="K1397" s="56" t="str">
        <f t="shared" si="87"/>
        <v>Monday</v>
      </c>
      <c r="L1397" s="18" t="str">
        <f>IF(OR(G1397&gt;Answers!I1412,G1397&lt;Answers!I1413),"Outlier","Normal")</f>
        <v>Outlier</v>
      </c>
      <c r="M1397" s="18">
        <v>20</v>
      </c>
    </row>
    <row r="1398" spans="1:13" ht="20" customHeight="1" x14ac:dyDescent="0.35">
      <c r="A1398" s="17">
        <v>930878</v>
      </c>
      <c r="B1398" s="18">
        <v>1606</v>
      </c>
      <c r="C1398" s="23" t="s">
        <v>100</v>
      </c>
      <c r="D1398" s="27">
        <v>45113.081944444442</v>
      </c>
      <c r="E1398" s="18" t="s">
        <v>98</v>
      </c>
      <c r="F1398" s="18" t="s">
        <v>82</v>
      </c>
      <c r="G1398" s="18">
        <v>3069</v>
      </c>
      <c r="H1398" s="25">
        <f t="shared" si="84"/>
        <v>45113</v>
      </c>
      <c r="I1398" s="26">
        <f t="shared" si="85"/>
        <v>8.1944444442342501E-2</v>
      </c>
      <c r="J1398" s="18" t="str">
        <f t="shared" si="86"/>
        <v>July</v>
      </c>
      <c r="K1398" s="56" t="str">
        <f t="shared" si="87"/>
        <v>Thursday</v>
      </c>
      <c r="L1398" s="18" t="str">
        <f>IF(OR(G1398&gt;Answers!I1413,G1398&lt;Answers!I1414),"Outlier","Normal")</f>
        <v>Outlier</v>
      </c>
      <c r="M1398" s="18">
        <v>23</v>
      </c>
    </row>
    <row r="1399" spans="1:13" ht="20" customHeight="1" x14ac:dyDescent="0.35">
      <c r="A1399" s="17">
        <v>931367</v>
      </c>
      <c r="B1399" s="18">
        <v>981</v>
      </c>
      <c r="C1399" s="23" t="s">
        <v>99</v>
      </c>
      <c r="D1399" s="27">
        <v>45089.078472222223</v>
      </c>
      <c r="E1399" s="18" t="s">
        <v>98</v>
      </c>
      <c r="F1399" s="18" t="s">
        <v>90</v>
      </c>
      <c r="G1399" s="18">
        <v>2393</v>
      </c>
      <c r="H1399" s="25">
        <f t="shared" si="84"/>
        <v>45089</v>
      </c>
      <c r="I1399" s="26">
        <f t="shared" si="85"/>
        <v>7.8472222223354038E-2</v>
      </c>
      <c r="J1399" s="18" t="str">
        <f t="shared" si="86"/>
        <v>June</v>
      </c>
      <c r="K1399" s="56" t="str">
        <f t="shared" si="87"/>
        <v>Monday</v>
      </c>
      <c r="L1399" s="18" t="str">
        <f>IF(OR(G1399&gt;Answers!I1414,G1399&lt;Answers!I1415),"Outlier","Normal")</f>
        <v>Outlier</v>
      </c>
      <c r="M1399" s="18">
        <v>78</v>
      </c>
    </row>
    <row r="1400" spans="1:13" ht="20" customHeight="1" x14ac:dyDescent="0.35">
      <c r="A1400" s="17">
        <v>931763</v>
      </c>
      <c r="B1400" s="18">
        <v>1355</v>
      </c>
      <c r="C1400" s="23" t="s">
        <v>105</v>
      </c>
      <c r="D1400" s="27">
        <v>45072.008333333331</v>
      </c>
      <c r="E1400" s="18" t="s">
        <v>96</v>
      </c>
      <c r="F1400" s="18" t="s">
        <v>43</v>
      </c>
      <c r="G1400" s="18">
        <v>2372</v>
      </c>
      <c r="H1400" s="25">
        <f t="shared" si="84"/>
        <v>45072</v>
      </c>
      <c r="I1400" s="26">
        <f t="shared" si="85"/>
        <v>8.333333331393078E-3</v>
      </c>
      <c r="J1400" s="18" t="str">
        <f t="shared" si="86"/>
        <v>May</v>
      </c>
      <c r="K1400" s="56" t="str">
        <f t="shared" si="87"/>
        <v>Friday</v>
      </c>
      <c r="L1400" s="18" t="str">
        <f>IF(OR(G1400&gt;Answers!I1415,G1400&lt;Answers!I1416),"Outlier","Normal")</f>
        <v>Outlier</v>
      </c>
      <c r="M1400" s="18">
        <v>83</v>
      </c>
    </row>
    <row r="1401" spans="1:13" ht="20" customHeight="1" x14ac:dyDescent="0.35">
      <c r="A1401" s="17">
        <v>933463</v>
      </c>
      <c r="B1401" s="18">
        <v>1401</v>
      </c>
      <c r="C1401" s="23" t="s">
        <v>102</v>
      </c>
      <c r="D1401" s="27">
        <v>45115.994444444441</v>
      </c>
      <c r="E1401" s="18" t="s">
        <v>98</v>
      </c>
      <c r="F1401" s="18" t="s">
        <v>91</v>
      </c>
      <c r="G1401" s="18">
        <v>7754</v>
      </c>
      <c r="H1401" s="25">
        <f t="shared" si="84"/>
        <v>45115</v>
      </c>
      <c r="I1401" s="26">
        <f t="shared" si="85"/>
        <v>0.99444444444088731</v>
      </c>
      <c r="J1401" s="18" t="str">
        <f t="shared" si="86"/>
        <v>July</v>
      </c>
      <c r="K1401" s="56" t="str">
        <f t="shared" si="87"/>
        <v>Saturday</v>
      </c>
      <c r="L1401" s="18" t="str">
        <f>IF(OR(G1401&gt;Answers!I1416,G1401&lt;Answers!I1417),"Outlier","Normal")</f>
        <v>Outlier</v>
      </c>
      <c r="M1401" s="18">
        <v>53</v>
      </c>
    </row>
    <row r="1402" spans="1:13" ht="20" customHeight="1" x14ac:dyDescent="0.35">
      <c r="A1402" s="17">
        <v>935343</v>
      </c>
      <c r="B1402" s="18">
        <v>1143</v>
      </c>
      <c r="C1402" s="23" t="s">
        <v>107</v>
      </c>
      <c r="D1402" s="27">
        <v>45196.977777777778</v>
      </c>
      <c r="E1402" s="18" t="s">
        <v>98</v>
      </c>
      <c r="F1402" s="18" t="s">
        <v>78</v>
      </c>
      <c r="G1402" s="18">
        <v>1325</v>
      </c>
      <c r="H1402" s="25">
        <f t="shared" si="84"/>
        <v>45196</v>
      </c>
      <c r="I1402" s="26">
        <f t="shared" si="85"/>
        <v>0.97777777777810115</v>
      </c>
      <c r="J1402" s="18" t="str">
        <f t="shared" si="86"/>
        <v>September</v>
      </c>
      <c r="K1402" s="56" t="str">
        <f t="shared" si="87"/>
        <v>Wednesday</v>
      </c>
      <c r="L1402" s="18" t="str">
        <f>IF(OR(G1402&gt;Answers!I1417,G1402&lt;Answers!I1418),"Outlier","Normal")</f>
        <v>Outlier</v>
      </c>
      <c r="M1402" s="18">
        <v>59</v>
      </c>
    </row>
    <row r="1403" spans="1:13" ht="20" customHeight="1" x14ac:dyDescent="0.35">
      <c r="A1403" s="17">
        <v>935551</v>
      </c>
      <c r="B1403" s="18">
        <v>712</v>
      </c>
      <c r="C1403" s="23" t="s">
        <v>99</v>
      </c>
      <c r="D1403" s="27">
        <v>45274.066666666666</v>
      </c>
      <c r="E1403" s="18" t="s">
        <v>133</v>
      </c>
      <c r="F1403" s="18" t="s">
        <v>56</v>
      </c>
      <c r="G1403" s="18">
        <v>6779</v>
      </c>
      <c r="H1403" s="25">
        <f t="shared" si="84"/>
        <v>45274</v>
      </c>
      <c r="I1403" s="26">
        <f t="shared" si="85"/>
        <v>6.6666666665696539E-2</v>
      </c>
      <c r="J1403" s="18" t="str">
        <f t="shared" si="86"/>
        <v>December</v>
      </c>
      <c r="K1403" s="56" t="str">
        <f t="shared" si="87"/>
        <v>Thursday</v>
      </c>
      <c r="L1403" s="18" t="str">
        <f>IF(OR(G1403&gt;Answers!I1418,G1403&lt;Answers!I1419),"Outlier","Normal")</f>
        <v>Outlier</v>
      </c>
      <c r="M1403" s="18">
        <v>90</v>
      </c>
    </row>
    <row r="1404" spans="1:13" ht="20" customHeight="1" x14ac:dyDescent="0.35">
      <c r="A1404" s="17">
        <v>935674</v>
      </c>
      <c r="B1404" s="18">
        <v>442</v>
      </c>
      <c r="C1404" s="23" t="s">
        <v>99</v>
      </c>
      <c r="D1404" s="27">
        <v>45142.037499999999</v>
      </c>
      <c r="E1404" s="18" t="s">
        <v>96</v>
      </c>
      <c r="F1404" s="18" t="s">
        <v>34</v>
      </c>
      <c r="G1404" s="18">
        <v>5395</v>
      </c>
      <c r="H1404" s="25">
        <f t="shared" si="84"/>
        <v>45142</v>
      </c>
      <c r="I1404" s="26">
        <f t="shared" si="85"/>
        <v>3.7499999998544808E-2</v>
      </c>
      <c r="J1404" s="18" t="str">
        <f t="shared" si="86"/>
        <v>August</v>
      </c>
      <c r="K1404" s="56" t="str">
        <f t="shared" si="87"/>
        <v>Friday</v>
      </c>
      <c r="L1404" s="18" t="str">
        <f>IF(OR(G1404&gt;Answers!I1419,G1404&lt;Answers!I1420),"Outlier","Normal")</f>
        <v>Outlier</v>
      </c>
      <c r="M1404" s="18">
        <v>62</v>
      </c>
    </row>
    <row r="1405" spans="1:13" ht="20" customHeight="1" x14ac:dyDescent="0.35">
      <c r="A1405" s="17">
        <v>935947</v>
      </c>
      <c r="B1405" s="18">
        <v>1267</v>
      </c>
      <c r="C1405" s="23" t="s">
        <v>107</v>
      </c>
      <c r="D1405" s="27">
        <v>45116.054861111108</v>
      </c>
      <c r="E1405" s="18" t="s">
        <v>97</v>
      </c>
      <c r="F1405" s="18" t="s">
        <v>87</v>
      </c>
      <c r="G1405" s="18">
        <v>5054</v>
      </c>
      <c r="H1405" s="25">
        <f t="shared" si="84"/>
        <v>45116</v>
      </c>
      <c r="I1405" s="26">
        <f t="shared" si="85"/>
        <v>5.486111110803904E-2</v>
      </c>
      <c r="J1405" s="18" t="str">
        <f t="shared" si="86"/>
        <v>July</v>
      </c>
      <c r="K1405" s="56" t="str">
        <f t="shared" si="87"/>
        <v>Sunday</v>
      </c>
      <c r="L1405" s="18" t="str">
        <f>IF(OR(G1405&gt;Answers!I1420,G1405&lt;Answers!I1421),"Outlier","Normal")</f>
        <v>Outlier</v>
      </c>
      <c r="M1405" s="18">
        <v>62</v>
      </c>
    </row>
    <row r="1406" spans="1:13" ht="20" customHeight="1" x14ac:dyDescent="0.35">
      <c r="A1406" s="17">
        <v>935965</v>
      </c>
      <c r="B1406" s="18">
        <v>1578</v>
      </c>
      <c r="C1406" s="23" t="s">
        <v>107</v>
      </c>
      <c r="D1406" s="27">
        <v>45137.997916666667</v>
      </c>
      <c r="E1406" s="18" t="s">
        <v>97</v>
      </c>
      <c r="F1406" s="18" t="s">
        <v>78</v>
      </c>
      <c r="G1406" s="18">
        <v>4078</v>
      </c>
      <c r="H1406" s="25">
        <f t="shared" si="84"/>
        <v>45137</v>
      </c>
      <c r="I1406" s="26">
        <f t="shared" si="85"/>
        <v>0.99791666666715173</v>
      </c>
      <c r="J1406" s="18" t="str">
        <f t="shared" si="86"/>
        <v>July</v>
      </c>
      <c r="K1406" s="56" t="str">
        <f t="shared" si="87"/>
        <v>Sunday</v>
      </c>
      <c r="L1406" s="18" t="str">
        <f>IF(OR(G1406&gt;Answers!I1421,G1406&lt;Answers!I1422),"Outlier","Normal")</f>
        <v>Outlier</v>
      </c>
      <c r="M1406" s="18">
        <v>24</v>
      </c>
    </row>
    <row r="1407" spans="1:13" ht="20" customHeight="1" x14ac:dyDescent="0.35">
      <c r="A1407" s="17">
        <v>936199</v>
      </c>
      <c r="B1407" s="18">
        <v>734</v>
      </c>
      <c r="C1407" s="23" t="s">
        <v>107</v>
      </c>
      <c r="D1407" s="27">
        <v>45084.015972222223</v>
      </c>
      <c r="E1407" s="18" t="s">
        <v>98</v>
      </c>
      <c r="F1407" s="18" t="s">
        <v>27</v>
      </c>
      <c r="G1407" s="18">
        <v>6734</v>
      </c>
      <c r="H1407" s="25">
        <f t="shared" si="84"/>
        <v>45084</v>
      </c>
      <c r="I1407" s="26">
        <f t="shared" si="85"/>
        <v>1.5972222223354038E-2</v>
      </c>
      <c r="J1407" s="18" t="str">
        <f t="shared" si="86"/>
        <v>June</v>
      </c>
      <c r="K1407" s="56" t="str">
        <f t="shared" si="87"/>
        <v>Wednesday</v>
      </c>
      <c r="L1407" s="18" t="str">
        <f>IF(OR(G1407&gt;Answers!I1422,G1407&lt;Answers!I1423),"Outlier","Normal")</f>
        <v>Outlier</v>
      </c>
      <c r="M1407" s="18">
        <v>75</v>
      </c>
    </row>
    <row r="1408" spans="1:13" ht="20" customHeight="1" x14ac:dyDescent="0.35">
      <c r="A1408" s="17">
        <v>936455</v>
      </c>
      <c r="B1408" s="18">
        <v>452</v>
      </c>
      <c r="C1408" s="23" t="s">
        <v>105</v>
      </c>
      <c r="D1408" s="27">
        <v>44940.031944444447</v>
      </c>
      <c r="E1408" s="18" t="s">
        <v>133</v>
      </c>
      <c r="F1408" s="18" t="s">
        <v>69</v>
      </c>
      <c r="G1408" s="18">
        <v>9527</v>
      </c>
      <c r="H1408" s="25">
        <f t="shared" si="84"/>
        <v>44940</v>
      </c>
      <c r="I1408" s="26">
        <f t="shared" si="85"/>
        <v>3.1944444446708076E-2</v>
      </c>
      <c r="J1408" s="18" t="str">
        <f t="shared" si="86"/>
        <v>January</v>
      </c>
      <c r="K1408" s="56" t="str">
        <f t="shared" si="87"/>
        <v>Saturday</v>
      </c>
      <c r="L1408" s="18" t="str">
        <f>IF(OR(G1408&gt;Answers!I1423,G1408&lt;Answers!I1424),"Outlier","Normal")</f>
        <v>Outlier</v>
      </c>
      <c r="M1408" s="18">
        <v>75</v>
      </c>
    </row>
    <row r="1409" spans="1:13" ht="20" customHeight="1" x14ac:dyDescent="0.35">
      <c r="A1409" s="17">
        <v>937222</v>
      </c>
      <c r="B1409" s="18">
        <v>1095</v>
      </c>
      <c r="C1409" s="23" t="s">
        <v>113</v>
      </c>
      <c r="D1409" s="27">
        <v>44953.044444444444</v>
      </c>
      <c r="E1409" s="18" t="s">
        <v>96</v>
      </c>
      <c r="F1409" s="18" t="s">
        <v>26</v>
      </c>
      <c r="G1409" s="18">
        <v>2890</v>
      </c>
      <c r="H1409" s="25">
        <f t="shared" si="84"/>
        <v>44953</v>
      </c>
      <c r="I1409" s="26">
        <f t="shared" si="85"/>
        <v>4.4444444443797693E-2</v>
      </c>
      <c r="J1409" s="18" t="str">
        <f t="shared" si="86"/>
        <v>January</v>
      </c>
      <c r="K1409" s="56" t="str">
        <f t="shared" si="87"/>
        <v>Friday</v>
      </c>
      <c r="L1409" s="18" t="str">
        <f>IF(OR(G1409&gt;Answers!I1424,G1409&lt;Answers!I1425),"Outlier","Normal")</f>
        <v>Outlier</v>
      </c>
      <c r="M1409" s="18">
        <v>58</v>
      </c>
    </row>
    <row r="1410" spans="1:13" ht="20" customHeight="1" x14ac:dyDescent="0.35">
      <c r="A1410" s="17">
        <v>937462</v>
      </c>
      <c r="B1410" s="18">
        <v>1858</v>
      </c>
      <c r="C1410" s="23" t="s">
        <v>99</v>
      </c>
      <c r="D1410" s="27">
        <v>45219.995833333334</v>
      </c>
      <c r="E1410" s="18" t="s">
        <v>97</v>
      </c>
      <c r="F1410" s="18" t="s">
        <v>27</v>
      </c>
      <c r="G1410" s="18">
        <v>2327</v>
      </c>
      <c r="H1410" s="25">
        <f t="shared" si="84"/>
        <v>45219</v>
      </c>
      <c r="I1410" s="26">
        <f t="shared" si="85"/>
        <v>0.99583333333430346</v>
      </c>
      <c r="J1410" s="18" t="str">
        <f t="shared" si="86"/>
        <v>October</v>
      </c>
      <c r="K1410" s="56" t="str">
        <f t="shared" si="87"/>
        <v>Friday</v>
      </c>
      <c r="L1410" s="18" t="str">
        <f>IF(OR(G1410&gt;Answers!I1425,G1410&lt;Answers!I1426),"Outlier","Normal")</f>
        <v>Outlier</v>
      </c>
      <c r="M1410" s="18">
        <v>59</v>
      </c>
    </row>
    <row r="1411" spans="1:13" ht="20" customHeight="1" x14ac:dyDescent="0.35">
      <c r="A1411" s="17">
        <v>938620</v>
      </c>
      <c r="B1411" s="18">
        <v>1556</v>
      </c>
      <c r="C1411" s="23" t="s">
        <v>101</v>
      </c>
      <c r="D1411" s="27">
        <v>45020.07916666667</v>
      </c>
      <c r="E1411" s="18" t="s">
        <v>98</v>
      </c>
      <c r="F1411" s="18" t="s">
        <v>81</v>
      </c>
      <c r="G1411" s="18">
        <v>1142</v>
      </c>
      <c r="H1411" s="25">
        <f t="shared" ref="H1411:H1474" si="88">INT(D1411)</f>
        <v>45020</v>
      </c>
      <c r="I1411" s="26">
        <f t="shared" ref="I1411:I1474" si="89">MOD(D1411,1)</f>
        <v>7.9166666670062114E-2</v>
      </c>
      <c r="J1411" s="18" t="str">
        <f t="shared" ref="J1411:J1474" si="90">TEXT(D1411,"mmmm")</f>
        <v>April</v>
      </c>
      <c r="K1411" s="56" t="str">
        <f t="shared" ref="K1411:K1474" si="91">TEXT(D1411,"dddd")</f>
        <v>Tuesday</v>
      </c>
      <c r="L1411" s="18" t="str">
        <f>IF(OR(G1411&gt;Answers!I1426,G1411&lt;Answers!I1427),"Outlier","Normal")</f>
        <v>Outlier</v>
      </c>
      <c r="M1411" s="18">
        <v>76</v>
      </c>
    </row>
    <row r="1412" spans="1:13" ht="20" customHeight="1" x14ac:dyDescent="0.35">
      <c r="A1412" s="17">
        <v>940084</v>
      </c>
      <c r="B1412" s="18">
        <v>239</v>
      </c>
      <c r="C1412" s="23" t="s">
        <v>113</v>
      </c>
      <c r="D1412" s="27">
        <v>45188.003472222219</v>
      </c>
      <c r="E1412" s="18" t="s">
        <v>133</v>
      </c>
      <c r="F1412" s="18" t="s">
        <v>71</v>
      </c>
      <c r="G1412" s="18">
        <v>2257</v>
      </c>
      <c r="H1412" s="25">
        <f t="shared" si="88"/>
        <v>45188</v>
      </c>
      <c r="I1412" s="26">
        <f t="shared" si="89"/>
        <v>3.4722222189884633E-3</v>
      </c>
      <c r="J1412" s="18" t="str">
        <f t="shared" si="90"/>
        <v>September</v>
      </c>
      <c r="K1412" s="56" t="str">
        <f t="shared" si="91"/>
        <v>Tuesday</v>
      </c>
      <c r="L1412" s="18" t="str">
        <f>IF(OR(G1412&gt;Answers!I1427,G1412&lt;Answers!I1428),"Outlier","Normal")</f>
        <v>Outlier</v>
      </c>
      <c r="M1412" s="18">
        <v>77</v>
      </c>
    </row>
    <row r="1413" spans="1:13" ht="20" customHeight="1" x14ac:dyDescent="0.35">
      <c r="A1413" s="17">
        <v>941028</v>
      </c>
      <c r="B1413" s="18">
        <v>1311</v>
      </c>
      <c r="C1413" s="23" t="s">
        <v>99</v>
      </c>
      <c r="D1413" s="27">
        <v>45188.977083333331</v>
      </c>
      <c r="E1413" s="18" t="s">
        <v>97</v>
      </c>
      <c r="F1413" s="18" t="s">
        <v>7</v>
      </c>
      <c r="G1413" s="18">
        <v>9422</v>
      </c>
      <c r="H1413" s="25">
        <f t="shared" si="88"/>
        <v>45188</v>
      </c>
      <c r="I1413" s="26">
        <f t="shared" si="89"/>
        <v>0.97708333333139308</v>
      </c>
      <c r="J1413" s="18" t="str">
        <f t="shared" si="90"/>
        <v>September</v>
      </c>
      <c r="K1413" s="56" t="str">
        <f t="shared" si="91"/>
        <v>Tuesday</v>
      </c>
      <c r="L1413" s="18" t="str">
        <f>IF(OR(G1413&gt;Answers!I1428,G1413&lt;Answers!I1429),"Outlier","Normal")</f>
        <v>Outlier</v>
      </c>
      <c r="M1413" s="18">
        <v>20</v>
      </c>
    </row>
    <row r="1414" spans="1:13" ht="20" customHeight="1" x14ac:dyDescent="0.35">
      <c r="A1414" s="17">
        <v>941315</v>
      </c>
      <c r="B1414" s="18">
        <v>1856</v>
      </c>
      <c r="C1414" s="23" t="s">
        <v>99</v>
      </c>
      <c r="D1414" s="27">
        <v>45023.007638888892</v>
      </c>
      <c r="E1414" s="18" t="s">
        <v>97</v>
      </c>
      <c r="F1414" s="18" t="s">
        <v>27</v>
      </c>
      <c r="G1414" s="18">
        <v>6848</v>
      </c>
      <c r="H1414" s="25">
        <f t="shared" si="88"/>
        <v>45023</v>
      </c>
      <c r="I1414" s="26">
        <f t="shared" si="89"/>
        <v>7.6388888919609599E-3</v>
      </c>
      <c r="J1414" s="18" t="str">
        <f t="shared" si="90"/>
        <v>April</v>
      </c>
      <c r="K1414" s="56" t="str">
        <f t="shared" si="91"/>
        <v>Friday</v>
      </c>
      <c r="L1414" s="18" t="str">
        <f>IF(OR(G1414&gt;Answers!I1429,G1414&lt;Answers!I1430),"Outlier","Normal")</f>
        <v>Outlier</v>
      </c>
      <c r="M1414" s="18">
        <v>78</v>
      </c>
    </row>
    <row r="1415" spans="1:13" ht="20" customHeight="1" x14ac:dyDescent="0.35">
      <c r="A1415" s="17">
        <v>942316</v>
      </c>
      <c r="B1415" s="18">
        <v>608</v>
      </c>
      <c r="C1415" s="23" t="s">
        <v>108</v>
      </c>
      <c r="D1415" s="27">
        <v>44930.033333333333</v>
      </c>
      <c r="E1415" s="18" t="s">
        <v>133</v>
      </c>
      <c r="F1415" s="18" t="s">
        <v>65</v>
      </c>
      <c r="G1415" s="18">
        <v>455</v>
      </c>
      <c r="H1415" s="25">
        <f t="shared" si="88"/>
        <v>44930</v>
      </c>
      <c r="I1415" s="26">
        <f t="shared" si="89"/>
        <v>3.3333333332848269E-2</v>
      </c>
      <c r="J1415" s="18" t="str">
        <f t="shared" si="90"/>
        <v>January</v>
      </c>
      <c r="K1415" s="56" t="str">
        <f t="shared" si="91"/>
        <v>Wednesday</v>
      </c>
      <c r="L1415" s="18" t="str">
        <f>IF(OR(G1415&gt;Answers!I1430,G1415&lt;Answers!I1431),"Outlier","Normal")</f>
        <v>Outlier</v>
      </c>
      <c r="M1415" s="18">
        <v>57</v>
      </c>
    </row>
    <row r="1416" spans="1:13" ht="20" customHeight="1" x14ac:dyDescent="0.35">
      <c r="A1416" s="17">
        <v>942544</v>
      </c>
      <c r="B1416" s="18">
        <v>233</v>
      </c>
      <c r="C1416" s="23" t="s">
        <v>107</v>
      </c>
      <c r="D1416" s="27">
        <v>45106.964583333334</v>
      </c>
      <c r="E1416" s="18" t="s">
        <v>96</v>
      </c>
      <c r="F1416" s="18" t="s">
        <v>24</v>
      </c>
      <c r="G1416" s="18">
        <v>5264</v>
      </c>
      <c r="H1416" s="25">
        <f t="shared" si="88"/>
        <v>45106</v>
      </c>
      <c r="I1416" s="26">
        <f t="shared" si="89"/>
        <v>0.96458333333430346</v>
      </c>
      <c r="J1416" s="18" t="str">
        <f t="shared" si="90"/>
        <v>June</v>
      </c>
      <c r="K1416" s="56" t="str">
        <f t="shared" si="91"/>
        <v>Thursday</v>
      </c>
      <c r="L1416" s="18" t="str">
        <f>IF(OR(G1416&gt;Answers!I1431,G1416&lt;Answers!I1432),"Outlier","Normal")</f>
        <v>Outlier</v>
      </c>
      <c r="M1416" s="18">
        <v>30</v>
      </c>
    </row>
    <row r="1417" spans="1:13" ht="20" customHeight="1" x14ac:dyDescent="0.35">
      <c r="A1417" s="17">
        <v>942561</v>
      </c>
      <c r="B1417" s="18">
        <v>1263</v>
      </c>
      <c r="C1417" s="23" t="s">
        <v>99</v>
      </c>
      <c r="D1417" s="27">
        <v>45212.994444444441</v>
      </c>
      <c r="E1417" s="18" t="s">
        <v>96</v>
      </c>
      <c r="F1417" s="18" t="s">
        <v>81</v>
      </c>
      <c r="G1417" s="18">
        <v>1046</v>
      </c>
      <c r="H1417" s="25">
        <f t="shared" si="88"/>
        <v>45212</v>
      </c>
      <c r="I1417" s="26">
        <f t="shared" si="89"/>
        <v>0.99444444444088731</v>
      </c>
      <c r="J1417" s="18" t="str">
        <f t="shared" si="90"/>
        <v>October</v>
      </c>
      <c r="K1417" s="56" t="str">
        <f t="shared" si="91"/>
        <v>Friday</v>
      </c>
      <c r="L1417" s="18" t="str">
        <f>IF(OR(G1417&gt;Answers!I1432,G1417&lt;Answers!I1433),"Outlier","Normal")</f>
        <v>Outlier</v>
      </c>
      <c r="M1417" s="18">
        <v>78</v>
      </c>
    </row>
    <row r="1418" spans="1:13" ht="20" customHeight="1" x14ac:dyDescent="0.35">
      <c r="A1418" s="17">
        <v>943149</v>
      </c>
      <c r="B1418" s="18">
        <v>640</v>
      </c>
      <c r="C1418" s="23" t="s">
        <v>100</v>
      </c>
      <c r="D1418" s="27">
        <v>45193.949305555558</v>
      </c>
      <c r="E1418" s="18" t="s">
        <v>133</v>
      </c>
      <c r="F1418" s="18" t="s">
        <v>88</v>
      </c>
      <c r="G1418" s="18">
        <v>6730</v>
      </c>
      <c r="H1418" s="25">
        <f t="shared" si="88"/>
        <v>45193</v>
      </c>
      <c r="I1418" s="26">
        <f t="shared" si="89"/>
        <v>0.9493055555576575</v>
      </c>
      <c r="J1418" s="18" t="str">
        <f t="shared" si="90"/>
        <v>September</v>
      </c>
      <c r="K1418" s="56" t="str">
        <f t="shared" si="91"/>
        <v>Sunday</v>
      </c>
      <c r="L1418" s="18" t="str">
        <f>IF(OR(G1418&gt;Answers!I1433,G1418&lt;Answers!I1434),"Outlier","Normal")</f>
        <v>Outlier</v>
      </c>
      <c r="M1418" s="18">
        <v>51</v>
      </c>
    </row>
    <row r="1419" spans="1:13" ht="20" customHeight="1" x14ac:dyDescent="0.35">
      <c r="A1419" s="17">
        <v>943915</v>
      </c>
      <c r="B1419" s="18">
        <v>778</v>
      </c>
      <c r="C1419" s="23" t="s">
        <v>100</v>
      </c>
      <c r="D1419" s="27">
        <v>44989.063888888886</v>
      </c>
      <c r="E1419" s="18" t="s">
        <v>96</v>
      </c>
      <c r="F1419" s="18" t="s">
        <v>46</v>
      </c>
      <c r="G1419" s="18">
        <v>8064</v>
      </c>
      <c r="H1419" s="25">
        <f t="shared" si="88"/>
        <v>44989</v>
      </c>
      <c r="I1419" s="26">
        <f t="shared" si="89"/>
        <v>6.3888888886140194E-2</v>
      </c>
      <c r="J1419" s="18" t="str">
        <f t="shared" si="90"/>
        <v>March</v>
      </c>
      <c r="K1419" s="56" t="str">
        <f t="shared" si="91"/>
        <v>Saturday</v>
      </c>
      <c r="L1419" s="18" t="str">
        <f>IF(OR(G1419&gt;Answers!I1434,G1419&lt;Answers!I1435),"Outlier","Normal")</f>
        <v>Outlier</v>
      </c>
      <c r="M1419" s="18">
        <v>26</v>
      </c>
    </row>
    <row r="1420" spans="1:13" ht="20" customHeight="1" x14ac:dyDescent="0.35">
      <c r="A1420" s="17">
        <v>944561</v>
      </c>
      <c r="B1420" s="18">
        <v>1343</v>
      </c>
      <c r="C1420" s="23" t="s">
        <v>99</v>
      </c>
      <c r="D1420" s="27">
        <v>44981.958333333336</v>
      </c>
      <c r="E1420" s="18" t="s">
        <v>97</v>
      </c>
      <c r="F1420" s="18" t="s">
        <v>82</v>
      </c>
      <c r="G1420" s="18">
        <v>439</v>
      </c>
      <c r="H1420" s="25">
        <f t="shared" si="88"/>
        <v>44981</v>
      </c>
      <c r="I1420" s="26">
        <f t="shared" si="89"/>
        <v>0.95833333333575865</v>
      </c>
      <c r="J1420" s="18" t="str">
        <f t="shared" si="90"/>
        <v>February</v>
      </c>
      <c r="K1420" s="56" t="str">
        <f t="shared" si="91"/>
        <v>Friday</v>
      </c>
      <c r="L1420" s="18" t="str">
        <f>IF(OR(G1420&gt;Answers!I1435,G1420&lt;Answers!I1436),"Outlier","Normal")</f>
        <v>Outlier</v>
      </c>
      <c r="M1420" s="18">
        <v>32</v>
      </c>
    </row>
    <row r="1421" spans="1:13" ht="20" customHeight="1" x14ac:dyDescent="0.35">
      <c r="A1421" s="17">
        <v>946141</v>
      </c>
      <c r="B1421" s="18">
        <v>1208</v>
      </c>
      <c r="C1421" s="23" t="s">
        <v>99</v>
      </c>
      <c r="D1421" s="27">
        <v>45036.05972222222</v>
      </c>
      <c r="E1421" s="18" t="s">
        <v>96</v>
      </c>
      <c r="F1421" s="18" t="s">
        <v>17</v>
      </c>
      <c r="G1421" s="18">
        <v>6931</v>
      </c>
      <c r="H1421" s="25">
        <f t="shared" si="88"/>
        <v>45036</v>
      </c>
      <c r="I1421" s="26">
        <f t="shared" si="89"/>
        <v>5.9722222220443655E-2</v>
      </c>
      <c r="J1421" s="18" t="str">
        <f t="shared" si="90"/>
        <v>April</v>
      </c>
      <c r="K1421" s="56" t="str">
        <f t="shared" si="91"/>
        <v>Thursday</v>
      </c>
      <c r="L1421" s="18" t="str">
        <f>IF(OR(G1421&gt;Answers!I1436,G1421&lt;Answers!I1437),"Outlier","Normal")</f>
        <v>Outlier</v>
      </c>
      <c r="M1421" s="18">
        <v>73</v>
      </c>
    </row>
    <row r="1422" spans="1:13" ht="20" customHeight="1" x14ac:dyDescent="0.35">
      <c r="A1422" s="17">
        <v>946167</v>
      </c>
      <c r="B1422" s="18">
        <v>1512</v>
      </c>
      <c r="C1422" s="23" t="s">
        <v>108</v>
      </c>
      <c r="D1422" s="27">
        <v>45264.995833333334</v>
      </c>
      <c r="E1422" s="18" t="s">
        <v>98</v>
      </c>
      <c r="F1422" s="18" t="s">
        <v>43</v>
      </c>
      <c r="G1422" s="18">
        <v>236</v>
      </c>
      <c r="H1422" s="25">
        <f t="shared" si="88"/>
        <v>45264</v>
      </c>
      <c r="I1422" s="26">
        <f t="shared" si="89"/>
        <v>0.99583333333430346</v>
      </c>
      <c r="J1422" s="18" t="str">
        <f t="shared" si="90"/>
        <v>December</v>
      </c>
      <c r="K1422" s="56" t="str">
        <f t="shared" si="91"/>
        <v>Monday</v>
      </c>
      <c r="L1422" s="18" t="str">
        <f>IF(OR(G1422&gt;Answers!I1437,G1422&lt;Answers!I1438),"Outlier","Normal")</f>
        <v>Outlier</v>
      </c>
      <c r="M1422" s="18">
        <v>28</v>
      </c>
    </row>
    <row r="1423" spans="1:13" ht="20" customHeight="1" x14ac:dyDescent="0.35">
      <c r="A1423" s="17">
        <v>946580</v>
      </c>
      <c r="B1423" s="18">
        <v>91</v>
      </c>
      <c r="C1423" s="23" t="s">
        <v>105</v>
      </c>
      <c r="D1423" s="27">
        <v>45257.959722222222</v>
      </c>
      <c r="E1423" s="18" t="s">
        <v>97</v>
      </c>
      <c r="F1423" s="18" t="s">
        <v>44</v>
      </c>
      <c r="G1423" s="18">
        <v>8726</v>
      </c>
      <c r="H1423" s="25">
        <f t="shared" si="88"/>
        <v>45257</v>
      </c>
      <c r="I1423" s="26">
        <f t="shared" si="89"/>
        <v>0.95972222222189885</v>
      </c>
      <c r="J1423" s="18" t="str">
        <f t="shared" si="90"/>
        <v>November</v>
      </c>
      <c r="K1423" s="56" t="str">
        <f t="shared" si="91"/>
        <v>Monday</v>
      </c>
      <c r="L1423" s="18" t="str">
        <f>IF(OR(G1423&gt;Answers!I1438,G1423&lt;Answers!I1439),"Outlier","Normal")</f>
        <v>Outlier</v>
      </c>
      <c r="M1423" s="18">
        <v>61</v>
      </c>
    </row>
    <row r="1424" spans="1:13" ht="20" customHeight="1" x14ac:dyDescent="0.35">
      <c r="A1424" s="17">
        <v>946964</v>
      </c>
      <c r="B1424" s="18">
        <v>281</v>
      </c>
      <c r="C1424" s="23" t="s">
        <v>99</v>
      </c>
      <c r="D1424" s="27">
        <v>44981.030555555553</v>
      </c>
      <c r="E1424" s="18" t="s">
        <v>98</v>
      </c>
      <c r="F1424" s="18" t="s">
        <v>78</v>
      </c>
      <c r="G1424" s="18">
        <v>6535</v>
      </c>
      <c r="H1424" s="25">
        <f t="shared" si="88"/>
        <v>44981</v>
      </c>
      <c r="I1424" s="26">
        <f t="shared" si="89"/>
        <v>3.0555555553291924E-2</v>
      </c>
      <c r="J1424" s="18" t="str">
        <f t="shared" si="90"/>
        <v>February</v>
      </c>
      <c r="K1424" s="56" t="str">
        <f t="shared" si="91"/>
        <v>Friday</v>
      </c>
      <c r="L1424" s="18" t="str">
        <f>IF(OR(G1424&gt;Answers!I1439,G1424&lt;Answers!I1440),"Outlier","Normal")</f>
        <v>Outlier</v>
      </c>
      <c r="M1424" s="18">
        <v>75</v>
      </c>
    </row>
    <row r="1425" spans="1:13" ht="20" customHeight="1" x14ac:dyDescent="0.35">
      <c r="A1425" s="17">
        <v>947335</v>
      </c>
      <c r="B1425" s="18">
        <v>1539</v>
      </c>
      <c r="C1425" s="23" t="s">
        <v>99</v>
      </c>
      <c r="D1425" s="27">
        <v>45154.011805555558</v>
      </c>
      <c r="E1425" s="18" t="s">
        <v>98</v>
      </c>
      <c r="F1425" s="18" t="s">
        <v>27</v>
      </c>
      <c r="G1425" s="18">
        <v>4146</v>
      </c>
      <c r="H1425" s="25">
        <f t="shared" si="88"/>
        <v>45154</v>
      </c>
      <c r="I1425" s="26">
        <f t="shared" si="89"/>
        <v>1.1805555557657499E-2</v>
      </c>
      <c r="J1425" s="18" t="str">
        <f t="shared" si="90"/>
        <v>August</v>
      </c>
      <c r="K1425" s="56" t="str">
        <f t="shared" si="91"/>
        <v>Wednesday</v>
      </c>
      <c r="L1425" s="18" t="str">
        <f>IF(OR(G1425&gt;Answers!I1440,G1425&lt;Answers!I1441),"Outlier","Normal")</f>
        <v>Outlier</v>
      </c>
      <c r="M1425" s="18">
        <v>73</v>
      </c>
    </row>
    <row r="1426" spans="1:13" ht="20" customHeight="1" x14ac:dyDescent="0.35">
      <c r="A1426" s="17">
        <v>947369</v>
      </c>
      <c r="B1426" s="18">
        <v>1510</v>
      </c>
      <c r="C1426" s="23" t="s">
        <v>103</v>
      </c>
      <c r="D1426" s="27">
        <v>45117.013888888891</v>
      </c>
      <c r="E1426" s="18" t="s">
        <v>97</v>
      </c>
      <c r="F1426" s="18" t="s">
        <v>59</v>
      </c>
      <c r="G1426" s="18">
        <v>5208</v>
      </c>
      <c r="H1426" s="25">
        <f t="shared" si="88"/>
        <v>45117</v>
      </c>
      <c r="I1426" s="26">
        <f t="shared" si="89"/>
        <v>1.3888888890505768E-2</v>
      </c>
      <c r="J1426" s="18" t="str">
        <f t="shared" si="90"/>
        <v>July</v>
      </c>
      <c r="K1426" s="56" t="str">
        <f t="shared" si="91"/>
        <v>Monday</v>
      </c>
      <c r="L1426" s="18" t="str">
        <f>IF(OR(G1426&gt;Answers!I1441,G1426&lt;Answers!I1442),"Outlier","Normal")</f>
        <v>Outlier</v>
      </c>
      <c r="M1426" s="18">
        <v>23</v>
      </c>
    </row>
    <row r="1427" spans="1:13" ht="20" customHeight="1" x14ac:dyDescent="0.35">
      <c r="A1427" s="17">
        <v>950100</v>
      </c>
      <c r="B1427" s="18">
        <v>567</v>
      </c>
      <c r="C1427" s="23" t="s">
        <v>101</v>
      </c>
      <c r="D1427" s="27">
        <v>45267.965277777781</v>
      </c>
      <c r="E1427" s="18" t="s">
        <v>98</v>
      </c>
      <c r="F1427" s="18" t="s">
        <v>87</v>
      </c>
      <c r="G1427" s="18">
        <v>4903</v>
      </c>
      <c r="H1427" s="25">
        <f t="shared" si="88"/>
        <v>45267</v>
      </c>
      <c r="I1427" s="26">
        <f t="shared" si="89"/>
        <v>0.96527777778101154</v>
      </c>
      <c r="J1427" s="18" t="str">
        <f t="shared" si="90"/>
        <v>December</v>
      </c>
      <c r="K1427" s="56" t="str">
        <f t="shared" si="91"/>
        <v>Thursday</v>
      </c>
      <c r="L1427" s="18" t="str">
        <f>IF(OR(G1427&gt;Answers!I1442,G1427&lt;Answers!I1443),"Outlier","Normal")</f>
        <v>Outlier</v>
      </c>
      <c r="M1427" s="18">
        <v>37</v>
      </c>
    </row>
    <row r="1428" spans="1:13" ht="20" customHeight="1" x14ac:dyDescent="0.35">
      <c r="A1428" s="17">
        <v>950345</v>
      </c>
      <c r="B1428" s="18">
        <v>608</v>
      </c>
      <c r="C1428" s="23" t="s">
        <v>108</v>
      </c>
      <c r="D1428" s="27">
        <v>44970.083333333336</v>
      </c>
      <c r="E1428" s="18" t="s">
        <v>96</v>
      </c>
      <c r="F1428" s="18" t="s">
        <v>78</v>
      </c>
      <c r="G1428" s="18">
        <v>4841</v>
      </c>
      <c r="H1428" s="25">
        <f t="shared" si="88"/>
        <v>44970</v>
      </c>
      <c r="I1428" s="26">
        <f t="shared" si="89"/>
        <v>8.3333333335758653E-2</v>
      </c>
      <c r="J1428" s="18" t="str">
        <f t="shared" si="90"/>
        <v>February</v>
      </c>
      <c r="K1428" s="56" t="str">
        <f t="shared" si="91"/>
        <v>Monday</v>
      </c>
      <c r="L1428" s="18" t="str">
        <f>IF(OR(G1428&gt;Answers!I1443,G1428&lt;Answers!I1444),"Outlier","Normal")</f>
        <v>Outlier</v>
      </c>
      <c r="M1428" s="18">
        <v>57</v>
      </c>
    </row>
    <row r="1429" spans="1:13" ht="20" customHeight="1" x14ac:dyDescent="0.35">
      <c r="A1429" s="17">
        <v>951047</v>
      </c>
      <c r="B1429" s="18">
        <v>753</v>
      </c>
      <c r="C1429" s="23" t="s">
        <v>99</v>
      </c>
      <c r="D1429" s="27">
        <v>44938.989583333336</v>
      </c>
      <c r="E1429" s="18" t="s">
        <v>133</v>
      </c>
      <c r="F1429" s="18" t="s">
        <v>27</v>
      </c>
      <c r="G1429" s="18">
        <v>1714</v>
      </c>
      <c r="H1429" s="25">
        <f t="shared" si="88"/>
        <v>44938</v>
      </c>
      <c r="I1429" s="26">
        <f t="shared" si="89"/>
        <v>0.98958333333575865</v>
      </c>
      <c r="J1429" s="18" t="str">
        <f t="shared" si="90"/>
        <v>January</v>
      </c>
      <c r="K1429" s="56" t="str">
        <f t="shared" si="91"/>
        <v>Thursday</v>
      </c>
      <c r="L1429" s="18" t="str">
        <f>IF(OR(G1429&gt;Answers!I1444,G1429&lt;Answers!I1445),"Outlier","Normal")</f>
        <v>Outlier</v>
      </c>
      <c r="M1429" s="18">
        <v>18</v>
      </c>
    </row>
    <row r="1430" spans="1:13" ht="20" customHeight="1" x14ac:dyDescent="0.35">
      <c r="A1430" s="17">
        <v>951353</v>
      </c>
      <c r="B1430" s="18">
        <v>1243</v>
      </c>
      <c r="C1430" s="23" t="s">
        <v>105</v>
      </c>
      <c r="D1430" s="27">
        <v>45117.020138888889</v>
      </c>
      <c r="E1430" s="18" t="s">
        <v>97</v>
      </c>
      <c r="F1430" s="18" t="s">
        <v>69</v>
      </c>
      <c r="G1430" s="18">
        <v>9524</v>
      </c>
      <c r="H1430" s="25">
        <f t="shared" si="88"/>
        <v>45117</v>
      </c>
      <c r="I1430" s="26">
        <f t="shared" si="89"/>
        <v>2.0138888889050577E-2</v>
      </c>
      <c r="J1430" s="18" t="str">
        <f t="shared" si="90"/>
        <v>July</v>
      </c>
      <c r="K1430" s="56" t="str">
        <f t="shared" si="91"/>
        <v>Monday</v>
      </c>
      <c r="L1430" s="18" t="str">
        <f>IF(OR(G1430&gt;Answers!I1445,G1430&lt;Answers!I1446),"Outlier","Normal")</f>
        <v>Outlier</v>
      </c>
      <c r="M1430" s="18">
        <v>24</v>
      </c>
    </row>
    <row r="1431" spans="1:13" ht="20" customHeight="1" x14ac:dyDescent="0.35">
      <c r="A1431" s="17">
        <v>951780</v>
      </c>
      <c r="B1431" s="18">
        <v>1945</v>
      </c>
      <c r="C1431" s="23" t="s">
        <v>99</v>
      </c>
      <c r="D1431" s="27">
        <v>45131.024305555555</v>
      </c>
      <c r="E1431" s="18" t="s">
        <v>133</v>
      </c>
      <c r="F1431" s="18" t="s">
        <v>89</v>
      </c>
      <c r="G1431" s="18">
        <v>6963</v>
      </c>
      <c r="H1431" s="25">
        <f t="shared" si="88"/>
        <v>45131</v>
      </c>
      <c r="I1431" s="26">
        <f t="shared" si="89"/>
        <v>2.4305555554747116E-2</v>
      </c>
      <c r="J1431" s="18" t="str">
        <f t="shared" si="90"/>
        <v>July</v>
      </c>
      <c r="K1431" s="56" t="str">
        <f t="shared" si="91"/>
        <v>Monday</v>
      </c>
      <c r="L1431" s="18" t="str">
        <f>IF(OR(G1431&gt;Answers!I1446,G1431&lt;Answers!I1447),"Outlier","Normal")</f>
        <v>Outlier</v>
      </c>
      <c r="M1431" s="18">
        <v>62</v>
      </c>
    </row>
    <row r="1432" spans="1:13" ht="20" customHeight="1" x14ac:dyDescent="0.35">
      <c r="A1432" s="17">
        <v>952497</v>
      </c>
      <c r="B1432" s="18">
        <v>1649</v>
      </c>
      <c r="C1432" s="23" t="s">
        <v>99</v>
      </c>
      <c r="D1432" s="27">
        <v>45215.981249999997</v>
      </c>
      <c r="E1432" s="18" t="s">
        <v>96</v>
      </c>
      <c r="F1432" s="18" t="s">
        <v>27</v>
      </c>
      <c r="G1432" s="18">
        <v>1132</v>
      </c>
      <c r="H1432" s="25">
        <f t="shared" si="88"/>
        <v>45215</v>
      </c>
      <c r="I1432" s="26">
        <f t="shared" si="89"/>
        <v>0.98124999999708962</v>
      </c>
      <c r="J1432" s="18" t="str">
        <f t="shared" si="90"/>
        <v>October</v>
      </c>
      <c r="K1432" s="56" t="str">
        <f t="shared" si="91"/>
        <v>Monday</v>
      </c>
      <c r="L1432" s="18" t="str">
        <f>IF(OR(G1432&gt;Answers!I1447,G1432&lt;Answers!I1448),"Outlier","Normal")</f>
        <v>Outlier</v>
      </c>
      <c r="M1432" s="18">
        <v>27</v>
      </c>
    </row>
    <row r="1433" spans="1:13" ht="20" customHeight="1" x14ac:dyDescent="0.35">
      <c r="A1433" s="17">
        <v>952618</v>
      </c>
      <c r="B1433" s="18">
        <v>1539</v>
      </c>
      <c r="C1433" s="23" t="s">
        <v>99</v>
      </c>
      <c r="D1433" s="27">
        <v>45023.04791666667</v>
      </c>
      <c r="E1433" s="18" t="s">
        <v>96</v>
      </c>
      <c r="F1433" s="18" t="s">
        <v>25</v>
      </c>
      <c r="G1433" s="18">
        <v>1048</v>
      </c>
      <c r="H1433" s="25">
        <f t="shared" si="88"/>
        <v>45023</v>
      </c>
      <c r="I1433" s="26">
        <f t="shared" si="89"/>
        <v>4.7916666670062114E-2</v>
      </c>
      <c r="J1433" s="18" t="str">
        <f t="shared" si="90"/>
        <v>April</v>
      </c>
      <c r="K1433" s="56" t="str">
        <f t="shared" si="91"/>
        <v>Friday</v>
      </c>
      <c r="L1433" s="18" t="str">
        <f>IF(OR(G1433&gt;Answers!I1448,G1433&lt;Answers!I1449),"Outlier","Normal")</f>
        <v>Outlier</v>
      </c>
      <c r="M1433" s="18">
        <v>73</v>
      </c>
    </row>
    <row r="1434" spans="1:13" ht="20" customHeight="1" x14ac:dyDescent="0.35">
      <c r="A1434" s="17">
        <v>953006</v>
      </c>
      <c r="B1434" s="18">
        <v>1500</v>
      </c>
      <c r="C1434" s="23" t="s">
        <v>99</v>
      </c>
      <c r="D1434" s="27">
        <v>45246.023611111108</v>
      </c>
      <c r="E1434" s="18" t="s">
        <v>98</v>
      </c>
      <c r="F1434" s="18" t="s">
        <v>81</v>
      </c>
      <c r="G1434" s="18">
        <v>9376</v>
      </c>
      <c r="H1434" s="25">
        <f t="shared" si="88"/>
        <v>45246</v>
      </c>
      <c r="I1434" s="26">
        <f t="shared" si="89"/>
        <v>2.361111110803904E-2</v>
      </c>
      <c r="J1434" s="18" t="str">
        <f t="shared" si="90"/>
        <v>November</v>
      </c>
      <c r="K1434" s="56" t="str">
        <f t="shared" si="91"/>
        <v>Thursday</v>
      </c>
      <c r="L1434" s="18" t="str">
        <f>IF(OR(G1434&gt;Answers!I1449,G1434&lt;Answers!I1450),"Outlier","Normal")</f>
        <v>Outlier</v>
      </c>
      <c r="M1434" s="18">
        <v>19</v>
      </c>
    </row>
    <row r="1435" spans="1:13" ht="20" customHeight="1" x14ac:dyDescent="0.35">
      <c r="A1435" s="17">
        <v>953922</v>
      </c>
      <c r="B1435" s="18">
        <v>1112</v>
      </c>
      <c r="C1435" s="23" t="s">
        <v>105</v>
      </c>
      <c r="D1435" s="27">
        <v>45206.00277777778</v>
      </c>
      <c r="E1435" s="18" t="s">
        <v>98</v>
      </c>
      <c r="F1435" s="18" t="s">
        <v>71</v>
      </c>
      <c r="G1435" s="18">
        <v>4161</v>
      </c>
      <c r="H1435" s="25">
        <f t="shared" si="88"/>
        <v>45206</v>
      </c>
      <c r="I1435" s="26">
        <f t="shared" si="89"/>
        <v>2.7777777795563452E-3</v>
      </c>
      <c r="J1435" s="18" t="str">
        <f t="shared" si="90"/>
        <v>October</v>
      </c>
      <c r="K1435" s="56" t="str">
        <f t="shared" si="91"/>
        <v>Saturday</v>
      </c>
      <c r="L1435" s="18" t="str">
        <f>IF(OR(G1435&gt;Answers!I1450,G1435&lt;Answers!I1451),"Outlier","Normal")</f>
        <v>Outlier</v>
      </c>
      <c r="M1435" s="18">
        <v>30</v>
      </c>
    </row>
    <row r="1436" spans="1:13" ht="20" customHeight="1" x14ac:dyDescent="0.35">
      <c r="A1436" s="17">
        <v>953981</v>
      </c>
      <c r="B1436" s="18">
        <v>1513</v>
      </c>
      <c r="C1436" s="23" t="s">
        <v>99</v>
      </c>
      <c r="D1436" s="27">
        <v>45204.019444444442</v>
      </c>
      <c r="E1436" s="18" t="s">
        <v>96</v>
      </c>
      <c r="F1436" s="18" t="s">
        <v>7</v>
      </c>
      <c r="G1436" s="18">
        <v>9670</v>
      </c>
      <c r="H1436" s="25">
        <f t="shared" si="88"/>
        <v>45204</v>
      </c>
      <c r="I1436" s="26">
        <f t="shared" si="89"/>
        <v>1.9444444442342501E-2</v>
      </c>
      <c r="J1436" s="18" t="str">
        <f t="shared" si="90"/>
        <v>October</v>
      </c>
      <c r="K1436" s="56" t="str">
        <f t="shared" si="91"/>
        <v>Thursday</v>
      </c>
      <c r="L1436" s="18" t="str">
        <f>IF(OR(G1436&gt;Answers!I1451,G1436&lt;Answers!I1452),"Outlier","Normal")</f>
        <v>Outlier</v>
      </c>
      <c r="M1436" s="18">
        <v>76</v>
      </c>
    </row>
    <row r="1437" spans="1:13" ht="20" customHeight="1" x14ac:dyDescent="0.35">
      <c r="A1437" s="17">
        <v>954429</v>
      </c>
      <c r="B1437" s="18">
        <v>1544</v>
      </c>
      <c r="C1437" s="23" t="s">
        <v>99</v>
      </c>
      <c r="D1437" s="27">
        <v>45254.990972222222</v>
      </c>
      <c r="E1437" s="18" t="s">
        <v>97</v>
      </c>
      <c r="F1437" s="18" t="s">
        <v>27</v>
      </c>
      <c r="G1437" s="18">
        <v>4753</v>
      </c>
      <c r="H1437" s="25">
        <f t="shared" si="88"/>
        <v>45254</v>
      </c>
      <c r="I1437" s="26">
        <f t="shared" si="89"/>
        <v>0.99097222222189885</v>
      </c>
      <c r="J1437" s="18" t="str">
        <f t="shared" si="90"/>
        <v>November</v>
      </c>
      <c r="K1437" s="56" t="str">
        <f t="shared" si="91"/>
        <v>Friday</v>
      </c>
      <c r="L1437" s="18" t="str">
        <f>IF(OR(G1437&gt;Answers!I1452,G1437&lt;Answers!I1453),"Outlier","Normal")</f>
        <v>Outlier</v>
      </c>
      <c r="M1437" s="18">
        <v>77</v>
      </c>
    </row>
    <row r="1438" spans="1:13" ht="20" customHeight="1" x14ac:dyDescent="0.35">
      <c r="A1438" s="17">
        <v>954631</v>
      </c>
      <c r="B1438" s="18">
        <v>1868</v>
      </c>
      <c r="C1438" s="23" t="s">
        <v>100</v>
      </c>
      <c r="D1438" s="27">
        <v>44988.019444444442</v>
      </c>
      <c r="E1438" s="18" t="s">
        <v>96</v>
      </c>
      <c r="F1438" s="18" t="s">
        <v>65</v>
      </c>
      <c r="G1438" s="18">
        <v>8020</v>
      </c>
      <c r="H1438" s="25">
        <f t="shared" si="88"/>
        <v>44988</v>
      </c>
      <c r="I1438" s="26">
        <f t="shared" si="89"/>
        <v>1.9444444442342501E-2</v>
      </c>
      <c r="J1438" s="18" t="str">
        <f t="shared" si="90"/>
        <v>March</v>
      </c>
      <c r="K1438" s="56" t="str">
        <f t="shared" si="91"/>
        <v>Friday</v>
      </c>
      <c r="L1438" s="18" t="str">
        <f>IF(OR(G1438&gt;Answers!I1453,G1438&lt;Answers!I1454),"Outlier","Normal")</f>
        <v>Outlier</v>
      </c>
      <c r="M1438" s="18">
        <v>49</v>
      </c>
    </row>
    <row r="1439" spans="1:13" ht="20" customHeight="1" x14ac:dyDescent="0.35">
      <c r="A1439" s="17">
        <v>957373</v>
      </c>
      <c r="B1439" s="18">
        <v>580</v>
      </c>
      <c r="C1439" s="23" t="s">
        <v>99</v>
      </c>
      <c r="D1439" s="27">
        <v>45093.961805555555</v>
      </c>
      <c r="E1439" s="18" t="s">
        <v>96</v>
      </c>
      <c r="F1439" s="18" t="s">
        <v>24</v>
      </c>
      <c r="G1439" s="18">
        <v>4659</v>
      </c>
      <c r="H1439" s="25">
        <f t="shared" si="88"/>
        <v>45093</v>
      </c>
      <c r="I1439" s="26">
        <f t="shared" si="89"/>
        <v>0.96180555555474712</v>
      </c>
      <c r="J1439" s="18" t="str">
        <f t="shared" si="90"/>
        <v>June</v>
      </c>
      <c r="K1439" s="56" t="str">
        <f t="shared" si="91"/>
        <v>Friday</v>
      </c>
      <c r="L1439" s="18" t="str">
        <f>IF(OR(G1439&gt;Answers!I1454,G1439&lt;Answers!I1455),"Outlier","Normal")</f>
        <v>Outlier</v>
      </c>
      <c r="M1439" s="18">
        <v>24</v>
      </c>
    </row>
    <row r="1440" spans="1:13" ht="20" customHeight="1" x14ac:dyDescent="0.35">
      <c r="A1440" s="17">
        <v>957446</v>
      </c>
      <c r="B1440" s="18">
        <v>49</v>
      </c>
      <c r="C1440" s="23" t="s">
        <v>100</v>
      </c>
      <c r="D1440" s="27">
        <v>45187.011805555558</v>
      </c>
      <c r="E1440" s="18" t="s">
        <v>96</v>
      </c>
      <c r="F1440" s="18" t="s">
        <v>27</v>
      </c>
      <c r="G1440" s="18">
        <v>5585</v>
      </c>
      <c r="H1440" s="25">
        <f t="shared" si="88"/>
        <v>45187</v>
      </c>
      <c r="I1440" s="26">
        <f t="shared" si="89"/>
        <v>1.1805555557657499E-2</v>
      </c>
      <c r="J1440" s="18" t="str">
        <f t="shared" si="90"/>
        <v>September</v>
      </c>
      <c r="K1440" s="56" t="str">
        <f t="shared" si="91"/>
        <v>Monday</v>
      </c>
      <c r="L1440" s="18" t="str">
        <f>IF(OR(G1440&gt;Answers!I1455,G1440&lt;Answers!I1456),"Outlier","Normal")</f>
        <v>Outlier</v>
      </c>
      <c r="M1440" s="18">
        <v>30</v>
      </c>
    </row>
    <row r="1441" spans="1:13" ht="20" customHeight="1" x14ac:dyDescent="0.35">
      <c r="A1441" s="17">
        <v>958196</v>
      </c>
      <c r="B1441" s="18">
        <v>1922</v>
      </c>
      <c r="C1441" s="23" t="s">
        <v>105</v>
      </c>
      <c r="D1441" s="27">
        <v>44934.033333333333</v>
      </c>
      <c r="E1441" s="18" t="s">
        <v>96</v>
      </c>
      <c r="F1441" s="18" t="s">
        <v>31</v>
      </c>
      <c r="G1441" s="18">
        <v>3813</v>
      </c>
      <c r="H1441" s="25">
        <f t="shared" si="88"/>
        <v>44934</v>
      </c>
      <c r="I1441" s="26">
        <f t="shared" si="89"/>
        <v>3.3333333332848269E-2</v>
      </c>
      <c r="J1441" s="18" t="str">
        <f t="shared" si="90"/>
        <v>January</v>
      </c>
      <c r="K1441" s="56" t="str">
        <f t="shared" si="91"/>
        <v>Sunday</v>
      </c>
      <c r="L1441" s="18" t="str">
        <f>IF(OR(G1441&gt;Answers!I1456,G1441&lt;Answers!I1457),"Outlier","Normal")</f>
        <v>Outlier</v>
      </c>
      <c r="M1441" s="18">
        <v>59</v>
      </c>
    </row>
    <row r="1442" spans="1:13" ht="20" customHeight="1" x14ac:dyDescent="0.35">
      <c r="A1442" s="17">
        <v>959426</v>
      </c>
      <c r="B1442" s="18">
        <v>801</v>
      </c>
      <c r="C1442" s="23" t="s">
        <v>100</v>
      </c>
      <c r="D1442" s="27">
        <v>45236.006249999999</v>
      </c>
      <c r="E1442" s="18" t="s">
        <v>97</v>
      </c>
      <c r="F1442" s="18" t="s">
        <v>78</v>
      </c>
      <c r="G1442" s="18">
        <v>6481</v>
      </c>
      <c r="H1442" s="25">
        <f t="shared" si="88"/>
        <v>45236</v>
      </c>
      <c r="I1442" s="26">
        <f t="shared" si="89"/>
        <v>6.2499999985448085E-3</v>
      </c>
      <c r="J1442" s="18" t="str">
        <f t="shared" si="90"/>
        <v>November</v>
      </c>
      <c r="K1442" s="56" t="str">
        <f t="shared" si="91"/>
        <v>Monday</v>
      </c>
      <c r="L1442" s="18" t="str">
        <f>IF(OR(G1442&gt;Answers!I1457,G1442&lt;Answers!I1458),"Outlier","Normal")</f>
        <v>Outlier</v>
      </c>
      <c r="M1442" s="18">
        <v>77</v>
      </c>
    </row>
    <row r="1443" spans="1:13" ht="20" customHeight="1" x14ac:dyDescent="0.35">
      <c r="A1443" s="17">
        <v>959447</v>
      </c>
      <c r="B1443" s="18">
        <v>336</v>
      </c>
      <c r="C1443" s="23" t="s">
        <v>105</v>
      </c>
      <c r="D1443" s="27">
        <v>45026.063194444447</v>
      </c>
      <c r="E1443" s="18" t="s">
        <v>133</v>
      </c>
      <c r="F1443" s="18" t="s">
        <v>77</v>
      </c>
      <c r="G1443" s="18">
        <v>7839</v>
      </c>
      <c r="H1443" s="25">
        <f t="shared" si="88"/>
        <v>45026</v>
      </c>
      <c r="I1443" s="26">
        <f t="shared" si="89"/>
        <v>6.3194444446708076E-2</v>
      </c>
      <c r="J1443" s="18" t="str">
        <f t="shared" si="90"/>
        <v>April</v>
      </c>
      <c r="K1443" s="56" t="str">
        <f t="shared" si="91"/>
        <v>Monday</v>
      </c>
      <c r="L1443" s="18" t="str">
        <f>IF(OR(G1443&gt;Answers!I1458,G1443&lt;Answers!I1459),"Outlier","Normal")</f>
        <v>Outlier</v>
      </c>
      <c r="M1443" s="18">
        <v>26</v>
      </c>
    </row>
    <row r="1444" spans="1:13" ht="20" customHeight="1" x14ac:dyDescent="0.35">
      <c r="A1444" s="17">
        <v>960053</v>
      </c>
      <c r="B1444" s="18">
        <v>651</v>
      </c>
      <c r="C1444" s="23" t="s">
        <v>99</v>
      </c>
      <c r="D1444" s="27">
        <v>45139.013888888891</v>
      </c>
      <c r="E1444" s="18" t="s">
        <v>98</v>
      </c>
      <c r="F1444" s="18" t="s">
        <v>32</v>
      </c>
      <c r="G1444" s="18">
        <v>3417</v>
      </c>
      <c r="H1444" s="25">
        <f t="shared" si="88"/>
        <v>45139</v>
      </c>
      <c r="I1444" s="26">
        <f t="shared" si="89"/>
        <v>1.3888888890505768E-2</v>
      </c>
      <c r="J1444" s="18" t="str">
        <f t="shared" si="90"/>
        <v>August</v>
      </c>
      <c r="K1444" s="56" t="str">
        <f t="shared" si="91"/>
        <v>Tuesday</v>
      </c>
      <c r="L1444" s="18" t="str">
        <f>IF(OR(G1444&gt;Answers!I1459,G1444&lt;Answers!I1460),"Outlier","Normal")</f>
        <v>Outlier</v>
      </c>
      <c r="M1444" s="18">
        <v>61</v>
      </c>
    </row>
    <row r="1445" spans="1:13" ht="20" customHeight="1" x14ac:dyDescent="0.35">
      <c r="A1445" s="17">
        <v>960685</v>
      </c>
      <c r="B1445" s="18">
        <v>522</v>
      </c>
      <c r="C1445" s="23" t="s">
        <v>99</v>
      </c>
      <c r="D1445" s="27">
        <v>45254.034722222219</v>
      </c>
      <c r="E1445" s="18" t="s">
        <v>133</v>
      </c>
      <c r="F1445" s="18" t="s">
        <v>30</v>
      </c>
      <c r="G1445" s="18">
        <v>9772</v>
      </c>
      <c r="H1445" s="25">
        <f t="shared" si="88"/>
        <v>45254</v>
      </c>
      <c r="I1445" s="26">
        <f t="shared" si="89"/>
        <v>3.4722222218988463E-2</v>
      </c>
      <c r="J1445" s="18" t="str">
        <f t="shared" si="90"/>
        <v>November</v>
      </c>
      <c r="K1445" s="56" t="str">
        <f t="shared" si="91"/>
        <v>Friday</v>
      </c>
      <c r="L1445" s="18" t="str">
        <f>IF(OR(G1445&gt;Answers!I1460,G1445&lt;Answers!I1461),"Outlier","Normal")</f>
        <v>Outlier</v>
      </c>
      <c r="M1445" s="18">
        <v>77</v>
      </c>
    </row>
    <row r="1446" spans="1:13" ht="20" customHeight="1" x14ac:dyDescent="0.35">
      <c r="A1446" s="17">
        <v>961277</v>
      </c>
      <c r="B1446" s="18">
        <v>1721</v>
      </c>
      <c r="C1446" s="23" t="s">
        <v>109</v>
      </c>
      <c r="D1446" s="27">
        <v>45046.98541666667</v>
      </c>
      <c r="E1446" s="18" t="s">
        <v>98</v>
      </c>
      <c r="F1446" s="18" t="s">
        <v>74</v>
      </c>
      <c r="G1446" s="18">
        <v>8615</v>
      </c>
      <c r="H1446" s="25">
        <f t="shared" si="88"/>
        <v>45046</v>
      </c>
      <c r="I1446" s="26">
        <f t="shared" si="89"/>
        <v>0.98541666667006211</v>
      </c>
      <c r="J1446" s="18" t="str">
        <f t="shared" si="90"/>
        <v>April</v>
      </c>
      <c r="K1446" s="56" t="str">
        <f t="shared" si="91"/>
        <v>Sunday</v>
      </c>
      <c r="L1446" s="18" t="str">
        <f>IF(OR(G1446&gt;Answers!I1461,G1446&lt;Answers!I1462),"Outlier","Normal")</f>
        <v>Outlier</v>
      </c>
      <c r="M1446" s="18">
        <v>22</v>
      </c>
    </row>
    <row r="1447" spans="1:13" ht="20" customHeight="1" x14ac:dyDescent="0.35">
      <c r="A1447" s="17">
        <v>961533</v>
      </c>
      <c r="B1447" s="18">
        <v>424</v>
      </c>
      <c r="C1447" s="23" t="s">
        <v>105</v>
      </c>
      <c r="D1447" s="27">
        <v>45013.038888888892</v>
      </c>
      <c r="E1447" s="18" t="s">
        <v>98</v>
      </c>
      <c r="F1447" s="18" t="s">
        <v>85</v>
      </c>
      <c r="G1447" s="18">
        <v>1084</v>
      </c>
      <c r="H1447" s="25">
        <f t="shared" si="88"/>
        <v>45013</v>
      </c>
      <c r="I1447" s="26">
        <f t="shared" si="89"/>
        <v>3.888888889196096E-2</v>
      </c>
      <c r="J1447" s="18" t="str">
        <f t="shared" si="90"/>
        <v>March</v>
      </c>
      <c r="K1447" s="56" t="str">
        <f t="shared" si="91"/>
        <v>Tuesday</v>
      </c>
      <c r="L1447" s="18" t="str">
        <f>IF(OR(G1447&gt;Answers!I1462,G1447&lt;Answers!I1463),"Outlier","Normal")</f>
        <v>Outlier</v>
      </c>
      <c r="M1447" s="18">
        <v>66</v>
      </c>
    </row>
    <row r="1448" spans="1:13" ht="20" customHeight="1" x14ac:dyDescent="0.35">
      <c r="A1448" s="17">
        <v>961949</v>
      </c>
      <c r="B1448" s="18">
        <v>1076</v>
      </c>
      <c r="C1448" s="23" t="s">
        <v>113</v>
      </c>
      <c r="D1448" s="27">
        <v>45204.000694444447</v>
      </c>
      <c r="E1448" s="18" t="s">
        <v>98</v>
      </c>
      <c r="F1448" s="18" t="s">
        <v>51</v>
      </c>
      <c r="G1448" s="18">
        <v>2153</v>
      </c>
      <c r="H1448" s="25">
        <f t="shared" si="88"/>
        <v>45204</v>
      </c>
      <c r="I1448" s="26">
        <f t="shared" si="89"/>
        <v>6.944444467080757E-4</v>
      </c>
      <c r="J1448" s="18" t="str">
        <f t="shared" si="90"/>
        <v>October</v>
      </c>
      <c r="K1448" s="56" t="str">
        <f t="shared" si="91"/>
        <v>Thursday</v>
      </c>
      <c r="L1448" s="18" t="str">
        <f>IF(OR(G1448&gt;Answers!I1463,G1448&lt;Answers!I1464),"Outlier","Normal")</f>
        <v>Outlier</v>
      </c>
      <c r="M1448" s="18">
        <v>18</v>
      </c>
    </row>
    <row r="1449" spans="1:13" ht="20" customHeight="1" x14ac:dyDescent="0.35">
      <c r="A1449" s="17">
        <v>962603</v>
      </c>
      <c r="B1449" s="18">
        <v>1743</v>
      </c>
      <c r="C1449" s="23" t="s">
        <v>99</v>
      </c>
      <c r="D1449" s="27">
        <v>45053.013888888891</v>
      </c>
      <c r="E1449" s="18" t="s">
        <v>98</v>
      </c>
      <c r="F1449" s="18" t="s">
        <v>68</v>
      </c>
      <c r="G1449" s="18">
        <v>6171</v>
      </c>
      <c r="H1449" s="25">
        <f t="shared" si="88"/>
        <v>45053</v>
      </c>
      <c r="I1449" s="26">
        <f t="shared" si="89"/>
        <v>1.3888888890505768E-2</v>
      </c>
      <c r="J1449" s="18" t="str">
        <f t="shared" si="90"/>
        <v>May</v>
      </c>
      <c r="K1449" s="56" t="str">
        <f t="shared" si="91"/>
        <v>Sunday</v>
      </c>
      <c r="L1449" s="18" t="str">
        <f>IF(OR(G1449&gt;Answers!I1464,G1449&lt;Answers!I1465),"Outlier","Normal")</f>
        <v>Outlier</v>
      </c>
      <c r="M1449" s="18">
        <v>30</v>
      </c>
    </row>
    <row r="1450" spans="1:13" ht="20" customHeight="1" x14ac:dyDescent="0.35">
      <c r="A1450" s="17">
        <v>962712</v>
      </c>
      <c r="B1450" s="18">
        <v>340</v>
      </c>
      <c r="C1450" s="23" t="s">
        <v>100</v>
      </c>
      <c r="D1450" s="27">
        <v>44993.013194444444</v>
      </c>
      <c r="E1450" s="18" t="s">
        <v>98</v>
      </c>
      <c r="F1450" s="18" t="s">
        <v>79</v>
      </c>
      <c r="G1450" s="18">
        <v>1633</v>
      </c>
      <c r="H1450" s="25">
        <f t="shared" si="88"/>
        <v>44993</v>
      </c>
      <c r="I1450" s="26">
        <f t="shared" si="89"/>
        <v>1.3194444443797693E-2</v>
      </c>
      <c r="J1450" s="18" t="str">
        <f t="shared" si="90"/>
        <v>March</v>
      </c>
      <c r="K1450" s="56" t="str">
        <f t="shared" si="91"/>
        <v>Wednesday</v>
      </c>
      <c r="L1450" s="18" t="str">
        <f>IF(OR(G1450&gt;Answers!I1465,G1450&lt;Answers!I1466),"Outlier","Normal")</f>
        <v>Outlier</v>
      </c>
      <c r="M1450" s="18">
        <v>68</v>
      </c>
    </row>
    <row r="1451" spans="1:13" ht="20" customHeight="1" x14ac:dyDescent="0.35">
      <c r="A1451" s="17">
        <v>963906</v>
      </c>
      <c r="B1451" s="18">
        <v>1098</v>
      </c>
      <c r="C1451" s="23" t="s">
        <v>106</v>
      </c>
      <c r="D1451" s="27">
        <v>45065.027083333334</v>
      </c>
      <c r="E1451" s="18" t="s">
        <v>98</v>
      </c>
      <c r="F1451" s="18" t="s">
        <v>76</v>
      </c>
      <c r="G1451" s="18">
        <v>3431</v>
      </c>
      <c r="H1451" s="25">
        <f t="shared" si="88"/>
        <v>45065</v>
      </c>
      <c r="I1451" s="26">
        <f t="shared" si="89"/>
        <v>2.7083333334303461E-2</v>
      </c>
      <c r="J1451" s="18" t="str">
        <f t="shared" si="90"/>
        <v>May</v>
      </c>
      <c r="K1451" s="56" t="str">
        <f t="shared" si="91"/>
        <v>Friday</v>
      </c>
      <c r="L1451" s="18" t="str">
        <f>IF(OR(G1451&gt;Answers!I1466,G1451&lt;Answers!I1467),"Outlier","Normal")</f>
        <v>Outlier</v>
      </c>
      <c r="M1451" s="18">
        <v>31</v>
      </c>
    </row>
    <row r="1452" spans="1:13" ht="20" customHeight="1" x14ac:dyDescent="0.35">
      <c r="A1452" s="17">
        <v>964075</v>
      </c>
      <c r="B1452" s="18">
        <v>162</v>
      </c>
      <c r="C1452" s="23" t="s">
        <v>99</v>
      </c>
      <c r="D1452" s="27">
        <v>45033.973611111112</v>
      </c>
      <c r="E1452" s="18" t="s">
        <v>96</v>
      </c>
      <c r="F1452" s="18" t="s">
        <v>27</v>
      </c>
      <c r="G1452" s="18">
        <v>1275</v>
      </c>
      <c r="H1452" s="25">
        <f t="shared" si="88"/>
        <v>45033</v>
      </c>
      <c r="I1452" s="26">
        <f t="shared" si="89"/>
        <v>0.97361111111240461</v>
      </c>
      <c r="J1452" s="18" t="str">
        <f t="shared" si="90"/>
        <v>April</v>
      </c>
      <c r="K1452" s="56" t="str">
        <f t="shared" si="91"/>
        <v>Monday</v>
      </c>
      <c r="L1452" s="18" t="str">
        <f>IF(OR(G1452&gt;Answers!I1467,G1452&lt;Answers!I1468),"Outlier","Normal")</f>
        <v>Outlier</v>
      </c>
      <c r="M1452" s="18">
        <v>63</v>
      </c>
    </row>
    <row r="1453" spans="1:13" ht="20" customHeight="1" x14ac:dyDescent="0.35">
      <c r="A1453" s="17">
        <v>964231</v>
      </c>
      <c r="B1453" s="18">
        <v>759</v>
      </c>
      <c r="C1453" s="23" t="s">
        <v>99</v>
      </c>
      <c r="D1453" s="27">
        <v>45226.051388888889</v>
      </c>
      <c r="E1453" s="18" t="s">
        <v>98</v>
      </c>
      <c r="F1453" s="18" t="s">
        <v>69</v>
      </c>
      <c r="G1453" s="18">
        <v>6583</v>
      </c>
      <c r="H1453" s="25">
        <f t="shared" si="88"/>
        <v>45226</v>
      </c>
      <c r="I1453" s="26">
        <f t="shared" si="89"/>
        <v>5.1388888889050577E-2</v>
      </c>
      <c r="J1453" s="18" t="str">
        <f t="shared" si="90"/>
        <v>October</v>
      </c>
      <c r="K1453" s="56" t="str">
        <f t="shared" si="91"/>
        <v>Friday</v>
      </c>
      <c r="L1453" s="18" t="str">
        <f>IF(OR(G1453&gt;Answers!I1468,G1453&lt;Answers!I1469),"Outlier","Normal")</f>
        <v>Outlier</v>
      </c>
      <c r="M1453" s="18">
        <v>19</v>
      </c>
    </row>
    <row r="1454" spans="1:13" ht="20" customHeight="1" x14ac:dyDescent="0.35">
      <c r="A1454" s="17">
        <v>964791</v>
      </c>
      <c r="B1454" s="18">
        <v>1085</v>
      </c>
      <c r="C1454" s="23" t="s">
        <v>105</v>
      </c>
      <c r="D1454" s="27">
        <v>45226.00277777778</v>
      </c>
      <c r="E1454" s="18" t="s">
        <v>133</v>
      </c>
      <c r="F1454" s="18" t="s">
        <v>43</v>
      </c>
      <c r="G1454" s="18">
        <v>4514</v>
      </c>
      <c r="H1454" s="25">
        <f t="shared" si="88"/>
        <v>45226</v>
      </c>
      <c r="I1454" s="26">
        <f t="shared" si="89"/>
        <v>2.7777777795563452E-3</v>
      </c>
      <c r="J1454" s="18" t="str">
        <f t="shared" si="90"/>
        <v>October</v>
      </c>
      <c r="K1454" s="56" t="str">
        <f t="shared" si="91"/>
        <v>Friday</v>
      </c>
      <c r="L1454" s="18" t="str">
        <f>IF(OR(G1454&gt;Answers!I1469,G1454&lt;Answers!I1470),"Outlier","Normal")</f>
        <v>Outlier</v>
      </c>
      <c r="M1454" s="18">
        <v>78</v>
      </c>
    </row>
    <row r="1455" spans="1:13" ht="20" customHeight="1" x14ac:dyDescent="0.35">
      <c r="A1455" s="17">
        <v>965923</v>
      </c>
      <c r="B1455" s="18">
        <v>1883</v>
      </c>
      <c r="C1455" s="23" t="s">
        <v>99</v>
      </c>
      <c r="D1455" s="27">
        <v>45012.069444444445</v>
      </c>
      <c r="E1455" s="18" t="s">
        <v>96</v>
      </c>
      <c r="F1455" s="18" t="s">
        <v>43</v>
      </c>
      <c r="G1455" s="18">
        <v>1548</v>
      </c>
      <c r="H1455" s="25">
        <f t="shared" si="88"/>
        <v>45012</v>
      </c>
      <c r="I1455" s="26">
        <f t="shared" si="89"/>
        <v>6.9444444445252884E-2</v>
      </c>
      <c r="J1455" s="18" t="str">
        <f t="shared" si="90"/>
        <v>March</v>
      </c>
      <c r="K1455" s="56" t="str">
        <f t="shared" si="91"/>
        <v>Monday</v>
      </c>
      <c r="L1455" s="18" t="str">
        <f>IF(OR(G1455&gt;Answers!I1470,G1455&lt;Answers!I1471),"Outlier","Normal")</f>
        <v>Outlier</v>
      </c>
      <c r="M1455" s="18">
        <v>20</v>
      </c>
    </row>
    <row r="1456" spans="1:13" ht="20" customHeight="1" x14ac:dyDescent="0.35">
      <c r="A1456" s="17">
        <v>966739</v>
      </c>
      <c r="B1456" s="18">
        <v>881</v>
      </c>
      <c r="C1456" s="23" t="s">
        <v>100</v>
      </c>
      <c r="D1456" s="27">
        <v>45158.02847222222</v>
      </c>
      <c r="E1456" s="18" t="s">
        <v>96</v>
      </c>
      <c r="F1456" s="18" t="s">
        <v>4</v>
      </c>
      <c r="G1456" s="18">
        <v>4693</v>
      </c>
      <c r="H1456" s="25">
        <f t="shared" si="88"/>
        <v>45158</v>
      </c>
      <c r="I1456" s="26">
        <f t="shared" si="89"/>
        <v>2.8472222220443655E-2</v>
      </c>
      <c r="J1456" s="18" t="str">
        <f t="shared" si="90"/>
        <v>August</v>
      </c>
      <c r="K1456" s="56" t="str">
        <f t="shared" si="91"/>
        <v>Sunday</v>
      </c>
      <c r="L1456" s="18" t="str">
        <f>IF(OR(G1456&gt;Answers!I1471,G1456&lt;Answers!I1472),"Outlier","Normal")</f>
        <v>Outlier</v>
      </c>
      <c r="M1456" s="18">
        <v>67</v>
      </c>
    </row>
    <row r="1457" spans="1:13" ht="20" customHeight="1" x14ac:dyDescent="0.35">
      <c r="A1457" s="17">
        <v>967619</v>
      </c>
      <c r="B1457" s="18">
        <v>897</v>
      </c>
      <c r="C1457" s="23" t="s">
        <v>99</v>
      </c>
      <c r="D1457" s="27">
        <v>45104.972916666666</v>
      </c>
      <c r="E1457" s="18" t="s">
        <v>97</v>
      </c>
      <c r="F1457" s="18" t="s">
        <v>19</v>
      </c>
      <c r="G1457" s="18">
        <v>3504</v>
      </c>
      <c r="H1457" s="25">
        <f t="shared" si="88"/>
        <v>45104</v>
      </c>
      <c r="I1457" s="26">
        <f t="shared" si="89"/>
        <v>0.97291666666569654</v>
      </c>
      <c r="J1457" s="18" t="str">
        <f t="shared" si="90"/>
        <v>June</v>
      </c>
      <c r="K1457" s="56" t="str">
        <f t="shared" si="91"/>
        <v>Tuesday</v>
      </c>
      <c r="L1457" s="18" t="str">
        <f>IF(OR(G1457&gt;Answers!I1472,G1457&lt;Answers!I1473),"Outlier","Normal")</f>
        <v>Outlier</v>
      </c>
      <c r="M1457" s="18">
        <v>46</v>
      </c>
    </row>
    <row r="1458" spans="1:13" ht="20" customHeight="1" x14ac:dyDescent="0.35">
      <c r="A1458" s="17">
        <v>968469</v>
      </c>
      <c r="B1458" s="18">
        <v>711</v>
      </c>
      <c r="C1458" s="23" t="s">
        <v>99</v>
      </c>
      <c r="D1458" s="27">
        <v>45186.010416666664</v>
      </c>
      <c r="E1458" s="18" t="s">
        <v>97</v>
      </c>
      <c r="F1458" s="18" t="s">
        <v>82</v>
      </c>
      <c r="G1458" s="18">
        <v>187</v>
      </c>
      <c r="H1458" s="25">
        <f t="shared" si="88"/>
        <v>45186</v>
      </c>
      <c r="I1458" s="26">
        <f t="shared" si="89"/>
        <v>1.0416666664241347E-2</v>
      </c>
      <c r="J1458" s="18" t="str">
        <f t="shared" si="90"/>
        <v>September</v>
      </c>
      <c r="K1458" s="56" t="str">
        <f t="shared" si="91"/>
        <v>Sunday</v>
      </c>
      <c r="L1458" s="18" t="str">
        <f>IF(OR(G1458&gt;Answers!I1473,G1458&lt;Answers!I1474),"Outlier","Normal")</f>
        <v>Outlier</v>
      </c>
      <c r="M1458" s="18">
        <v>56</v>
      </c>
    </row>
    <row r="1459" spans="1:13" ht="20" customHeight="1" x14ac:dyDescent="0.35">
      <c r="A1459" s="17">
        <v>968501</v>
      </c>
      <c r="B1459" s="18">
        <v>534</v>
      </c>
      <c r="C1459" s="23" t="s">
        <v>113</v>
      </c>
      <c r="D1459" s="27">
        <v>45195.032638888886</v>
      </c>
      <c r="E1459" s="18" t="s">
        <v>133</v>
      </c>
      <c r="F1459" s="18" t="s">
        <v>15</v>
      </c>
      <c r="G1459" s="18">
        <v>98</v>
      </c>
      <c r="H1459" s="25">
        <f t="shared" si="88"/>
        <v>45195</v>
      </c>
      <c r="I1459" s="26">
        <f t="shared" si="89"/>
        <v>3.2638888886140194E-2</v>
      </c>
      <c r="J1459" s="18" t="str">
        <f t="shared" si="90"/>
        <v>September</v>
      </c>
      <c r="K1459" s="56" t="str">
        <f t="shared" si="91"/>
        <v>Tuesday</v>
      </c>
      <c r="L1459" s="18" t="str">
        <f>IF(OR(G1459&gt;Answers!I1474,G1459&lt;Answers!I1475),"Outlier","Normal")</f>
        <v>Outlier</v>
      </c>
      <c r="M1459" s="18">
        <v>90</v>
      </c>
    </row>
    <row r="1460" spans="1:13" ht="20" customHeight="1" x14ac:dyDescent="0.35">
      <c r="A1460" s="17">
        <v>968680</v>
      </c>
      <c r="B1460" s="18">
        <v>362</v>
      </c>
      <c r="C1460" s="23" t="s">
        <v>113</v>
      </c>
      <c r="D1460" s="27">
        <v>45020.953472222223</v>
      </c>
      <c r="E1460" s="18" t="s">
        <v>96</v>
      </c>
      <c r="F1460" s="18" t="s">
        <v>66</v>
      </c>
      <c r="G1460" s="18">
        <v>4761</v>
      </c>
      <c r="H1460" s="25">
        <f t="shared" si="88"/>
        <v>45020</v>
      </c>
      <c r="I1460" s="26">
        <f t="shared" si="89"/>
        <v>0.95347222222335404</v>
      </c>
      <c r="J1460" s="18" t="str">
        <f t="shared" si="90"/>
        <v>April</v>
      </c>
      <c r="K1460" s="56" t="str">
        <f t="shared" si="91"/>
        <v>Tuesday</v>
      </c>
      <c r="L1460" s="18" t="str">
        <f>IF(OR(G1460&gt;Answers!I1475,G1460&lt;Answers!I1476),"Outlier","Normal")</f>
        <v>Outlier</v>
      </c>
      <c r="M1460" s="18">
        <v>68</v>
      </c>
    </row>
    <row r="1461" spans="1:13" ht="20" customHeight="1" x14ac:dyDescent="0.35">
      <c r="A1461" s="17">
        <v>968730</v>
      </c>
      <c r="B1461" s="18">
        <v>407</v>
      </c>
      <c r="C1461" s="23" t="s">
        <v>100</v>
      </c>
      <c r="D1461" s="27">
        <v>45070.037499999999</v>
      </c>
      <c r="E1461" s="18" t="s">
        <v>133</v>
      </c>
      <c r="F1461" s="18" t="s">
        <v>78</v>
      </c>
      <c r="G1461" s="18">
        <v>6326</v>
      </c>
      <c r="H1461" s="25">
        <f t="shared" si="88"/>
        <v>45070</v>
      </c>
      <c r="I1461" s="26">
        <f t="shared" si="89"/>
        <v>3.7499999998544808E-2</v>
      </c>
      <c r="J1461" s="18" t="str">
        <f t="shared" si="90"/>
        <v>May</v>
      </c>
      <c r="K1461" s="56" t="str">
        <f t="shared" si="91"/>
        <v>Wednesday</v>
      </c>
      <c r="L1461" s="18" t="str">
        <f>IF(OR(G1461&gt;Answers!I1476,G1461&lt;Answers!I1477),"Outlier","Normal")</f>
        <v>Outlier</v>
      </c>
      <c r="M1461" s="18">
        <v>90</v>
      </c>
    </row>
    <row r="1462" spans="1:13" ht="20" customHeight="1" x14ac:dyDescent="0.35">
      <c r="A1462" s="17">
        <v>969517</v>
      </c>
      <c r="B1462" s="18">
        <v>1794</v>
      </c>
      <c r="C1462" s="23" t="s">
        <v>101</v>
      </c>
      <c r="D1462" s="27">
        <v>45288.051388888889</v>
      </c>
      <c r="E1462" s="18" t="s">
        <v>98</v>
      </c>
      <c r="F1462" s="18" t="s">
        <v>27</v>
      </c>
      <c r="G1462" s="18">
        <v>7435</v>
      </c>
      <c r="H1462" s="25">
        <f t="shared" si="88"/>
        <v>45288</v>
      </c>
      <c r="I1462" s="26">
        <f t="shared" si="89"/>
        <v>5.1388888889050577E-2</v>
      </c>
      <c r="J1462" s="18" t="str">
        <f t="shared" si="90"/>
        <v>December</v>
      </c>
      <c r="K1462" s="56" t="str">
        <f t="shared" si="91"/>
        <v>Thursday</v>
      </c>
      <c r="L1462" s="18" t="str">
        <f>IF(OR(G1462&gt;Answers!I1477,G1462&lt;Answers!I1478),"Outlier","Normal")</f>
        <v>Outlier</v>
      </c>
      <c r="M1462" s="18">
        <v>41</v>
      </c>
    </row>
    <row r="1463" spans="1:13" ht="20" customHeight="1" x14ac:dyDescent="0.35">
      <c r="A1463" s="17">
        <v>969765</v>
      </c>
      <c r="B1463" s="18">
        <v>850</v>
      </c>
      <c r="C1463" s="23" t="s">
        <v>99</v>
      </c>
      <c r="D1463" s="27">
        <v>44973.073611111111</v>
      </c>
      <c r="E1463" s="18" t="s">
        <v>97</v>
      </c>
      <c r="F1463" s="18" t="s">
        <v>43</v>
      </c>
      <c r="G1463" s="18">
        <v>3206</v>
      </c>
      <c r="H1463" s="25">
        <f t="shared" si="88"/>
        <v>44973</v>
      </c>
      <c r="I1463" s="26">
        <f t="shared" si="89"/>
        <v>7.3611111110949423E-2</v>
      </c>
      <c r="J1463" s="18" t="str">
        <f t="shared" si="90"/>
        <v>February</v>
      </c>
      <c r="K1463" s="56" t="str">
        <f t="shared" si="91"/>
        <v>Thursday</v>
      </c>
      <c r="L1463" s="18" t="str">
        <f>IF(OR(G1463&gt;Answers!I1478,G1463&lt;Answers!I1479),"Outlier","Normal")</f>
        <v>Outlier</v>
      </c>
      <c r="M1463" s="18">
        <v>52</v>
      </c>
    </row>
    <row r="1464" spans="1:13" ht="20" customHeight="1" x14ac:dyDescent="0.35">
      <c r="A1464" s="17">
        <v>971123</v>
      </c>
      <c r="B1464" s="18">
        <v>197</v>
      </c>
      <c r="C1464" s="23" t="s">
        <v>99</v>
      </c>
      <c r="D1464" s="27">
        <v>44959.022222222222</v>
      </c>
      <c r="E1464" s="18" t="s">
        <v>133</v>
      </c>
      <c r="F1464" s="18" t="s">
        <v>27</v>
      </c>
      <c r="G1464" s="18">
        <v>4194</v>
      </c>
      <c r="H1464" s="25">
        <f t="shared" si="88"/>
        <v>44959</v>
      </c>
      <c r="I1464" s="26">
        <f t="shared" si="89"/>
        <v>2.2222222221898846E-2</v>
      </c>
      <c r="J1464" s="18" t="str">
        <f t="shared" si="90"/>
        <v>February</v>
      </c>
      <c r="K1464" s="56" t="str">
        <f t="shared" si="91"/>
        <v>Thursday</v>
      </c>
      <c r="L1464" s="18" t="str">
        <f>IF(OR(G1464&gt;Answers!I1479,G1464&lt;Answers!I1480),"Outlier","Normal")</f>
        <v>Outlier</v>
      </c>
      <c r="M1464" s="18">
        <v>38</v>
      </c>
    </row>
    <row r="1465" spans="1:13" ht="20" customHeight="1" x14ac:dyDescent="0.35">
      <c r="A1465" s="17">
        <v>971900</v>
      </c>
      <c r="B1465" s="18">
        <v>1424</v>
      </c>
      <c r="C1465" s="23" t="s">
        <v>105</v>
      </c>
      <c r="D1465" s="27">
        <v>45004.011111111111</v>
      </c>
      <c r="E1465" s="18" t="s">
        <v>133</v>
      </c>
      <c r="F1465" s="18" t="s">
        <v>27</v>
      </c>
      <c r="G1465" s="18">
        <v>4454</v>
      </c>
      <c r="H1465" s="25">
        <f t="shared" si="88"/>
        <v>45004</v>
      </c>
      <c r="I1465" s="26">
        <f t="shared" si="89"/>
        <v>1.1111111110949423E-2</v>
      </c>
      <c r="J1465" s="18" t="str">
        <f t="shared" si="90"/>
        <v>March</v>
      </c>
      <c r="K1465" s="56" t="str">
        <f t="shared" si="91"/>
        <v>Sunday</v>
      </c>
      <c r="L1465" s="18" t="str">
        <f>IF(OR(G1465&gt;Answers!I1480,G1465&lt;Answers!I1481),"Outlier","Normal")</f>
        <v>Outlier</v>
      </c>
      <c r="M1465" s="18">
        <v>39</v>
      </c>
    </row>
    <row r="1466" spans="1:13" ht="20" customHeight="1" x14ac:dyDescent="0.35">
      <c r="A1466" s="17">
        <v>972030</v>
      </c>
      <c r="B1466" s="18">
        <v>854</v>
      </c>
      <c r="C1466" s="23" t="s">
        <v>99</v>
      </c>
      <c r="D1466" s="27">
        <v>45016.073611111111</v>
      </c>
      <c r="E1466" s="18" t="s">
        <v>133</v>
      </c>
      <c r="F1466" s="18" t="s">
        <v>27</v>
      </c>
      <c r="G1466" s="18">
        <v>6426</v>
      </c>
      <c r="H1466" s="25">
        <f t="shared" si="88"/>
        <v>45016</v>
      </c>
      <c r="I1466" s="26">
        <f t="shared" si="89"/>
        <v>7.3611111110949423E-2</v>
      </c>
      <c r="J1466" s="18" t="str">
        <f t="shared" si="90"/>
        <v>March</v>
      </c>
      <c r="K1466" s="56" t="str">
        <f t="shared" si="91"/>
        <v>Friday</v>
      </c>
      <c r="L1466" s="18" t="str">
        <f>IF(OR(G1466&gt;Answers!I1481,G1466&lt;Answers!I1482),"Outlier","Normal")</f>
        <v>Outlier</v>
      </c>
      <c r="M1466" s="18">
        <v>61</v>
      </c>
    </row>
    <row r="1467" spans="1:13" ht="20" customHeight="1" x14ac:dyDescent="0.35">
      <c r="A1467" s="17">
        <v>973367</v>
      </c>
      <c r="B1467" s="18">
        <v>1170</v>
      </c>
      <c r="C1467" s="23" t="s">
        <v>109</v>
      </c>
      <c r="D1467" s="27">
        <v>45170.052777777775</v>
      </c>
      <c r="E1467" s="18" t="s">
        <v>97</v>
      </c>
      <c r="F1467" s="18" t="s">
        <v>18</v>
      </c>
      <c r="G1467" s="18">
        <v>8512</v>
      </c>
      <c r="H1467" s="25">
        <f t="shared" si="88"/>
        <v>45170</v>
      </c>
      <c r="I1467" s="26">
        <f t="shared" si="89"/>
        <v>5.2777777775190771E-2</v>
      </c>
      <c r="J1467" s="18" t="str">
        <f t="shared" si="90"/>
        <v>September</v>
      </c>
      <c r="K1467" s="56" t="str">
        <f t="shared" si="91"/>
        <v>Friday</v>
      </c>
      <c r="L1467" s="18" t="str">
        <f>IF(OR(G1467&gt;Answers!I1482,G1467&lt;Answers!I1483),"Outlier","Normal")</f>
        <v>Outlier</v>
      </c>
      <c r="M1467" s="18">
        <v>65</v>
      </c>
    </row>
    <row r="1468" spans="1:13" ht="20" customHeight="1" x14ac:dyDescent="0.35">
      <c r="A1468" s="17">
        <v>974557</v>
      </c>
      <c r="B1468" s="18">
        <v>1874</v>
      </c>
      <c r="C1468" s="23" t="s">
        <v>99</v>
      </c>
      <c r="D1468" s="27">
        <v>44941.047222222223</v>
      </c>
      <c r="E1468" s="18" t="s">
        <v>133</v>
      </c>
      <c r="F1468" s="18" t="s">
        <v>4</v>
      </c>
      <c r="G1468" s="18">
        <v>2721</v>
      </c>
      <c r="H1468" s="25">
        <f t="shared" si="88"/>
        <v>44941</v>
      </c>
      <c r="I1468" s="26">
        <f t="shared" si="89"/>
        <v>4.7222222223354038E-2</v>
      </c>
      <c r="J1468" s="18" t="str">
        <f t="shared" si="90"/>
        <v>January</v>
      </c>
      <c r="K1468" s="56" t="str">
        <f t="shared" si="91"/>
        <v>Sunday</v>
      </c>
      <c r="L1468" s="18" t="str">
        <f>IF(OR(G1468&gt;Answers!I1483,G1468&lt;Answers!I1484),"Outlier","Normal")</f>
        <v>Outlier</v>
      </c>
      <c r="M1468" s="18">
        <v>51</v>
      </c>
    </row>
    <row r="1469" spans="1:13" ht="20" customHeight="1" x14ac:dyDescent="0.35">
      <c r="A1469" s="17">
        <v>975249</v>
      </c>
      <c r="B1469" s="18">
        <v>1044</v>
      </c>
      <c r="C1469" s="23" t="s">
        <v>113</v>
      </c>
      <c r="D1469" s="27">
        <v>45282.056250000001</v>
      </c>
      <c r="E1469" s="18" t="s">
        <v>96</v>
      </c>
      <c r="F1469" s="18" t="s">
        <v>14</v>
      </c>
      <c r="G1469" s="18">
        <v>3988</v>
      </c>
      <c r="H1469" s="25">
        <f t="shared" si="88"/>
        <v>45282</v>
      </c>
      <c r="I1469" s="26">
        <f t="shared" si="89"/>
        <v>5.6250000001455192E-2</v>
      </c>
      <c r="J1469" s="18" t="str">
        <f t="shared" si="90"/>
        <v>December</v>
      </c>
      <c r="K1469" s="56" t="str">
        <f t="shared" si="91"/>
        <v>Friday</v>
      </c>
      <c r="L1469" s="18" t="str">
        <f>IF(OR(G1469&gt;Answers!I1484,G1469&lt;Answers!I1485),"Outlier","Normal")</f>
        <v>Outlier</v>
      </c>
      <c r="M1469" s="18">
        <v>26</v>
      </c>
    </row>
    <row r="1470" spans="1:13" ht="20" customHeight="1" x14ac:dyDescent="0.35">
      <c r="A1470" s="17">
        <v>976000</v>
      </c>
      <c r="B1470" s="18">
        <v>484</v>
      </c>
      <c r="C1470" s="23" t="s">
        <v>99</v>
      </c>
      <c r="D1470" s="27">
        <v>45089.988194444442</v>
      </c>
      <c r="E1470" s="18" t="s">
        <v>97</v>
      </c>
      <c r="F1470" s="18" t="s">
        <v>6</v>
      </c>
      <c r="G1470" s="18">
        <v>6536</v>
      </c>
      <c r="H1470" s="25">
        <f t="shared" si="88"/>
        <v>45089</v>
      </c>
      <c r="I1470" s="26">
        <f t="shared" si="89"/>
        <v>0.9881944444423425</v>
      </c>
      <c r="J1470" s="18" t="str">
        <f t="shared" si="90"/>
        <v>June</v>
      </c>
      <c r="K1470" s="56" t="str">
        <f t="shared" si="91"/>
        <v>Monday</v>
      </c>
      <c r="L1470" s="18" t="str">
        <f>IF(OR(G1470&gt;Answers!I1485,G1470&lt;Answers!I1486),"Outlier","Normal")</f>
        <v>Outlier</v>
      </c>
      <c r="M1470" s="18">
        <v>70</v>
      </c>
    </row>
    <row r="1471" spans="1:13" ht="20" customHeight="1" x14ac:dyDescent="0.35">
      <c r="A1471" s="17">
        <v>976435</v>
      </c>
      <c r="B1471" s="18">
        <v>704</v>
      </c>
      <c r="C1471" s="23" t="s">
        <v>99</v>
      </c>
      <c r="D1471" s="27">
        <v>45195.055555555555</v>
      </c>
      <c r="E1471" s="18" t="s">
        <v>98</v>
      </c>
      <c r="F1471" s="18" t="s">
        <v>7</v>
      </c>
      <c r="G1471" s="18">
        <v>5887</v>
      </c>
      <c r="H1471" s="25">
        <f t="shared" si="88"/>
        <v>45195</v>
      </c>
      <c r="I1471" s="26">
        <f t="shared" si="89"/>
        <v>5.5555555554747116E-2</v>
      </c>
      <c r="J1471" s="18" t="str">
        <f t="shared" si="90"/>
        <v>September</v>
      </c>
      <c r="K1471" s="56" t="str">
        <f t="shared" si="91"/>
        <v>Tuesday</v>
      </c>
      <c r="L1471" s="18" t="str">
        <f>IF(OR(G1471&gt;Answers!I1486,G1471&lt;Answers!I1487),"Outlier","Normal")</f>
        <v>Outlier</v>
      </c>
      <c r="M1471" s="18">
        <v>76</v>
      </c>
    </row>
    <row r="1472" spans="1:13" ht="20" customHeight="1" x14ac:dyDescent="0.35">
      <c r="A1472" s="17">
        <v>976870</v>
      </c>
      <c r="B1472" s="18">
        <v>357</v>
      </c>
      <c r="C1472" s="23" t="s">
        <v>103</v>
      </c>
      <c r="D1472" s="27">
        <v>45105.007638888892</v>
      </c>
      <c r="E1472" s="18" t="s">
        <v>97</v>
      </c>
      <c r="F1472" s="18" t="s">
        <v>8</v>
      </c>
      <c r="G1472" s="18">
        <v>1226</v>
      </c>
      <c r="H1472" s="25">
        <f t="shared" si="88"/>
        <v>45105</v>
      </c>
      <c r="I1472" s="26">
        <f t="shared" si="89"/>
        <v>7.6388888919609599E-3</v>
      </c>
      <c r="J1472" s="18" t="str">
        <f t="shared" si="90"/>
        <v>June</v>
      </c>
      <c r="K1472" s="56" t="str">
        <f t="shared" si="91"/>
        <v>Wednesday</v>
      </c>
      <c r="L1472" s="18" t="str">
        <f>IF(OR(G1472&gt;Answers!I1487,G1472&lt;Answers!I1488),"Outlier","Normal")</f>
        <v>Outlier</v>
      </c>
      <c r="M1472" s="18">
        <v>70</v>
      </c>
    </row>
    <row r="1473" spans="1:13" ht="20" customHeight="1" x14ac:dyDescent="0.35">
      <c r="A1473" s="17">
        <v>978487</v>
      </c>
      <c r="B1473" s="18">
        <v>767</v>
      </c>
      <c r="C1473" s="23" t="s">
        <v>99</v>
      </c>
      <c r="D1473" s="27">
        <v>45097.979861111111</v>
      </c>
      <c r="E1473" s="18" t="s">
        <v>96</v>
      </c>
      <c r="F1473" s="18" t="s">
        <v>9</v>
      </c>
      <c r="G1473" s="18">
        <v>8162</v>
      </c>
      <c r="H1473" s="25">
        <f t="shared" si="88"/>
        <v>45097</v>
      </c>
      <c r="I1473" s="26">
        <f t="shared" si="89"/>
        <v>0.97986111111094942</v>
      </c>
      <c r="J1473" s="18" t="str">
        <f t="shared" si="90"/>
        <v>June</v>
      </c>
      <c r="K1473" s="56" t="str">
        <f t="shared" si="91"/>
        <v>Tuesday</v>
      </c>
      <c r="L1473" s="18" t="str">
        <f>IF(OR(G1473&gt;Answers!I1488,G1473&lt;Answers!I1489),"Outlier","Normal")</f>
        <v>Outlier</v>
      </c>
      <c r="M1473" s="18">
        <v>30</v>
      </c>
    </row>
    <row r="1474" spans="1:13" ht="20" customHeight="1" x14ac:dyDescent="0.35">
      <c r="A1474" s="17">
        <v>978518</v>
      </c>
      <c r="B1474" s="18">
        <v>1078</v>
      </c>
      <c r="C1474" s="23" t="s">
        <v>101</v>
      </c>
      <c r="D1474" s="27">
        <v>44927.044444444444</v>
      </c>
      <c r="E1474" s="18" t="s">
        <v>98</v>
      </c>
      <c r="F1474" s="18" t="s">
        <v>10</v>
      </c>
      <c r="G1474" s="18">
        <v>448</v>
      </c>
      <c r="H1474" s="25">
        <f t="shared" si="88"/>
        <v>44927</v>
      </c>
      <c r="I1474" s="26">
        <f t="shared" si="89"/>
        <v>4.4444444443797693E-2</v>
      </c>
      <c r="J1474" s="18" t="str">
        <f t="shared" si="90"/>
        <v>January</v>
      </c>
      <c r="K1474" s="56" t="str">
        <f t="shared" si="91"/>
        <v>Sunday</v>
      </c>
      <c r="L1474" s="18" t="str">
        <f>IF(OR(G1474&gt;Answers!I1489,G1474&lt;Answers!I1490),"Outlier","Normal")</f>
        <v>Outlier</v>
      </c>
      <c r="M1474" s="18">
        <v>55</v>
      </c>
    </row>
    <row r="1475" spans="1:13" ht="20" customHeight="1" x14ac:dyDescent="0.35">
      <c r="A1475" s="17">
        <v>978704</v>
      </c>
      <c r="B1475" s="18">
        <v>307</v>
      </c>
      <c r="C1475" s="23" t="s">
        <v>100</v>
      </c>
      <c r="D1475" s="27">
        <v>45156.03402777778</v>
      </c>
      <c r="E1475" s="18" t="s">
        <v>96</v>
      </c>
      <c r="F1475" s="18" t="s">
        <v>11</v>
      </c>
      <c r="G1475" s="18">
        <v>5631</v>
      </c>
      <c r="H1475" s="25">
        <f t="shared" ref="H1475:H1538" si="92">INT(D1475)</f>
        <v>45156</v>
      </c>
      <c r="I1475" s="26">
        <f t="shared" ref="I1475:I1538" si="93">MOD(D1475,1)</f>
        <v>3.4027777779556345E-2</v>
      </c>
      <c r="J1475" s="18" t="str">
        <f t="shared" ref="J1475:J1538" si="94">TEXT(D1475,"mmmm")</f>
        <v>August</v>
      </c>
      <c r="K1475" s="56" t="str">
        <f t="shared" ref="K1475:K1538" si="95">TEXT(D1475,"dddd")</f>
        <v>Friday</v>
      </c>
      <c r="L1475" s="18" t="str">
        <f>IF(OR(G1475&gt;Answers!I1490,G1475&lt;Answers!I1491),"Outlier","Normal")</f>
        <v>Outlier</v>
      </c>
      <c r="M1475" s="18">
        <v>65</v>
      </c>
    </row>
    <row r="1476" spans="1:13" ht="20" customHeight="1" x14ac:dyDescent="0.35">
      <c r="A1476" s="17">
        <v>979166</v>
      </c>
      <c r="B1476" s="18">
        <v>995</v>
      </c>
      <c r="C1476" s="23" t="s">
        <v>100</v>
      </c>
      <c r="D1476" s="27">
        <v>44997.98333333333</v>
      </c>
      <c r="E1476" s="18" t="s">
        <v>97</v>
      </c>
      <c r="F1476" s="18" t="s">
        <v>12</v>
      </c>
      <c r="G1476" s="18">
        <v>6809</v>
      </c>
      <c r="H1476" s="25">
        <f t="shared" si="92"/>
        <v>44997</v>
      </c>
      <c r="I1476" s="26">
        <f t="shared" si="93"/>
        <v>0.98333333332993789</v>
      </c>
      <c r="J1476" s="18" t="str">
        <f t="shared" si="94"/>
        <v>March</v>
      </c>
      <c r="K1476" s="56" t="str">
        <f t="shared" si="95"/>
        <v>Sunday</v>
      </c>
      <c r="L1476" s="18" t="str">
        <f>IF(OR(G1476&gt;Answers!I1491,G1476&lt;Answers!I1492),"Outlier","Normal")</f>
        <v>Outlier</v>
      </c>
      <c r="M1476" s="18">
        <v>82</v>
      </c>
    </row>
    <row r="1477" spans="1:13" ht="20" customHeight="1" x14ac:dyDescent="0.35">
      <c r="A1477" s="17">
        <v>982672</v>
      </c>
      <c r="B1477" s="18">
        <v>1590</v>
      </c>
      <c r="C1477" s="23" t="s">
        <v>106</v>
      </c>
      <c r="D1477" s="27">
        <v>45281.077777777777</v>
      </c>
      <c r="E1477" s="18" t="s">
        <v>133</v>
      </c>
      <c r="F1477" s="18" t="s">
        <v>13</v>
      </c>
      <c r="G1477" s="18">
        <v>7371</v>
      </c>
      <c r="H1477" s="25">
        <f t="shared" si="92"/>
        <v>45281</v>
      </c>
      <c r="I1477" s="26">
        <f t="shared" si="93"/>
        <v>7.7777777776645962E-2</v>
      </c>
      <c r="J1477" s="18" t="str">
        <f t="shared" si="94"/>
        <v>December</v>
      </c>
      <c r="K1477" s="56" t="str">
        <f t="shared" si="95"/>
        <v>Thursday</v>
      </c>
      <c r="L1477" s="18" t="str">
        <f>IF(OR(G1477&gt;Answers!I1492,G1477&lt;Answers!I1493),"Outlier","Normal")</f>
        <v>Outlier</v>
      </c>
      <c r="M1477" s="18">
        <v>69</v>
      </c>
    </row>
    <row r="1478" spans="1:13" ht="20" customHeight="1" x14ac:dyDescent="0.35">
      <c r="A1478" s="17">
        <v>982983</v>
      </c>
      <c r="B1478" s="18">
        <v>1842</v>
      </c>
      <c r="C1478" s="23" t="s">
        <v>106</v>
      </c>
      <c r="D1478" s="27">
        <v>44938.023611111108</v>
      </c>
      <c r="E1478" s="18" t="s">
        <v>97</v>
      </c>
      <c r="F1478" s="18" t="s">
        <v>14</v>
      </c>
      <c r="G1478" s="18">
        <v>6411</v>
      </c>
      <c r="H1478" s="25">
        <f t="shared" si="92"/>
        <v>44938</v>
      </c>
      <c r="I1478" s="26">
        <f t="shared" si="93"/>
        <v>2.361111110803904E-2</v>
      </c>
      <c r="J1478" s="18" t="str">
        <f t="shared" si="94"/>
        <v>January</v>
      </c>
      <c r="K1478" s="56" t="str">
        <f t="shared" si="95"/>
        <v>Thursday</v>
      </c>
      <c r="L1478" s="18" t="str">
        <f>IF(OR(G1478&gt;Answers!I1493,G1478&lt;Answers!I1494),"Outlier","Normal")</f>
        <v>Outlier</v>
      </c>
      <c r="M1478" s="18">
        <v>61</v>
      </c>
    </row>
    <row r="1479" spans="1:13" ht="20" customHeight="1" x14ac:dyDescent="0.35">
      <c r="A1479" s="17">
        <v>983456</v>
      </c>
      <c r="B1479" s="18">
        <v>177</v>
      </c>
      <c r="C1479" s="23" t="s">
        <v>113</v>
      </c>
      <c r="D1479" s="27">
        <v>45041.067361111112</v>
      </c>
      <c r="E1479" s="18" t="s">
        <v>96</v>
      </c>
      <c r="F1479" s="18" t="s">
        <v>15</v>
      </c>
      <c r="G1479" s="18">
        <v>2938</v>
      </c>
      <c r="H1479" s="25">
        <f t="shared" si="92"/>
        <v>45041</v>
      </c>
      <c r="I1479" s="26">
        <f t="shared" si="93"/>
        <v>6.7361111112404615E-2</v>
      </c>
      <c r="J1479" s="18" t="str">
        <f t="shared" si="94"/>
        <v>April</v>
      </c>
      <c r="K1479" s="56" t="str">
        <f t="shared" si="95"/>
        <v>Tuesday</v>
      </c>
      <c r="L1479" s="18" t="str">
        <f>IF(OR(G1479&gt;Answers!I1494,G1479&lt;Answers!I1495),"Outlier","Normal")</f>
        <v>Outlier</v>
      </c>
      <c r="M1479" s="18">
        <v>75</v>
      </c>
    </row>
    <row r="1480" spans="1:13" ht="20" customHeight="1" x14ac:dyDescent="0.35">
      <c r="A1480" s="17">
        <v>984155</v>
      </c>
      <c r="B1480" s="18">
        <v>1399</v>
      </c>
      <c r="C1480" s="23" t="s">
        <v>101</v>
      </c>
      <c r="D1480" s="27">
        <v>45224.005555555559</v>
      </c>
      <c r="E1480" s="18" t="s">
        <v>133</v>
      </c>
      <c r="F1480" s="18" t="s">
        <v>16</v>
      </c>
      <c r="G1480" s="18">
        <v>5521</v>
      </c>
      <c r="H1480" s="25">
        <f t="shared" si="92"/>
        <v>45224</v>
      </c>
      <c r="I1480" s="26">
        <f t="shared" si="93"/>
        <v>5.5555555591126904E-3</v>
      </c>
      <c r="J1480" s="18" t="str">
        <f t="shared" si="94"/>
        <v>October</v>
      </c>
      <c r="K1480" s="56" t="str">
        <f t="shared" si="95"/>
        <v>Wednesday</v>
      </c>
      <c r="L1480" s="18" t="str">
        <f>IF(OR(G1480&gt;Answers!I1495,G1480&lt;Answers!I1496),"Outlier","Normal")</f>
        <v>Outlier</v>
      </c>
      <c r="M1480" s="18">
        <v>24</v>
      </c>
    </row>
    <row r="1481" spans="1:13" ht="20" customHeight="1" x14ac:dyDescent="0.35">
      <c r="A1481" s="17">
        <v>985800</v>
      </c>
      <c r="B1481" s="18">
        <v>1225</v>
      </c>
      <c r="C1481" s="23" t="s">
        <v>105</v>
      </c>
      <c r="D1481" s="27">
        <v>45276.036805555559</v>
      </c>
      <c r="E1481" s="18" t="s">
        <v>98</v>
      </c>
      <c r="F1481" s="18" t="s">
        <v>17</v>
      </c>
      <c r="G1481" s="18">
        <v>3508</v>
      </c>
      <c r="H1481" s="25">
        <f t="shared" si="92"/>
        <v>45276</v>
      </c>
      <c r="I1481" s="26">
        <f t="shared" si="93"/>
        <v>3.680555555911269E-2</v>
      </c>
      <c r="J1481" s="18" t="str">
        <f t="shared" si="94"/>
        <v>December</v>
      </c>
      <c r="K1481" s="56" t="str">
        <f t="shared" si="95"/>
        <v>Saturday</v>
      </c>
      <c r="L1481" s="18" t="str">
        <f>IF(OR(G1481&gt;Answers!I1496,G1481&lt;Answers!I1497),"Outlier","Normal")</f>
        <v>Outlier</v>
      </c>
      <c r="M1481" s="18">
        <v>84</v>
      </c>
    </row>
    <row r="1482" spans="1:13" ht="20" customHeight="1" x14ac:dyDescent="0.35">
      <c r="A1482" s="17">
        <v>986036</v>
      </c>
      <c r="B1482" s="18">
        <v>1064</v>
      </c>
      <c r="C1482" s="23" t="s">
        <v>104</v>
      </c>
      <c r="D1482" s="27">
        <v>45229.939583333333</v>
      </c>
      <c r="E1482" s="18" t="s">
        <v>97</v>
      </c>
      <c r="F1482" s="18" t="s">
        <v>18</v>
      </c>
      <c r="G1482" s="18">
        <v>855</v>
      </c>
      <c r="H1482" s="25">
        <f t="shared" si="92"/>
        <v>45229</v>
      </c>
      <c r="I1482" s="26">
        <f t="shared" si="93"/>
        <v>0.93958333333284827</v>
      </c>
      <c r="J1482" s="18" t="str">
        <f t="shared" si="94"/>
        <v>October</v>
      </c>
      <c r="K1482" s="56" t="str">
        <f t="shared" si="95"/>
        <v>Monday</v>
      </c>
      <c r="L1482" s="18" t="str">
        <f>IF(OR(G1482&gt;Answers!I1497,G1482&lt;Answers!I1498),"Outlier","Normal")</f>
        <v>Outlier</v>
      </c>
      <c r="M1482" s="18">
        <v>75</v>
      </c>
    </row>
    <row r="1483" spans="1:13" ht="20" customHeight="1" x14ac:dyDescent="0.35">
      <c r="A1483" s="17">
        <v>988105</v>
      </c>
      <c r="B1483" s="18">
        <v>1877</v>
      </c>
      <c r="C1483" s="23" t="s">
        <v>105</v>
      </c>
      <c r="D1483" s="27">
        <v>45102.052777777775</v>
      </c>
      <c r="E1483" s="18" t="s">
        <v>97</v>
      </c>
      <c r="F1483" s="18" t="s">
        <v>19</v>
      </c>
      <c r="G1483" s="18">
        <v>9254</v>
      </c>
      <c r="H1483" s="25">
        <f t="shared" si="92"/>
        <v>45102</v>
      </c>
      <c r="I1483" s="26">
        <f t="shared" si="93"/>
        <v>5.2777777775190771E-2</v>
      </c>
      <c r="J1483" s="18" t="str">
        <f t="shared" si="94"/>
        <v>June</v>
      </c>
      <c r="K1483" s="56" t="str">
        <f t="shared" si="95"/>
        <v>Sunday</v>
      </c>
      <c r="L1483" s="18" t="str">
        <f>IF(OR(G1483&gt;Answers!I1498,G1483&lt;Answers!I1499),"Outlier","Normal")</f>
        <v>Outlier</v>
      </c>
      <c r="M1483" s="18">
        <v>22</v>
      </c>
    </row>
    <row r="1484" spans="1:13" ht="20" customHeight="1" x14ac:dyDescent="0.35">
      <c r="A1484" s="17">
        <v>988444</v>
      </c>
      <c r="B1484" s="18">
        <v>430</v>
      </c>
      <c r="C1484" s="23" t="s">
        <v>113</v>
      </c>
      <c r="D1484" s="27">
        <v>45142.04791666667</v>
      </c>
      <c r="E1484" s="18" t="s">
        <v>96</v>
      </c>
      <c r="F1484" s="18" t="s">
        <v>20</v>
      </c>
      <c r="G1484" s="18">
        <v>9958</v>
      </c>
      <c r="H1484" s="25">
        <f t="shared" si="92"/>
        <v>45142</v>
      </c>
      <c r="I1484" s="26">
        <f t="shared" si="93"/>
        <v>4.7916666670062114E-2</v>
      </c>
      <c r="J1484" s="18" t="str">
        <f t="shared" si="94"/>
        <v>August</v>
      </c>
      <c r="K1484" s="56" t="str">
        <f t="shared" si="95"/>
        <v>Friday</v>
      </c>
      <c r="L1484" s="18" t="str">
        <f>IF(OR(G1484&gt;Answers!I1499,G1484&lt;Answers!I1500),"Outlier","Normal")</f>
        <v>Outlier</v>
      </c>
      <c r="M1484" s="18">
        <v>82</v>
      </c>
    </row>
    <row r="1485" spans="1:13" ht="20" customHeight="1" x14ac:dyDescent="0.35">
      <c r="A1485" s="17">
        <v>990534</v>
      </c>
      <c r="B1485" s="18">
        <v>249</v>
      </c>
      <c r="C1485" s="23" t="s">
        <v>99</v>
      </c>
      <c r="D1485" s="27">
        <v>45122.949305555558</v>
      </c>
      <c r="E1485" s="18" t="s">
        <v>133</v>
      </c>
      <c r="F1485" s="18" t="s">
        <v>21</v>
      </c>
      <c r="G1485" s="18">
        <v>3459</v>
      </c>
      <c r="H1485" s="25">
        <f t="shared" si="92"/>
        <v>45122</v>
      </c>
      <c r="I1485" s="26">
        <f t="shared" si="93"/>
        <v>0.9493055555576575</v>
      </c>
      <c r="J1485" s="18" t="str">
        <f t="shared" si="94"/>
        <v>July</v>
      </c>
      <c r="K1485" s="56" t="str">
        <f t="shared" si="95"/>
        <v>Saturday</v>
      </c>
      <c r="L1485" s="18" t="str">
        <f>IF(OR(G1485&gt;Answers!I1500,G1485&lt;Answers!I1501),"Outlier","Normal")</f>
        <v>Outlier</v>
      </c>
      <c r="M1485" s="18">
        <v>58</v>
      </c>
    </row>
    <row r="1486" spans="1:13" ht="20" customHeight="1" x14ac:dyDescent="0.35">
      <c r="A1486" s="17">
        <v>990780</v>
      </c>
      <c r="B1486" s="18">
        <v>1068</v>
      </c>
      <c r="C1486" s="23" t="s">
        <v>105</v>
      </c>
      <c r="D1486" s="27">
        <v>45236.990972222222</v>
      </c>
      <c r="E1486" s="18" t="s">
        <v>96</v>
      </c>
      <c r="F1486" s="18" t="s">
        <v>22</v>
      </c>
      <c r="G1486" s="18">
        <v>6407</v>
      </c>
      <c r="H1486" s="25">
        <f t="shared" si="92"/>
        <v>45236</v>
      </c>
      <c r="I1486" s="26">
        <f t="shared" si="93"/>
        <v>0.99097222222189885</v>
      </c>
      <c r="J1486" s="18" t="str">
        <f t="shared" si="94"/>
        <v>November</v>
      </c>
      <c r="K1486" s="56" t="str">
        <f t="shared" si="95"/>
        <v>Monday</v>
      </c>
      <c r="L1486" s="18" t="str">
        <f>IF(OR(G1486&gt;Answers!I1501,G1486&lt;Answers!I1502),"Outlier","Normal")</f>
        <v>Outlier</v>
      </c>
      <c r="M1486" s="18">
        <v>56</v>
      </c>
    </row>
    <row r="1487" spans="1:13" ht="20" customHeight="1" x14ac:dyDescent="0.35">
      <c r="A1487" s="17">
        <v>990832</v>
      </c>
      <c r="B1487" s="18">
        <v>9</v>
      </c>
      <c r="C1487" s="23" t="s">
        <v>100</v>
      </c>
      <c r="D1487" s="27">
        <v>45137.012499999997</v>
      </c>
      <c r="E1487" s="18" t="s">
        <v>96</v>
      </c>
      <c r="F1487" s="18" t="s">
        <v>4</v>
      </c>
      <c r="G1487" s="18">
        <v>8202</v>
      </c>
      <c r="H1487" s="25">
        <f t="shared" si="92"/>
        <v>45137</v>
      </c>
      <c r="I1487" s="26">
        <f t="shared" si="93"/>
        <v>1.2499999997089617E-2</v>
      </c>
      <c r="J1487" s="18" t="str">
        <f t="shared" si="94"/>
        <v>July</v>
      </c>
      <c r="K1487" s="56" t="str">
        <f t="shared" si="95"/>
        <v>Sunday</v>
      </c>
      <c r="L1487" s="18" t="str">
        <f>IF(OR(G1487&gt;Answers!I1502,G1487&lt;Answers!I1503),"Outlier","Normal")</f>
        <v>Outlier</v>
      </c>
      <c r="M1487" s="18">
        <v>75</v>
      </c>
    </row>
    <row r="1488" spans="1:13" ht="20" customHeight="1" x14ac:dyDescent="0.35">
      <c r="A1488" s="17">
        <v>990950</v>
      </c>
      <c r="B1488" s="18">
        <v>1948</v>
      </c>
      <c r="C1488" s="23" t="s">
        <v>99</v>
      </c>
      <c r="D1488" s="27">
        <v>45101.008333333331</v>
      </c>
      <c r="E1488" s="18" t="s">
        <v>133</v>
      </c>
      <c r="F1488" s="18" t="s">
        <v>39</v>
      </c>
      <c r="G1488" s="18">
        <v>2414</v>
      </c>
      <c r="H1488" s="25">
        <f t="shared" si="92"/>
        <v>45101</v>
      </c>
      <c r="I1488" s="26">
        <f t="shared" si="93"/>
        <v>8.333333331393078E-3</v>
      </c>
      <c r="J1488" s="18" t="str">
        <f t="shared" si="94"/>
        <v>June</v>
      </c>
      <c r="K1488" s="56" t="str">
        <f t="shared" si="95"/>
        <v>Saturday</v>
      </c>
      <c r="L1488" s="18" t="str">
        <f>IF(OR(G1488&gt;Answers!I1503,G1488&lt;Answers!I1504),"Outlier","Normal")</f>
        <v>Outlier</v>
      </c>
      <c r="M1488" s="18">
        <v>79</v>
      </c>
    </row>
    <row r="1489" spans="1:13" ht="20" customHeight="1" x14ac:dyDescent="0.35">
      <c r="A1489" s="17">
        <v>991491</v>
      </c>
      <c r="B1489" s="18">
        <v>1789</v>
      </c>
      <c r="C1489" s="23" t="s">
        <v>109</v>
      </c>
      <c r="D1489" s="27">
        <v>45239.986805555556</v>
      </c>
      <c r="E1489" s="18" t="s">
        <v>98</v>
      </c>
      <c r="F1489" s="18" t="s">
        <v>9</v>
      </c>
      <c r="G1489" s="18">
        <v>5990</v>
      </c>
      <c r="H1489" s="25">
        <f t="shared" si="92"/>
        <v>45239</v>
      </c>
      <c r="I1489" s="26">
        <f t="shared" si="93"/>
        <v>0.98680555555620231</v>
      </c>
      <c r="J1489" s="18" t="str">
        <f t="shared" si="94"/>
        <v>November</v>
      </c>
      <c r="K1489" s="56" t="str">
        <f t="shared" si="95"/>
        <v>Thursday</v>
      </c>
      <c r="L1489" s="18" t="str">
        <f>IF(OR(G1489&gt;Answers!I1504,G1489&lt;Answers!I1505),"Outlier","Normal")</f>
        <v>Outlier</v>
      </c>
      <c r="M1489" s="18">
        <v>35</v>
      </c>
    </row>
    <row r="1490" spans="1:13" ht="20" customHeight="1" x14ac:dyDescent="0.35">
      <c r="A1490" s="17">
        <v>991744</v>
      </c>
      <c r="B1490" s="18">
        <v>303</v>
      </c>
      <c r="C1490" s="23" t="s">
        <v>113</v>
      </c>
      <c r="D1490" s="27">
        <v>45216.103472222225</v>
      </c>
      <c r="E1490" s="18" t="s">
        <v>96</v>
      </c>
      <c r="F1490" s="18" t="s">
        <v>32</v>
      </c>
      <c r="G1490" s="18">
        <v>6212</v>
      </c>
      <c r="H1490" s="25">
        <f t="shared" si="92"/>
        <v>45216</v>
      </c>
      <c r="I1490" s="26">
        <f t="shared" si="93"/>
        <v>0.10347222222480923</v>
      </c>
      <c r="J1490" s="18" t="str">
        <f t="shared" si="94"/>
        <v>October</v>
      </c>
      <c r="K1490" s="56" t="str">
        <f t="shared" si="95"/>
        <v>Tuesday</v>
      </c>
      <c r="L1490" s="18" t="str">
        <f>IF(OR(G1490&gt;Answers!I1505,G1490&lt;Answers!I1506),"Outlier","Normal")</f>
        <v>Outlier</v>
      </c>
      <c r="M1490" s="18">
        <v>73</v>
      </c>
    </row>
    <row r="1491" spans="1:13" ht="20" customHeight="1" x14ac:dyDescent="0.35">
      <c r="A1491" s="17">
        <v>992007</v>
      </c>
      <c r="B1491" s="18">
        <v>576</v>
      </c>
      <c r="C1491" s="23" t="s">
        <v>99</v>
      </c>
      <c r="D1491" s="27">
        <v>45140.997916666667</v>
      </c>
      <c r="E1491" s="18" t="s">
        <v>97</v>
      </c>
      <c r="F1491" s="18" t="s">
        <v>41</v>
      </c>
      <c r="G1491" s="18">
        <v>839</v>
      </c>
      <c r="H1491" s="25">
        <f t="shared" si="92"/>
        <v>45140</v>
      </c>
      <c r="I1491" s="26">
        <f t="shared" si="93"/>
        <v>0.99791666666715173</v>
      </c>
      <c r="J1491" s="18" t="str">
        <f t="shared" si="94"/>
        <v>August</v>
      </c>
      <c r="K1491" s="56" t="str">
        <f t="shared" si="95"/>
        <v>Wednesday</v>
      </c>
      <c r="L1491" s="18" t="str">
        <f>IF(OR(G1491&gt;Answers!I1506,G1491&lt;Answers!I1507),"Outlier","Normal")</f>
        <v>Outlier</v>
      </c>
      <c r="M1491" s="18">
        <v>47</v>
      </c>
    </row>
    <row r="1492" spans="1:13" ht="20" customHeight="1" x14ac:dyDescent="0.35">
      <c r="A1492" s="17">
        <v>992535</v>
      </c>
      <c r="B1492" s="18">
        <v>1239</v>
      </c>
      <c r="C1492" s="23" t="s">
        <v>105</v>
      </c>
      <c r="D1492" s="27">
        <v>44938.954861111109</v>
      </c>
      <c r="E1492" s="18" t="s">
        <v>96</v>
      </c>
      <c r="F1492" s="18" t="s">
        <v>26</v>
      </c>
      <c r="G1492" s="18">
        <v>2549</v>
      </c>
      <c r="H1492" s="25">
        <f t="shared" si="92"/>
        <v>44938</v>
      </c>
      <c r="I1492" s="26">
        <f t="shared" si="93"/>
        <v>0.95486111110949423</v>
      </c>
      <c r="J1492" s="18" t="str">
        <f t="shared" si="94"/>
        <v>January</v>
      </c>
      <c r="K1492" s="56" t="str">
        <f t="shared" si="95"/>
        <v>Thursday</v>
      </c>
      <c r="L1492" s="18" t="str">
        <f>IF(OR(G1492&gt;Answers!I1507,G1492&lt;Answers!I1508),"Outlier","Normal")</f>
        <v>Outlier</v>
      </c>
      <c r="M1492" s="18">
        <v>86</v>
      </c>
    </row>
    <row r="1493" spans="1:13" ht="20" customHeight="1" x14ac:dyDescent="0.35">
      <c r="A1493" s="17">
        <v>993121</v>
      </c>
      <c r="B1493" s="18">
        <v>864</v>
      </c>
      <c r="C1493" s="23" t="s">
        <v>99</v>
      </c>
      <c r="D1493" s="27">
        <v>45054.99722222222</v>
      </c>
      <c r="E1493" s="18" t="s">
        <v>96</v>
      </c>
      <c r="F1493" s="18" t="s">
        <v>27</v>
      </c>
      <c r="G1493" s="18">
        <v>4384</v>
      </c>
      <c r="H1493" s="25">
        <f t="shared" si="92"/>
        <v>45054</v>
      </c>
      <c r="I1493" s="26">
        <f t="shared" si="93"/>
        <v>0.99722222222044365</v>
      </c>
      <c r="J1493" s="18" t="str">
        <f t="shared" si="94"/>
        <v>May</v>
      </c>
      <c r="K1493" s="56" t="str">
        <f t="shared" si="95"/>
        <v>Monday</v>
      </c>
      <c r="L1493" s="18" t="str">
        <f>IF(OR(G1493&gt;Answers!I1508,G1493&lt;Answers!I1509),"Outlier","Normal")</f>
        <v>Outlier</v>
      </c>
      <c r="M1493" s="18">
        <v>78</v>
      </c>
    </row>
    <row r="1494" spans="1:13" ht="20" customHeight="1" x14ac:dyDescent="0.35">
      <c r="A1494" s="17">
        <v>993369</v>
      </c>
      <c r="B1494" s="18">
        <v>1454</v>
      </c>
      <c r="C1494" s="23" t="s">
        <v>105</v>
      </c>
      <c r="D1494" s="27">
        <v>45150.031944444447</v>
      </c>
      <c r="E1494" s="18" t="s">
        <v>96</v>
      </c>
      <c r="F1494" s="18" t="s">
        <v>81</v>
      </c>
      <c r="G1494" s="18">
        <v>8577</v>
      </c>
      <c r="H1494" s="25">
        <f t="shared" si="92"/>
        <v>45150</v>
      </c>
      <c r="I1494" s="26">
        <f t="shared" si="93"/>
        <v>3.1944444446708076E-2</v>
      </c>
      <c r="J1494" s="18" t="str">
        <f t="shared" si="94"/>
        <v>August</v>
      </c>
      <c r="K1494" s="56" t="str">
        <f t="shared" si="95"/>
        <v>Saturday</v>
      </c>
      <c r="L1494" s="18" t="str">
        <f>IF(OR(G1494&gt;Answers!I1509,G1494&lt;Answers!I1510),"Outlier","Normal")</f>
        <v>Outlier</v>
      </c>
      <c r="M1494" s="18">
        <v>71</v>
      </c>
    </row>
    <row r="1495" spans="1:13" ht="20" customHeight="1" x14ac:dyDescent="0.35">
      <c r="A1495" s="17">
        <v>993889</v>
      </c>
      <c r="B1495" s="18">
        <v>562</v>
      </c>
      <c r="C1495" s="23" t="s">
        <v>106</v>
      </c>
      <c r="D1495" s="27">
        <v>45006.98333333333</v>
      </c>
      <c r="E1495" s="18" t="s">
        <v>96</v>
      </c>
      <c r="F1495" s="18" t="s">
        <v>50</v>
      </c>
      <c r="G1495" s="18">
        <v>2862</v>
      </c>
      <c r="H1495" s="25">
        <f t="shared" si="92"/>
        <v>45006</v>
      </c>
      <c r="I1495" s="26">
        <f t="shared" si="93"/>
        <v>0.98333333332993789</v>
      </c>
      <c r="J1495" s="18" t="str">
        <f t="shared" si="94"/>
        <v>March</v>
      </c>
      <c r="K1495" s="56" t="str">
        <f t="shared" si="95"/>
        <v>Tuesday</v>
      </c>
      <c r="L1495" s="18" t="str">
        <f>IF(OR(G1495&gt;Answers!I1510,G1495&lt;Answers!I1511),"Outlier","Normal")</f>
        <v>Outlier</v>
      </c>
      <c r="M1495" s="18">
        <v>75</v>
      </c>
    </row>
    <row r="1496" spans="1:13" ht="20" customHeight="1" x14ac:dyDescent="0.35">
      <c r="A1496" s="17">
        <v>993964</v>
      </c>
      <c r="B1496" s="18">
        <v>1143</v>
      </c>
      <c r="C1496" s="23" t="s">
        <v>107</v>
      </c>
      <c r="D1496" s="27">
        <v>45288.999305555553</v>
      </c>
      <c r="E1496" s="18" t="s">
        <v>133</v>
      </c>
      <c r="F1496" s="18" t="s">
        <v>5</v>
      </c>
      <c r="G1496" s="18">
        <v>8644</v>
      </c>
      <c r="H1496" s="25">
        <f t="shared" si="92"/>
        <v>45288</v>
      </c>
      <c r="I1496" s="26">
        <f t="shared" si="93"/>
        <v>0.99930555555329192</v>
      </c>
      <c r="J1496" s="18" t="str">
        <f t="shared" si="94"/>
        <v>December</v>
      </c>
      <c r="K1496" s="56" t="str">
        <f t="shared" si="95"/>
        <v>Thursday</v>
      </c>
      <c r="L1496" s="18" t="str">
        <f>IF(OR(G1496&gt;Answers!I1511,G1496&lt;Answers!I1512),"Outlier","Normal")</f>
        <v>Outlier</v>
      </c>
      <c r="M1496" s="18">
        <v>59</v>
      </c>
    </row>
    <row r="1497" spans="1:13" ht="20" customHeight="1" x14ac:dyDescent="0.35">
      <c r="A1497" s="17">
        <v>995268</v>
      </c>
      <c r="B1497" s="18">
        <v>1434</v>
      </c>
      <c r="C1497" s="23" t="s">
        <v>99</v>
      </c>
      <c r="D1497" s="27">
        <v>45080.020138888889</v>
      </c>
      <c r="E1497" s="18" t="s">
        <v>98</v>
      </c>
      <c r="F1497" s="18" t="s">
        <v>46</v>
      </c>
      <c r="G1497" s="18">
        <v>3688</v>
      </c>
      <c r="H1497" s="25">
        <f t="shared" si="92"/>
        <v>45080</v>
      </c>
      <c r="I1497" s="26">
        <f t="shared" si="93"/>
        <v>2.0138888889050577E-2</v>
      </c>
      <c r="J1497" s="18" t="str">
        <f t="shared" si="94"/>
        <v>June</v>
      </c>
      <c r="K1497" s="56" t="str">
        <f t="shared" si="95"/>
        <v>Saturday</v>
      </c>
      <c r="L1497" s="18" t="str">
        <f>IF(OR(G1497&gt;Answers!I1512,G1497&lt;Answers!I1513),"Outlier","Normal")</f>
        <v>Outlier</v>
      </c>
      <c r="M1497" s="18">
        <v>65</v>
      </c>
    </row>
    <row r="1498" spans="1:13" ht="20" customHeight="1" x14ac:dyDescent="0.35">
      <c r="A1498" s="17">
        <v>995410</v>
      </c>
      <c r="B1498" s="18">
        <v>1355</v>
      </c>
      <c r="C1498" s="23" t="s">
        <v>105</v>
      </c>
      <c r="D1498" s="27">
        <v>45045.041666666664</v>
      </c>
      <c r="E1498" s="18" t="s">
        <v>98</v>
      </c>
      <c r="F1498" s="18" t="s">
        <v>82</v>
      </c>
      <c r="G1498" s="18">
        <v>114</v>
      </c>
      <c r="H1498" s="25">
        <f t="shared" si="92"/>
        <v>45045</v>
      </c>
      <c r="I1498" s="26">
        <f t="shared" si="93"/>
        <v>4.1666666664241347E-2</v>
      </c>
      <c r="J1498" s="18" t="str">
        <f t="shared" si="94"/>
        <v>April</v>
      </c>
      <c r="K1498" s="56" t="str">
        <f t="shared" si="95"/>
        <v>Saturday</v>
      </c>
      <c r="L1498" s="18" t="str">
        <f>IF(OR(G1498&gt;Answers!I1513,G1498&lt;Answers!I1514),"Outlier","Normal")</f>
        <v>Outlier</v>
      </c>
      <c r="M1498" s="18">
        <v>83</v>
      </c>
    </row>
    <row r="1499" spans="1:13" ht="20" customHeight="1" x14ac:dyDescent="0.35">
      <c r="A1499" s="17">
        <v>996729</v>
      </c>
      <c r="B1499" s="18">
        <v>1416</v>
      </c>
      <c r="C1499" s="23" t="s">
        <v>99</v>
      </c>
      <c r="D1499" s="27">
        <v>45015.01666666667</v>
      </c>
      <c r="E1499" s="18" t="s">
        <v>98</v>
      </c>
      <c r="F1499" s="18" t="s">
        <v>17</v>
      </c>
      <c r="G1499" s="18">
        <v>3726</v>
      </c>
      <c r="H1499" s="25">
        <f t="shared" si="92"/>
        <v>45015</v>
      </c>
      <c r="I1499" s="26">
        <f t="shared" si="93"/>
        <v>1.6666666670062114E-2</v>
      </c>
      <c r="J1499" s="18" t="str">
        <f t="shared" si="94"/>
        <v>March</v>
      </c>
      <c r="K1499" s="56" t="str">
        <f t="shared" si="95"/>
        <v>Thursday</v>
      </c>
      <c r="L1499" s="18" t="str">
        <f>IF(OR(G1499&gt;Answers!I1514,G1499&lt;Answers!I1515),"Outlier","Normal")</f>
        <v>Outlier</v>
      </c>
      <c r="M1499" s="18">
        <v>84</v>
      </c>
    </row>
    <row r="1500" spans="1:13" ht="20" customHeight="1" x14ac:dyDescent="0.35">
      <c r="A1500" s="17">
        <v>996929</v>
      </c>
      <c r="B1500" s="18">
        <v>1209</v>
      </c>
      <c r="C1500" s="23" t="s">
        <v>102</v>
      </c>
      <c r="D1500" s="27">
        <v>45073.034722222219</v>
      </c>
      <c r="E1500" s="18" t="s">
        <v>133</v>
      </c>
      <c r="F1500" s="18" t="s">
        <v>11</v>
      </c>
      <c r="G1500" s="18">
        <v>3144</v>
      </c>
      <c r="H1500" s="25">
        <f t="shared" si="92"/>
        <v>45073</v>
      </c>
      <c r="I1500" s="26">
        <f t="shared" si="93"/>
        <v>3.4722222218988463E-2</v>
      </c>
      <c r="J1500" s="18" t="str">
        <f t="shared" si="94"/>
        <v>May</v>
      </c>
      <c r="K1500" s="56" t="str">
        <f t="shared" si="95"/>
        <v>Saturday</v>
      </c>
      <c r="L1500" s="18" t="str">
        <f>IF(OR(G1500&gt;Answers!I1515,G1500&lt;Answers!I1516),"Outlier","Normal")</f>
        <v>Outlier</v>
      </c>
      <c r="M1500" s="18">
        <v>38</v>
      </c>
    </row>
    <row r="1501" spans="1:13" ht="20" customHeight="1" x14ac:dyDescent="0.35">
      <c r="A1501" s="17">
        <v>997669</v>
      </c>
      <c r="B1501" s="18">
        <v>475</v>
      </c>
      <c r="C1501" s="23" t="s">
        <v>99</v>
      </c>
      <c r="D1501" s="27">
        <v>44948.97152777778</v>
      </c>
      <c r="E1501" s="18" t="s">
        <v>97</v>
      </c>
      <c r="F1501" s="18" t="s">
        <v>44</v>
      </c>
      <c r="G1501" s="18">
        <v>4684</v>
      </c>
      <c r="H1501" s="25">
        <f t="shared" si="92"/>
        <v>44948</v>
      </c>
      <c r="I1501" s="26">
        <f t="shared" si="93"/>
        <v>0.97152777777955635</v>
      </c>
      <c r="J1501" s="18" t="str">
        <f t="shared" si="94"/>
        <v>January</v>
      </c>
      <c r="K1501" s="56" t="str">
        <f t="shared" si="95"/>
        <v>Sunday</v>
      </c>
      <c r="L1501" s="18" t="str">
        <f>IF(OR(G1501&gt;Answers!I1516,G1501&lt;Answers!I1517),"Outlier","Normal")</f>
        <v>Outlier</v>
      </c>
      <c r="M1501" s="18">
        <v>51</v>
      </c>
    </row>
    <row r="1502" spans="1:13" ht="20" customHeight="1" x14ac:dyDescent="0.35">
      <c r="A1502" s="17">
        <v>998784</v>
      </c>
      <c r="B1502" s="18">
        <v>30</v>
      </c>
      <c r="C1502" s="23" t="s">
        <v>100</v>
      </c>
      <c r="D1502" s="27">
        <v>45054.025000000001</v>
      </c>
      <c r="E1502" s="18" t="s">
        <v>96</v>
      </c>
      <c r="F1502" s="18" t="s">
        <v>78</v>
      </c>
      <c r="G1502" s="18">
        <v>3801</v>
      </c>
      <c r="H1502" s="25">
        <f t="shared" si="92"/>
        <v>45054</v>
      </c>
      <c r="I1502" s="26">
        <f t="shared" si="93"/>
        <v>2.5000000001455192E-2</v>
      </c>
      <c r="J1502" s="18" t="str">
        <f t="shared" si="94"/>
        <v>May</v>
      </c>
      <c r="K1502" s="56" t="str">
        <f t="shared" si="95"/>
        <v>Monday</v>
      </c>
      <c r="L1502" s="18" t="str">
        <f>IF(OR(G1502&gt;Answers!I1517,G1502&lt;Answers!I1518),"Outlier","Normal")</f>
        <v>Outlier</v>
      </c>
      <c r="M1502" s="18">
        <v>72</v>
      </c>
    </row>
    <row r="1503" spans="1:13" ht="20" customHeight="1" x14ac:dyDescent="0.35">
      <c r="A1503" s="17">
        <v>998926</v>
      </c>
      <c r="B1503" s="18">
        <v>1677</v>
      </c>
      <c r="C1503" s="23" t="s">
        <v>107</v>
      </c>
      <c r="D1503" s="27">
        <v>45143.061805555553</v>
      </c>
      <c r="E1503" s="18" t="s">
        <v>97</v>
      </c>
      <c r="F1503" s="18" t="s">
        <v>27</v>
      </c>
      <c r="G1503" s="18">
        <v>9356</v>
      </c>
      <c r="H1503" s="25">
        <f t="shared" si="92"/>
        <v>45143</v>
      </c>
      <c r="I1503" s="26">
        <f t="shared" si="93"/>
        <v>6.1805555553291924E-2</v>
      </c>
      <c r="J1503" s="18" t="str">
        <f t="shared" si="94"/>
        <v>August</v>
      </c>
      <c r="K1503" s="56" t="str">
        <f t="shared" si="95"/>
        <v>Saturday</v>
      </c>
      <c r="L1503" s="18" t="str">
        <f>IF(OR(G1503&gt;Answers!I1518,G1503&lt;Answers!I1519),"Outlier","Normal")</f>
        <v>Outlier</v>
      </c>
      <c r="M1503" s="18">
        <v>51</v>
      </c>
    </row>
    <row r="1504" spans="1:13" ht="20" customHeight="1" x14ac:dyDescent="0.35">
      <c r="A1504" s="17">
        <v>999060</v>
      </c>
      <c r="B1504" s="18">
        <v>773</v>
      </c>
      <c r="C1504" s="23" t="s">
        <v>99</v>
      </c>
      <c r="D1504" s="27">
        <v>45063.038888888892</v>
      </c>
      <c r="E1504" s="18" t="s">
        <v>133</v>
      </c>
      <c r="F1504" s="18" t="s">
        <v>59</v>
      </c>
      <c r="G1504" s="18">
        <v>2259</v>
      </c>
      <c r="H1504" s="25">
        <f t="shared" si="92"/>
        <v>45063</v>
      </c>
      <c r="I1504" s="26">
        <f t="shared" si="93"/>
        <v>3.888888889196096E-2</v>
      </c>
      <c r="J1504" s="18" t="str">
        <f t="shared" si="94"/>
        <v>May</v>
      </c>
      <c r="K1504" s="56" t="str">
        <f t="shared" si="95"/>
        <v>Wednesday</v>
      </c>
      <c r="L1504" s="18" t="str">
        <f>IF(OR(G1504&gt;Answers!I1519,G1504&lt;Answers!I1520),"Outlier","Normal")</f>
        <v>Outlier</v>
      </c>
      <c r="M1504" s="18">
        <v>77</v>
      </c>
    </row>
    <row r="1505" spans="1:13" ht="20" customHeight="1" x14ac:dyDescent="0.35">
      <c r="A1505" s="17">
        <v>999352</v>
      </c>
      <c r="B1505" s="18">
        <v>214</v>
      </c>
      <c r="C1505" s="23" t="s">
        <v>99</v>
      </c>
      <c r="D1505" s="27">
        <v>45267.991666666669</v>
      </c>
      <c r="E1505" s="18" t="s">
        <v>98</v>
      </c>
      <c r="F1505" s="18" t="s">
        <v>87</v>
      </c>
      <c r="G1505" s="18">
        <v>8616</v>
      </c>
      <c r="H1505" s="25">
        <f t="shared" si="92"/>
        <v>45267</v>
      </c>
      <c r="I1505" s="26">
        <f t="shared" si="93"/>
        <v>0.99166666666860692</v>
      </c>
      <c r="J1505" s="18" t="str">
        <f t="shared" si="94"/>
        <v>December</v>
      </c>
      <c r="K1505" s="56" t="str">
        <f t="shared" si="95"/>
        <v>Thursday</v>
      </c>
      <c r="L1505" s="18" t="str">
        <f>IF(OR(G1505&gt;Answers!I1520,G1505&lt;Answers!I1521),"Outlier","Normal")</f>
        <v>Outlier</v>
      </c>
      <c r="M1505" s="18">
        <v>18</v>
      </c>
    </row>
    <row r="1506" spans="1:13" ht="20" customHeight="1" x14ac:dyDescent="0.35">
      <c r="A1506" s="17">
        <v>999621</v>
      </c>
      <c r="B1506" s="18">
        <v>1643</v>
      </c>
      <c r="C1506" s="23" t="s">
        <v>101</v>
      </c>
      <c r="D1506" s="27">
        <v>45138.015972222223</v>
      </c>
      <c r="E1506" s="18" t="s">
        <v>98</v>
      </c>
      <c r="F1506" s="18" t="s">
        <v>74</v>
      </c>
      <c r="G1506" s="18">
        <v>4264</v>
      </c>
      <c r="H1506" s="25">
        <f t="shared" si="92"/>
        <v>45138</v>
      </c>
      <c r="I1506" s="26">
        <f t="shared" si="93"/>
        <v>1.5972222223354038E-2</v>
      </c>
      <c r="J1506" s="18" t="str">
        <f t="shared" si="94"/>
        <v>July</v>
      </c>
      <c r="K1506" s="56" t="str">
        <f t="shared" si="95"/>
        <v>Monday</v>
      </c>
      <c r="L1506" s="18" t="str">
        <f>IF(OR(G1506&gt;Answers!I1521,G1506&lt;Answers!I1522),"Outlier","Normal")</f>
        <v>Outlier</v>
      </c>
      <c r="M1506" s="18">
        <v>29</v>
      </c>
    </row>
    <row r="1507" spans="1:13" ht="20" customHeight="1" x14ac:dyDescent="0.35">
      <c r="A1507" s="17">
        <v>1000209</v>
      </c>
      <c r="B1507" s="18">
        <v>240</v>
      </c>
      <c r="C1507" s="23" t="s">
        <v>99</v>
      </c>
      <c r="D1507" s="27">
        <v>45160.041666666664</v>
      </c>
      <c r="E1507" s="18" t="s">
        <v>97</v>
      </c>
      <c r="F1507" s="18" t="s">
        <v>88</v>
      </c>
      <c r="G1507" s="18">
        <v>3641</v>
      </c>
      <c r="H1507" s="25">
        <f t="shared" si="92"/>
        <v>45160</v>
      </c>
      <c r="I1507" s="26">
        <f t="shared" si="93"/>
        <v>4.1666666664241347E-2</v>
      </c>
      <c r="J1507" s="18" t="str">
        <f t="shared" si="94"/>
        <v>August</v>
      </c>
      <c r="K1507" s="56" t="str">
        <f t="shared" si="95"/>
        <v>Tuesday</v>
      </c>
      <c r="L1507" s="18" t="str">
        <f>IF(OR(G1507&gt;Answers!I1522,G1507&lt;Answers!I1523),"Outlier","Normal")</f>
        <v>Outlier</v>
      </c>
      <c r="M1507" s="18">
        <v>63</v>
      </c>
    </row>
    <row r="1508" spans="1:13" ht="20" customHeight="1" x14ac:dyDescent="0.35">
      <c r="A1508" s="17">
        <v>1000225</v>
      </c>
      <c r="B1508" s="18">
        <v>1329</v>
      </c>
      <c r="C1508" s="23" t="s">
        <v>99</v>
      </c>
      <c r="D1508" s="27">
        <v>45163.961111111108</v>
      </c>
      <c r="E1508" s="18" t="s">
        <v>98</v>
      </c>
      <c r="F1508" s="18" t="s">
        <v>69</v>
      </c>
      <c r="G1508" s="18">
        <v>3066</v>
      </c>
      <c r="H1508" s="25">
        <f t="shared" si="92"/>
        <v>45163</v>
      </c>
      <c r="I1508" s="26">
        <f t="shared" si="93"/>
        <v>0.96111111110803904</v>
      </c>
      <c r="J1508" s="18" t="str">
        <f t="shared" si="94"/>
        <v>August</v>
      </c>
      <c r="K1508" s="56" t="str">
        <f t="shared" si="95"/>
        <v>Friday</v>
      </c>
      <c r="L1508" s="18" t="str">
        <f>IF(OR(G1508&gt;Answers!I1523,G1508&lt;Answers!I1524),"Outlier","Normal")</f>
        <v>Outlier</v>
      </c>
      <c r="M1508" s="18">
        <v>62</v>
      </c>
    </row>
    <row r="1509" spans="1:13" ht="20" customHeight="1" x14ac:dyDescent="0.35">
      <c r="A1509" s="17">
        <v>1000578</v>
      </c>
      <c r="B1509" s="18">
        <v>1344</v>
      </c>
      <c r="C1509" s="23" t="s">
        <v>105</v>
      </c>
      <c r="D1509" s="27">
        <v>45070.980555555558</v>
      </c>
      <c r="E1509" s="18" t="s">
        <v>97</v>
      </c>
      <c r="F1509" s="18" t="s">
        <v>89</v>
      </c>
      <c r="G1509" s="18">
        <v>2515</v>
      </c>
      <c r="H1509" s="25">
        <f t="shared" si="92"/>
        <v>45070</v>
      </c>
      <c r="I1509" s="26">
        <f t="shared" si="93"/>
        <v>0.9805555555576575</v>
      </c>
      <c r="J1509" s="18" t="str">
        <f t="shared" si="94"/>
        <v>May</v>
      </c>
      <c r="K1509" s="56" t="str">
        <f t="shared" si="95"/>
        <v>Wednesday</v>
      </c>
      <c r="L1509" s="18" t="str">
        <f>IF(OR(G1509&gt;Answers!I1524,G1509&lt;Answers!I1525),"Outlier","Normal")</f>
        <v>Outlier</v>
      </c>
      <c r="M1509" s="18">
        <v>40</v>
      </c>
    </row>
    <row r="1510" spans="1:13" ht="20" customHeight="1" x14ac:dyDescent="0.35">
      <c r="A1510" s="17">
        <v>1000651</v>
      </c>
      <c r="B1510" s="18">
        <v>1883</v>
      </c>
      <c r="C1510" s="23" t="s">
        <v>99</v>
      </c>
      <c r="D1510" s="27">
        <v>45010.949305555558</v>
      </c>
      <c r="E1510" s="18" t="s">
        <v>133</v>
      </c>
      <c r="F1510" s="18" t="s">
        <v>27</v>
      </c>
      <c r="G1510" s="18">
        <v>1594</v>
      </c>
      <c r="H1510" s="25">
        <f t="shared" si="92"/>
        <v>45010</v>
      </c>
      <c r="I1510" s="26">
        <f t="shared" si="93"/>
        <v>0.9493055555576575</v>
      </c>
      <c r="J1510" s="18" t="str">
        <f t="shared" si="94"/>
        <v>March</v>
      </c>
      <c r="K1510" s="56" t="str">
        <f t="shared" si="95"/>
        <v>Saturday</v>
      </c>
      <c r="L1510" s="18" t="str">
        <f>IF(OR(G1510&gt;Answers!I1525,G1510&lt;Answers!I1526),"Outlier","Normal")</f>
        <v>Outlier</v>
      </c>
      <c r="M1510" s="18">
        <v>20</v>
      </c>
    </row>
    <row r="1511" spans="1:13" ht="20" customHeight="1" x14ac:dyDescent="0.35">
      <c r="A1511" s="17">
        <v>1001243</v>
      </c>
      <c r="B1511" s="18">
        <v>318</v>
      </c>
      <c r="C1511" s="23" t="s">
        <v>113</v>
      </c>
      <c r="D1511" s="27">
        <v>45062.05</v>
      </c>
      <c r="E1511" s="18" t="s">
        <v>133</v>
      </c>
      <c r="F1511" s="18" t="s">
        <v>25</v>
      </c>
      <c r="G1511" s="18">
        <v>3114</v>
      </c>
      <c r="H1511" s="25">
        <f t="shared" si="92"/>
        <v>45062</v>
      </c>
      <c r="I1511" s="26">
        <f t="shared" si="93"/>
        <v>5.0000000002910383E-2</v>
      </c>
      <c r="J1511" s="18" t="str">
        <f t="shared" si="94"/>
        <v>May</v>
      </c>
      <c r="K1511" s="56" t="str">
        <f t="shared" si="95"/>
        <v>Tuesday</v>
      </c>
      <c r="L1511" s="18" t="str">
        <f>IF(OR(G1511&gt;Answers!I1526,G1511&lt;Answers!I1527),"Outlier","Normal")</f>
        <v>Outlier</v>
      </c>
      <c r="M1511" s="18">
        <v>35</v>
      </c>
    </row>
    <row r="1512" spans="1:13" ht="20" customHeight="1" x14ac:dyDescent="0.35">
      <c r="A1512" s="17">
        <v>1001621</v>
      </c>
      <c r="B1512" s="18">
        <v>1506</v>
      </c>
      <c r="C1512" s="23" t="s">
        <v>99</v>
      </c>
      <c r="D1512" s="27">
        <v>45268.03125</v>
      </c>
      <c r="E1512" s="18" t="s">
        <v>97</v>
      </c>
      <c r="F1512" s="18" t="s">
        <v>81</v>
      </c>
      <c r="G1512" s="18">
        <v>9768</v>
      </c>
      <c r="H1512" s="25">
        <f t="shared" si="92"/>
        <v>45268</v>
      </c>
      <c r="I1512" s="26">
        <f t="shared" si="93"/>
        <v>3.125E-2</v>
      </c>
      <c r="J1512" s="18" t="str">
        <f t="shared" si="94"/>
        <v>December</v>
      </c>
      <c r="K1512" s="56" t="str">
        <f t="shared" si="95"/>
        <v>Friday</v>
      </c>
      <c r="L1512" s="18" t="str">
        <f>IF(OR(G1512&gt;Answers!I1527,G1512&lt;Answers!I1528),"Outlier","Normal")</f>
        <v>Outlier</v>
      </c>
      <c r="M1512" s="18">
        <v>18</v>
      </c>
    </row>
    <row r="1513" spans="1:13" ht="20" customHeight="1" x14ac:dyDescent="0.35">
      <c r="A1513" s="17">
        <v>1001825</v>
      </c>
      <c r="B1513" s="18">
        <v>1304</v>
      </c>
      <c r="C1513" s="23" t="s">
        <v>107</v>
      </c>
      <c r="D1513" s="27">
        <v>45078.960416666669</v>
      </c>
      <c r="E1513" s="18" t="s">
        <v>98</v>
      </c>
      <c r="F1513" s="18" t="s">
        <v>5</v>
      </c>
      <c r="G1513" s="18">
        <v>7174</v>
      </c>
      <c r="H1513" s="25">
        <f t="shared" si="92"/>
        <v>45078</v>
      </c>
      <c r="I1513" s="26">
        <f t="shared" si="93"/>
        <v>0.96041666666860692</v>
      </c>
      <c r="J1513" s="18" t="str">
        <f t="shared" si="94"/>
        <v>June</v>
      </c>
      <c r="K1513" s="56" t="str">
        <f t="shared" si="95"/>
        <v>Thursday</v>
      </c>
      <c r="L1513" s="18" t="str">
        <f>IF(OR(G1513&gt;Answers!I1528,G1513&lt;Answers!I1529),"Outlier","Normal")</f>
        <v>Outlier</v>
      </c>
      <c r="M1513" s="18">
        <v>18</v>
      </c>
    </row>
    <row r="1514" spans="1:13" ht="20" customHeight="1" x14ac:dyDescent="0.35">
      <c r="A1514" s="17">
        <v>1003235</v>
      </c>
      <c r="B1514" s="18">
        <v>1435</v>
      </c>
      <c r="C1514" s="23" t="s">
        <v>100</v>
      </c>
      <c r="D1514" s="27">
        <v>45021.098611111112</v>
      </c>
      <c r="E1514" s="18" t="s">
        <v>133</v>
      </c>
      <c r="F1514" s="18" t="s">
        <v>7</v>
      </c>
      <c r="G1514" s="18">
        <v>9029</v>
      </c>
      <c r="H1514" s="25">
        <f t="shared" si="92"/>
        <v>45021</v>
      </c>
      <c r="I1514" s="26">
        <f t="shared" si="93"/>
        <v>9.8611111112404615E-2</v>
      </c>
      <c r="J1514" s="18" t="str">
        <f t="shared" si="94"/>
        <v>April</v>
      </c>
      <c r="K1514" s="56" t="str">
        <f t="shared" si="95"/>
        <v>Wednesday</v>
      </c>
      <c r="L1514" s="18" t="str">
        <f>IF(OR(G1514&gt;Answers!I1529,G1514&lt;Answers!I1530),"Outlier","Normal")</f>
        <v>Outlier</v>
      </c>
      <c r="M1514" s="18">
        <v>45</v>
      </c>
    </row>
    <row r="1515" spans="1:13" ht="20" customHeight="1" x14ac:dyDescent="0.35">
      <c r="A1515" s="17">
        <v>1003833</v>
      </c>
      <c r="B1515" s="18">
        <v>1270</v>
      </c>
      <c r="C1515" s="23" t="s">
        <v>99</v>
      </c>
      <c r="D1515" s="27">
        <v>44999.984027777777</v>
      </c>
      <c r="E1515" s="18" t="s">
        <v>97</v>
      </c>
      <c r="F1515" s="18" t="s">
        <v>27</v>
      </c>
      <c r="G1515" s="18">
        <v>5170</v>
      </c>
      <c r="H1515" s="25">
        <f t="shared" si="92"/>
        <v>44999</v>
      </c>
      <c r="I1515" s="26">
        <f t="shared" si="93"/>
        <v>0.98402777777664596</v>
      </c>
      <c r="J1515" s="18" t="str">
        <f t="shared" si="94"/>
        <v>March</v>
      </c>
      <c r="K1515" s="56" t="str">
        <f t="shared" si="95"/>
        <v>Tuesday</v>
      </c>
      <c r="L1515" s="18" t="str">
        <f>IF(OR(G1515&gt;Answers!I1530,G1515&lt;Answers!I1531),"Outlier","Normal")</f>
        <v>Outlier</v>
      </c>
      <c r="M1515" s="18">
        <v>48</v>
      </c>
    </row>
    <row r="1516" spans="1:13" ht="20" customHeight="1" x14ac:dyDescent="0.35">
      <c r="A1516" s="17">
        <v>1004136</v>
      </c>
      <c r="B1516" s="18">
        <v>305</v>
      </c>
      <c r="C1516" s="23" t="s">
        <v>101</v>
      </c>
      <c r="D1516" s="27">
        <v>45041.988888888889</v>
      </c>
      <c r="E1516" s="18" t="s">
        <v>133</v>
      </c>
      <c r="F1516" s="18" t="s">
        <v>65</v>
      </c>
      <c r="G1516" s="18">
        <v>4465</v>
      </c>
      <c r="H1516" s="25">
        <f t="shared" si="92"/>
        <v>45041</v>
      </c>
      <c r="I1516" s="26">
        <f t="shared" si="93"/>
        <v>0.98888888888905058</v>
      </c>
      <c r="J1516" s="18" t="str">
        <f t="shared" si="94"/>
        <v>April</v>
      </c>
      <c r="K1516" s="56" t="str">
        <f t="shared" si="95"/>
        <v>Tuesday</v>
      </c>
      <c r="L1516" s="18" t="str">
        <f>IF(OR(G1516&gt;Answers!I1531,G1516&lt;Answers!I1532),"Outlier","Normal")</f>
        <v>Outlier</v>
      </c>
      <c r="M1516" s="18">
        <v>58</v>
      </c>
    </row>
    <row r="1517" spans="1:13" ht="20" customHeight="1" x14ac:dyDescent="0.35">
      <c r="A1517" s="17">
        <v>1004148</v>
      </c>
      <c r="B1517" s="18">
        <v>9</v>
      </c>
      <c r="C1517" s="23" t="s">
        <v>100</v>
      </c>
      <c r="D1517" s="27">
        <v>45200.043749999997</v>
      </c>
      <c r="E1517" s="18" t="s">
        <v>133</v>
      </c>
      <c r="F1517" s="18" t="s">
        <v>24</v>
      </c>
      <c r="G1517" s="18">
        <v>9670</v>
      </c>
      <c r="H1517" s="25">
        <f t="shared" si="92"/>
        <v>45200</v>
      </c>
      <c r="I1517" s="26">
        <f t="shared" si="93"/>
        <v>4.3749999997089617E-2</v>
      </c>
      <c r="J1517" s="18" t="str">
        <f t="shared" si="94"/>
        <v>October</v>
      </c>
      <c r="K1517" s="56" t="str">
        <f t="shared" si="95"/>
        <v>Sunday</v>
      </c>
      <c r="L1517" s="18" t="str">
        <f>IF(OR(G1517&gt;Answers!I1532,G1517&lt;Answers!I1533),"Outlier","Normal")</f>
        <v>Outlier</v>
      </c>
      <c r="M1517" s="18">
        <v>75</v>
      </c>
    </row>
    <row r="1518" spans="1:13" ht="20" customHeight="1" x14ac:dyDescent="0.35">
      <c r="A1518" s="17">
        <v>1004722</v>
      </c>
      <c r="B1518" s="18">
        <v>1176</v>
      </c>
      <c r="C1518" s="23" t="s">
        <v>99</v>
      </c>
      <c r="D1518" s="27">
        <v>45081.056250000001</v>
      </c>
      <c r="E1518" s="18" t="s">
        <v>133</v>
      </c>
      <c r="F1518" s="18" t="s">
        <v>90</v>
      </c>
      <c r="G1518" s="18">
        <v>315</v>
      </c>
      <c r="H1518" s="25">
        <f t="shared" si="92"/>
        <v>45081</v>
      </c>
      <c r="I1518" s="26">
        <f t="shared" si="93"/>
        <v>5.6250000001455192E-2</v>
      </c>
      <c r="J1518" s="18" t="str">
        <f t="shared" si="94"/>
        <v>June</v>
      </c>
      <c r="K1518" s="56" t="str">
        <f t="shared" si="95"/>
        <v>Sunday</v>
      </c>
      <c r="L1518" s="18" t="str">
        <f>IF(OR(G1518&gt;Answers!I1533,G1518&lt;Answers!I1534),"Outlier","Normal")</f>
        <v>Outlier</v>
      </c>
      <c r="M1518" s="18">
        <v>89</v>
      </c>
    </row>
    <row r="1519" spans="1:13" ht="20" customHeight="1" x14ac:dyDescent="0.35">
      <c r="A1519" s="17">
        <v>1004737</v>
      </c>
      <c r="B1519" s="18">
        <v>324</v>
      </c>
      <c r="C1519" s="23" t="s">
        <v>101</v>
      </c>
      <c r="D1519" s="27">
        <v>45144.083333333336</v>
      </c>
      <c r="E1519" s="18" t="s">
        <v>96</v>
      </c>
      <c r="F1519" s="18" t="s">
        <v>14</v>
      </c>
      <c r="G1519" s="18">
        <v>9848</v>
      </c>
      <c r="H1519" s="25">
        <f t="shared" si="92"/>
        <v>45144</v>
      </c>
      <c r="I1519" s="26">
        <f t="shared" si="93"/>
        <v>8.3333333335758653E-2</v>
      </c>
      <c r="J1519" s="18" t="str">
        <f t="shared" si="94"/>
        <v>August</v>
      </c>
      <c r="K1519" s="56" t="str">
        <f t="shared" si="95"/>
        <v>Sunday</v>
      </c>
      <c r="L1519" s="18" t="str">
        <f>IF(OR(G1519&gt;Answers!I1534,G1519&lt;Answers!I1535),"Outlier","Normal")</f>
        <v>Outlier</v>
      </c>
      <c r="M1519" s="18">
        <v>28</v>
      </c>
    </row>
    <row r="1520" spans="1:13" ht="20" customHeight="1" x14ac:dyDescent="0.35">
      <c r="A1520" s="17">
        <v>1005091</v>
      </c>
      <c r="B1520" s="18">
        <v>750</v>
      </c>
      <c r="C1520" s="23" t="s">
        <v>102</v>
      </c>
      <c r="D1520" s="27">
        <v>45014.97152777778</v>
      </c>
      <c r="E1520" s="18" t="s">
        <v>97</v>
      </c>
      <c r="F1520" s="18" t="s">
        <v>27</v>
      </c>
      <c r="G1520" s="18">
        <v>6680</v>
      </c>
      <c r="H1520" s="25">
        <f t="shared" si="92"/>
        <v>45014</v>
      </c>
      <c r="I1520" s="26">
        <f t="shared" si="93"/>
        <v>0.97152777777955635</v>
      </c>
      <c r="J1520" s="18" t="str">
        <f t="shared" si="94"/>
        <v>March</v>
      </c>
      <c r="K1520" s="56" t="str">
        <f t="shared" si="95"/>
        <v>Wednesday</v>
      </c>
      <c r="L1520" s="18" t="str">
        <f>IF(OR(G1520&gt;Answers!I1535,G1520&lt;Answers!I1536),"Outlier","Normal")</f>
        <v>Outlier</v>
      </c>
      <c r="M1520" s="18">
        <v>40</v>
      </c>
    </row>
    <row r="1521" spans="1:13" ht="20" customHeight="1" x14ac:dyDescent="0.35">
      <c r="A1521" s="17">
        <v>1006791</v>
      </c>
      <c r="B1521" s="18">
        <v>425</v>
      </c>
      <c r="C1521" s="23" t="s">
        <v>113</v>
      </c>
      <c r="D1521" s="27">
        <v>45125.95208333333</v>
      </c>
      <c r="E1521" s="18" t="s">
        <v>98</v>
      </c>
      <c r="F1521" s="18" t="s">
        <v>7</v>
      </c>
      <c r="G1521" s="18">
        <v>8280</v>
      </c>
      <c r="H1521" s="25">
        <f t="shared" si="92"/>
        <v>45125</v>
      </c>
      <c r="I1521" s="26">
        <f t="shared" si="93"/>
        <v>0.95208333332993789</v>
      </c>
      <c r="J1521" s="18" t="str">
        <f t="shared" si="94"/>
        <v>July</v>
      </c>
      <c r="K1521" s="56" t="str">
        <f t="shared" si="95"/>
        <v>Tuesday</v>
      </c>
      <c r="L1521" s="18" t="str">
        <f>IF(OR(G1521&gt;Answers!I1536,G1521&lt;Answers!I1537),"Outlier","Normal")</f>
        <v>Outlier</v>
      </c>
      <c r="M1521" s="18">
        <v>51</v>
      </c>
    </row>
    <row r="1522" spans="1:13" ht="20" customHeight="1" x14ac:dyDescent="0.35">
      <c r="A1522" s="17">
        <v>1007141</v>
      </c>
      <c r="B1522" s="18">
        <v>50</v>
      </c>
      <c r="C1522" s="23" t="s">
        <v>103</v>
      </c>
      <c r="D1522" s="27">
        <v>45272.925000000003</v>
      </c>
      <c r="E1522" s="18" t="s">
        <v>97</v>
      </c>
      <c r="F1522" s="18" t="s">
        <v>9</v>
      </c>
      <c r="G1522" s="18">
        <v>2689</v>
      </c>
      <c r="H1522" s="25">
        <f t="shared" si="92"/>
        <v>45272</v>
      </c>
      <c r="I1522" s="26">
        <f t="shared" si="93"/>
        <v>0.92500000000291038</v>
      </c>
      <c r="J1522" s="18" t="str">
        <f t="shared" si="94"/>
        <v>December</v>
      </c>
      <c r="K1522" s="56" t="str">
        <f t="shared" si="95"/>
        <v>Tuesday</v>
      </c>
      <c r="L1522" s="18" t="str">
        <f>IF(OR(G1522&gt;Answers!I1537,G1522&lt;Answers!I1538),"Outlier","Normal")</f>
        <v>Outlier</v>
      </c>
      <c r="M1522" s="18">
        <v>83</v>
      </c>
    </row>
    <row r="1523" spans="1:13" ht="20" customHeight="1" x14ac:dyDescent="0.35">
      <c r="A1523" s="17">
        <v>1007700</v>
      </c>
      <c r="B1523" s="18">
        <v>841</v>
      </c>
      <c r="C1523" s="23" t="s">
        <v>99</v>
      </c>
      <c r="D1523" s="27">
        <v>45179.981944444444</v>
      </c>
      <c r="E1523" s="18" t="s">
        <v>98</v>
      </c>
      <c r="F1523" s="18" t="s">
        <v>48</v>
      </c>
      <c r="G1523" s="18">
        <v>7646</v>
      </c>
      <c r="H1523" s="25">
        <f t="shared" si="92"/>
        <v>45179</v>
      </c>
      <c r="I1523" s="26">
        <f t="shared" si="93"/>
        <v>0.98194444444379769</v>
      </c>
      <c r="J1523" s="18" t="str">
        <f t="shared" si="94"/>
        <v>September</v>
      </c>
      <c r="K1523" s="56" t="str">
        <f t="shared" si="95"/>
        <v>Sunday</v>
      </c>
      <c r="L1523" s="18" t="str">
        <f>IF(OR(G1523&gt;Answers!I1538,G1523&lt;Answers!I1539),"Outlier","Normal")</f>
        <v>Outlier</v>
      </c>
      <c r="M1523" s="18">
        <v>42</v>
      </c>
    </row>
    <row r="1524" spans="1:13" ht="20" customHeight="1" x14ac:dyDescent="0.35">
      <c r="A1524" s="17">
        <v>1008914</v>
      </c>
      <c r="B1524" s="18">
        <v>247</v>
      </c>
      <c r="C1524" s="23" t="s">
        <v>100</v>
      </c>
      <c r="D1524" s="27">
        <v>44999.026388888888</v>
      </c>
      <c r="E1524" s="18" t="s">
        <v>98</v>
      </c>
      <c r="F1524" s="18" t="s">
        <v>14</v>
      </c>
      <c r="G1524" s="18">
        <v>1718</v>
      </c>
      <c r="H1524" s="25">
        <f t="shared" si="92"/>
        <v>44999</v>
      </c>
      <c r="I1524" s="26">
        <f t="shared" si="93"/>
        <v>2.6388888887595385E-2</v>
      </c>
      <c r="J1524" s="18" t="str">
        <f t="shared" si="94"/>
        <v>March</v>
      </c>
      <c r="K1524" s="56" t="str">
        <f t="shared" si="95"/>
        <v>Tuesday</v>
      </c>
      <c r="L1524" s="18" t="str">
        <f>IF(OR(G1524&gt;Answers!I1539,G1524&lt;Answers!I1540),"Outlier","Normal")</f>
        <v>Outlier</v>
      </c>
      <c r="M1524" s="18">
        <v>45</v>
      </c>
    </row>
    <row r="1525" spans="1:13" ht="20" customHeight="1" x14ac:dyDescent="0.35">
      <c r="A1525" s="17">
        <v>1011917</v>
      </c>
      <c r="B1525" s="18">
        <v>1586</v>
      </c>
      <c r="C1525" s="23" t="s">
        <v>100</v>
      </c>
      <c r="D1525" s="27">
        <v>45098.052777777775</v>
      </c>
      <c r="E1525" s="18" t="s">
        <v>97</v>
      </c>
      <c r="F1525" s="18" t="s">
        <v>61</v>
      </c>
      <c r="G1525" s="18">
        <v>498</v>
      </c>
      <c r="H1525" s="25">
        <f t="shared" si="92"/>
        <v>45098</v>
      </c>
      <c r="I1525" s="26">
        <f t="shared" si="93"/>
        <v>5.2777777775190771E-2</v>
      </c>
      <c r="J1525" s="18" t="str">
        <f t="shared" si="94"/>
        <v>June</v>
      </c>
      <c r="K1525" s="56" t="str">
        <f t="shared" si="95"/>
        <v>Wednesday</v>
      </c>
      <c r="L1525" s="18" t="str">
        <f>IF(OR(G1525&gt;Answers!I1540,G1525&lt;Answers!I1541),"Outlier","Normal")</f>
        <v>Outlier</v>
      </c>
      <c r="M1525" s="18">
        <v>42</v>
      </c>
    </row>
    <row r="1526" spans="1:13" ht="20" customHeight="1" x14ac:dyDescent="0.35">
      <c r="A1526" s="17">
        <v>1012304</v>
      </c>
      <c r="B1526" s="18">
        <v>1253</v>
      </c>
      <c r="C1526" s="23" t="s">
        <v>99</v>
      </c>
      <c r="D1526" s="27">
        <v>44948.01666666667</v>
      </c>
      <c r="E1526" s="18" t="s">
        <v>98</v>
      </c>
      <c r="F1526" s="18" t="s">
        <v>65</v>
      </c>
      <c r="G1526" s="18">
        <v>6132</v>
      </c>
      <c r="H1526" s="25">
        <f t="shared" si="92"/>
        <v>44948</v>
      </c>
      <c r="I1526" s="26">
        <f t="shared" si="93"/>
        <v>1.6666666670062114E-2</v>
      </c>
      <c r="J1526" s="18" t="str">
        <f t="shared" si="94"/>
        <v>January</v>
      </c>
      <c r="K1526" s="56" t="str">
        <f t="shared" si="95"/>
        <v>Sunday</v>
      </c>
      <c r="L1526" s="18" t="str">
        <f>IF(OR(G1526&gt;Answers!I1541,G1526&lt;Answers!I1542),"Outlier","Normal")</f>
        <v>Outlier</v>
      </c>
      <c r="M1526" s="18">
        <v>79</v>
      </c>
    </row>
    <row r="1527" spans="1:13" ht="20" customHeight="1" x14ac:dyDescent="0.35">
      <c r="A1527" s="17">
        <v>1013457</v>
      </c>
      <c r="B1527" s="18">
        <v>313</v>
      </c>
      <c r="C1527" s="23" t="s">
        <v>113</v>
      </c>
      <c r="D1527" s="27">
        <v>45124.030555555553</v>
      </c>
      <c r="E1527" s="18" t="s">
        <v>98</v>
      </c>
      <c r="F1527" s="18" t="s">
        <v>27</v>
      </c>
      <c r="G1527" s="18">
        <v>3289</v>
      </c>
      <c r="H1527" s="25">
        <f t="shared" si="92"/>
        <v>45124</v>
      </c>
      <c r="I1527" s="26">
        <f t="shared" si="93"/>
        <v>3.0555555553291924E-2</v>
      </c>
      <c r="J1527" s="18" t="str">
        <f t="shared" si="94"/>
        <v>July</v>
      </c>
      <c r="K1527" s="56" t="str">
        <f t="shared" si="95"/>
        <v>Monday</v>
      </c>
      <c r="L1527" s="18" t="str">
        <f>IF(OR(G1527&gt;Answers!I1542,G1527&lt;Answers!I1543),"Outlier","Normal")</f>
        <v>Outlier</v>
      </c>
      <c r="M1527" s="18">
        <v>61</v>
      </c>
    </row>
    <row r="1528" spans="1:13" ht="20" customHeight="1" x14ac:dyDescent="0.35">
      <c r="A1528" s="17">
        <v>1013492</v>
      </c>
      <c r="B1528" s="18">
        <v>1294</v>
      </c>
      <c r="C1528" s="23" t="s">
        <v>100</v>
      </c>
      <c r="D1528" s="27">
        <v>45253.98541666667</v>
      </c>
      <c r="E1528" s="18" t="s">
        <v>97</v>
      </c>
      <c r="F1528" s="18" t="s">
        <v>18</v>
      </c>
      <c r="G1528" s="18">
        <v>4442</v>
      </c>
      <c r="H1528" s="25">
        <f t="shared" si="92"/>
        <v>45253</v>
      </c>
      <c r="I1528" s="26">
        <f t="shared" si="93"/>
        <v>0.98541666667006211</v>
      </c>
      <c r="J1528" s="18" t="str">
        <f t="shared" si="94"/>
        <v>November</v>
      </c>
      <c r="K1528" s="56" t="str">
        <f t="shared" si="95"/>
        <v>Thursday</v>
      </c>
      <c r="L1528" s="18" t="str">
        <f>IF(OR(G1528&gt;Answers!I1543,G1528&lt;Answers!I1544),"Outlier","Normal")</f>
        <v>Outlier</v>
      </c>
      <c r="M1528" s="18">
        <v>54</v>
      </c>
    </row>
    <row r="1529" spans="1:13" ht="20" customHeight="1" x14ac:dyDescent="0.35">
      <c r="A1529" s="17">
        <v>1014185</v>
      </c>
      <c r="B1529" s="18">
        <v>1359</v>
      </c>
      <c r="C1529" s="23" t="s">
        <v>99</v>
      </c>
      <c r="D1529" s="27">
        <v>45245.017361111109</v>
      </c>
      <c r="E1529" s="18" t="s">
        <v>97</v>
      </c>
      <c r="F1529" s="18" t="s">
        <v>89</v>
      </c>
      <c r="G1529" s="18">
        <v>2585</v>
      </c>
      <c r="H1529" s="25">
        <f t="shared" si="92"/>
        <v>45245</v>
      </c>
      <c r="I1529" s="26">
        <f t="shared" si="93"/>
        <v>1.7361111109494232E-2</v>
      </c>
      <c r="J1529" s="18" t="str">
        <f t="shared" si="94"/>
        <v>November</v>
      </c>
      <c r="K1529" s="56" t="str">
        <f t="shared" si="95"/>
        <v>Wednesday</v>
      </c>
      <c r="L1529" s="18" t="str">
        <f>IF(OR(G1529&gt;Answers!I1544,G1529&lt;Answers!I1545),"Outlier","Normal")</f>
        <v>Outlier</v>
      </c>
      <c r="M1529" s="18">
        <v>78</v>
      </c>
    </row>
    <row r="1530" spans="1:13" ht="20" customHeight="1" x14ac:dyDescent="0.35">
      <c r="A1530" s="17">
        <v>1014215</v>
      </c>
      <c r="B1530" s="18">
        <v>1558</v>
      </c>
      <c r="C1530" s="23" t="s">
        <v>102</v>
      </c>
      <c r="D1530" s="27">
        <v>45087.043055555558</v>
      </c>
      <c r="E1530" s="18" t="s">
        <v>97</v>
      </c>
      <c r="F1530" s="18" t="s">
        <v>79</v>
      </c>
      <c r="G1530" s="18">
        <v>858</v>
      </c>
      <c r="H1530" s="25">
        <f t="shared" si="92"/>
        <v>45087</v>
      </c>
      <c r="I1530" s="26">
        <f t="shared" si="93"/>
        <v>4.3055555557657499E-2</v>
      </c>
      <c r="J1530" s="18" t="str">
        <f t="shared" si="94"/>
        <v>June</v>
      </c>
      <c r="K1530" s="56" t="str">
        <f t="shared" si="95"/>
        <v>Saturday</v>
      </c>
      <c r="L1530" s="18" t="str">
        <f>IF(OR(G1530&gt;Answers!I1545,G1530&lt;Answers!I1546),"Outlier","Normal")</f>
        <v>Outlier</v>
      </c>
      <c r="M1530" s="18">
        <v>83</v>
      </c>
    </row>
    <row r="1531" spans="1:13" ht="20" customHeight="1" x14ac:dyDescent="0.35">
      <c r="A1531" s="17">
        <v>1014724</v>
      </c>
      <c r="B1531" s="18">
        <v>744</v>
      </c>
      <c r="C1531" s="23" t="s">
        <v>102</v>
      </c>
      <c r="D1531" s="27">
        <v>45277.995138888888</v>
      </c>
      <c r="E1531" s="18" t="s">
        <v>96</v>
      </c>
      <c r="F1531" s="18" t="s">
        <v>51</v>
      </c>
      <c r="G1531" s="18">
        <v>231</v>
      </c>
      <c r="H1531" s="25">
        <f t="shared" si="92"/>
        <v>45277</v>
      </c>
      <c r="I1531" s="26">
        <f t="shared" si="93"/>
        <v>0.99513888888759539</v>
      </c>
      <c r="J1531" s="18" t="str">
        <f t="shared" si="94"/>
        <v>December</v>
      </c>
      <c r="K1531" s="56" t="str">
        <f t="shared" si="95"/>
        <v>Sunday</v>
      </c>
      <c r="L1531" s="18" t="str">
        <f>IF(OR(G1531&gt;Answers!I1546,G1531&lt;Answers!I1547),"Outlier","Normal")</f>
        <v>Outlier</v>
      </c>
      <c r="M1531" s="18">
        <v>33</v>
      </c>
    </row>
    <row r="1532" spans="1:13" ht="20" customHeight="1" x14ac:dyDescent="0.35">
      <c r="A1532" s="17">
        <v>1015146</v>
      </c>
      <c r="B1532" s="18">
        <v>1469</v>
      </c>
      <c r="C1532" s="23" t="s">
        <v>107</v>
      </c>
      <c r="D1532" s="27">
        <v>45027.056944444441</v>
      </c>
      <c r="E1532" s="18" t="s">
        <v>98</v>
      </c>
      <c r="F1532" s="18" t="s">
        <v>63</v>
      </c>
      <c r="G1532" s="18">
        <v>9395</v>
      </c>
      <c r="H1532" s="25">
        <f t="shared" si="92"/>
        <v>45027</v>
      </c>
      <c r="I1532" s="26">
        <f t="shared" si="93"/>
        <v>5.694444444088731E-2</v>
      </c>
      <c r="J1532" s="18" t="str">
        <f t="shared" si="94"/>
        <v>April</v>
      </c>
      <c r="K1532" s="56" t="str">
        <f t="shared" si="95"/>
        <v>Tuesday</v>
      </c>
      <c r="L1532" s="18" t="str">
        <f>IF(OR(G1532&gt;Answers!I1547,G1532&lt;Answers!I1548),"Outlier","Normal")</f>
        <v>Outlier</v>
      </c>
      <c r="M1532" s="18">
        <v>38</v>
      </c>
    </row>
    <row r="1533" spans="1:13" ht="20" customHeight="1" x14ac:dyDescent="0.35">
      <c r="A1533" s="17">
        <v>1016109</v>
      </c>
      <c r="B1533" s="18">
        <v>1256</v>
      </c>
      <c r="C1533" s="23" t="s">
        <v>105</v>
      </c>
      <c r="D1533" s="27">
        <v>45290.968055555553</v>
      </c>
      <c r="E1533" s="18" t="s">
        <v>96</v>
      </c>
      <c r="F1533" s="18" t="s">
        <v>90</v>
      </c>
      <c r="G1533" s="18">
        <v>8981</v>
      </c>
      <c r="H1533" s="25">
        <f t="shared" si="92"/>
        <v>45290</v>
      </c>
      <c r="I1533" s="26">
        <f t="shared" si="93"/>
        <v>0.96805555555329192</v>
      </c>
      <c r="J1533" s="18" t="str">
        <f t="shared" si="94"/>
        <v>December</v>
      </c>
      <c r="K1533" s="56" t="str">
        <f t="shared" si="95"/>
        <v>Saturday</v>
      </c>
      <c r="L1533" s="18" t="str">
        <f>IF(OR(G1533&gt;Answers!I1548,G1533&lt;Answers!I1549),"Outlier","Normal")</f>
        <v>Outlier</v>
      </c>
      <c r="M1533" s="18">
        <v>29</v>
      </c>
    </row>
    <row r="1534" spans="1:13" ht="20" customHeight="1" x14ac:dyDescent="0.35">
      <c r="A1534" s="17">
        <v>1016456</v>
      </c>
      <c r="B1534" s="18">
        <v>69</v>
      </c>
      <c r="C1534" s="23" t="s">
        <v>99</v>
      </c>
      <c r="D1534" s="27">
        <v>45194.946527777778</v>
      </c>
      <c r="E1534" s="18" t="s">
        <v>133</v>
      </c>
      <c r="F1534" s="18" t="s">
        <v>39</v>
      </c>
      <c r="G1534" s="18">
        <v>1984</v>
      </c>
      <c r="H1534" s="25">
        <f t="shared" si="92"/>
        <v>45194</v>
      </c>
      <c r="I1534" s="26">
        <f t="shared" si="93"/>
        <v>0.94652777777810115</v>
      </c>
      <c r="J1534" s="18" t="str">
        <f t="shared" si="94"/>
        <v>September</v>
      </c>
      <c r="K1534" s="56" t="str">
        <f t="shared" si="95"/>
        <v>Monday</v>
      </c>
      <c r="L1534" s="18" t="str">
        <f>IF(OR(G1534&gt;Answers!I1549,G1534&lt;Answers!I1550),"Outlier","Normal")</f>
        <v>Outlier</v>
      </c>
      <c r="M1534" s="18">
        <v>39</v>
      </c>
    </row>
    <row r="1535" spans="1:13" ht="20" customHeight="1" x14ac:dyDescent="0.35">
      <c r="A1535" s="17">
        <v>1016563</v>
      </c>
      <c r="B1535" s="18">
        <v>216</v>
      </c>
      <c r="C1535" s="23" t="s">
        <v>113</v>
      </c>
      <c r="D1535" s="27">
        <v>45238.995138888888</v>
      </c>
      <c r="E1535" s="18" t="s">
        <v>97</v>
      </c>
      <c r="F1535" s="18" t="s">
        <v>92</v>
      </c>
      <c r="G1535" s="18">
        <v>8735</v>
      </c>
      <c r="H1535" s="25">
        <f t="shared" si="92"/>
        <v>45238</v>
      </c>
      <c r="I1535" s="26">
        <f t="shared" si="93"/>
        <v>0.99513888888759539</v>
      </c>
      <c r="J1535" s="18" t="str">
        <f t="shared" si="94"/>
        <v>November</v>
      </c>
      <c r="K1535" s="56" t="str">
        <f t="shared" si="95"/>
        <v>Wednesday</v>
      </c>
      <c r="L1535" s="18" t="str">
        <f>IF(OR(G1535&gt;Answers!I1550,G1535&lt;Answers!I1551),"Outlier","Normal")</f>
        <v>Outlier</v>
      </c>
      <c r="M1535" s="18">
        <v>45</v>
      </c>
    </row>
    <row r="1536" spans="1:13" ht="20" customHeight="1" x14ac:dyDescent="0.35">
      <c r="A1536" s="17">
        <v>1017548</v>
      </c>
      <c r="B1536" s="18">
        <v>187</v>
      </c>
      <c r="C1536" s="23" t="s">
        <v>100</v>
      </c>
      <c r="D1536" s="27">
        <v>44970.057638888888</v>
      </c>
      <c r="E1536" s="18" t="s">
        <v>98</v>
      </c>
      <c r="F1536" s="18" t="s">
        <v>32</v>
      </c>
      <c r="G1536" s="18">
        <v>7555</v>
      </c>
      <c r="H1536" s="25">
        <f t="shared" si="92"/>
        <v>44970</v>
      </c>
      <c r="I1536" s="26">
        <f t="shared" si="93"/>
        <v>5.7638888887595385E-2</v>
      </c>
      <c r="J1536" s="18" t="str">
        <f t="shared" si="94"/>
        <v>February</v>
      </c>
      <c r="K1536" s="56" t="str">
        <f t="shared" si="95"/>
        <v>Monday</v>
      </c>
      <c r="L1536" s="18" t="str">
        <f>IF(OR(G1536&gt;Answers!I1551,G1536&lt;Answers!I1552),"Outlier","Normal")</f>
        <v>Outlier</v>
      </c>
      <c r="M1536" s="18">
        <v>68</v>
      </c>
    </row>
    <row r="1537" spans="1:13" ht="20" customHeight="1" x14ac:dyDescent="0.35">
      <c r="A1537" s="17">
        <v>1018145</v>
      </c>
      <c r="B1537" s="18">
        <v>523</v>
      </c>
      <c r="C1537" s="23" t="s">
        <v>99</v>
      </c>
      <c r="D1537" s="27">
        <v>45239.972222222219</v>
      </c>
      <c r="E1537" s="18" t="s">
        <v>96</v>
      </c>
      <c r="F1537" s="18" t="s">
        <v>27</v>
      </c>
      <c r="G1537" s="18">
        <v>9449</v>
      </c>
      <c r="H1537" s="25">
        <f t="shared" si="92"/>
        <v>45239</v>
      </c>
      <c r="I1537" s="26">
        <f t="shared" si="93"/>
        <v>0.97222222221898846</v>
      </c>
      <c r="J1537" s="18" t="str">
        <f t="shared" si="94"/>
        <v>November</v>
      </c>
      <c r="K1537" s="56" t="str">
        <f t="shared" si="95"/>
        <v>Thursday</v>
      </c>
      <c r="L1537" s="18" t="str">
        <f>IF(OR(G1537&gt;Answers!I1552,G1537&lt;Answers!I1553),"Outlier","Normal")</f>
        <v>Outlier</v>
      </c>
      <c r="M1537" s="18">
        <v>26</v>
      </c>
    </row>
    <row r="1538" spans="1:13" ht="20" customHeight="1" x14ac:dyDescent="0.35">
      <c r="A1538" s="17">
        <v>1018282</v>
      </c>
      <c r="B1538" s="18">
        <v>814</v>
      </c>
      <c r="C1538" s="23" t="s">
        <v>99</v>
      </c>
      <c r="D1538" s="27">
        <v>45267.022916666669</v>
      </c>
      <c r="E1538" s="18" t="s">
        <v>97</v>
      </c>
      <c r="F1538" s="18" t="s">
        <v>5</v>
      </c>
      <c r="G1538" s="18">
        <v>6590</v>
      </c>
      <c r="H1538" s="25">
        <f t="shared" si="92"/>
        <v>45267</v>
      </c>
      <c r="I1538" s="26">
        <f t="shared" si="93"/>
        <v>2.2916666668606922E-2</v>
      </c>
      <c r="J1538" s="18" t="str">
        <f t="shared" si="94"/>
        <v>December</v>
      </c>
      <c r="K1538" s="56" t="str">
        <f t="shared" si="95"/>
        <v>Thursday</v>
      </c>
      <c r="L1538" s="18" t="str">
        <f>IF(OR(G1538&gt;Answers!I1553,G1538&lt;Answers!I1554),"Outlier","Normal")</f>
        <v>Outlier</v>
      </c>
      <c r="M1538" s="18">
        <v>60</v>
      </c>
    </row>
    <row r="1539" spans="1:13" ht="20" customHeight="1" x14ac:dyDescent="0.35">
      <c r="A1539" s="17">
        <v>1018548</v>
      </c>
      <c r="B1539" s="18">
        <v>442</v>
      </c>
      <c r="C1539" s="23" t="s">
        <v>99</v>
      </c>
      <c r="D1539" s="27">
        <v>44992.974999999999</v>
      </c>
      <c r="E1539" s="18" t="s">
        <v>97</v>
      </c>
      <c r="F1539" s="18" t="s">
        <v>16</v>
      </c>
      <c r="G1539" s="18">
        <v>8622</v>
      </c>
      <c r="H1539" s="25">
        <f t="shared" ref="H1539:H1602" si="96">INT(D1539)</f>
        <v>44992</v>
      </c>
      <c r="I1539" s="26">
        <f t="shared" ref="I1539:I1602" si="97">MOD(D1539,1)</f>
        <v>0.97499999999854481</v>
      </c>
      <c r="J1539" s="18" t="str">
        <f t="shared" ref="J1539:J1602" si="98">TEXT(D1539,"mmmm")</f>
        <v>March</v>
      </c>
      <c r="K1539" s="56" t="str">
        <f t="shared" ref="K1539:K1602" si="99">TEXT(D1539,"dddd")</f>
        <v>Tuesday</v>
      </c>
      <c r="L1539" s="18" t="str">
        <f>IF(OR(G1539&gt;Answers!I1554,G1539&lt;Answers!I1555),"Outlier","Normal")</f>
        <v>Outlier</v>
      </c>
      <c r="M1539" s="18">
        <v>62</v>
      </c>
    </row>
    <row r="1540" spans="1:13" ht="20" customHeight="1" x14ac:dyDescent="0.35">
      <c r="A1540" s="17">
        <v>1019737</v>
      </c>
      <c r="B1540" s="18">
        <v>1970</v>
      </c>
      <c r="C1540" s="23" t="s">
        <v>100</v>
      </c>
      <c r="D1540" s="27">
        <v>45081.989583333336</v>
      </c>
      <c r="E1540" s="18" t="s">
        <v>133</v>
      </c>
      <c r="F1540" s="18" t="s">
        <v>74</v>
      </c>
      <c r="G1540" s="18">
        <v>5789</v>
      </c>
      <c r="H1540" s="25">
        <f t="shared" si="96"/>
        <v>45081</v>
      </c>
      <c r="I1540" s="26">
        <f t="shared" si="97"/>
        <v>0.98958333333575865</v>
      </c>
      <c r="J1540" s="18" t="str">
        <f t="shared" si="98"/>
        <v>June</v>
      </c>
      <c r="K1540" s="56" t="str">
        <f t="shared" si="99"/>
        <v>Sunday</v>
      </c>
      <c r="L1540" s="18" t="str">
        <f>IF(OR(G1540&gt;Answers!I1555,G1540&lt;Answers!I1556),"Outlier","Normal")</f>
        <v>Outlier</v>
      </c>
      <c r="M1540" s="18">
        <v>79</v>
      </c>
    </row>
    <row r="1541" spans="1:13" ht="20" customHeight="1" x14ac:dyDescent="0.35">
      <c r="A1541" s="17">
        <v>1020737</v>
      </c>
      <c r="B1541" s="18">
        <v>575</v>
      </c>
      <c r="C1541" s="23" t="s">
        <v>113</v>
      </c>
      <c r="D1541" s="27">
        <v>45267.081944444442</v>
      </c>
      <c r="E1541" s="18" t="s">
        <v>97</v>
      </c>
      <c r="F1541" s="18" t="s">
        <v>76</v>
      </c>
      <c r="G1541" s="18">
        <v>7392</v>
      </c>
      <c r="H1541" s="25">
        <f t="shared" si="96"/>
        <v>45267</v>
      </c>
      <c r="I1541" s="26">
        <f t="shared" si="97"/>
        <v>8.1944444442342501E-2</v>
      </c>
      <c r="J1541" s="18" t="str">
        <f t="shared" si="98"/>
        <v>December</v>
      </c>
      <c r="K1541" s="56" t="str">
        <f t="shared" si="99"/>
        <v>Thursday</v>
      </c>
      <c r="L1541" s="18" t="str">
        <f>IF(OR(G1541&gt;Answers!I1556,G1541&lt;Answers!I1557),"Outlier","Normal")</f>
        <v>Outlier</v>
      </c>
      <c r="M1541" s="18">
        <v>85</v>
      </c>
    </row>
    <row r="1542" spans="1:13" ht="20" customHeight="1" x14ac:dyDescent="0.35">
      <c r="A1542" s="17">
        <v>1021024</v>
      </c>
      <c r="B1542" s="18">
        <v>283</v>
      </c>
      <c r="C1542" s="23" t="s">
        <v>99</v>
      </c>
      <c r="D1542" s="27">
        <v>45112.020138888889</v>
      </c>
      <c r="E1542" s="18" t="s">
        <v>133</v>
      </c>
      <c r="F1542" s="18" t="s">
        <v>81</v>
      </c>
      <c r="G1542" s="18">
        <v>2928</v>
      </c>
      <c r="H1542" s="25">
        <f t="shared" si="96"/>
        <v>45112</v>
      </c>
      <c r="I1542" s="26">
        <f t="shared" si="97"/>
        <v>2.0138888889050577E-2</v>
      </c>
      <c r="J1542" s="18" t="str">
        <f t="shared" si="98"/>
        <v>July</v>
      </c>
      <c r="K1542" s="56" t="str">
        <f t="shared" si="99"/>
        <v>Wednesday</v>
      </c>
      <c r="L1542" s="18" t="str">
        <f>IF(OR(G1542&gt;Answers!I1557,G1542&lt;Answers!I1558),"Outlier","Normal")</f>
        <v>Outlier</v>
      </c>
      <c r="M1542" s="18">
        <v>18</v>
      </c>
    </row>
    <row r="1543" spans="1:13" ht="20" customHeight="1" x14ac:dyDescent="0.35">
      <c r="A1543" s="17">
        <v>1023043</v>
      </c>
      <c r="B1543" s="18">
        <v>1237</v>
      </c>
      <c r="C1543" s="23" t="s">
        <v>99</v>
      </c>
      <c r="D1543" s="27">
        <v>45166.017361111109</v>
      </c>
      <c r="E1543" s="18" t="s">
        <v>97</v>
      </c>
      <c r="F1543" s="18" t="s">
        <v>88</v>
      </c>
      <c r="G1543" s="18">
        <v>534</v>
      </c>
      <c r="H1543" s="25">
        <f t="shared" si="96"/>
        <v>45166</v>
      </c>
      <c r="I1543" s="26">
        <f t="shared" si="97"/>
        <v>1.7361111109494232E-2</v>
      </c>
      <c r="J1543" s="18" t="str">
        <f t="shared" si="98"/>
        <v>August</v>
      </c>
      <c r="K1543" s="56" t="str">
        <f t="shared" si="99"/>
        <v>Monday</v>
      </c>
      <c r="L1543" s="18" t="str">
        <f>IF(OR(G1543&gt;Answers!I1558,G1543&lt;Answers!I1559),"Outlier","Normal")</f>
        <v>Outlier</v>
      </c>
      <c r="M1543" s="18">
        <v>87</v>
      </c>
    </row>
    <row r="1544" spans="1:13" ht="20" customHeight="1" x14ac:dyDescent="0.35">
      <c r="A1544" s="17">
        <v>1024120</v>
      </c>
      <c r="B1544" s="18">
        <v>1323</v>
      </c>
      <c r="C1544" s="23" t="s">
        <v>110</v>
      </c>
      <c r="D1544" s="27">
        <v>44964.033333333333</v>
      </c>
      <c r="E1544" s="18" t="s">
        <v>98</v>
      </c>
      <c r="F1544" s="18" t="s">
        <v>86</v>
      </c>
      <c r="G1544" s="18">
        <v>2228</v>
      </c>
      <c r="H1544" s="25">
        <f t="shared" si="96"/>
        <v>44964</v>
      </c>
      <c r="I1544" s="26">
        <f t="shared" si="97"/>
        <v>3.3333333332848269E-2</v>
      </c>
      <c r="J1544" s="18" t="str">
        <f t="shared" si="98"/>
        <v>February</v>
      </c>
      <c r="K1544" s="56" t="str">
        <f t="shared" si="99"/>
        <v>Tuesday</v>
      </c>
      <c r="L1544" s="18" t="str">
        <f>IF(OR(G1544&gt;Answers!I1559,G1544&lt;Answers!I1560),"Outlier","Normal")</f>
        <v>Outlier</v>
      </c>
      <c r="M1544" s="18">
        <v>81</v>
      </c>
    </row>
    <row r="1545" spans="1:13" ht="20" customHeight="1" x14ac:dyDescent="0.35">
      <c r="A1545" s="17">
        <v>1024270</v>
      </c>
      <c r="B1545" s="18">
        <v>1292</v>
      </c>
      <c r="C1545" s="23" t="s">
        <v>99</v>
      </c>
      <c r="D1545" s="27">
        <v>45050.077777777777</v>
      </c>
      <c r="E1545" s="18" t="s">
        <v>133</v>
      </c>
      <c r="F1545" s="18" t="s">
        <v>8</v>
      </c>
      <c r="G1545" s="18">
        <v>114</v>
      </c>
      <c r="H1545" s="25">
        <f t="shared" si="96"/>
        <v>45050</v>
      </c>
      <c r="I1545" s="26">
        <f t="shared" si="97"/>
        <v>7.7777777776645962E-2</v>
      </c>
      <c r="J1545" s="18" t="str">
        <f t="shared" si="98"/>
        <v>May</v>
      </c>
      <c r="K1545" s="56" t="str">
        <f t="shared" si="99"/>
        <v>Thursday</v>
      </c>
      <c r="L1545" s="18" t="str">
        <f>IF(OR(G1545&gt;Answers!I1560,G1545&lt;Answers!I1561),"Outlier","Normal")</f>
        <v>Outlier</v>
      </c>
      <c r="M1545" s="18">
        <v>38</v>
      </c>
    </row>
    <row r="1546" spans="1:13" ht="20" customHeight="1" x14ac:dyDescent="0.35">
      <c r="A1546" s="17">
        <v>1025204</v>
      </c>
      <c r="B1546" s="18">
        <v>1504</v>
      </c>
      <c r="C1546" s="23" t="s">
        <v>100</v>
      </c>
      <c r="D1546" s="27">
        <v>45122.011805555558</v>
      </c>
      <c r="E1546" s="18" t="s">
        <v>98</v>
      </c>
      <c r="F1546" s="18" t="s">
        <v>90</v>
      </c>
      <c r="G1546" s="18">
        <v>1043</v>
      </c>
      <c r="H1546" s="25">
        <f t="shared" si="96"/>
        <v>45122</v>
      </c>
      <c r="I1546" s="26">
        <f t="shared" si="97"/>
        <v>1.1805555557657499E-2</v>
      </c>
      <c r="J1546" s="18" t="str">
        <f t="shared" si="98"/>
        <v>July</v>
      </c>
      <c r="K1546" s="56" t="str">
        <f t="shared" si="99"/>
        <v>Saturday</v>
      </c>
      <c r="L1546" s="18" t="str">
        <f>IF(OR(G1546&gt;Answers!I1561,G1546&lt;Answers!I1562),"Outlier","Normal")</f>
        <v>Outlier</v>
      </c>
      <c r="M1546" s="18">
        <v>33</v>
      </c>
    </row>
    <row r="1547" spans="1:13" ht="20" customHeight="1" x14ac:dyDescent="0.35">
      <c r="A1547" s="17">
        <v>1025560</v>
      </c>
      <c r="B1547" s="18">
        <v>1534</v>
      </c>
      <c r="C1547" s="23" t="s">
        <v>99</v>
      </c>
      <c r="D1547" s="27">
        <v>45029.074305555558</v>
      </c>
      <c r="E1547" s="18" t="s">
        <v>96</v>
      </c>
      <c r="F1547" s="18" t="s">
        <v>43</v>
      </c>
      <c r="G1547" s="18">
        <v>3748</v>
      </c>
      <c r="H1547" s="25">
        <f t="shared" si="96"/>
        <v>45029</v>
      </c>
      <c r="I1547" s="26">
        <f t="shared" si="97"/>
        <v>7.4305555557657499E-2</v>
      </c>
      <c r="J1547" s="18" t="str">
        <f t="shared" si="98"/>
        <v>April</v>
      </c>
      <c r="K1547" s="56" t="str">
        <f t="shared" si="99"/>
        <v>Thursday</v>
      </c>
      <c r="L1547" s="18" t="str">
        <f>IF(OR(G1547&gt;Answers!I1562,G1547&lt;Answers!I1563),"Outlier","Normal")</f>
        <v>Outlier</v>
      </c>
      <c r="M1547" s="18">
        <v>18</v>
      </c>
    </row>
    <row r="1548" spans="1:13" ht="20" customHeight="1" x14ac:dyDescent="0.35">
      <c r="A1548" s="17">
        <v>1026131</v>
      </c>
      <c r="B1548" s="18">
        <v>1642</v>
      </c>
      <c r="C1548" s="23" t="s">
        <v>107</v>
      </c>
      <c r="D1548" s="27">
        <v>44945.018055555556</v>
      </c>
      <c r="E1548" s="18" t="s">
        <v>98</v>
      </c>
      <c r="F1548" s="18" t="s">
        <v>91</v>
      </c>
      <c r="G1548" s="18">
        <v>2027</v>
      </c>
      <c r="H1548" s="25">
        <f t="shared" si="96"/>
        <v>44945</v>
      </c>
      <c r="I1548" s="26">
        <f t="shared" si="97"/>
        <v>1.8055555556202307E-2</v>
      </c>
      <c r="J1548" s="18" t="str">
        <f t="shared" si="98"/>
        <v>January</v>
      </c>
      <c r="K1548" s="56" t="str">
        <f t="shared" si="99"/>
        <v>Thursday</v>
      </c>
      <c r="L1548" s="18" t="str">
        <f>IF(OR(G1548&gt;Answers!I1563,G1548&lt;Answers!I1564),"Outlier","Normal")</f>
        <v>Outlier</v>
      </c>
      <c r="M1548" s="18">
        <v>28</v>
      </c>
    </row>
    <row r="1549" spans="1:13" ht="20" customHeight="1" x14ac:dyDescent="0.35">
      <c r="A1549" s="17">
        <v>1026611</v>
      </c>
      <c r="B1549" s="18">
        <v>899</v>
      </c>
      <c r="C1549" s="23" t="s">
        <v>99</v>
      </c>
      <c r="D1549" s="27">
        <v>44957.040277777778</v>
      </c>
      <c r="E1549" s="18" t="s">
        <v>98</v>
      </c>
      <c r="F1549" s="18" t="s">
        <v>27</v>
      </c>
      <c r="G1549" s="18">
        <v>2950</v>
      </c>
      <c r="H1549" s="25">
        <f t="shared" si="96"/>
        <v>44957</v>
      </c>
      <c r="I1549" s="26">
        <f t="shared" si="97"/>
        <v>4.0277777778101154E-2</v>
      </c>
      <c r="J1549" s="18" t="str">
        <f t="shared" si="98"/>
        <v>January</v>
      </c>
      <c r="K1549" s="56" t="str">
        <f t="shared" si="99"/>
        <v>Tuesday</v>
      </c>
      <c r="L1549" s="18" t="str">
        <f>IF(OR(G1549&gt;Answers!I1564,G1549&lt;Answers!I1565),"Outlier","Normal")</f>
        <v>Outlier</v>
      </c>
      <c r="M1549" s="18">
        <v>75</v>
      </c>
    </row>
    <row r="1550" spans="1:13" ht="20" customHeight="1" x14ac:dyDescent="0.35">
      <c r="A1550" s="17">
        <v>1028549</v>
      </c>
      <c r="B1550" s="18">
        <v>950</v>
      </c>
      <c r="C1550" s="23" t="s">
        <v>100</v>
      </c>
      <c r="D1550" s="27">
        <v>45082.044444444444</v>
      </c>
      <c r="E1550" s="18" t="s">
        <v>98</v>
      </c>
      <c r="F1550" s="18" t="s">
        <v>29</v>
      </c>
      <c r="G1550" s="18">
        <v>6236</v>
      </c>
      <c r="H1550" s="25">
        <f t="shared" si="96"/>
        <v>45082</v>
      </c>
      <c r="I1550" s="26">
        <f t="shared" si="97"/>
        <v>4.4444444443797693E-2</v>
      </c>
      <c r="J1550" s="18" t="str">
        <f t="shared" si="98"/>
        <v>June</v>
      </c>
      <c r="K1550" s="56" t="str">
        <f t="shared" si="99"/>
        <v>Monday</v>
      </c>
      <c r="L1550" s="18" t="str">
        <f>IF(OR(G1550&gt;Answers!I1565,G1550&lt;Answers!I1566),"Outlier","Normal")</f>
        <v>Outlier</v>
      </c>
      <c r="M1550" s="18">
        <v>72</v>
      </c>
    </row>
    <row r="1551" spans="1:13" ht="20" customHeight="1" x14ac:dyDescent="0.35">
      <c r="A1551" s="17">
        <v>1028877</v>
      </c>
      <c r="B1551" s="18">
        <v>1695</v>
      </c>
      <c r="C1551" s="23" t="s">
        <v>105</v>
      </c>
      <c r="D1551" s="27">
        <v>45138.980555555558</v>
      </c>
      <c r="E1551" s="18" t="s">
        <v>98</v>
      </c>
      <c r="F1551" s="18" t="s">
        <v>34</v>
      </c>
      <c r="G1551" s="18">
        <v>8062</v>
      </c>
      <c r="H1551" s="25">
        <f t="shared" si="96"/>
        <v>45138</v>
      </c>
      <c r="I1551" s="26">
        <f t="shared" si="97"/>
        <v>0.9805555555576575</v>
      </c>
      <c r="J1551" s="18" t="str">
        <f t="shared" si="98"/>
        <v>July</v>
      </c>
      <c r="K1551" s="56" t="str">
        <f t="shared" si="99"/>
        <v>Monday</v>
      </c>
      <c r="L1551" s="18" t="str">
        <f>IF(OR(G1551&gt;Answers!I1566,G1551&lt;Answers!I1567),"Outlier","Normal")</f>
        <v>Outlier</v>
      </c>
      <c r="M1551" s="18">
        <v>37</v>
      </c>
    </row>
    <row r="1552" spans="1:13" ht="20" customHeight="1" x14ac:dyDescent="0.35">
      <c r="A1552" s="17">
        <v>1029432</v>
      </c>
      <c r="B1552" s="18">
        <v>169</v>
      </c>
      <c r="C1552" s="23" t="s">
        <v>100</v>
      </c>
      <c r="D1552" s="27">
        <v>45148.960416666669</v>
      </c>
      <c r="E1552" s="18" t="s">
        <v>97</v>
      </c>
      <c r="F1552" s="18" t="s">
        <v>68</v>
      </c>
      <c r="G1552" s="18">
        <v>9527</v>
      </c>
      <c r="H1552" s="25">
        <f t="shared" si="96"/>
        <v>45148</v>
      </c>
      <c r="I1552" s="26">
        <f t="shared" si="97"/>
        <v>0.96041666666860692</v>
      </c>
      <c r="J1552" s="18" t="str">
        <f t="shared" si="98"/>
        <v>August</v>
      </c>
      <c r="K1552" s="56" t="str">
        <f t="shared" si="99"/>
        <v>Thursday</v>
      </c>
      <c r="L1552" s="18" t="str">
        <f>IF(OR(G1552&gt;Answers!I1567,G1552&lt;Answers!I1568),"Outlier","Normal")</f>
        <v>Outlier</v>
      </c>
      <c r="M1552" s="18">
        <v>42</v>
      </c>
    </row>
    <row r="1553" spans="1:13" ht="20" customHeight="1" x14ac:dyDescent="0.35">
      <c r="A1553" s="17">
        <v>1031465</v>
      </c>
      <c r="B1553" s="18">
        <v>808</v>
      </c>
      <c r="C1553" s="23" t="s">
        <v>99</v>
      </c>
      <c r="D1553" s="27">
        <v>45252.970138888886</v>
      </c>
      <c r="E1553" s="18" t="s">
        <v>98</v>
      </c>
      <c r="F1553" s="18" t="s">
        <v>40</v>
      </c>
      <c r="G1553" s="18">
        <v>7817</v>
      </c>
      <c r="H1553" s="25">
        <f t="shared" si="96"/>
        <v>45252</v>
      </c>
      <c r="I1553" s="26">
        <f t="shared" si="97"/>
        <v>0.97013888888614019</v>
      </c>
      <c r="J1553" s="18" t="str">
        <f t="shared" si="98"/>
        <v>November</v>
      </c>
      <c r="K1553" s="56" t="str">
        <f t="shared" si="99"/>
        <v>Wednesday</v>
      </c>
      <c r="L1553" s="18" t="str">
        <f>IF(OR(G1553&gt;Answers!I1568,G1553&lt;Answers!I1569),"Outlier","Normal")</f>
        <v>Outlier</v>
      </c>
      <c r="M1553" s="18">
        <v>41</v>
      </c>
    </row>
    <row r="1554" spans="1:13" ht="20" customHeight="1" x14ac:dyDescent="0.35">
      <c r="A1554" s="17">
        <v>1031756</v>
      </c>
      <c r="B1554" s="18">
        <v>1053</v>
      </c>
      <c r="C1554" s="23" t="s">
        <v>113</v>
      </c>
      <c r="D1554" s="27">
        <v>45024.99722222222</v>
      </c>
      <c r="E1554" s="18" t="s">
        <v>98</v>
      </c>
      <c r="F1554" s="18" t="s">
        <v>69</v>
      </c>
      <c r="G1554" s="18">
        <v>8172</v>
      </c>
      <c r="H1554" s="25">
        <f t="shared" si="96"/>
        <v>45024</v>
      </c>
      <c r="I1554" s="26">
        <f t="shared" si="97"/>
        <v>0.99722222222044365</v>
      </c>
      <c r="J1554" s="18" t="str">
        <f t="shared" si="98"/>
        <v>April</v>
      </c>
      <c r="K1554" s="56" t="str">
        <f t="shared" si="99"/>
        <v>Saturday</v>
      </c>
      <c r="L1554" s="18" t="str">
        <f>IF(OR(G1554&gt;Answers!I1569,G1554&lt;Answers!I1570),"Outlier","Normal")</f>
        <v>Outlier</v>
      </c>
      <c r="M1554" s="18">
        <v>67</v>
      </c>
    </row>
    <row r="1555" spans="1:13" ht="20" customHeight="1" x14ac:dyDescent="0.35">
      <c r="A1555" s="17">
        <v>1032588</v>
      </c>
      <c r="B1555" s="18">
        <v>588</v>
      </c>
      <c r="C1555" s="23" t="s">
        <v>107</v>
      </c>
      <c r="D1555" s="27">
        <v>45241.034722222219</v>
      </c>
      <c r="E1555" s="18" t="s">
        <v>96</v>
      </c>
      <c r="F1555" s="18" t="s">
        <v>42</v>
      </c>
      <c r="G1555" s="18">
        <v>6085</v>
      </c>
      <c r="H1555" s="25">
        <f t="shared" si="96"/>
        <v>45241</v>
      </c>
      <c r="I1555" s="26">
        <f t="shared" si="97"/>
        <v>3.4722222218988463E-2</v>
      </c>
      <c r="J1555" s="18" t="str">
        <f t="shared" si="98"/>
        <v>November</v>
      </c>
      <c r="K1555" s="56" t="str">
        <f t="shared" si="99"/>
        <v>Saturday</v>
      </c>
      <c r="L1555" s="18" t="str">
        <f>IF(OR(G1555&gt;Answers!I1570,G1555&lt;Answers!I1571),"Outlier","Normal")</f>
        <v>Outlier</v>
      </c>
      <c r="M1555" s="18">
        <v>42</v>
      </c>
    </row>
    <row r="1556" spans="1:13" ht="20" customHeight="1" x14ac:dyDescent="0.35">
      <c r="A1556" s="17">
        <v>1033000</v>
      </c>
      <c r="B1556" s="18">
        <v>327</v>
      </c>
      <c r="C1556" s="23" t="s">
        <v>113</v>
      </c>
      <c r="D1556" s="27">
        <v>44995.976388888892</v>
      </c>
      <c r="E1556" s="18" t="s">
        <v>133</v>
      </c>
      <c r="F1556" s="18" t="s">
        <v>43</v>
      </c>
      <c r="G1556" s="18">
        <v>3478</v>
      </c>
      <c r="H1556" s="25">
        <f t="shared" si="96"/>
        <v>44995</v>
      </c>
      <c r="I1556" s="26">
        <f t="shared" si="97"/>
        <v>0.97638888889196096</v>
      </c>
      <c r="J1556" s="18" t="str">
        <f t="shared" si="98"/>
        <v>March</v>
      </c>
      <c r="K1556" s="56" t="str">
        <f t="shared" si="99"/>
        <v>Friday</v>
      </c>
      <c r="L1556" s="18" t="str">
        <f>IF(OR(G1556&gt;Answers!I1571,G1556&lt;Answers!I1572),"Outlier","Normal")</f>
        <v>Outlier</v>
      </c>
      <c r="M1556" s="18">
        <v>32</v>
      </c>
    </row>
    <row r="1557" spans="1:13" ht="20" customHeight="1" x14ac:dyDescent="0.35">
      <c r="A1557" s="17">
        <v>1033341</v>
      </c>
      <c r="B1557" s="18">
        <v>537</v>
      </c>
      <c r="C1557" s="23" t="s">
        <v>101</v>
      </c>
      <c r="D1557" s="27">
        <v>45266.030555555553</v>
      </c>
      <c r="E1557" s="18" t="s">
        <v>96</v>
      </c>
      <c r="F1557" s="18" t="s">
        <v>44</v>
      </c>
      <c r="G1557" s="18">
        <v>1935</v>
      </c>
      <c r="H1557" s="25">
        <f t="shared" si="96"/>
        <v>45266</v>
      </c>
      <c r="I1557" s="26">
        <f t="shared" si="97"/>
        <v>3.0555555553291924E-2</v>
      </c>
      <c r="J1557" s="18" t="str">
        <f t="shared" si="98"/>
        <v>December</v>
      </c>
      <c r="K1557" s="56" t="str">
        <f t="shared" si="99"/>
        <v>Wednesday</v>
      </c>
      <c r="L1557" s="18" t="str">
        <f>IF(OR(G1557&gt;Answers!I1572,G1557&lt;Answers!I1573),"Outlier","Normal")</f>
        <v>Outlier</v>
      </c>
      <c r="M1557" s="18">
        <v>58</v>
      </c>
    </row>
    <row r="1558" spans="1:13" ht="20" customHeight="1" x14ac:dyDescent="0.35">
      <c r="A1558" s="17">
        <v>1033877</v>
      </c>
      <c r="B1558" s="18">
        <v>13</v>
      </c>
      <c r="C1558" s="23" t="s">
        <v>105</v>
      </c>
      <c r="D1558" s="27">
        <v>44983.070833333331</v>
      </c>
      <c r="E1558" s="18" t="s">
        <v>133</v>
      </c>
      <c r="F1558" s="18" t="s">
        <v>81</v>
      </c>
      <c r="G1558" s="18">
        <v>4612</v>
      </c>
      <c r="H1558" s="25">
        <f t="shared" si="96"/>
        <v>44983</v>
      </c>
      <c r="I1558" s="26">
        <f t="shared" si="97"/>
        <v>7.0833333331393078E-2</v>
      </c>
      <c r="J1558" s="18" t="str">
        <f t="shared" si="98"/>
        <v>February</v>
      </c>
      <c r="K1558" s="56" t="str">
        <f t="shared" si="99"/>
        <v>Sunday</v>
      </c>
      <c r="L1558" s="18" t="str">
        <f>IF(OR(G1558&gt;Answers!I1573,G1558&lt;Answers!I1574),"Outlier","Normal")</f>
        <v>Outlier</v>
      </c>
      <c r="M1558" s="18">
        <v>84</v>
      </c>
    </row>
    <row r="1559" spans="1:13" ht="20" customHeight="1" x14ac:dyDescent="0.35">
      <c r="A1559" s="17">
        <v>1034415</v>
      </c>
      <c r="B1559" s="18">
        <v>427</v>
      </c>
      <c r="C1559" s="23" t="s">
        <v>113</v>
      </c>
      <c r="D1559" s="27">
        <v>45019.040972222225</v>
      </c>
      <c r="E1559" s="18" t="s">
        <v>98</v>
      </c>
      <c r="F1559" s="18" t="s">
        <v>71</v>
      </c>
      <c r="G1559" s="18">
        <v>3464</v>
      </c>
      <c r="H1559" s="25">
        <f t="shared" si="96"/>
        <v>45019</v>
      </c>
      <c r="I1559" s="26">
        <f t="shared" si="97"/>
        <v>4.0972222224809229E-2</v>
      </c>
      <c r="J1559" s="18" t="str">
        <f t="shared" si="98"/>
        <v>April</v>
      </c>
      <c r="K1559" s="56" t="str">
        <f t="shared" si="99"/>
        <v>Monday</v>
      </c>
      <c r="L1559" s="18" t="str">
        <f>IF(OR(G1559&gt;Answers!I1574,G1559&lt;Answers!I1575),"Outlier","Normal")</f>
        <v>Outlier</v>
      </c>
      <c r="M1559" s="18">
        <v>59</v>
      </c>
    </row>
    <row r="1560" spans="1:13" ht="20" customHeight="1" x14ac:dyDescent="0.35">
      <c r="A1560" s="17">
        <v>1036614</v>
      </c>
      <c r="B1560" s="18">
        <v>898</v>
      </c>
      <c r="C1560" s="23" t="s">
        <v>99</v>
      </c>
      <c r="D1560" s="27">
        <v>44946</v>
      </c>
      <c r="E1560" s="18" t="s">
        <v>133</v>
      </c>
      <c r="F1560" s="18" t="s">
        <v>6</v>
      </c>
      <c r="G1560" s="18">
        <v>4272</v>
      </c>
      <c r="H1560" s="25">
        <f t="shared" si="96"/>
        <v>44946</v>
      </c>
      <c r="I1560" s="26">
        <f t="shared" si="97"/>
        <v>0</v>
      </c>
      <c r="J1560" s="18" t="str">
        <f t="shared" si="98"/>
        <v>January</v>
      </c>
      <c r="K1560" s="56" t="str">
        <f t="shared" si="99"/>
        <v>Friday</v>
      </c>
      <c r="L1560" s="18" t="str">
        <f>IF(OR(G1560&gt;Answers!I1575,G1560&lt;Answers!I1576),"Outlier","Normal")</f>
        <v>Outlier</v>
      </c>
      <c r="M1560" s="18">
        <v>64</v>
      </c>
    </row>
    <row r="1561" spans="1:13" ht="20" customHeight="1" x14ac:dyDescent="0.35">
      <c r="A1561" s="17">
        <v>1036624</v>
      </c>
      <c r="B1561" s="18">
        <v>1607</v>
      </c>
      <c r="C1561" s="23" t="s">
        <v>101</v>
      </c>
      <c r="D1561" s="27">
        <v>45129.030555555553</v>
      </c>
      <c r="E1561" s="18" t="s">
        <v>97</v>
      </c>
      <c r="F1561" s="18" t="s">
        <v>7</v>
      </c>
      <c r="G1561" s="18">
        <v>667</v>
      </c>
      <c r="H1561" s="25">
        <f t="shared" si="96"/>
        <v>45129</v>
      </c>
      <c r="I1561" s="26">
        <f t="shared" si="97"/>
        <v>3.0555555553291924E-2</v>
      </c>
      <c r="J1561" s="18" t="str">
        <f t="shared" si="98"/>
        <v>July</v>
      </c>
      <c r="K1561" s="56" t="str">
        <f t="shared" si="99"/>
        <v>Saturday</v>
      </c>
      <c r="L1561" s="18" t="str">
        <f>IF(OR(G1561&gt;Answers!I1576,G1561&lt;Answers!I1577),"Outlier","Normal")</f>
        <v>Outlier</v>
      </c>
      <c r="M1561" s="18">
        <v>65</v>
      </c>
    </row>
    <row r="1562" spans="1:13" ht="20" customHeight="1" x14ac:dyDescent="0.35">
      <c r="A1562" s="17">
        <v>1036642</v>
      </c>
      <c r="B1562" s="18">
        <v>24</v>
      </c>
      <c r="C1562" s="23" t="s">
        <v>105</v>
      </c>
      <c r="D1562" s="27">
        <v>45049.057638888888</v>
      </c>
      <c r="E1562" s="18" t="s">
        <v>96</v>
      </c>
      <c r="F1562" s="18" t="s">
        <v>27</v>
      </c>
      <c r="G1562" s="18">
        <v>9159</v>
      </c>
      <c r="H1562" s="25">
        <f t="shared" si="96"/>
        <v>45049</v>
      </c>
      <c r="I1562" s="26">
        <f t="shared" si="97"/>
        <v>5.7638888887595385E-2</v>
      </c>
      <c r="J1562" s="18" t="str">
        <f t="shared" si="98"/>
        <v>May</v>
      </c>
      <c r="K1562" s="56" t="str">
        <f t="shared" si="99"/>
        <v>Wednesday</v>
      </c>
      <c r="L1562" s="18" t="str">
        <f>IF(OR(G1562&gt;Answers!I1577,G1562&lt;Answers!I1578),"Outlier","Normal")</f>
        <v>Outlier</v>
      </c>
      <c r="M1562" s="18">
        <v>47</v>
      </c>
    </row>
    <row r="1563" spans="1:13" ht="20" customHeight="1" x14ac:dyDescent="0.35">
      <c r="A1563" s="17">
        <v>1038558</v>
      </c>
      <c r="B1563" s="18">
        <v>840</v>
      </c>
      <c r="C1563" s="23" t="s">
        <v>102</v>
      </c>
      <c r="D1563" s="27">
        <v>45110.073611111111</v>
      </c>
      <c r="E1563" s="18" t="s">
        <v>97</v>
      </c>
      <c r="F1563" s="18" t="s">
        <v>46</v>
      </c>
      <c r="G1563" s="18">
        <v>5596</v>
      </c>
      <c r="H1563" s="25">
        <f t="shared" si="96"/>
        <v>45110</v>
      </c>
      <c r="I1563" s="26">
        <f t="shared" si="97"/>
        <v>7.3611111110949423E-2</v>
      </c>
      <c r="J1563" s="18" t="str">
        <f t="shared" si="98"/>
        <v>July</v>
      </c>
      <c r="K1563" s="56" t="str">
        <f t="shared" si="99"/>
        <v>Monday</v>
      </c>
      <c r="L1563" s="18" t="str">
        <f>IF(OR(G1563&gt;Answers!I1578,G1563&lt;Answers!I1579),"Outlier","Normal")</f>
        <v>Outlier</v>
      </c>
      <c r="M1563" s="18">
        <v>47</v>
      </c>
    </row>
    <row r="1564" spans="1:13" ht="20" customHeight="1" x14ac:dyDescent="0.35">
      <c r="A1564" s="17">
        <v>1038672</v>
      </c>
      <c r="B1564" s="18">
        <v>1878</v>
      </c>
      <c r="C1564" s="23" t="s">
        <v>105</v>
      </c>
      <c r="D1564" s="27">
        <v>45233.947916666664</v>
      </c>
      <c r="E1564" s="18" t="s">
        <v>96</v>
      </c>
      <c r="F1564" s="18" t="s">
        <v>69</v>
      </c>
      <c r="G1564" s="18">
        <v>5918</v>
      </c>
      <c r="H1564" s="25">
        <f t="shared" si="96"/>
        <v>45233</v>
      </c>
      <c r="I1564" s="26">
        <f t="shared" si="97"/>
        <v>0.94791666666424135</v>
      </c>
      <c r="J1564" s="18" t="str">
        <f t="shared" si="98"/>
        <v>November</v>
      </c>
      <c r="K1564" s="56" t="str">
        <f t="shared" si="99"/>
        <v>Friday</v>
      </c>
      <c r="L1564" s="18" t="str">
        <f>IF(OR(G1564&gt;Answers!I1579,G1564&lt;Answers!I1580),"Outlier","Normal")</f>
        <v>Outlier</v>
      </c>
      <c r="M1564" s="18">
        <v>24</v>
      </c>
    </row>
    <row r="1565" spans="1:13" ht="20" customHeight="1" x14ac:dyDescent="0.35">
      <c r="A1565" s="17">
        <v>1039481</v>
      </c>
      <c r="B1565" s="18">
        <v>194</v>
      </c>
      <c r="C1565" s="23" t="s">
        <v>113</v>
      </c>
      <c r="D1565" s="27">
        <v>45060.961111111108</v>
      </c>
      <c r="E1565" s="18" t="s">
        <v>133</v>
      </c>
      <c r="F1565" s="18" t="s">
        <v>24</v>
      </c>
      <c r="G1565" s="18">
        <v>8428</v>
      </c>
      <c r="H1565" s="25">
        <f t="shared" si="96"/>
        <v>45060</v>
      </c>
      <c r="I1565" s="26">
        <f t="shared" si="97"/>
        <v>0.96111111110803904</v>
      </c>
      <c r="J1565" s="18" t="str">
        <f t="shared" si="98"/>
        <v>May</v>
      </c>
      <c r="K1565" s="56" t="str">
        <f t="shared" si="99"/>
        <v>Sunday</v>
      </c>
      <c r="L1565" s="18" t="str">
        <f>IF(OR(G1565&gt;Answers!I1580,G1565&lt;Answers!I1581),"Outlier","Normal")</f>
        <v>Outlier</v>
      </c>
      <c r="M1565" s="18">
        <v>64</v>
      </c>
    </row>
    <row r="1566" spans="1:13" ht="20" customHeight="1" x14ac:dyDescent="0.35">
      <c r="A1566" s="17">
        <v>1039541</v>
      </c>
      <c r="B1566" s="18">
        <v>694</v>
      </c>
      <c r="C1566" s="23" t="s">
        <v>102</v>
      </c>
      <c r="D1566" s="27">
        <v>44949.015972222223</v>
      </c>
      <c r="E1566" s="18" t="s">
        <v>96</v>
      </c>
      <c r="F1566" s="18" t="s">
        <v>4</v>
      </c>
      <c r="G1566" s="18">
        <v>8648</v>
      </c>
      <c r="H1566" s="25">
        <f t="shared" si="96"/>
        <v>44949</v>
      </c>
      <c r="I1566" s="26">
        <f t="shared" si="97"/>
        <v>1.5972222223354038E-2</v>
      </c>
      <c r="J1566" s="18" t="str">
        <f t="shared" si="98"/>
        <v>January</v>
      </c>
      <c r="K1566" s="56" t="str">
        <f t="shared" si="99"/>
        <v>Monday</v>
      </c>
      <c r="L1566" s="18" t="str">
        <f>IF(OR(G1566&gt;Answers!I1581,G1566&lt;Answers!I1582),"Outlier","Normal")</f>
        <v>Outlier</v>
      </c>
      <c r="M1566" s="18">
        <v>36</v>
      </c>
    </row>
    <row r="1567" spans="1:13" ht="20" customHeight="1" x14ac:dyDescent="0.35">
      <c r="A1567" s="17">
        <v>1041039</v>
      </c>
      <c r="B1567" s="18">
        <v>1826</v>
      </c>
      <c r="C1567" s="23" t="s">
        <v>107</v>
      </c>
      <c r="D1567" s="27">
        <v>44930.970138888886</v>
      </c>
      <c r="E1567" s="18" t="s">
        <v>133</v>
      </c>
      <c r="F1567" s="18" t="s">
        <v>14</v>
      </c>
      <c r="G1567" s="18">
        <v>7801</v>
      </c>
      <c r="H1567" s="25">
        <f t="shared" si="96"/>
        <v>44930</v>
      </c>
      <c r="I1567" s="26">
        <f t="shared" si="97"/>
        <v>0.97013888888614019</v>
      </c>
      <c r="J1567" s="18" t="str">
        <f t="shared" si="98"/>
        <v>January</v>
      </c>
      <c r="K1567" s="56" t="str">
        <f t="shared" si="99"/>
        <v>Wednesday</v>
      </c>
      <c r="L1567" s="18" t="str">
        <f>IF(OR(G1567&gt;Answers!I1582,G1567&lt;Answers!I1583),"Outlier","Normal")</f>
        <v>Outlier</v>
      </c>
      <c r="M1567" s="18">
        <v>21</v>
      </c>
    </row>
    <row r="1568" spans="1:13" ht="20" customHeight="1" x14ac:dyDescent="0.35">
      <c r="A1568" s="17">
        <v>1041266</v>
      </c>
      <c r="B1568" s="18">
        <v>1598</v>
      </c>
      <c r="C1568" s="23" t="s">
        <v>110</v>
      </c>
      <c r="D1568" s="27">
        <v>45069.029861111114</v>
      </c>
      <c r="E1568" s="18" t="s">
        <v>96</v>
      </c>
      <c r="F1568" s="18" t="s">
        <v>6</v>
      </c>
      <c r="G1568" s="18">
        <v>1369</v>
      </c>
      <c r="H1568" s="25">
        <f t="shared" si="96"/>
        <v>45069</v>
      </c>
      <c r="I1568" s="26">
        <f t="shared" si="97"/>
        <v>2.9861111113859806E-2</v>
      </c>
      <c r="J1568" s="18" t="str">
        <f t="shared" si="98"/>
        <v>May</v>
      </c>
      <c r="K1568" s="56" t="str">
        <f t="shared" si="99"/>
        <v>Tuesday</v>
      </c>
      <c r="L1568" s="18" t="str">
        <f>IF(OR(G1568&gt;Answers!I1583,G1568&lt;Answers!I1584),"Outlier","Normal")</f>
        <v>Outlier</v>
      </c>
      <c r="M1568" s="18">
        <v>29</v>
      </c>
    </row>
    <row r="1569" spans="1:13" ht="20" customHeight="1" x14ac:dyDescent="0.35">
      <c r="A1569" s="17">
        <v>1042847</v>
      </c>
      <c r="B1569" s="18">
        <v>1524</v>
      </c>
      <c r="C1569" s="23" t="s">
        <v>100</v>
      </c>
      <c r="D1569" s="27">
        <v>44961.980555555558</v>
      </c>
      <c r="E1569" s="18" t="s">
        <v>98</v>
      </c>
      <c r="F1569" s="18" t="s">
        <v>7</v>
      </c>
      <c r="G1569" s="18">
        <v>2979</v>
      </c>
      <c r="H1569" s="25">
        <f t="shared" si="96"/>
        <v>44961</v>
      </c>
      <c r="I1569" s="26">
        <f t="shared" si="97"/>
        <v>0.9805555555576575</v>
      </c>
      <c r="J1569" s="18" t="str">
        <f t="shared" si="98"/>
        <v>February</v>
      </c>
      <c r="K1569" s="56" t="str">
        <f t="shared" si="99"/>
        <v>Saturday</v>
      </c>
      <c r="L1569" s="18" t="str">
        <f>IF(OR(G1569&gt;Answers!I1584,G1569&lt;Answers!I1585),"Outlier","Normal")</f>
        <v>Outlier</v>
      </c>
      <c r="M1569" s="18">
        <v>75</v>
      </c>
    </row>
    <row r="1570" spans="1:13" ht="20" customHeight="1" x14ac:dyDescent="0.35">
      <c r="A1570" s="17">
        <v>1043105</v>
      </c>
      <c r="B1570" s="18">
        <v>288</v>
      </c>
      <c r="C1570" s="23" t="s">
        <v>99</v>
      </c>
      <c r="D1570" s="27">
        <v>45146.954861111109</v>
      </c>
      <c r="E1570" s="18" t="s">
        <v>96</v>
      </c>
      <c r="F1570" s="18" t="s">
        <v>21</v>
      </c>
      <c r="G1570" s="18">
        <v>9185</v>
      </c>
      <c r="H1570" s="25">
        <f t="shared" si="96"/>
        <v>45146</v>
      </c>
      <c r="I1570" s="26">
        <f t="shared" si="97"/>
        <v>0.95486111110949423</v>
      </c>
      <c r="J1570" s="18" t="str">
        <f t="shared" si="98"/>
        <v>August</v>
      </c>
      <c r="K1570" s="56" t="str">
        <f t="shared" si="99"/>
        <v>Tuesday</v>
      </c>
      <c r="L1570" s="18" t="str">
        <f>IF(OR(G1570&gt;Answers!I1585,G1570&lt;Answers!I1586),"Outlier","Normal")</f>
        <v>Outlier</v>
      </c>
      <c r="M1570" s="18">
        <v>38</v>
      </c>
    </row>
    <row r="1571" spans="1:13" ht="20" customHeight="1" x14ac:dyDescent="0.35">
      <c r="A1571" s="17">
        <v>1043175</v>
      </c>
      <c r="B1571" s="18">
        <v>644</v>
      </c>
      <c r="C1571" s="23" t="s">
        <v>106</v>
      </c>
      <c r="D1571" s="27">
        <v>45106.981944444444</v>
      </c>
      <c r="E1571" s="18" t="s">
        <v>98</v>
      </c>
      <c r="F1571" s="18" t="s">
        <v>9</v>
      </c>
      <c r="G1571" s="18">
        <v>3317</v>
      </c>
      <c r="H1571" s="25">
        <f t="shared" si="96"/>
        <v>45106</v>
      </c>
      <c r="I1571" s="26">
        <f t="shared" si="97"/>
        <v>0.98194444444379769</v>
      </c>
      <c r="J1571" s="18" t="str">
        <f t="shared" si="98"/>
        <v>June</v>
      </c>
      <c r="K1571" s="56" t="str">
        <f t="shared" si="99"/>
        <v>Thursday</v>
      </c>
      <c r="L1571" s="18" t="str">
        <f>IF(OR(G1571&gt;Answers!I1586,G1571&lt;Answers!I1587),"Outlier","Normal")</f>
        <v>Outlier</v>
      </c>
      <c r="M1571" s="18">
        <v>61</v>
      </c>
    </row>
    <row r="1572" spans="1:13" ht="20" customHeight="1" x14ac:dyDescent="0.35">
      <c r="A1572" s="17">
        <v>1044084</v>
      </c>
      <c r="B1572" s="18">
        <v>1073</v>
      </c>
      <c r="C1572" s="23" t="s">
        <v>105</v>
      </c>
      <c r="D1572" s="27">
        <v>45040.05</v>
      </c>
      <c r="E1572" s="18" t="s">
        <v>133</v>
      </c>
      <c r="F1572" s="18" t="s">
        <v>10</v>
      </c>
      <c r="G1572" s="18">
        <v>1891</v>
      </c>
      <c r="H1572" s="25">
        <f t="shared" si="96"/>
        <v>45040</v>
      </c>
      <c r="I1572" s="26">
        <f t="shared" si="97"/>
        <v>5.0000000002910383E-2</v>
      </c>
      <c r="J1572" s="18" t="str">
        <f t="shared" si="98"/>
        <v>April</v>
      </c>
      <c r="K1572" s="56" t="str">
        <f t="shared" si="99"/>
        <v>Monday</v>
      </c>
      <c r="L1572" s="18" t="str">
        <f>IF(OR(G1572&gt;Answers!I1587,G1572&lt;Answers!I1588),"Outlier","Normal")</f>
        <v>Outlier</v>
      </c>
      <c r="M1572" s="18">
        <v>60</v>
      </c>
    </row>
    <row r="1573" spans="1:13" ht="20" customHeight="1" x14ac:dyDescent="0.35">
      <c r="A1573" s="17">
        <v>1044744</v>
      </c>
      <c r="B1573" s="18">
        <v>1780</v>
      </c>
      <c r="C1573" s="23" t="s">
        <v>106</v>
      </c>
      <c r="D1573" s="27">
        <v>44968.002083333333</v>
      </c>
      <c r="E1573" s="18" t="s">
        <v>98</v>
      </c>
      <c r="F1573" s="18" t="s">
        <v>11</v>
      </c>
      <c r="G1573" s="18">
        <v>5782</v>
      </c>
      <c r="H1573" s="25">
        <f t="shared" si="96"/>
        <v>44968</v>
      </c>
      <c r="I1573" s="26">
        <f t="shared" si="97"/>
        <v>2.0833333328482695E-3</v>
      </c>
      <c r="J1573" s="18" t="str">
        <f t="shared" si="98"/>
        <v>February</v>
      </c>
      <c r="K1573" s="56" t="str">
        <f t="shared" si="99"/>
        <v>Saturday</v>
      </c>
      <c r="L1573" s="18" t="str">
        <f>IF(OR(G1573&gt;Answers!I1588,G1573&lt;Answers!I1589),"Outlier","Normal")</f>
        <v>Outlier</v>
      </c>
      <c r="M1573" s="18">
        <v>49</v>
      </c>
    </row>
    <row r="1574" spans="1:13" ht="20" customHeight="1" x14ac:dyDescent="0.35">
      <c r="A1574" s="17">
        <v>1045182</v>
      </c>
      <c r="B1574" s="18">
        <v>862</v>
      </c>
      <c r="C1574" s="23" t="s">
        <v>99</v>
      </c>
      <c r="D1574" s="27">
        <v>44983.069444444445</v>
      </c>
      <c r="E1574" s="18" t="s">
        <v>133</v>
      </c>
      <c r="F1574" s="18" t="s">
        <v>12</v>
      </c>
      <c r="G1574" s="18">
        <v>8821</v>
      </c>
      <c r="H1574" s="25">
        <f t="shared" si="96"/>
        <v>44983</v>
      </c>
      <c r="I1574" s="26">
        <f t="shared" si="97"/>
        <v>6.9444444445252884E-2</v>
      </c>
      <c r="J1574" s="18" t="str">
        <f t="shared" si="98"/>
        <v>February</v>
      </c>
      <c r="K1574" s="56" t="str">
        <f t="shared" si="99"/>
        <v>Sunday</v>
      </c>
      <c r="L1574" s="18" t="str">
        <f>IF(OR(G1574&gt;Answers!I1589,G1574&lt;Answers!I1590),"Outlier","Normal")</f>
        <v>Outlier</v>
      </c>
      <c r="M1574" s="18">
        <v>68</v>
      </c>
    </row>
    <row r="1575" spans="1:13" ht="20" customHeight="1" x14ac:dyDescent="0.35">
      <c r="A1575" s="17">
        <v>1045700</v>
      </c>
      <c r="B1575" s="18">
        <v>539</v>
      </c>
      <c r="C1575" s="23" t="s">
        <v>113</v>
      </c>
      <c r="D1575" s="27">
        <v>45262.026388888888</v>
      </c>
      <c r="E1575" s="18" t="s">
        <v>133</v>
      </c>
      <c r="F1575" s="18" t="s">
        <v>48</v>
      </c>
      <c r="G1575" s="18">
        <v>5012</v>
      </c>
      <c r="H1575" s="25">
        <f t="shared" si="96"/>
        <v>45262</v>
      </c>
      <c r="I1575" s="26">
        <f t="shared" si="97"/>
        <v>2.6388888887595385E-2</v>
      </c>
      <c r="J1575" s="18" t="str">
        <f t="shared" si="98"/>
        <v>December</v>
      </c>
      <c r="K1575" s="56" t="str">
        <f t="shared" si="99"/>
        <v>Saturday</v>
      </c>
      <c r="L1575" s="18" t="str">
        <f>IF(OR(G1575&gt;Answers!I1590,G1575&lt;Answers!I1591),"Outlier","Normal")</f>
        <v>Outlier</v>
      </c>
      <c r="M1575" s="18">
        <v>24</v>
      </c>
    </row>
    <row r="1576" spans="1:13" ht="20" customHeight="1" x14ac:dyDescent="0.35">
      <c r="A1576" s="17">
        <v>1046125</v>
      </c>
      <c r="B1576" s="18">
        <v>1258</v>
      </c>
      <c r="C1576" s="23" t="s">
        <v>99</v>
      </c>
      <c r="D1576" s="27">
        <v>45024.020138888889</v>
      </c>
      <c r="E1576" s="18" t="s">
        <v>96</v>
      </c>
      <c r="F1576" s="18" t="s">
        <v>14</v>
      </c>
      <c r="G1576" s="18">
        <v>9104</v>
      </c>
      <c r="H1576" s="25">
        <f t="shared" si="96"/>
        <v>45024</v>
      </c>
      <c r="I1576" s="26">
        <f t="shared" si="97"/>
        <v>2.0138888889050577E-2</v>
      </c>
      <c r="J1576" s="18" t="str">
        <f t="shared" si="98"/>
        <v>April</v>
      </c>
      <c r="K1576" s="56" t="str">
        <f t="shared" si="99"/>
        <v>Saturday</v>
      </c>
      <c r="L1576" s="18" t="str">
        <f>IF(OR(G1576&gt;Answers!I1591,G1576&lt;Answers!I1592),"Outlier","Normal")</f>
        <v>Outlier</v>
      </c>
      <c r="M1576" s="18">
        <v>87</v>
      </c>
    </row>
    <row r="1577" spans="1:13" ht="20" customHeight="1" x14ac:dyDescent="0.35">
      <c r="A1577" s="17">
        <v>1046974</v>
      </c>
      <c r="B1577" s="18">
        <v>1060</v>
      </c>
      <c r="C1577" s="23" t="s">
        <v>113</v>
      </c>
      <c r="D1577" s="27">
        <v>45280.957638888889</v>
      </c>
      <c r="E1577" s="18" t="s">
        <v>97</v>
      </c>
      <c r="F1577" s="18" t="s">
        <v>49</v>
      </c>
      <c r="G1577" s="18">
        <v>2067</v>
      </c>
      <c r="H1577" s="25">
        <f t="shared" si="96"/>
        <v>45280</v>
      </c>
      <c r="I1577" s="26">
        <f t="shared" si="97"/>
        <v>0.95763888888905058</v>
      </c>
      <c r="J1577" s="18" t="str">
        <f t="shared" si="98"/>
        <v>December</v>
      </c>
      <c r="K1577" s="56" t="str">
        <f t="shared" si="99"/>
        <v>Wednesday</v>
      </c>
      <c r="L1577" s="18" t="str">
        <f>IF(OR(G1577&gt;Answers!I1592,G1577&lt;Answers!I1593),"Outlier","Normal")</f>
        <v>Outlier</v>
      </c>
      <c r="M1577" s="18">
        <v>62</v>
      </c>
    </row>
    <row r="1578" spans="1:13" ht="20" customHeight="1" x14ac:dyDescent="0.35">
      <c r="A1578" s="17">
        <v>1047821</v>
      </c>
      <c r="B1578" s="18">
        <v>1259</v>
      </c>
      <c r="C1578" s="23" t="s">
        <v>99</v>
      </c>
      <c r="D1578" s="27">
        <v>45104.961805555555</v>
      </c>
      <c r="E1578" s="18" t="s">
        <v>133</v>
      </c>
      <c r="F1578" s="18" t="s">
        <v>65</v>
      </c>
      <c r="G1578" s="18">
        <v>4812</v>
      </c>
      <c r="H1578" s="25">
        <f t="shared" si="96"/>
        <v>45104</v>
      </c>
      <c r="I1578" s="26">
        <f t="shared" si="97"/>
        <v>0.96180555555474712</v>
      </c>
      <c r="J1578" s="18" t="str">
        <f t="shared" si="98"/>
        <v>June</v>
      </c>
      <c r="K1578" s="56" t="str">
        <f t="shared" si="99"/>
        <v>Tuesday</v>
      </c>
      <c r="L1578" s="18" t="str">
        <f>IF(OR(G1578&gt;Answers!I1593,G1578&lt;Answers!I1594),"Outlier","Normal")</f>
        <v>Outlier</v>
      </c>
      <c r="M1578" s="18">
        <v>45</v>
      </c>
    </row>
    <row r="1579" spans="1:13" ht="20" customHeight="1" x14ac:dyDescent="0.35">
      <c r="A1579" s="17">
        <v>1047874</v>
      </c>
      <c r="B1579" s="18">
        <v>420</v>
      </c>
      <c r="C1579" s="23" t="s">
        <v>105</v>
      </c>
      <c r="D1579" s="27">
        <v>45181.958333333336</v>
      </c>
      <c r="E1579" s="18" t="s">
        <v>97</v>
      </c>
      <c r="F1579" s="18" t="s">
        <v>17</v>
      </c>
      <c r="G1579" s="18">
        <v>4920</v>
      </c>
      <c r="H1579" s="25">
        <f t="shared" si="96"/>
        <v>45181</v>
      </c>
      <c r="I1579" s="26">
        <f t="shared" si="97"/>
        <v>0.95833333333575865</v>
      </c>
      <c r="J1579" s="18" t="str">
        <f t="shared" si="98"/>
        <v>September</v>
      </c>
      <c r="K1579" s="56" t="str">
        <f t="shared" si="99"/>
        <v>Tuesday</v>
      </c>
      <c r="L1579" s="18" t="str">
        <f>IF(OR(G1579&gt;Answers!I1594,G1579&lt;Answers!I1595),"Outlier","Normal")</f>
        <v>Outlier</v>
      </c>
      <c r="M1579" s="18">
        <v>72</v>
      </c>
    </row>
    <row r="1580" spans="1:13" ht="20" customHeight="1" x14ac:dyDescent="0.35">
      <c r="A1580" s="17">
        <v>1050256</v>
      </c>
      <c r="B1580" s="18">
        <v>1770</v>
      </c>
      <c r="C1580" s="23" t="s">
        <v>104</v>
      </c>
      <c r="D1580" s="27">
        <v>45041.063888888886</v>
      </c>
      <c r="E1580" s="18" t="s">
        <v>96</v>
      </c>
      <c r="F1580" s="18" t="s">
        <v>18</v>
      </c>
      <c r="G1580" s="18">
        <v>9723</v>
      </c>
      <c r="H1580" s="25">
        <f t="shared" si="96"/>
        <v>45041</v>
      </c>
      <c r="I1580" s="26">
        <f t="shared" si="97"/>
        <v>6.3888888886140194E-2</v>
      </c>
      <c r="J1580" s="18" t="str">
        <f t="shared" si="98"/>
        <v>April</v>
      </c>
      <c r="K1580" s="56" t="str">
        <f t="shared" si="99"/>
        <v>Tuesday</v>
      </c>
      <c r="L1580" s="18" t="str">
        <f>IF(OR(G1580&gt;Answers!I1595,G1580&lt;Answers!I1596),"Outlier","Normal")</f>
        <v>Outlier</v>
      </c>
      <c r="M1580" s="18">
        <v>88</v>
      </c>
    </row>
    <row r="1581" spans="1:13" ht="20" customHeight="1" x14ac:dyDescent="0.35">
      <c r="A1581" s="17">
        <v>1050351</v>
      </c>
      <c r="B1581" s="18">
        <v>497</v>
      </c>
      <c r="C1581" s="23" t="s">
        <v>99</v>
      </c>
      <c r="D1581" s="27">
        <v>45121.000694444447</v>
      </c>
      <c r="E1581" s="18" t="s">
        <v>97</v>
      </c>
      <c r="F1581" s="18" t="s">
        <v>19</v>
      </c>
      <c r="G1581" s="18">
        <v>9863</v>
      </c>
      <c r="H1581" s="25">
        <f t="shared" si="96"/>
        <v>45121</v>
      </c>
      <c r="I1581" s="26">
        <f t="shared" si="97"/>
        <v>6.944444467080757E-4</v>
      </c>
      <c r="J1581" s="18" t="str">
        <f t="shared" si="98"/>
        <v>July</v>
      </c>
      <c r="K1581" s="56" t="str">
        <f t="shared" si="99"/>
        <v>Friday</v>
      </c>
      <c r="L1581" s="18" t="str">
        <f>IF(OR(G1581&gt;Answers!I1596,G1581&lt;Answers!I1597),"Outlier","Normal")</f>
        <v>Outlier</v>
      </c>
      <c r="M1581" s="18">
        <v>88</v>
      </c>
    </row>
    <row r="1582" spans="1:13" ht="20" customHeight="1" x14ac:dyDescent="0.35">
      <c r="A1582" s="17">
        <v>1050970</v>
      </c>
      <c r="B1582" s="18">
        <v>47</v>
      </c>
      <c r="C1582" s="23" t="s">
        <v>105</v>
      </c>
      <c r="D1582" s="27">
        <v>45055.050694444442</v>
      </c>
      <c r="E1582" s="18" t="s">
        <v>98</v>
      </c>
      <c r="F1582" s="18" t="s">
        <v>79</v>
      </c>
      <c r="G1582" s="18">
        <v>2859</v>
      </c>
      <c r="H1582" s="25">
        <f t="shared" si="96"/>
        <v>45055</v>
      </c>
      <c r="I1582" s="26">
        <f t="shared" si="97"/>
        <v>5.0694444442342501E-2</v>
      </c>
      <c r="J1582" s="18" t="str">
        <f t="shared" si="98"/>
        <v>May</v>
      </c>
      <c r="K1582" s="56" t="str">
        <f t="shared" si="99"/>
        <v>Tuesday</v>
      </c>
      <c r="L1582" s="18" t="str">
        <f>IF(OR(G1582&gt;Answers!I1597,G1582&lt;Answers!I1598),"Outlier","Normal")</f>
        <v>Outlier</v>
      </c>
      <c r="M1582" s="18">
        <v>25</v>
      </c>
    </row>
    <row r="1583" spans="1:13" ht="20" customHeight="1" x14ac:dyDescent="0.35">
      <c r="A1583" s="17">
        <v>1051057</v>
      </c>
      <c r="B1583" s="18">
        <v>482</v>
      </c>
      <c r="C1583" s="23" t="s">
        <v>100</v>
      </c>
      <c r="D1583" s="27">
        <v>45048.997916666667</v>
      </c>
      <c r="E1583" s="18" t="s">
        <v>96</v>
      </c>
      <c r="F1583" s="18" t="s">
        <v>51</v>
      </c>
      <c r="G1583" s="18">
        <v>4768</v>
      </c>
      <c r="H1583" s="25">
        <f t="shared" si="96"/>
        <v>45048</v>
      </c>
      <c r="I1583" s="26">
        <f t="shared" si="97"/>
        <v>0.99791666666715173</v>
      </c>
      <c r="J1583" s="18" t="str">
        <f t="shared" si="98"/>
        <v>May</v>
      </c>
      <c r="K1583" s="56" t="str">
        <f t="shared" si="99"/>
        <v>Tuesday</v>
      </c>
      <c r="L1583" s="18" t="str">
        <f>IF(OR(G1583&gt;Answers!I1598,G1583&lt;Answers!I1599),"Outlier","Normal")</f>
        <v>Outlier</v>
      </c>
      <c r="M1583" s="18">
        <v>82</v>
      </c>
    </row>
    <row r="1584" spans="1:13" ht="20" customHeight="1" x14ac:dyDescent="0.35">
      <c r="A1584" s="17">
        <v>1051553</v>
      </c>
      <c r="B1584" s="18">
        <v>231</v>
      </c>
      <c r="C1584" s="23" t="s">
        <v>99</v>
      </c>
      <c r="D1584" s="27">
        <v>45198.018055555556</v>
      </c>
      <c r="E1584" s="18" t="s">
        <v>133</v>
      </c>
      <c r="F1584" s="18" t="s">
        <v>22</v>
      </c>
      <c r="G1584" s="18">
        <v>8153</v>
      </c>
      <c r="H1584" s="25">
        <f t="shared" si="96"/>
        <v>45198</v>
      </c>
      <c r="I1584" s="26">
        <f t="shared" si="97"/>
        <v>1.8055555556202307E-2</v>
      </c>
      <c r="J1584" s="18" t="str">
        <f t="shared" si="98"/>
        <v>September</v>
      </c>
      <c r="K1584" s="56" t="str">
        <f t="shared" si="99"/>
        <v>Friday</v>
      </c>
      <c r="L1584" s="18" t="str">
        <f>IF(OR(G1584&gt;Answers!I1599,G1584&lt;Answers!I1600),"Outlier","Normal")</f>
        <v>Outlier</v>
      </c>
      <c r="M1584" s="18">
        <v>41</v>
      </c>
    </row>
    <row r="1585" spans="1:13" ht="20" customHeight="1" x14ac:dyDescent="0.35">
      <c r="A1585" s="17">
        <v>1052119</v>
      </c>
      <c r="B1585" s="18">
        <v>634</v>
      </c>
      <c r="C1585" s="23" t="s">
        <v>99</v>
      </c>
      <c r="D1585" s="27">
        <v>45153.006944444445</v>
      </c>
      <c r="E1585" s="18" t="s">
        <v>133</v>
      </c>
      <c r="F1585" s="18" t="s">
        <v>4</v>
      </c>
      <c r="G1585" s="18">
        <v>4462</v>
      </c>
      <c r="H1585" s="25">
        <f t="shared" si="96"/>
        <v>45153</v>
      </c>
      <c r="I1585" s="26">
        <f t="shared" si="97"/>
        <v>6.9444444452528842E-3</v>
      </c>
      <c r="J1585" s="18" t="str">
        <f t="shared" si="98"/>
        <v>August</v>
      </c>
      <c r="K1585" s="56" t="str">
        <f t="shared" si="99"/>
        <v>Tuesday</v>
      </c>
      <c r="L1585" s="18" t="str">
        <f>IF(OR(G1585&gt;Answers!I1600,G1585&lt;Answers!I1601),"Outlier","Normal")</f>
        <v>Outlier</v>
      </c>
      <c r="M1585" s="18">
        <v>62</v>
      </c>
    </row>
    <row r="1586" spans="1:13" ht="20" customHeight="1" x14ac:dyDescent="0.35">
      <c r="A1586" s="17">
        <v>1052606</v>
      </c>
      <c r="B1586" s="18">
        <v>577</v>
      </c>
      <c r="C1586" s="23" t="s">
        <v>100</v>
      </c>
      <c r="D1586" s="27">
        <v>45233.006944444445</v>
      </c>
      <c r="E1586" s="18" t="s">
        <v>97</v>
      </c>
      <c r="F1586" s="18" t="s">
        <v>57</v>
      </c>
      <c r="G1586" s="18">
        <v>701</v>
      </c>
      <c r="H1586" s="25">
        <f t="shared" si="96"/>
        <v>45233</v>
      </c>
      <c r="I1586" s="26">
        <f t="shared" si="97"/>
        <v>6.9444444452528842E-3</v>
      </c>
      <c r="J1586" s="18" t="str">
        <f t="shared" si="98"/>
        <v>November</v>
      </c>
      <c r="K1586" s="56" t="str">
        <f t="shared" si="99"/>
        <v>Friday</v>
      </c>
      <c r="L1586" s="18" t="str">
        <f>IF(OR(G1586&gt;Answers!I1601,G1586&lt;Answers!I1602),"Outlier","Normal")</f>
        <v>Outlier</v>
      </c>
      <c r="M1586" s="18">
        <v>74</v>
      </c>
    </row>
    <row r="1587" spans="1:13" ht="20" customHeight="1" x14ac:dyDescent="0.35">
      <c r="A1587" s="17">
        <v>1053680</v>
      </c>
      <c r="B1587" s="18">
        <v>1618</v>
      </c>
      <c r="C1587" s="23" t="s">
        <v>99</v>
      </c>
      <c r="D1587" s="27">
        <v>45233.082638888889</v>
      </c>
      <c r="E1587" s="18" t="s">
        <v>96</v>
      </c>
      <c r="F1587" s="18" t="s">
        <v>77</v>
      </c>
      <c r="G1587" s="18">
        <v>6474</v>
      </c>
      <c r="H1587" s="25">
        <f t="shared" si="96"/>
        <v>45233</v>
      </c>
      <c r="I1587" s="26">
        <f t="shared" si="97"/>
        <v>8.2638888889050577E-2</v>
      </c>
      <c r="J1587" s="18" t="str">
        <f t="shared" si="98"/>
        <v>November</v>
      </c>
      <c r="K1587" s="56" t="str">
        <f t="shared" si="99"/>
        <v>Friday</v>
      </c>
      <c r="L1587" s="18" t="str">
        <f>IF(OR(G1587&gt;Answers!I1602,G1587&lt;Answers!I1603),"Outlier","Normal")</f>
        <v>Outlier</v>
      </c>
      <c r="M1587" s="18">
        <v>50</v>
      </c>
    </row>
    <row r="1588" spans="1:13" ht="20" customHeight="1" x14ac:dyDescent="0.35">
      <c r="A1588" s="17">
        <v>1054349</v>
      </c>
      <c r="B1588" s="18">
        <v>1473</v>
      </c>
      <c r="C1588" s="23" t="s">
        <v>99</v>
      </c>
      <c r="D1588" s="27">
        <v>45026.978472222225</v>
      </c>
      <c r="E1588" s="18" t="s">
        <v>96</v>
      </c>
      <c r="F1588" s="18" t="s">
        <v>18</v>
      </c>
      <c r="G1588" s="18">
        <v>4060</v>
      </c>
      <c r="H1588" s="25">
        <f t="shared" si="96"/>
        <v>45026</v>
      </c>
      <c r="I1588" s="26">
        <f t="shared" si="97"/>
        <v>0.97847222222480923</v>
      </c>
      <c r="J1588" s="18" t="str">
        <f t="shared" si="98"/>
        <v>April</v>
      </c>
      <c r="K1588" s="56" t="str">
        <f t="shared" si="99"/>
        <v>Monday</v>
      </c>
      <c r="L1588" s="18" t="str">
        <f>IF(OR(G1588&gt;Answers!I1603,G1588&lt;Answers!I1604),"Outlier","Normal")</f>
        <v>Outlier</v>
      </c>
      <c r="M1588" s="18">
        <v>40</v>
      </c>
    </row>
    <row r="1589" spans="1:13" ht="20" customHeight="1" x14ac:dyDescent="0.35">
      <c r="A1589" s="17">
        <v>1054639</v>
      </c>
      <c r="B1589" s="18">
        <v>1865</v>
      </c>
      <c r="C1589" s="23" t="s">
        <v>100</v>
      </c>
      <c r="D1589" s="27">
        <v>44983</v>
      </c>
      <c r="E1589" s="18" t="s">
        <v>133</v>
      </c>
      <c r="F1589" s="18" t="s">
        <v>41</v>
      </c>
      <c r="G1589" s="18">
        <v>4421</v>
      </c>
      <c r="H1589" s="25">
        <f t="shared" si="96"/>
        <v>44983</v>
      </c>
      <c r="I1589" s="26">
        <f t="shared" si="97"/>
        <v>0</v>
      </c>
      <c r="J1589" s="18" t="str">
        <f t="shared" si="98"/>
        <v>February</v>
      </c>
      <c r="K1589" s="56" t="str">
        <f t="shared" si="99"/>
        <v>Sunday</v>
      </c>
      <c r="L1589" s="18" t="str">
        <f>IF(OR(G1589&gt;Answers!I1604,G1589&lt;Answers!I1605),"Outlier","Normal")</f>
        <v>Outlier</v>
      </c>
      <c r="M1589" s="18">
        <v>90</v>
      </c>
    </row>
    <row r="1590" spans="1:13" ht="20" customHeight="1" x14ac:dyDescent="0.35">
      <c r="A1590" s="17">
        <v>1055786</v>
      </c>
      <c r="B1590" s="18">
        <v>1205</v>
      </c>
      <c r="C1590" s="23" t="s">
        <v>105</v>
      </c>
      <c r="D1590" s="27">
        <v>45143.052777777775</v>
      </c>
      <c r="E1590" s="18" t="s">
        <v>97</v>
      </c>
      <c r="F1590" s="18" t="s">
        <v>13</v>
      </c>
      <c r="G1590" s="18">
        <v>7809</v>
      </c>
      <c r="H1590" s="25">
        <f t="shared" si="96"/>
        <v>45143</v>
      </c>
      <c r="I1590" s="26">
        <f t="shared" si="97"/>
        <v>5.2777777775190771E-2</v>
      </c>
      <c r="J1590" s="18" t="str">
        <f t="shared" si="98"/>
        <v>August</v>
      </c>
      <c r="K1590" s="56" t="str">
        <f t="shared" si="99"/>
        <v>Saturday</v>
      </c>
      <c r="L1590" s="18" t="str">
        <f>IF(OR(G1590&gt;Answers!I1605,G1590&lt;Answers!I1606),"Outlier","Normal")</f>
        <v>Outlier</v>
      </c>
      <c r="M1590" s="18">
        <v>89</v>
      </c>
    </row>
    <row r="1591" spans="1:13" ht="20" customHeight="1" x14ac:dyDescent="0.35">
      <c r="A1591" s="17">
        <v>1055810</v>
      </c>
      <c r="B1591" s="18">
        <v>1362</v>
      </c>
      <c r="C1591" s="23" t="s">
        <v>102</v>
      </c>
      <c r="D1591" s="27">
        <v>44935.992361111108</v>
      </c>
      <c r="E1591" s="18" t="s">
        <v>97</v>
      </c>
      <c r="F1591" s="18" t="s">
        <v>74</v>
      </c>
      <c r="G1591" s="18">
        <v>563</v>
      </c>
      <c r="H1591" s="25">
        <f t="shared" si="96"/>
        <v>44935</v>
      </c>
      <c r="I1591" s="26">
        <f t="shared" si="97"/>
        <v>0.99236111110803904</v>
      </c>
      <c r="J1591" s="18" t="str">
        <f t="shared" si="98"/>
        <v>January</v>
      </c>
      <c r="K1591" s="56" t="str">
        <f t="shared" si="99"/>
        <v>Monday</v>
      </c>
      <c r="L1591" s="18" t="str">
        <f>IF(OR(G1591&gt;Answers!I1606,G1591&lt;Answers!I1607),"Outlier","Normal")</f>
        <v>Outlier</v>
      </c>
      <c r="M1591" s="18">
        <v>40</v>
      </c>
    </row>
    <row r="1592" spans="1:13" ht="20" customHeight="1" x14ac:dyDescent="0.35">
      <c r="A1592" s="17">
        <v>1055817</v>
      </c>
      <c r="B1592" s="18">
        <v>1697</v>
      </c>
      <c r="C1592" s="23" t="s">
        <v>100</v>
      </c>
      <c r="D1592" s="27">
        <v>45079.958333333336</v>
      </c>
      <c r="E1592" s="18" t="s">
        <v>98</v>
      </c>
      <c r="F1592" s="18" t="s">
        <v>52</v>
      </c>
      <c r="G1592" s="18">
        <v>8477</v>
      </c>
      <c r="H1592" s="25">
        <f t="shared" si="96"/>
        <v>45079</v>
      </c>
      <c r="I1592" s="26">
        <f t="shared" si="97"/>
        <v>0.95833333333575865</v>
      </c>
      <c r="J1592" s="18" t="str">
        <f t="shared" si="98"/>
        <v>June</v>
      </c>
      <c r="K1592" s="56" t="str">
        <f t="shared" si="99"/>
        <v>Friday</v>
      </c>
      <c r="L1592" s="18" t="str">
        <f>IF(OR(G1592&gt;Answers!I1607,G1592&lt;Answers!I1608),"Outlier","Normal")</f>
        <v>Outlier</v>
      </c>
      <c r="M1592" s="18">
        <v>65</v>
      </c>
    </row>
    <row r="1593" spans="1:13" ht="20" customHeight="1" x14ac:dyDescent="0.35">
      <c r="A1593" s="17">
        <v>1056320</v>
      </c>
      <c r="B1593" s="18">
        <v>856</v>
      </c>
      <c r="C1593" s="23" t="s">
        <v>99</v>
      </c>
      <c r="D1593" s="27">
        <v>45024.050694444442</v>
      </c>
      <c r="E1593" s="18" t="s">
        <v>133</v>
      </c>
      <c r="F1593" s="18" t="s">
        <v>30</v>
      </c>
      <c r="G1593" s="18">
        <v>6535</v>
      </c>
      <c r="H1593" s="25">
        <f t="shared" si="96"/>
        <v>45024</v>
      </c>
      <c r="I1593" s="26">
        <f t="shared" si="97"/>
        <v>5.0694444442342501E-2</v>
      </c>
      <c r="J1593" s="18" t="str">
        <f t="shared" si="98"/>
        <v>April</v>
      </c>
      <c r="K1593" s="56" t="str">
        <f t="shared" si="99"/>
        <v>Saturday</v>
      </c>
      <c r="L1593" s="18" t="str">
        <f>IF(OR(G1593&gt;Answers!I1608,G1593&lt;Answers!I1609),"Outlier","Normal")</f>
        <v>Outlier</v>
      </c>
      <c r="M1593" s="18">
        <v>59</v>
      </c>
    </row>
    <row r="1594" spans="1:13" ht="20" customHeight="1" x14ac:dyDescent="0.35">
      <c r="A1594" s="17">
        <v>1056575</v>
      </c>
      <c r="B1594" s="18">
        <v>1149</v>
      </c>
      <c r="C1594" s="23" t="s">
        <v>99</v>
      </c>
      <c r="D1594" s="27">
        <v>45017.057638888888</v>
      </c>
      <c r="E1594" s="18" t="s">
        <v>98</v>
      </c>
      <c r="F1594" s="18" t="s">
        <v>53</v>
      </c>
      <c r="G1594" s="18">
        <v>1439</v>
      </c>
      <c r="H1594" s="25">
        <f t="shared" si="96"/>
        <v>45017</v>
      </c>
      <c r="I1594" s="26">
        <f t="shared" si="97"/>
        <v>5.7638888887595385E-2</v>
      </c>
      <c r="J1594" s="18" t="str">
        <f t="shared" si="98"/>
        <v>April</v>
      </c>
      <c r="K1594" s="56" t="str">
        <f t="shared" si="99"/>
        <v>Saturday</v>
      </c>
      <c r="L1594" s="18" t="str">
        <f>IF(OR(G1594&gt;Answers!I1609,G1594&lt;Answers!I1610),"Outlier","Normal")</f>
        <v>Outlier</v>
      </c>
      <c r="M1594" s="18">
        <v>31</v>
      </c>
    </row>
    <row r="1595" spans="1:13" ht="20" customHeight="1" x14ac:dyDescent="0.35">
      <c r="A1595" s="17">
        <v>1056710</v>
      </c>
      <c r="B1595" s="18">
        <v>1243</v>
      </c>
      <c r="C1595" s="23" t="s">
        <v>105</v>
      </c>
      <c r="D1595" s="27">
        <v>45138.027777777781</v>
      </c>
      <c r="E1595" s="18" t="s">
        <v>133</v>
      </c>
      <c r="F1595" s="18" t="s">
        <v>43</v>
      </c>
      <c r="G1595" s="18">
        <v>1855</v>
      </c>
      <c r="H1595" s="25">
        <f t="shared" si="96"/>
        <v>45138</v>
      </c>
      <c r="I1595" s="26">
        <f t="shared" si="97"/>
        <v>2.7777777781011537E-2</v>
      </c>
      <c r="J1595" s="18" t="str">
        <f t="shared" si="98"/>
        <v>July</v>
      </c>
      <c r="K1595" s="56" t="str">
        <f t="shared" si="99"/>
        <v>Monday</v>
      </c>
      <c r="L1595" s="18" t="str">
        <f>IF(OR(G1595&gt;Answers!I1610,G1595&lt;Answers!I1611),"Outlier","Normal")</f>
        <v>Outlier</v>
      </c>
      <c r="M1595" s="18">
        <v>24</v>
      </c>
    </row>
    <row r="1596" spans="1:13" ht="20" customHeight="1" x14ac:dyDescent="0.35">
      <c r="A1596" s="17">
        <v>1057228</v>
      </c>
      <c r="B1596" s="18">
        <v>1029</v>
      </c>
      <c r="C1596" s="23" t="s">
        <v>105</v>
      </c>
      <c r="D1596" s="27">
        <v>45199.993055555555</v>
      </c>
      <c r="E1596" s="18" t="s">
        <v>98</v>
      </c>
      <c r="F1596" s="18" t="s">
        <v>27</v>
      </c>
      <c r="G1596" s="18">
        <v>9442</v>
      </c>
      <c r="H1596" s="25">
        <f t="shared" si="96"/>
        <v>45199</v>
      </c>
      <c r="I1596" s="26">
        <f t="shared" si="97"/>
        <v>0.99305555555474712</v>
      </c>
      <c r="J1596" s="18" t="str">
        <f t="shared" si="98"/>
        <v>September</v>
      </c>
      <c r="K1596" s="56" t="str">
        <f t="shared" si="99"/>
        <v>Saturday</v>
      </c>
      <c r="L1596" s="18" t="str">
        <f>IF(OR(G1596&gt;Answers!I1611,G1596&lt;Answers!I1612),"Outlier","Normal")</f>
        <v>Outlier</v>
      </c>
      <c r="M1596" s="18">
        <v>45</v>
      </c>
    </row>
    <row r="1597" spans="1:13" ht="20" customHeight="1" x14ac:dyDescent="0.35">
      <c r="A1597" s="17">
        <v>1058164</v>
      </c>
      <c r="B1597" s="18">
        <v>1215</v>
      </c>
      <c r="C1597" s="23" t="s">
        <v>99</v>
      </c>
      <c r="D1597" s="27">
        <v>45129.069444444445</v>
      </c>
      <c r="E1597" s="18" t="s">
        <v>97</v>
      </c>
      <c r="F1597" s="18" t="s">
        <v>41</v>
      </c>
      <c r="G1597" s="18">
        <v>4073</v>
      </c>
      <c r="H1597" s="25">
        <f t="shared" si="96"/>
        <v>45129</v>
      </c>
      <c r="I1597" s="26">
        <f t="shared" si="97"/>
        <v>6.9444444445252884E-2</v>
      </c>
      <c r="J1597" s="18" t="str">
        <f t="shared" si="98"/>
        <v>July</v>
      </c>
      <c r="K1597" s="56" t="str">
        <f t="shared" si="99"/>
        <v>Saturday</v>
      </c>
      <c r="L1597" s="18" t="str">
        <f>IF(OR(G1597&gt;Answers!I1612,G1597&lt;Answers!I1613),"Outlier","Normal")</f>
        <v>Outlier</v>
      </c>
      <c r="M1597" s="18">
        <v>33</v>
      </c>
    </row>
    <row r="1598" spans="1:13" ht="20" customHeight="1" x14ac:dyDescent="0.35">
      <c r="A1598" s="17">
        <v>1058847</v>
      </c>
      <c r="B1598" s="18">
        <v>977</v>
      </c>
      <c r="C1598" s="23" t="s">
        <v>113</v>
      </c>
      <c r="D1598" s="27">
        <v>45178.965277777781</v>
      </c>
      <c r="E1598" s="18" t="s">
        <v>98</v>
      </c>
      <c r="F1598" s="18" t="s">
        <v>80</v>
      </c>
      <c r="G1598" s="18">
        <v>2786</v>
      </c>
      <c r="H1598" s="25">
        <f t="shared" si="96"/>
        <v>45178</v>
      </c>
      <c r="I1598" s="26">
        <f t="shared" si="97"/>
        <v>0.96527777778101154</v>
      </c>
      <c r="J1598" s="18" t="str">
        <f t="shared" si="98"/>
        <v>September</v>
      </c>
      <c r="K1598" s="56" t="str">
        <f t="shared" si="99"/>
        <v>Saturday</v>
      </c>
      <c r="L1598" s="18" t="str">
        <f>IF(OR(G1598&gt;Answers!I1613,G1598&lt;Answers!I1614),"Outlier","Normal")</f>
        <v>Outlier</v>
      </c>
      <c r="M1598" s="18">
        <v>31</v>
      </c>
    </row>
    <row r="1599" spans="1:13" ht="20" customHeight="1" x14ac:dyDescent="0.35">
      <c r="A1599" s="17">
        <v>1059637</v>
      </c>
      <c r="B1599" s="18">
        <v>463</v>
      </c>
      <c r="C1599" s="23" t="s">
        <v>109</v>
      </c>
      <c r="D1599" s="27">
        <v>45147.05972222222</v>
      </c>
      <c r="E1599" s="18" t="s">
        <v>97</v>
      </c>
      <c r="F1599" s="18" t="s">
        <v>54</v>
      </c>
      <c r="G1599" s="18">
        <v>3285</v>
      </c>
      <c r="H1599" s="25">
        <f t="shared" si="96"/>
        <v>45147</v>
      </c>
      <c r="I1599" s="26">
        <f t="shared" si="97"/>
        <v>5.9722222220443655E-2</v>
      </c>
      <c r="J1599" s="18" t="str">
        <f t="shared" si="98"/>
        <v>August</v>
      </c>
      <c r="K1599" s="56" t="str">
        <f t="shared" si="99"/>
        <v>Wednesday</v>
      </c>
      <c r="L1599" s="18" t="str">
        <f>IF(OR(G1599&gt;Answers!I1614,G1599&lt;Answers!I1615),"Outlier","Normal")</f>
        <v>Outlier</v>
      </c>
      <c r="M1599" s="18">
        <v>55</v>
      </c>
    </row>
    <row r="1600" spans="1:13" ht="20" customHeight="1" x14ac:dyDescent="0.35">
      <c r="A1600" s="17">
        <v>1059711</v>
      </c>
      <c r="B1600" s="18">
        <v>1479</v>
      </c>
      <c r="C1600" s="23" t="s">
        <v>99</v>
      </c>
      <c r="D1600" s="27">
        <v>45000.042361111111</v>
      </c>
      <c r="E1600" s="18" t="s">
        <v>96</v>
      </c>
      <c r="F1600" s="18" t="s">
        <v>57</v>
      </c>
      <c r="G1600" s="18">
        <v>5593</v>
      </c>
      <c r="H1600" s="25">
        <f t="shared" si="96"/>
        <v>45000</v>
      </c>
      <c r="I1600" s="26">
        <f t="shared" si="97"/>
        <v>4.2361111110949423E-2</v>
      </c>
      <c r="J1600" s="18" t="str">
        <f t="shared" si="98"/>
        <v>March</v>
      </c>
      <c r="K1600" s="56" t="str">
        <f t="shared" si="99"/>
        <v>Wednesday</v>
      </c>
      <c r="L1600" s="18" t="str">
        <f>IF(OR(G1600&gt;Answers!I1615,G1600&lt;Answers!I1616),"Outlier","Normal")</f>
        <v>Outlier</v>
      </c>
      <c r="M1600" s="18">
        <v>87</v>
      </c>
    </row>
    <row r="1601" spans="1:13" ht="20" customHeight="1" x14ac:dyDescent="0.35">
      <c r="A1601" s="17">
        <v>1060684</v>
      </c>
      <c r="B1601" s="18">
        <v>1252</v>
      </c>
      <c r="C1601" s="23" t="s">
        <v>99</v>
      </c>
      <c r="D1601" s="27">
        <v>45023.993055555555</v>
      </c>
      <c r="E1601" s="18" t="s">
        <v>96</v>
      </c>
      <c r="F1601" s="18" t="s">
        <v>34</v>
      </c>
      <c r="G1601" s="18">
        <v>4684</v>
      </c>
      <c r="H1601" s="25">
        <f t="shared" si="96"/>
        <v>45023</v>
      </c>
      <c r="I1601" s="26">
        <f t="shared" si="97"/>
        <v>0.99305555555474712</v>
      </c>
      <c r="J1601" s="18" t="str">
        <f t="shared" si="98"/>
        <v>April</v>
      </c>
      <c r="K1601" s="56" t="str">
        <f t="shared" si="99"/>
        <v>Friday</v>
      </c>
      <c r="L1601" s="18" t="str">
        <f>IF(OR(G1601&gt;Answers!I1616,G1601&lt;Answers!I1617),"Outlier","Normal")</f>
        <v>Outlier</v>
      </c>
      <c r="M1601" s="18">
        <v>66</v>
      </c>
    </row>
    <row r="1602" spans="1:13" ht="20" customHeight="1" x14ac:dyDescent="0.35">
      <c r="A1602" s="17">
        <v>1061016</v>
      </c>
      <c r="B1602" s="18">
        <v>1561</v>
      </c>
      <c r="C1602" s="23" t="s">
        <v>110</v>
      </c>
      <c r="D1602" s="27">
        <v>45179.063194444447</v>
      </c>
      <c r="E1602" s="18" t="s">
        <v>97</v>
      </c>
      <c r="F1602" s="18" t="s">
        <v>60</v>
      </c>
      <c r="G1602" s="18">
        <v>7486</v>
      </c>
      <c r="H1602" s="25">
        <f t="shared" si="96"/>
        <v>45179</v>
      </c>
      <c r="I1602" s="26">
        <f t="shared" si="97"/>
        <v>6.3194444446708076E-2</v>
      </c>
      <c r="J1602" s="18" t="str">
        <f t="shared" si="98"/>
        <v>September</v>
      </c>
      <c r="K1602" s="56" t="str">
        <f t="shared" si="99"/>
        <v>Sunday</v>
      </c>
      <c r="L1602" s="18" t="str">
        <f>IF(OR(G1602&gt;Answers!I1617,G1602&lt;Answers!I1618),"Outlier","Normal")</f>
        <v>Outlier</v>
      </c>
      <c r="M1602" s="18">
        <v>28</v>
      </c>
    </row>
    <row r="1603" spans="1:13" ht="20" customHeight="1" x14ac:dyDescent="0.35">
      <c r="A1603" s="17">
        <v>1061210</v>
      </c>
      <c r="B1603" s="18">
        <v>721</v>
      </c>
      <c r="C1603" s="23" t="s">
        <v>113</v>
      </c>
      <c r="D1603" s="27">
        <v>45267.006249999999</v>
      </c>
      <c r="E1603" s="18" t="s">
        <v>133</v>
      </c>
      <c r="F1603" s="18" t="s">
        <v>63</v>
      </c>
      <c r="G1603" s="18">
        <v>1496</v>
      </c>
      <c r="H1603" s="25">
        <f t="shared" ref="H1603:H1666" si="100">INT(D1603)</f>
        <v>45267</v>
      </c>
      <c r="I1603" s="26">
        <f t="shared" ref="I1603:I1666" si="101">MOD(D1603,1)</f>
        <v>6.2499999985448085E-3</v>
      </c>
      <c r="J1603" s="18" t="str">
        <f t="shared" ref="J1603:J1666" si="102">TEXT(D1603,"mmmm")</f>
        <v>December</v>
      </c>
      <c r="K1603" s="56" t="str">
        <f t="shared" ref="K1603:K1666" si="103">TEXT(D1603,"dddd")</f>
        <v>Thursday</v>
      </c>
      <c r="L1603" s="18" t="str">
        <f>IF(OR(G1603&gt;Answers!I1618,G1603&lt;Answers!I1619),"Outlier","Normal")</f>
        <v>Outlier</v>
      </c>
      <c r="M1603" s="18">
        <v>46</v>
      </c>
    </row>
    <row r="1604" spans="1:13" ht="20" customHeight="1" x14ac:dyDescent="0.35">
      <c r="A1604" s="17">
        <v>1061320</v>
      </c>
      <c r="B1604" s="18">
        <v>1874</v>
      </c>
      <c r="C1604" s="23" t="s">
        <v>99</v>
      </c>
      <c r="D1604" s="27">
        <v>45102.026388888888</v>
      </c>
      <c r="E1604" s="18" t="s">
        <v>133</v>
      </c>
      <c r="F1604" s="18" t="s">
        <v>4</v>
      </c>
      <c r="G1604" s="18">
        <v>2899</v>
      </c>
      <c r="H1604" s="25">
        <f t="shared" si="100"/>
        <v>45102</v>
      </c>
      <c r="I1604" s="26">
        <f t="shared" si="101"/>
        <v>2.6388888887595385E-2</v>
      </c>
      <c r="J1604" s="18" t="str">
        <f t="shared" si="102"/>
        <v>June</v>
      </c>
      <c r="K1604" s="56" t="str">
        <f t="shared" si="103"/>
        <v>Sunday</v>
      </c>
      <c r="L1604" s="18" t="str">
        <f>IF(OR(G1604&gt;Answers!I1619,G1604&lt;Answers!I1620),"Outlier","Normal")</f>
        <v>Outlier</v>
      </c>
      <c r="M1604" s="18">
        <v>51</v>
      </c>
    </row>
    <row r="1605" spans="1:13" ht="20" customHeight="1" x14ac:dyDescent="0.35">
      <c r="A1605" s="17">
        <v>1061512</v>
      </c>
      <c r="B1605" s="18">
        <v>666</v>
      </c>
      <c r="C1605" s="23" t="s">
        <v>100</v>
      </c>
      <c r="D1605" s="27">
        <v>44987.058333333334</v>
      </c>
      <c r="E1605" s="18" t="s">
        <v>133</v>
      </c>
      <c r="F1605" s="18" t="s">
        <v>47</v>
      </c>
      <c r="G1605" s="18">
        <v>1743</v>
      </c>
      <c r="H1605" s="25">
        <f t="shared" si="100"/>
        <v>44987</v>
      </c>
      <c r="I1605" s="26">
        <f t="shared" si="101"/>
        <v>5.8333333334303461E-2</v>
      </c>
      <c r="J1605" s="18" t="str">
        <f t="shared" si="102"/>
        <v>March</v>
      </c>
      <c r="K1605" s="56" t="str">
        <f t="shared" si="103"/>
        <v>Thursday</v>
      </c>
      <c r="L1605" s="18" t="str">
        <f>IF(OR(G1605&gt;Answers!I1620,G1605&lt;Answers!I1621),"Outlier","Normal")</f>
        <v>Outlier</v>
      </c>
      <c r="M1605" s="18">
        <v>24</v>
      </c>
    </row>
    <row r="1606" spans="1:13" ht="20" customHeight="1" x14ac:dyDescent="0.35">
      <c r="A1606" s="17">
        <v>1062871</v>
      </c>
      <c r="B1606" s="18">
        <v>1248</v>
      </c>
      <c r="C1606" s="23" t="s">
        <v>99</v>
      </c>
      <c r="D1606" s="27">
        <v>44963.059027777781</v>
      </c>
      <c r="E1606" s="18" t="s">
        <v>98</v>
      </c>
      <c r="F1606" s="18" t="s">
        <v>60</v>
      </c>
      <c r="G1606" s="18">
        <v>6459</v>
      </c>
      <c r="H1606" s="25">
        <f t="shared" si="100"/>
        <v>44963</v>
      </c>
      <c r="I1606" s="26">
        <f t="shared" si="101"/>
        <v>5.9027777781011537E-2</v>
      </c>
      <c r="J1606" s="18" t="str">
        <f t="shared" si="102"/>
        <v>February</v>
      </c>
      <c r="K1606" s="56" t="str">
        <f t="shared" si="103"/>
        <v>Monday</v>
      </c>
      <c r="L1606" s="18" t="str">
        <f>IF(OR(G1606&gt;Answers!I1621,G1606&lt;Answers!I1622),"Outlier","Normal")</f>
        <v>Outlier</v>
      </c>
      <c r="M1606" s="18">
        <v>87</v>
      </c>
    </row>
    <row r="1607" spans="1:13" ht="20" customHeight="1" x14ac:dyDescent="0.35">
      <c r="A1607" s="17">
        <v>1063239</v>
      </c>
      <c r="B1607" s="18">
        <v>1639</v>
      </c>
      <c r="C1607" s="23" t="s">
        <v>101</v>
      </c>
      <c r="D1607" s="27">
        <v>45194.977083333331</v>
      </c>
      <c r="E1607" s="18" t="s">
        <v>96</v>
      </c>
      <c r="F1607" s="18" t="s">
        <v>61</v>
      </c>
      <c r="G1607" s="18">
        <v>3101</v>
      </c>
      <c r="H1607" s="25">
        <f t="shared" si="100"/>
        <v>45194</v>
      </c>
      <c r="I1607" s="26">
        <f t="shared" si="101"/>
        <v>0.97708333333139308</v>
      </c>
      <c r="J1607" s="18" t="str">
        <f t="shared" si="102"/>
        <v>September</v>
      </c>
      <c r="K1607" s="56" t="str">
        <f t="shared" si="103"/>
        <v>Monday</v>
      </c>
      <c r="L1607" s="18" t="str">
        <f>IF(OR(G1607&gt;Answers!I1622,G1607&lt;Answers!I1623),"Outlier","Normal")</f>
        <v>Outlier</v>
      </c>
      <c r="M1607" s="18">
        <v>57</v>
      </c>
    </row>
    <row r="1608" spans="1:13" ht="20" customHeight="1" x14ac:dyDescent="0.35">
      <c r="A1608" s="17">
        <v>1063742</v>
      </c>
      <c r="B1608" s="18">
        <v>212</v>
      </c>
      <c r="C1608" s="23" t="s">
        <v>109</v>
      </c>
      <c r="D1608" s="27">
        <v>45216.030555555553</v>
      </c>
      <c r="E1608" s="18" t="s">
        <v>133</v>
      </c>
      <c r="F1608" s="18" t="s">
        <v>40</v>
      </c>
      <c r="G1608" s="18">
        <v>359</v>
      </c>
      <c r="H1608" s="25">
        <f t="shared" si="100"/>
        <v>45216</v>
      </c>
      <c r="I1608" s="26">
        <f t="shared" si="101"/>
        <v>3.0555555553291924E-2</v>
      </c>
      <c r="J1608" s="18" t="str">
        <f t="shared" si="102"/>
        <v>October</v>
      </c>
      <c r="K1608" s="56" t="str">
        <f t="shared" si="103"/>
        <v>Tuesday</v>
      </c>
      <c r="L1608" s="18" t="str">
        <f>IF(OR(G1608&gt;Answers!I1623,G1608&lt;Answers!I1624),"Outlier","Normal")</f>
        <v>Outlier</v>
      </c>
      <c r="M1608" s="18">
        <v>19</v>
      </c>
    </row>
    <row r="1609" spans="1:13" ht="20" customHeight="1" x14ac:dyDescent="0.35">
      <c r="A1609" s="17">
        <v>1063767</v>
      </c>
      <c r="B1609" s="18">
        <v>1616</v>
      </c>
      <c r="C1609" s="23" t="s">
        <v>99</v>
      </c>
      <c r="D1609" s="27">
        <v>45133.988888888889</v>
      </c>
      <c r="E1609" s="18" t="s">
        <v>97</v>
      </c>
      <c r="F1609" s="18" t="s">
        <v>81</v>
      </c>
      <c r="G1609" s="18">
        <v>1893</v>
      </c>
      <c r="H1609" s="25">
        <f t="shared" si="100"/>
        <v>45133</v>
      </c>
      <c r="I1609" s="26">
        <f t="shared" si="101"/>
        <v>0.98888888888905058</v>
      </c>
      <c r="J1609" s="18" t="str">
        <f t="shared" si="102"/>
        <v>July</v>
      </c>
      <c r="K1609" s="56" t="str">
        <f t="shared" si="103"/>
        <v>Wednesday</v>
      </c>
      <c r="L1609" s="18" t="str">
        <f>IF(OR(G1609&gt;Answers!I1624,G1609&lt;Answers!I1625),"Outlier","Normal")</f>
        <v>Outlier</v>
      </c>
      <c r="M1609" s="18">
        <v>38</v>
      </c>
    </row>
    <row r="1610" spans="1:13" ht="20" customHeight="1" x14ac:dyDescent="0.35">
      <c r="A1610" s="17">
        <v>1064483</v>
      </c>
      <c r="B1610" s="18">
        <v>1571</v>
      </c>
      <c r="C1610" s="23" t="s">
        <v>99</v>
      </c>
      <c r="D1610" s="27">
        <v>45097.076388888891</v>
      </c>
      <c r="E1610" s="18" t="s">
        <v>96</v>
      </c>
      <c r="F1610" s="18" t="s">
        <v>18</v>
      </c>
      <c r="G1610" s="18">
        <v>6345</v>
      </c>
      <c r="H1610" s="25">
        <f t="shared" si="100"/>
        <v>45097</v>
      </c>
      <c r="I1610" s="26">
        <f t="shared" si="101"/>
        <v>7.6388888890505768E-2</v>
      </c>
      <c r="J1610" s="18" t="str">
        <f t="shared" si="102"/>
        <v>June</v>
      </c>
      <c r="K1610" s="56" t="str">
        <f t="shared" si="103"/>
        <v>Tuesday</v>
      </c>
      <c r="L1610" s="18" t="str">
        <f>IF(OR(G1610&gt;Answers!I1625,G1610&lt;Answers!I1626),"Outlier","Normal")</f>
        <v>Outlier</v>
      </c>
      <c r="M1610" s="18">
        <v>71</v>
      </c>
    </row>
    <row r="1611" spans="1:13" ht="20" customHeight="1" x14ac:dyDescent="0.35">
      <c r="A1611" s="17">
        <v>1064762</v>
      </c>
      <c r="B1611" s="18">
        <v>1018</v>
      </c>
      <c r="C1611" s="23" t="s">
        <v>100</v>
      </c>
      <c r="D1611" s="27">
        <v>45224.036805555559</v>
      </c>
      <c r="E1611" s="18" t="s">
        <v>133</v>
      </c>
      <c r="F1611" s="18" t="s">
        <v>28</v>
      </c>
      <c r="G1611" s="18">
        <v>1726</v>
      </c>
      <c r="H1611" s="25">
        <f t="shared" si="100"/>
        <v>45224</v>
      </c>
      <c r="I1611" s="26">
        <f t="shared" si="101"/>
        <v>3.680555555911269E-2</v>
      </c>
      <c r="J1611" s="18" t="str">
        <f t="shared" si="102"/>
        <v>October</v>
      </c>
      <c r="K1611" s="56" t="str">
        <f t="shared" si="103"/>
        <v>Wednesday</v>
      </c>
      <c r="L1611" s="18" t="str">
        <f>IF(OR(G1611&gt;Answers!I1626,G1611&lt;Answers!I1627),"Outlier","Normal")</f>
        <v>Outlier</v>
      </c>
      <c r="M1611" s="18">
        <v>52</v>
      </c>
    </row>
    <row r="1612" spans="1:13" ht="20" customHeight="1" x14ac:dyDescent="0.35">
      <c r="A1612" s="17">
        <v>1064785</v>
      </c>
      <c r="B1612" s="18">
        <v>1063</v>
      </c>
      <c r="C1612" s="23" t="s">
        <v>113</v>
      </c>
      <c r="D1612" s="27">
        <v>45010.040277777778</v>
      </c>
      <c r="E1612" s="18" t="s">
        <v>133</v>
      </c>
      <c r="F1612" s="18" t="s">
        <v>31</v>
      </c>
      <c r="G1612" s="18">
        <v>9830</v>
      </c>
      <c r="H1612" s="25">
        <f t="shared" si="100"/>
        <v>45010</v>
      </c>
      <c r="I1612" s="26">
        <f t="shared" si="101"/>
        <v>4.0277777778101154E-2</v>
      </c>
      <c r="J1612" s="18" t="str">
        <f t="shared" si="102"/>
        <v>March</v>
      </c>
      <c r="K1612" s="56" t="str">
        <f t="shared" si="103"/>
        <v>Saturday</v>
      </c>
      <c r="L1612" s="18" t="str">
        <f>IF(OR(G1612&gt;Answers!I1627,G1612&lt;Answers!I1628),"Outlier","Normal")</f>
        <v>Outlier</v>
      </c>
      <c r="M1612" s="18">
        <v>82</v>
      </c>
    </row>
    <row r="1613" spans="1:13" ht="20" customHeight="1" x14ac:dyDescent="0.35">
      <c r="A1613" s="17">
        <v>1064900</v>
      </c>
      <c r="B1613" s="18">
        <v>1928</v>
      </c>
      <c r="C1613" s="23" t="s">
        <v>101</v>
      </c>
      <c r="D1613" s="27">
        <v>45211.030555555553</v>
      </c>
      <c r="E1613" s="18" t="s">
        <v>98</v>
      </c>
      <c r="F1613" s="18" t="s">
        <v>27</v>
      </c>
      <c r="G1613" s="18">
        <v>7612</v>
      </c>
      <c r="H1613" s="25">
        <f t="shared" si="100"/>
        <v>45211</v>
      </c>
      <c r="I1613" s="26">
        <f t="shared" si="101"/>
        <v>3.0555555553291924E-2</v>
      </c>
      <c r="J1613" s="18" t="str">
        <f t="shared" si="102"/>
        <v>October</v>
      </c>
      <c r="K1613" s="56" t="str">
        <f t="shared" si="103"/>
        <v>Thursday</v>
      </c>
      <c r="L1613" s="18" t="str">
        <f>IF(OR(G1613&gt;Answers!I1628,G1613&lt;Answers!I1629),"Outlier","Normal")</f>
        <v>Outlier</v>
      </c>
      <c r="M1613" s="18">
        <v>62</v>
      </c>
    </row>
    <row r="1614" spans="1:13" ht="20" customHeight="1" x14ac:dyDescent="0.35">
      <c r="A1614" s="17">
        <v>1068168</v>
      </c>
      <c r="B1614" s="18">
        <v>1101</v>
      </c>
      <c r="C1614" s="23" t="s">
        <v>113</v>
      </c>
      <c r="D1614" s="27">
        <v>44993.056944444441</v>
      </c>
      <c r="E1614" s="18" t="s">
        <v>97</v>
      </c>
      <c r="F1614" s="18" t="s">
        <v>39</v>
      </c>
      <c r="G1614" s="18">
        <v>5967</v>
      </c>
      <c r="H1614" s="25">
        <f t="shared" si="100"/>
        <v>44993</v>
      </c>
      <c r="I1614" s="26">
        <f t="shared" si="101"/>
        <v>5.694444444088731E-2</v>
      </c>
      <c r="J1614" s="18" t="str">
        <f t="shared" si="102"/>
        <v>March</v>
      </c>
      <c r="K1614" s="56" t="str">
        <f t="shared" si="103"/>
        <v>Wednesday</v>
      </c>
      <c r="L1614" s="18" t="str">
        <f>IF(OR(G1614&gt;Answers!I1629,G1614&lt;Answers!I1630),"Outlier","Normal")</f>
        <v>Outlier</v>
      </c>
      <c r="M1614" s="18">
        <v>27</v>
      </c>
    </row>
    <row r="1615" spans="1:13" ht="20" customHeight="1" x14ac:dyDescent="0.35">
      <c r="A1615" s="17">
        <v>1068397</v>
      </c>
      <c r="B1615" s="18">
        <v>3</v>
      </c>
      <c r="C1615" s="23" t="s">
        <v>99</v>
      </c>
      <c r="D1615" s="27">
        <v>45028.042361111111</v>
      </c>
      <c r="E1615" s="18" t="s">
        <v>96</v>
      </c>
      <c r="F1615" s="18" t="s">
        <v>8</v>
      </c>
      <c r="G1615" s="18">
        <v>9183</v>
      </c>
      <c r="H1615" s="25">
        <f t="shared" si="100"/>
        <v>45028</v>
      </c>
      <c r="I1615" s="26">
        <f t="shared" si="101"/>
        <v>4.2361111110949423E-2</v>
      </c>
      <c r="J1615" s="18" t="str">
        <f t="shared" si="102"/>
        <v>April</v>
      </c>
      <c r="K1615" s="56" t="str">
        <f t="shared" si="103"/>
        <v>Wednesday</v>
      </c>
      <c r="L1615" s="18" t="str">
        <f>IF(OR(G1615&gt;Answers!I1630,G1615&lt;Answers!I1631),"Outlier","Normal")</f>
        <v>Outlier</v>
      </c>
      <c r="M1615" s="18">
        <v>39</v>
      </c>
    </row>
    <row r="1616" spans="1:13" ht="20" customHeight="1" x14ac:dyDescent="0.35">
      <c r="A1616" s="17">
        <v>1069023</v>
      </c>
      <c r="B1616" s="18">
        <v>739</v>
      </c>
      <c r="C1616" s="23" t="s">
        <v>113</v>
      </c>
      <c r="D1616" s="27">
        <v>44971.02847222222</v>
      </c>
      <c r="E1616" s="18" t="s">
        <v>97</v>
      </c>
      <c r="F1616" s="18" t="s">
        <v>43</v>
      </c>
      <c r="G1616" s="18">
        <v>4804</v>
      </c>
      <c r="H1616" s="25">
        <f t="shared" si="100"/>
        <v>44971</v>
      </c>
      <c r="I1616" s="26">
        <f t="shared" si="101"/>
        <v>2.8472222220443655E-2</v>
      </c>
      <c r="J1616" s="18" t="str">
        <f t="shared" si="102"/>
        <v>February</v>
      </c>
      <c r="K1616" s="56" t="str">
        <f t="shared" si="103"/>
        <v>Tuesday</v>
      </c>
      <c r="L1616" s="18" t="str">
        <f>IF(OR(G1616&gt;Answers!I1631,G1616&lt;Answers!I1632),"Outlier","Normal")</f>
        <v>Outlier</v>
      </c>
      <c r="M1616" s="18">
        <v>51</v>
      </c>
    </row>
    <row r="1617" spans="1:13" ht="20" customHeight="1" x14ac:dyDescent="0.35">
      <c r="A1617" s="17">
        <v>1069094</v>
      </c>
      <c r="B1617" s="18">
        <v>1854</v>
      </c>
      <c r="C1617" s="23" t="s">
        <v>99</v>
      </c>
      <c r="D1617" s="27">
        <v>45165.049305555556</v>
      </c>
      <c r="E1617" s="18" t="s">
        <v>96</v>
      </c>
      <c r="F1617" s="18" t="s">
        <v>62</v>
      </c>
      <c r="G1617" s="18">
        <v>8536</v>
      </c>
      <c r="H1617" s="25">
        <f t="shared" si="100"/>
        <v>45165</v>
      </c>
      <c r="I1617" s="26">
        <f t="shared" si="101"/>
        <v>4.9305555556202307E-2</v>
      </c>
      <c r="J1617" s="18" t="str">
        <f t="shared" si="102"/>
        <v>August</v>
      </c>
      <c r="K1617" s="56" t="str">
        <f t="shared" si="103"/>
        <v>Sunday</v>
      </c>
      <c r="L1617" s="18" t="str">
        <f>IF(OR(G1617&gt;Answers!I1632,G1617&lt;Answers!I1633),"Outlier","Normal")</f>
        <v>Outlier</v>
      </c>
      <c r="M1617" s="18">
        <v>87</v>
      </c>
    </row>
    <row r="1618" spans="1:13" ht="20" customHeight="1" x14ac:dyDescent="0.35">
      <c r="A1618" s="17">
        <v>1069668</v>
      </c>
      <c r="B1618" s="18">
        <v>517</v>
      </c>
      <c r="C1618" s="23" t="s">
        <v>101</v>
      </c>
      <c r="D1618" s="27">
        <v>45023.041666666664</v>
      </c>
      <c r="E1618" s="18" t="s">
        <v>98</v>
      </c>
      <c r="F1618" s="18" t="s">
        <v>76</v>
      </c>
      <c r="G1618" s="18">
        <v>8146</v>
      </c>
      <c r="H1618" s="25">
        <f t="shared" si="100"/>
        <v>45023</v>
      </c>
      <c r="I1618" s="26">
        <f t="shared" si="101"/>
        <v>4.1666666664241347E-2</v>
      </c>
      <c r="J1618" s="18" t="str">
        <f t="shared" si="102"/>
        <v>April</v>
      </c>
      <c r="K1618" s="56" t="str">
        <f t="shared" si="103"/>
        <v>Friday</v>
      </c>
      <c r="L1618" s="18" t="str">
        <f>IF(OR(G1618&gt;Answers!I1633,G1618&lt;Answers!I1634),"Outlier","Normal")</f>
        <v>Outlier</v>
      </c>
      <c r="M1618" s="18">
        <v>77</v>
      </c>
    </row>
    <row r="1619" spans="1:13" ht="20" customHeight="1" x14ac:dyDescent="0.35">
      <c r="A1619" s="17">
        <v>1070209</v>
      </c>
      <c r="B1619" s="18">
        <v>973</v>
      </c>
      <c r="C1619" s="23" t="s">
        <v>99</v>
      </c>
      <c r="D1619" s="27">
        <v>45148.022222222222</v>
      </c>
      <c r="E1619" s="18" t="s">
        <v>96</v>
      </c>
      <c r="F1619" s="18" t="s">
        <v>81</v>
      </c>
      <c r="G1619" s="18">
        <v>7741</v>
      </c>
      <c r="H1619" s="25">
        <f t="shared" si="100"/>
        <v>45148</v>
      </c>
      <c r="I1619" s="26">
        <f t="shared" si="101"/>
        <v>2.2222222221898846E-2</v>
      </c>
      <c r="J1619" s="18" t="str">
        <f t="shared" si="102"/>
        <v>August</v>
      </c>
      <c r="K1619" s="56" t="str">
        <f t="shared" si="103"/>
        <v>Thursday</v>
      </c>
      <c r="L1619" s="18" t="str">
        <f>IF(OR(G1619&gt;Answers!I1634,G1619&lt;Answers!I1635),"Outlier","Normal")</f>
        <v>Outlier</v>
      </c>
      <c r="M1619" s="18">
        <v>50</v>
      </c>
    </row>
    <row r="1620" spans="1:13" ht="20" customHeight="1" x14ac:dyDescent="0.35">
      <c r="A1620" s="17">
        <v>1070297</v>
      </c>
      <c r="B1620" s="18">
        <v>1978</v>
      </c>
      <c r="C1620" s="23" t="s">
        <v>105</v>
      </c>
      <c r="D1620" s="27">
        <v>44993.94027777778</v>
      </c>
      <c r="E1620" s="18" t="s">
        <v>133</v>
      </c>
      <c r="F1620" s="18" t="s">
        <v>88</v>
      </c>
      <c r="G1620" s="18">
        <v>904</v>
      </c>
      <c r="H1620" s="25">
        <f t="shared" si="100"/>
        <v>44993</v>
      </c>
      <c r="I1620" s="26">
        <f t="shared" si="101"/>
        <v>0.94027777777955635</v>
      </c>
      <c r="J1620" s="18" t="str">
        <f t="shared" si="102"/>
        <v>March</v>
      </c>
      <c r="K1620" s="56" t="str">
        <f t="shared" si="103"/>
        <v>Wednesday</v>
      </c>
      <c r="L1620" s="18" t="str">
        <f>IF(OR(G1620&gt;Answers!I1635,G1620&lt;Answers!I1636),"Outlier","Normal")</f>
        <v>Outlier</v>
      </c>
      <c r="M1620" s="18">
        <v>23</v>
      </c>
    </row>
    <row r="1621" spans="1:13" ht="20" customHeight="1" x14ac:dyDescent="0.35">
      <c r="A1621" s="17">
        <v>1070438</v>
      </c>
      <c r="B1621" s="18">
        <v>1420</v>
      </c>
      <c r="C1621" s="23" t="s">
        <v>99</v>
      </c>
      <c r="D1621" s="27">
        <v>45196.099305555559</v>
      </c>
      <c r="E1621" s="18" t="s">
        <v>98</v>
      </c>
      <c r="F1621" s="18" t="s">
        <v>86</v>
      </c>
      <c r="G1621" s="18">
        <v>9991</v>
      </c>
      <c r="H1621" s="25">
        <f t="shared" si="100"/>
        <v>45196</v>
      </c>
      <c r="I1621" s="26">
        <f t="shared" si="101"/>
        <v>9.930555555911269E-2</v>
      </c>
      <c r="J1621" s="18" t="str">
        <f t="shared" si="102"/>
        <v>September</v>
      </c>
      <c r="K1621" s="56" t="str">
        <f t="shared" si="103"/>
        <v>Wednesday</v>
      </c>
      <c r="L1621" s="18" t="str">
        <f>IF(OR(G1621&gt;Answers!I1636,G1621&lt;Answers!I1637),"Outlier","Normal")</f>
        <v>Outlier</v>
      </c>
      <c r="M1621" s="18">
        <v>28</v>
      </c>
    </row>
    <row r="1622" spans="1:13" ht="20" customHeight="1" x14ac:dyDescent="0.35">
      <c r="A1622" s="17">
        <v>1071701</v>
      </c>
      <c r="B1622" s="18">
        <v>1367</v>
      </c>
      <c r="C1622" s="23" t="s">
        <v>107</v>
      </c>
      <c r="D1622" s="27">
        <v>44942.036805555559</v>
      </c>
      <c r="E1622" s="18" t="s">
        <v>98</v>
      </c>
      <c r="F1622" s="18" t="s">
        <v>8</v>
      </c>
      <c r="G1622" s="18">
        <v>1445</v>
      </c>
      <c r="H1622" s="25">
        <f t="shared" si="100"/>
        <v>44942</v>
      </c>
      <c r="I1622" s="26">
        <f t="shared" si="101"/>
        <v>3.680555555911269E-2</v>
      </c>
      <c r="J1622" s="18" t="str">
        <f t="shared" si="102"/>
        <v>January</v>
      </c>
      <c r="K1622" s="56" t="str">
        <f t="shared" si="103"/>
        <v>Monday</v>
      </c>
      <c r="L1622" s="18" t="str">
        <f>IF(OR(G1622&gt;Answers!I1637,G1622&lt;Answers!I1638),"Outlier","Normal")</f>
        <v>Outlier</v>
      </c>
      <c r="M1622" s="18">
        <v>25</v>
      </c>
    </row>
    <row r="1623" spans="1:13" ht="20" customHeight="1" x14ac:dyDescent="0.35">
      <c r="A1623" s="17">
        <v>1074617</v>
      </c>
      <c r="B1623" s="18">
        <v>158</v>
      </c>
      <c r="C1623" s="23" t="s">
        <v>99</v>
      </c>
      <c r="D1623" s="27">
        <v>45050.013194444444</v>
      </c>
      <c r="E1623" s="18" t="s">
        <v>133</v>
      </c>
      <c r="F1623" s="18" t="s">
        <v>90</v>
      </c>
      <c r="G1623" s="18">
        <v>4729</v>
      </c>
      <c r="H1623" s="25">
        <f t="shared" si="100"/>
        <v>45050</v>
      </c>
      <c r="I1623" s="26">
        <f t="shared" si="101"/>
        <v>1.3194444443797693E-2</v>
      </c>
      <c r="J1623" s="18" t="str">
        <f t="shared" si="102"/>
        <v>May</v>
      </c>
      <c r="K1623" s="56" t="str">
        <f t="shared" si="103"/>
        <v>Thursday</v>
      </c>
      <c r="L1623" s="18" t="str">
        <f>IF(OR(G1623&gt;Answers!I1638,G1623&lt;Answers!I1639),"Outlier","Normal")</f>
        <v>Outlier</v>
      </c>
      <c r="M1623" s="18">
        <v>41</v>
      </c>
    </row>
    <row r="1624" spans="1:13" ht="20" customHeight="1" x14ac:dyDescent="0.35">
      <c r="A1624" s="17">
        <v>1074708</v>
      </c>
      <c r="B1624" s="18">
        <v>647</v>
      </c>
      <c r="C1624" s="23" t="s">
        <v>101</v>
      </c>
      <c r="D1624" s="27">
        <v>44997.98333333333</v>
      </c>
      <c r="E1624" s="18" t="s">
        <v>97</v>
      </c>
      <c r="F1624" s="18" t="s">
        <v>43</v>
      </c>
      <c r="G1624" s="18">
        <v>7648</v>
      </c>
      <c r="H1624" s="25">
        <f t="shared" si="100"/>
        <v>44997</v>
      </c>
      <c r="I1624" s="26">
        <f t="shared" si="101"/>
        <v>0.98333333332993789</v>
      </c>
      <c r="J1624" s="18" t="str">
        <f t="shared" si="102"/>
        <v>March</v>
      </c>
      <c r="K1624" s="56" t="str">
        <f t="shared" si="103"/>
        <v>Sunday</v>
      </c>
      <c r="L1624" s="18" t="str">
        <f>IF(OR(G1624&gt;Answers!I1639,G1624&lt;Answers!I1640),"Outlier","Normal")</f>
        <v>Outlier</v>
      </c>
      <c r="M1624" s="18">
        <v>76</v>
      </c>
    </row>
    <row r="1625" spans="1:13" ht="20" customHeight="1" x14ac:dyDescent="0.35">
      <c r="A1625" s="17">
        <v>1075036</v>
      </c>
      <c r="B1625" s="18">
        <v>587</v>
      </c>
      <c r="C1625" s="23" t="s">
        <v>99</v>
      </c>
      <c r="D1625" s="27">
        <v>45062.978472222225</v>
      </c>
      <c r="E1625" s="18" t="s">
        <v>133</v>
      </c>
      <c r="F1625" s="18" t="s">
        <v>91</v>
      </c>
      <c r="G1625" s="18">
        <v>5378</v>
      </c>
      <c r="H1625" s="25">
        <f t="shared" si="100"/>
        <v>45062</v>
      </c>
      <c r="I1625" s="26">
        <f t="shared" si="101"/>
        <v>0.97847222222480923</v>
      </c>
      <c r="J1625" s="18" t="str">
        <f t="shared" si="102"/>
        <v>May</v>
      </c>
      <c r="K1625" s="56" t="str">
        <f t="shared" si="103"/>
        <v>Tuesday</v>
      </c>
      <c r="L1625" s="18" t="str">
        <f>IF(OR(G1625&gt;Answers!I1640,G1625&lt;Answers!I1641),"Outlier","Normal")</f>
        <v>Outlier</v>
      </c>
      <c r="M1625" s="18">
        <v>51</v>
      </c>
    </row>
    <row r="1626" spans="1:13" ht="20" customHeight="1" x14ac:dyDescent="0.35">
      <c r="A1626" s="17">
        <v>1075177</v>
      </c>
      <c r="B1626" s="18">
        <v>161</v>
      </c>
      <c r="C1626" s="23" t="s">
        <v>100</v>
      </c>
      <c r="D1626" s="27">
        <v>44992.941666666666</v>
      </c>
      <c r="E1626" s="18" t="s">
        <v>97</v>
      </c>
      <c r="F1626" s="18" t="s">
        <v>27</v>
      </c>
      <c r="G1626" s="18">
        <v>1124</v>
      </c>
      <c r="H1626" s="25">
        <f t="shared" si="100"/>
        <v>44992</v>
      </c>
      <c r="I1626" s="26">
        <f t="shared" si="101"/>
        <v>0.94166666666569654</v>
      </c>
      <c r="J1626" s="18" t="str">
        <f t="shared" si="102"/>
        <v>March</v>
      </c>
      <c r="K1626" s="56" t="str">
        <f t="shared" si="103"/>
        <v>Tuesday</v>
      </c>
      <c r="L1626" s="18" t="str">
        <f>IF(OR(G1626&gt;Answers!I1641,G1626&lt;Answers!I1642),"Outlier","Normal")</f>
        <v>Outlier</v>
      </c>
      <c r="M1626" s="18">
        <v>68</v>
      </c>
    </row>
    <row r="1627" spans="1:13" ht="20" customHeight="1" x14ac:dyDescent="0.35">
      <c r="A1627" s="17">
        <v>1075183</v>
      </c>
      <c r="B1627" s="18">
        <v>1971</v>
      </c>
      <c r="C1627" s="23" t="s">
        <v>105</v>
      </c>
      <c r="D1627" s="27">
        <v>45040.951388888891</v>
      </c>
      <c r="E1627" s="18" t="s">
        <v>133</v>
      </c>
      <c r="F1627" s="18" t="s">
        <v>29</v>
      </c>
      <c r="G1627" s="18">
        <v>3747</v>
      </c>
      <c r="H1627" s="25">
        <f t="shared" si="100"/>
        <v>45040</v>
      </c>
      <c r="I1627" s="26">
        <f t="shared" si="101"/>
        <v>0.95138888889050577</v>
      </c>
      <c r="J1627" s="18" t="str">
        <f t="shared" si="102"/>
        <v>April</v>
      </c>
      <c r="K1627" s="56" t="str">
        <f t="shared" si="103"/>
        <v>Monday</v>
      </c>
      <c r="L1627" s="18" t="str">
        <f>IF(OR(G1627&gt;Answers!I1642,G1627&lt;Answers!I1643),"Outlier","Normal")</f>
        <v>Outlier</v>
      </c>
      <c r="M1627" s="18">
        <v>44</v>
      </c>
    </row>
    <row r="1628" spans="1:13" ht="20" customHeight="1" x14ac:dyDescent="0.35">
      <c r="A1628" s="17">
        <v>1075762</v>
      </c>
      <c r="B1628" s="18">
        <v>1612</v>
      </c>
      <c r="C1628" s="23" t="s">
        <v>105</v>
      </c>
      <c r="D1628" s="27">
        <v>45201.093055555553</v>
      </c>
      <c r="E1628" s="18" t="s">
        <v>97</v>
      </c>
      <c r="F1628" s="18" t="s">
        <v>34</v>
      </c>
      <c r="G1628" s="18">
        <v>3402</v>
      </c>
      <c r="H1628" s="25">
        <f t="shared" si="100"/>
        <v>45201</v>
      </c>
      <c r="I1628" s="26">
        <f t="shared" si="101"/>
        <v>9.3055555553291924E-2</v>
      </c>
      <c r="J1628" s="18" t="str">
        <f t="shared" si="102"/>
        <v>October</v>
      </c>
      <c r="K1628" s="56" t="str">
        <f t="shared" si="103"/>
        <v>Monday</v>
      </c>
      <c r="L1628" s="18" t="str">
        <f>IF(OR(G1628&gt;Answers!I1643,G1628&lt;Answers!I1644),"Outlier","Normal")</f>
        <v>Outlier</v>
      </c>
      <c r="M1628" s="18">
        <v>75</v>
      </c>
    </row>
    <row r="1629" spans="1:13" ht="20" customHeight="1" x14ac:dyDescent="0.35">
      <c r="A1629" s="17">
        <v>1076092</v>
      </c>
      <c r="B1629" s="18">
        <v>1938</v>
      </c>
      <c r="C1629" s="23" t="s">
        <v>99</v>
      </c>
      <c r="D1629" s="27">
        <v>44986.06527777778</v>
      </c>
      <c r="E1629" s="18" t="s">
        <v>96</v>
      </c>
      <c r="F1629" s="18" t="s">
        <v>27</v>
      </c>
      <c r="G1629" s="18">
        <v>698</v>
      </c>
      <c r="H1629" s="25">
        <f t="shared" si="100"/>
        <v>44986</v>
      </c>
      <c r="I1629" s="26">
        <f t="shared" si="101"/>
        <v>6.5277777779556345E-2</v>
      </c>
      <c r="J1629" s="18" t="str">
        <f t="shared" si="102"/>
        <v>March</v>
      </c>
      <c r="K1629" s="56" t="str">
        <f t="shared" si="103"/>
        <v>Wednesday</v>
      </c>
      <c r="L1629" s="18" t="str">
        <f>IF(OR(G1629&gt;Answers!I1644,G1629&lt;Answers!I1645),"Outlier","Normal")</f>
        <v>Outlier</v>
      </c>
      <c r="M1629" s="18">
        <v>70</v>
      </c>
    </row>
    <row r="1630" spans="1:13" ht="20" customHeight="1" x14ac:dyDescent="0.35">
      <c r="A1630" s="17">
        <v>1076764</v>
      </c>
      <c r="B1630" s="18">
        <v>1162</v>
      </c>
      <c r="C1630" s="23" t="s">
        <v>99</v>
      </c>
      <c r="D1630" s="27">
        <v>45264.027083333334</v>
      </c>
      <c r="E1630" s="18" t="s">
        <v>98</v>
      </c>
      <c r="F1630" s="18" t="s">
        <v>87</v>
      </c>
      <c r="G1630" s="18">
        <v>1938</v>
      </c>
      <c r="H1630" s="25">
        <f t="shared" si="100"/>
        <v>45264</v>
      </c>
      <c r="I1630" s="26">
        <f t="shared" si="101"/>
        <v>2.7083333334303461E-2</v>
      </c>
      <c r="J1630" s="18" t="str">
        <f t="shared" si="102"/>
        <v>December</v>
      </c>
      <c r="K1630" s="56" t="str">
        <f t="shared" si="103"/>
        <v>Monday</v>
      </c>
      <c r="L1630" s="18" t="str">
        <f>IF(OR(G1630&gt;Answers!I1645,G1630&lt;Answers!I1646),"Outlier","Normal")</f>
        <v>Outlier</v>
      </c>
      <c r="M1630" s="18">
        <v>87</v>
      </c>
    </row>
    <row r="1631" spans="1:13" ht="20" customHeight="1" x14ac:dyDescent="0.35">
      <c r="A1631" s="17">
        <v>1077723</v>
      </c>
      <c r="B1631" s="18">
        <v>868</v>
      </c>
      <c r="C1631" s="23" t="s">
        <v>110</v>
      </c>
      <c r="D1631" s="27">
        <v>44928.01666666667</v>
      </c>
      <c r="E1631" s="18" t="s">
        <v>133</v>
      </c>
      <c r="F1631" s="18" t="s">
        <v>40</v>
      </c>
      <c r="G1631" s="18">
        <v>3711</v>
      </c>
      <c r="H1631" s="25">
        <f t="shared" si="100"/>
        <v>44928</v>
      </c>
      <c r="I1631" s="26">
        <f t="shared" si="101"/>
        <v>1.6666666670062114E-2</v>
      </c>
      <c r="J1631" s="18" t="str">
        <f t="shared" si="102"/>
        <v>January</v>
      </c>
      <c r="K1631" s="56" t="str">
        <f t="shared" si="103"/>
        <v>Monday</v>
      </c>
      <c r="L1631" s="18" t="str">
        <f>IF(OR(G1631&gt;Answers!I1646,G1631&lt;Answers!I1647),"Outlier","Normal")</f>
        <v>Outlier</v>
      </c>
      <c r="M1631" s="18">
        <v>31</v>
      </c>
    </row>
    <row r="1632" spans="1:13" ht="20" customHeight="1" x14ac:dyDescent="0.35">
      <c r="A1632" s="17">
        <v>1078422</v>
      </c>
      <c r="B1632" s="18">
        <v>1917</v>
      </c>
      <c r="C1632" s="23" t="s">
        <v>99</v>
      </c>
      <c r="D1632" s="27">
        <v>45266.090277777781</v>
      </c>
      <c r="E1632" s="18" t="s">
        <v>133</v>
      </c>
      <c r="F1632" s="18" t="s">
        <v>11</v>
      </c>
      <c r="G1632" s="18">
        <v>3916</v>
      </c>
      <c r="H1632" s="25">
        <f t="shared" si="100"/>
        <v>45266</v>
      </c>
      <c r="I1632" s="26">
        <f t="shared" si="101"/>
        <v>9.0277777781011537E-2</v>
      </c>
      <c r="J1632" s="18" t="str">
        <f t="shared" si="102"/>
        <v>December</v>
      </c>
      <c r="K1632" s="56" t="str">
        <f t="shared" si="103"/>
        <v>Wednesday</v>
      </c>
      <c r="L1632" s="18" t="str">
        <f>IF(OR(G1632&gt;Answers!I1647,G1632&lt;Answers!I1648),"Outlier","Normal")</f>
        <v>Outlier</v>
      </c>
      <c r="M1632" s="18">
        <v>63</v>
      </c>
    </row>
    <row r="1633" spans="1:13" ht="20" customHeight="1" x14ac:dyDescent="0.35">
      <c r="A1633" s="17">
        <v>1078820</v>
      </c>
      <c r="B1633" s="18">
        <v>1431</v>
      </c>
      <c r="C1633" s="23" t="s">
        <v>99</v>
      </c>
      <c r="D1633" s="27">
        <v>45147.043055555558</v>
      </c>
      <c r="E1633" s="18" t="s">
        <v>97</v>
      </c>
      <c r="F1633" s="18" t="s">
        <v>42</v>
      </c>
      <c r="G1633" s="18">
        <v>5495</v>
      </c>
      <c r="H1633" s="25">
        <f t="shared" si="100"/>
        <v>45147</v>
      </c>
      <c r="I1633" s="26">
        <f t="shared" si="101"/>
        <v>4.3055555557657499E-2</v>
      </c>
      <c r="J1633" s="18" t="str">
        <f t="shared" si="102"/>
        <v>August</v>
      </c>
      <c r="K1633" s="56" t="str">
        <f t="shared" si="103"/>
        <v>Wednesday</v>
      </c>
      <c r="L1633" s="18" t="str">
        <f>IF(OR(G1633&gt;Answers!I1648,G1633&lt;Answers!I1649),"Outlier","Normal")</f>
        <v>Outlier</v>
      </c>
      <c r="M1633" s="18">
        <v>63</v>
      </c>
    </row>
    <row r="1634" spans="1:13" ht="20" customHeight="1" x14ac:dyDescent="0.35">
      <c r="A1634" s="17">
        <v>1079090</v>
      </c>
      <c r="B1634" s="18">
        <v>1368</v>
      </c>
      <c r="C1634" s="23" t="s">
        <v>99</v>
      </c>
      <c r="D1634" s="27">
        <v>45018.010416666664</v>
      </c>
      <c r="E1634" s="18" t="s">
        <v>98</v>
      </c>
      <c r="F1634" s="18" t="s">
        <v>43</v>
      </c>
      <c r="G1634" s="18">
        <v>6597</v>
      </c>
      <c r="H1634" s="25">
        <f t="shared" si="100"/>
        <v>45018</v>
      </c>
      <c r="I1634" s="26">
        <f t="shared" si="101"/>
        <v>1.0416666664241347E-2</v>
      </c>
      <c r="J1634" s="18" t="str">
        <f t="shared" si="102"/>
        <v>April</v>
      </c>
      <c r="K1634" s="56" t="str">
        <f t="shared" si="103"/>
        <v>Sunday</v>
      </c>
      <c r="L1634" s="18" t="str">
        <f>IF(OR(G1634&gt;Answers!I1649,G1634&lt;Answers!I1650),"Outlier","Normal")</f>
        <v>Outlier</v>
      </c>
      <c r="M1634" s="18">
        <v>54</v>
      </c>
    </row>
    <row r="1635" spans="1:13" ht="20" customHeight="1" x14ac:dyDescent="0.35">
      <c r="A1635" s="17">
        <v>1079225</v>
      </c>
      <c r="B1635" s="18">
        <v>1393</v>
      </c>
      <c r="C1635" s="23" t="s">
        <v>107</v>
      </c>
      <c r="D1635" s="27">
        <v>44981.963888888888</v>
      </c>
      <c r="E1635" s="18" t="s">
        <v>96</v>
      </c>
      <c r="F1635" s="18" t="s">
        <v>44</v>
      </c>
      <c r="G1635" s="18">
        <v>3345</v>
      </c>
      <c r="H1635" s="25">
        <f t="shared" si="100"/>
        <v>44981</v>
      </c>
      <c r="I1635" s="26">
        <f t="shared" si="101"/>
        <v>0.96388888888759539</v>
      </c>
      <c r="J1635" s="18" t="str">
        <f t="shared" si="102"/>
        <v>February</v>
      </c>
      <c r="K1635" s="56" t="str">
        <f t="shared" si="103"/>
        <v>Friday</v>
      </c>
      <c r="L1635" s="18" t="str">
        <f>IF(OR(G1635&gt;Answers!I1650,G1635&lt;Answers!I1651),"Outlier","Normal")</f>
        <v>Outlier</v>
      </c>
      <c r="M1635" s="18">
        <v>76</v>
      </c>
    </row>
    <row r="1636" spans="1:13" ht="20" customHeight="1" x14ac:dyDescent="0.35">
      <c r="A1636" s="17">
        <v>1079355</v>
      </c>
      <c r="B1636" s="18">
        <v>1469</v>
      </c>
      <c r="C1636" s="23" t="s">
        <v>107</v>
      </c>
      <c r="D1636" s="27">
        <v>45004.990277777775</v>
      </c>
      <c r="E1636" s="18" t="s">
        <v>98</v>
      </c>
      <c r="F1636" s="18" t="s">
        <v>81</v>
      </c>
      <c r="G1636" s="18">
        <v>3196</v>
      </c>
      <c r="H1636" s="25">
        <f t="shared" si="100"/>
        <v>45004</v>
      </c>
      <c r="I1636" s="26">
        <f t="shared" si="101"/>
        <v>0.99027777777519077</v>
      </c>
      <c r="J1636" s="18" t="str">
        <f t="shared" si="102"/>
        <v>March</v>
      </c>
      <c r="K1636" s="56" t="str">
        <f t="shared" si="103"/>
        <v>Sunday</v>
      </c>
      <c r="L1636" s="18" t="str">
        <f>IF(OR(G1636&gt;Answers!I1651,G1636&lt;Answers!I1652),"Outlier","Normal")</f>
        <v>Outlier</v>
      </c>
      <c r="M1636" s="18">
        <v>38</v>
      </c>
    </row>
    <row r="1637" spans="1:13" ht="20" customHeight="1" x14ac:dyDescent="0.35">
      <c r="A1637" s="17">
        <v>1079761</v>
      </c>
      <c r="B1637" s="18">
        <v>1873</v>
      </c>
      <c r="C1637" s="23" t="s">
        <v>101</v>
      </c>
      <c r="D1637" s="27">
        <v>45187.05</v>
      </c>
      <c r="E1637" s="18" t="s">
        <v>133</v>
      </c>
      <c r="F1637" s="18" t="s">
        <v>50</v>
      </c>
      <c r="G1637" s="18">
        <v>9752</v>
      </c>
      <c r="H1637" s="25">
        <f t="shared" si="100"/>
        <v>45187</v>
      </c>
      <c r="I1637" s="26">
        <f t="shared" si="101"/>
        <v>5.0000000002910383E-2</v>
      </c>
      <c r="J1637" s="18" t="str">
        <f t="shared" si="102"/>
        <v>September</v>
      </c>
      <c r="K1637" s="56" t="str">
        <f t="shared" si="103"/>
        <v>Monday</v>
      </c>
      <c r="L1637" s="18" t="str">
        <f>IF(OR(G1637&gt;Answers!I1652,G1637&lt;Answers!I1653),"Outlier","Normal")</f>
        <v>Outlier</v>
      </c>
      <c r="M1637" s="18">
        <v>20</v>
      </c>
    </row>
    <row r="1638" spans="1:13" ht="20" customHeight="1" x14ac:dyDescent="0.35">
      <c r="A1638" s="17">
        <v>1081409</v>
      </c>
      <c r="B1638" s="18">
        <v>1084</v>
      </c>
      <c r="C1638" s="23" t="s">
        <v>113</v>
      </c>
      <c r="D1638" s="27">
        <v>45200.040277777778</v>
      </c>
      <c r="E1638" s="18" t="s">
        <v>133</v>
      </c>
      <c r="F1638" s="18" t="s">
        <v>6</v>
      </c>
      <c r="G1638" s="18">
        <v>7433</v>
      </c>
      <c r="H1638" s="25">
        <f t="shared" si="100"/>
        <v>45200</v>
      </c>
      <c r="I1638" s="26">
        <f t="shared" si="101"/>
        <v>4.0277777778101154E-2</v>
      </c>
      <c r="J1638" s="18" t="str">
        <f t="shared" si="102"/>
        <v>October</v>
      </c>
      <c r="K1638" s="56" t="str">
        <f t="shared" si="103"/>
        <v>Sunday</v>
      </c>
      <c r="L1638" s="18" t="str">
        <f>IF(OR(G1638&gt;Answers!I1653,G1638&lt;Answers!I1654),"Outlier","Normal")</f>
        <v>Outlier</v>
      </c>
      <c r="M1638" s="18">
        <v>75</v>
      </c>
    </row>
    <row r="1639" spans="1:13" ht="20" customHeight="1" x14ac:dyDescent="0.35">
      <c r="A1639" s="17">
        <v>1081894</v>
      </c>
      <c r="B1639" s="18">
        <v>787</v>
      </c>
      <c r="C1639" s="23" t="s">
        <v>104</v>
      </c>
      <c r="D1639" s="27">
        <v>44965.065972222219</v>
      </c>
      <c r="E1639" s="18" t="s">
        <v>96</v>
      </c>
      <c r="F1639" s="18" t="s">
        <v>7</v>
      </c>
      <c r="G1639" s="18">
        <v>5113</v>
      </c>
      <c r="H1639" s="25">
        <f t="shared" si="100"/>
        <v>44965</v>
      </c>
      <c r="I1639" s="26">
        <f t="shared" si="101"/>
        <v>6.5972222218988463E-2</v>
      </c>
      <c r="J1639" s="18" t="str">
        <f t="shared" si="102"/>
        <v>February</v>
      </c>
      <c r="K1639" s="56" t="str">
        <f t="shared" si="103"/>
        <v>Wednesday</v>
      </c>
      <c r="L1639" s="18" t="str">
        <f>IF(OR(G1639&gt;Answers!I1654,G1639&lt;Answers!I1655),"Outlier","Normal")</f>
        <v>Outlier</v>
      </c>
      <c r="M1639" s="18">
        <v>40</v>
      </c>
    </row>
    <row r="1640" spans="1:13" ht="20" customHeight="1" x14ac:dyDescent="0.35">
      <c r="A1640" s="17">
        <v>1083336</v>
      </c>
      <c r="B1640" s="18">
        <v>441</v>
      </c>
      <c r="C1640" s="23" t="s">
        <v>99</v>
      </c>
      <c r="D1640" s="27">
        <v>44976.004861111112</v>
      </c>
      <c r="E1640" s="18" t="s">
        <v>98</v>
      </c>
      <c r="F1640" s="18" t="s">
        <v>27</v>
      </c>
      <c r="G1640" s="18">
        <v>5859</v>
      </c>
      <c r="H1640" s="25">
        <f t="shared" si="100"/>
        <v>44976</v>
      </c>
      <c r="I1640" s="26">
        <f t="shared" si="101"/>
        <v>4.8611111124046147E-3</v>
      </c>
      <c r="J1640" s="18" t="str">
        <f t="shared" si="102"/>
        <v>February</v>
      </c>
      <c r="K1640" s="56" t="str">
        <f t="shared" si="103"/>
        <v>Sunday</v>
      </c>
      <c r="L1640" s="18" t="str">
        <f>IF(OR(G1640&gt;Answers!I1655,G1640&lt;Answers!I1656),"Outlier","Normal")</f>
        <v>Outlier</v>
      </c>
      <c r="M1640" s="18">
        <v>77</v>
      </c>
    </row>
    <row r="1641" spans="1:13" ht="20" customHeight="1" x14ac:dyDescent="0.35">
      <c r="A1641" s="17">
        <v>1085382</v>
      </c>
      <c r="B1641" s="18">
        <v>969</v>
      </c>
      <c r="C1641" s="23" t="s">
        <v>99</v>
      </c>
      <c r="D1641" s="27">
        <v>44995.048611111109</v>
      </c>
      <c r="E1641" s="18" t="s">
        <v>96</v>
      </c>
      <c r="F1641" s="18" t="s">
        <v>46</v>
      </c>
      <c r="G1641" s="18">
        <v>5959</v>
      </c>
      <c r="H1641" s="25">
        <f t="shared" si="100"/>
        <v>44995</v>
      </c>
      <c r="I1641" s="26">
        <f t="shared" si="101"/>
        <v>4.8611111109494232E-2</v>
      </c>
      <c r="J1641" s="18" t="str">
        <f t="shared" si="102"/>
        <v>March</v>
      </c>
      <c r="K1641" s="56" t="str">
        <f t="shared" si="103"/>
        <v>Friday</v>
      </c>
      <c r="L1641" s="18" t="str">
        <f>IF(OR(G1641&gt;Answers!I1656,G1641&lt;Answers!I1657),"Outlier","Normal")</f>
        <v>Outlier</v>
      </c>
      <c r="M1641" s="18">
        <v>27</v>
      </c>
    </row>
    <row r="1642" spans="1:13" ht="20" customHeight="1" x14ac:dyDescent="0.35">
      <c r="A1642" s="17">
        <v>1085556</v>
      </c>
      <c r="B1642" s="18">
        <v>217</v>
      </c>
      <c r="C1642" s="23" t="s">
        <v>99</v>
      </c>
      <c r="D1642" s="27">
        <v>45289.063194444447</v>
      </c>
      <c r="E1642" s="18" t="s">
        <v>97</v>
      </c>
      <c r="F1642" s="18" t="s">
        <v>43</v>
      </c>
      <c r="G1642" s="18">
        <v>6006</v>
      </c>
      <c r="H1642" s="25">
        <f t="shared" si="100"/>
        <v>45289</v>
      </c>
      <c r="I1642" s="26">
        <f t="shared" si="101"/>
        <v>6.3194444446708076E-2</v>
      </c>
      <c r="J1642" s="18" t="str">
        <f t="shared" si="102"/>
        <v>December</v>
      </c>
      <c r="K1642" s="56" t="str">
        <f t="shared" si="103"/>
        <v>Friday</v>
      </c>
      <c r="L1642" s="18" t="str">
        <f>IF(OR(G1642&gt;Answers!I1657,G1642&lt;Answers!I1658),"Outlier","Normal")</f>
        <v>Outlier</v>
      </c>
      <c r="M1642" s="18">
        <v>60</v>
      </c>
    </row>
    <row r="1643" spans="1:13" ht="20" customHeight="1" x14ac:dyDescent="0.35">
      <c r="A1643" s="17">
        <v>1086091</v>
      </c>
      <c r="B1643" s="18">
        <v>863</v>
      </c>
      <c r="C1643" s="23" t="s">
        <v>111</v>
      </c>
      <c r="D1643" s="27">
        <v>45179.981944444444</v>
      </c>
      <c r="E1643" s="18" t="s">
        <v>97</v>
      </c>
      <c r="F1643" s="18" t="s">
        <v>21</v>
      </c>
      <c r="G1643" s="18">
        <v>6063</v>
      </c>
      <c r="H1643" s="25">
        <f t="shared" si="100"/>
        <v>45179</v>
      </c>
      <c r="I1643" s="26">
        <f t="shared" si="101"/>
        <v>0.98194444444379769</v>
      </c>
      <c r="J1643" s="18" t="str">
        <f t="shared" si="102"/>
        <v>September</v>
      </c>
      <c r="K1643" s="56" t="str">
        <f t="shared" si="103"/>
        <v>Sunday</v>
      </c>
      <c r="L1643" s="18" t="str">
        <f>IF(OR(G1643&gt;Answers!I1658,G1643&lt;Answers!I1659),"Outlier","Normal")</f>
        <v>Outlier</v>
      </c>
      <c r="M1643" s="18">
        <v>63</v>
      </c>
    </row>
    <row r="1644" spans="1:13" ht="20" customHeight="1" x14ac:dyDescent="0.35">
      <c r="A1644" s="17">
        <v>1086104</v>
      </c>
      <c r="B1644" s="18">
        <v>654</v>
      </c>
      <c r="C1644" s="23" t="s">
        <v>100</v>
      </c>
      <c r="D1644" s="27">
        <v>45191.015277777777</v>
      </c>
      <c r="E1644" s="18" t="s">
        <v>98</v>
      </c>
      <c r="F1644" s="18" t="s">
        <v>66</v>
      </c>
      <c r="G1644" s="18">
        <v>1737</v>
      </c>
      <c r="H1644" s="25">
        <f t="shared" si="100"/>
        <v>45191</v>
      </c>
      <c r="I1644" s="26">
        <f t="shared" si="101"/>
        <v>1.5277777776645962E-2</v>
      </c>
      <c r="J1644" s="18" t="str">
        <f t="shared" si="102"/>
        <v>September</v>
      </c>
      <c r="K1644" s="56" t="str">
        <f t="shared" si="103"/>
        <v>Friday</v>
      </c>
      <c r="L1644" s="18" t="str">
        <f>IF(OR(G1644&gt;Answers!I1659,G1644&lt;Answers!I1660),"Outlier","Normal")</f>
        <v>Outlier</v>
      </c>
      <c r="M1644" s="18">
        <v>51</v>
      </c>
    </row>
    <row r="1645" spans="1:13" ht="20" customHeight="1" x14ac:dyDescent="0.35">
      <c r="A1645" s="17">
        <v>1086327</v>
      </c>
      <c r="B1645" s="18">
        <v>62</v>
      </c>
      <c r="C1645" s="23" t="s">
        <v>99</v>
      </c>
      <c r="D1645" s="27">
        <v>44939.081944444442</v>
      </c>
      <c r="E1645" s="18" t="s">
        <v>97</v>
      </c>
      <c r="F1645" s="18" t="s">
        <v>29</v>
      </c>
      <c r="G1645" s="18">
        <v>4910</v>
      </c>
      <c r="H1645" s="25">
        <f t="shared" si="100"/>
        <v>44939</v>
      </c>
      <c r="I1645" s="26">
        <f t="shared" si="101"/>
        <v>8.1944444442342501E-2</v>
      </c>
      <c r="J1645" s="18" t="str">
        <f t="shared" si="102"/>
        <v>January</v>
      </c>
      <c r="K1645" s="56" t="str">
        <f t="shared" si="103"/>
        <v>Friday</v>
      </c>
      <c r="L1645" s="18" t="str">
        <f>IF(OR(G1645&gt;Answers!I1660,G1645&lt;Answers!I1661),"Outlier","Normal")</f>
        <v>Outlier</v>
      </c>
      <c r="M1645" s="18">
        <v>42</v>
      </c>
    </row>
    <row r="1646" spans="1:13" ht="20" customHeight="1" x14ac:dyDescent="0.35">
      <c r="A1646" s="17">
        <v>1086644</v>
      </c>
      <c r="B1646" s="18">
        <v>940</v>
      </c>
      <c r="C1646" s="23" t="s">
        <v>99</v>
      </c>
      <c r="D1646" s="27">
        <v>45159.057638888888</v>
      </c>
      <c r="E1646" s="18" t="s">
        <v>98</v>
      </c>
      <c r="F1646" s="18" t="s">
        <v>9</v>
      </c>
      <c r="G1646" s="18">
        <v>9735</v>
      </c>
      <c r="H1646" s="25">
        <f t="shared" si="100"/>
        <v>45159</v>
      </c>
      <c r="I1646" s="26">
        <f t="shared" si="101"/>
        <v>5.7638888887595385E-2</v>
      </c>
      <c r="J1646" s="18" t="str">
        <f t="shared" si="102"/>
        <v>August</v>
      </c>
      <c r="K1646" s="56" t="str">
        <f t="shared" si="103"/>
        <v>Monday</v>
      </c>
      <c r="L1646" s="18" t="str">
        <f>IF(OR(G1646&gt;Answers!I1661,G1646&lt;Answers!I1662),"Outlier","Normal")</f>
        <v>Outlier</v>
      </c>
      <c r="M1646" s="18">
        <v>79</v>
      </c>
    </row>
    <row r="1647" spans="1:13" ht="20" customHeight="1" x14ac:dyDescent="0.35">
      <c r="A1647" s="17">
        <v>1087661</v>
      </c>
      <c r="B1647" s="18">
        <v>1776</v>
      </c>
      <c r="C1647" s="23" t="s">
        <v>99</v>
      </c>
      <c r="D1647" s="27">
        <v>45283.964583333334</v>
      </c>
      <c r="E1647" s="18" t="s">
        <v>133</v>
      </c>
      <c r="F1647" s="18" t="s">
        <v>64</v>
      </c>
      <c r="G1647" s="18">
        <v>10</v>
      </c>
      <c r="H1647" s="25">
        <f t="shared" si="100"/>
        <v>45283</v>
      </c>
      <c r="I1647" s="26">
        <f t="shared" si="101"/>
        <v>0.96458333333430346</v>
      </c>
      <c r="J1647" s="18" t="str">
        <f t="shared" si="102"/>
        <v>December</v>
      </c>
      <c r="K1647" s="56" t="str">
        <f t="shared" si="103"/>
        <v>Saturday</v>
      </c>
      <c r="L1647" s="18" t="str">
        <f>IF(OR(G1647&gt;Answers!I1662,G1647&lt;Answers!I1663),"Outlier","Normal")</f>
        <v>Outlier</v>
      </c>
      <c r="M1647" s="18">
        <v>77</v>
      </c>
    </row>
    <row r="1648" spans="1:13" ht="20" customHeight="1" x14ac:dyDescent="0.35">
      <c r="A1648" s="17">
        <v>1088292</v>
      </c>
      <c r="B1648" s="18">
        <v>337</v>
      </c>
      <c r="C1648" s="23" t="s">
        <v>106</v>
      </c>
      <c r="D1648" s="27">
        <v>44944.013888888891</v>
      </c>
      <c r="E1648" s="18" t="s">
        <v>133</v>
      </c>
      <c r="F1648" s="18" t="s">
        <v>30</v>
      </c>
      <c r="G1648" s="18">
        <v>3551</v>
      </c>
      <c r="H1648" s="25">
        <f t="shared" si="100"/>
        <v>44944</v>
      </c>
      <c r="I1648" s="26">
        <f t="shared" si="101"/>
        <v>1.3888888890505768E-2</v>
      </c>
      <c r="J1648" s="18" t="str">
        <f t="shared" si="102"/>
        <v>January</v>
      </c>
      <c r="K1648" s="56" t="str">
        <f t="shared" si="103"/>
        <v>Wednesday</v>
      </c>
      <c r="L1648" s="18" t="str">
        <f>IF(OR(G1648&gt;Answers!I1663,G1648&lt;Answers!I1664),"Outlier","Normal")</f>
        <v>Outlier</v>
      </c>
      <c r="M1648" s="18">
        <v>58</v>
      </c>
    </row>
    <row r="1649" spans="1:13" ht="20" customHeight="1" x14ac:dyDescent="0.35">
      <c r="A1649" s="17">
        <v>1088350</v>
      </c>
      <c r="B1649" s="18">
        <v>606</v>
      </c>
      <c r="C1649" s="23" t="s">
        <v>99</v>
      </c>
      <c r="D1649" s="27">
        <v>45256.025694444441</v>
      </c>
      <c r="E1649" s="18" t="s">
        <v>98</v>
      </c>
      <c r="F1649" s="18" t="s">
        <v>53</v>
      </c>
      <c r="G1649" s="18">
        <v>3144</v>
      </c>
      <c r="H1649" s="25">
        <f t="shared" si="100"/>
        <v>45256</v>
      </c>
      <c r="I1649" s="26">
        <f t="shared" si="101"/>
        <v>2.569444444088731E-2</v>
      </c>
      <c r="J1649" s="18" t="str">
        <f t="shared" si="102"/>
        <v>November</v>
      </c>
      <c r="K1649" s="56" t="str">
        <f t="shared" si="103"/>
        <v>Sunday</v>
      </c>
      <c r="L1649" s="18" t="str">
        <f>IF(OR(G1649&gt;Answers!I1664,G1649&lt;Answers!I1665),"Outlier","Normal")</f>
        <v>Outlier</v>
      </c>
      <c r="M1649" s="18">
        <v>18</v>
      </c>
    </row>
    <row r="1650" spans="1:13" ht="20" customHeight="1" x14ac:dyDescent="0.35">
      <c r="A1650" s="17">
        <v>1089032</v>
      </c>
      <c r="B1650" s="18">
        <v>144</v>
      </c>
      <c r="C1650" s="23" t="s">
        <v>108</v>
      </c>
      <c r="D1650" s="27">
        <v>45085.022916666669</v>
      </c>
      <c r="E1650" s="18" t="s">
        <v>96</v>
      </c>
      <c r="F1650" s="18" t="s">
        <v>85</v>
      </c>
      <c r="G1650" s="18">
        <v>9067</v>
      </c>
      <c r="H1650" s="25">
        <f t="shared" si="100"/>
        <v>45085</v>
      </c>
      <c r="I1650" s="26">
        <f t="shared" si="101"/>
        <v>2.2916666668606922E-2</v>
      </c>
      <c r="J1650" s="18" t="str">
        <f t="shared" si="102"/>
        <v>June</v>
      </c>
      <c r="K1650" s="56" t="str">
        <f t="shared" si="103"/>
        <v>Thursday</v>
      </c>
      <c r="L1650" s="18" t="str">
        <f>IF(OR(G1650&gt;Answers!I1665,G1650&lt;Answers!I1666),"Outlier","Normal")</f>
        <v>Outlier</v>
      </c>
      <c r="M1650" s="18">
        <v>27</v>
      </c>
    </row>
    <row r="1651" spans="1:13" ht="20" customHeight="1" x14ac:dyDescent="0.35">
      <c r="A1651" s="17">
        <v>1091560</v>
      </c>
      <c r="B1651" s="18">
        <v>1294</v>
      </c>
      <c r="C1651" s="23" t="s">
        <v>100</v>
      </c>
      <c r="D1651" s="27">
        <v>45070.970833333333</v>
      </c>
      <c r="E1651" s="18" t="s">
        <v>97</v>
      </c>
      <c r="F1651" s="18" t="s">
        <v>34</v>
      </c>
      <c r="G1651" s="18">
        <v>8903</v>
      </c>
      <c r="H1651" s="25">
        <f t="shared" si="100"/>
        <v>45070</v>
      </c>
      <c r="I1651" s="26">
        <f t="shared" si="101"/>
        <v>0.97083333333284827</v>
      </c>
      <c r="J1651" s="18" t="str">
        <f t="shared" si="102"/>
        <v>May</v>
      </c>
      <c r="K1651" s="56" t="str">
        <f t="shared" si="103"/>
        <v>Wednesday</v>
      </c>
      <c r="L1651" s="18" t="str">
        <f>IF(OR(G1651&gt;Answers!I1666,G1651&lt;Answers!I1667),"Outlier","Normal")</f>
        <v>Outlier</v>
      </c>
      <c r="M1651" s="18">
        <v>54</v>
      </c>
    </row>
    <row r="1652" spans="1:13" ht="20" customHeight="1" x14ac:dyDescent="0.35">
      <c r="A1652" s="17">
        <v>1093212</v>
      </c>
      <c r="B1652" s="18">
        <v>60</v>
      </c>
      <c r="C1652" s="23" t="s">
        <v>99</v>
      </c>
      <c r="D1652" s="27">
        <v>45129.044444444444</v>
      </c>
      <c r="E1652" s="18" t="s">
        <v>98</v>
      </c>
      <c r="F1652" s="18" t="s">
        <v>68</v>
      </c>
      <c r="G1652" s="18">
        <v>799</v>
      </c>
      <c r="H1652" s="25">
        <f t="shared" si="100"/>
        <v>45129</v>
      </c>
      <c r="I1652" s="26">
        <f t="shared" si="101"/>
        <v>4.4444444443797693E-2</v>
      </c>
      <c r="J1652" s="18" t="str">
        <f t="shared" si="102"/>
        <v>July</v>
      </c>
      <c r="K1652" s="56" t="str">
        <f t="shared" si="103"/>
        <v>Saturday</v>
      </c>
      <c r="L1652" s="18" t="str">
        <f>IF(OR(G1652&gt;Answers!I1667,G1652&lt;Answers!I1668),"Outlier","Normal")</f>
        <v>Outlier</v>
      </c>
      <c r="M1652" s="18">
        <v>60</v>
      </c>
    </row>
    <row r="1653" spans="1:13" ht="20" customHeight="1" x14ac:dyDescent="0.35">
      <c r="A1653" s="17">
        <v>1093314</v>
      </c>
      <c r="B1653" s="18">
        <v>1576</v>
      </c>
      <c r="C1653" s="23" t="s">
        <v>99</v>
      </c>
      <c r="D1653" s="27">
        <v>45035.030555555553</v>
      </c>
      <c r="E1653" s="18" t="s">
        <v>98</v>
      </c>
      <c r="F1653" s="18" t="s">
        <v>69</v>
      </c>
      <c r="G1653" s="18">
        <v>1562</v>
      </c>
      <c r="H1653" s="25">
        <f t="shared" si="100"/>
        <v>45035</v>
      </c>
      <c r="I1653" s="26">
        <f t="shared" si="101"/>
        <v>3.0555555553291924E-2</v>
      </c>
      <c r="J1653" s="18" t="str">
        <f t="shared" si="102"/>
        <v>April</v>
      </c>
      <c r="K1653" s="56" t="str">
        <f t="shared" si="103"/>
        <v>Wednesday</v>
      </c>
      <c r="L1653" s="18" t="str">
        <f>IF(OR(G1653&gt;Answers!I1668,G1653&lt;Answers!I1669),"Outlier","Normal")</f>
        <v>Outlier</v>
      </c>
      <c r="M1653" s="18">
        <v>70</v>
      </c>
    </row>
    <row r="1654" spans="1:13" ht="20" customHeight="1" x14ac:dyDescent="0.35">
      <c r="A1654" s="17">
        <v>1093757</v>
      </c>
      <c r="B1654" s="18">
        <v>127</v>
      </c>
      <c r="C1654" s="23" t="s">
        <v>108</v>
      </c>
      <c r="D1654" s="27">
        <v>45264</v>
      </c>
      <c r="E1654" s="18" t="s">
        <v>98</v>
      </c>
      <c r="F1654" s="18" t="s">
        <v>43</v>
      </c>
      <c r="G1654" s="18">
        <v>5671</v>
      </c>
      <c r="H1654" s="25">
        <f t="shared" si="100"/>
        <v>45264</v>
      </c>
      <c r="I1654" s="26">
        <f t="shared" si="101"/>
        <v>0</v>
      </c>
      <c r="J1654" s="18" t="str">
        <f t="shared" si="102"/>
        <v>December</v>
      </c>
      <c r="K1654" s="56" t="str">
        <f t="shared" si="103"/>
        <v>Monday</v>
      </c>
      <c r="L1654" s="18" t="str">
        <f>IF(OR(G1654&gt;Answers!I1669,G1654&lt;Answers!I1670),"Outlier","Normal")</f>
        <v>Outlier</v>
      </c>
      <c r="M1654" s="18">
        <v>57</v>
      </c>
    </row>
    <row r="1655" spans="1:13" ht="20" customHeight="1" x14ac:dyDescent="0.35">
      <c r="A1655" s="17">
        <v>1094900</v>
      </c>
      <c r="B1655" s="18">
        <v>1616</v>
      </c>
      <c r="C1655" s="23" t="s">
        <v>99</v>
      </c>
      <c r="D1655" s="27">
        <v>45046.040277777778</v>
      </c>
      <c r="E1655" s="18" t="s">
        <v>96</v>
      </c>
      <c r="F1655" s="18" t="s">
        <v>27</v>
      </c>
      <c r="G1655" s="18">
        <v>2968</v>
      </c>
      <c r="H1655" s="25">
        <f t="shared" si="100"/>
        <v>45046</v>
      </c>
      <c r="I1655" s="26">
        <f t="shared" si="101"/>
        <v>4.0277777778101154E-2</v>
      </c>
      <c r="J1655" s="18" t="str">
        <f t="shared" si="102"/>
        <v>April</v>
      </c>
      <c r="K1655" s="56" t="str">
        <f t="shared" si="103"/>
        <v>Sunday</v>
      </c>
      <c r="L1655" s="18" t="str">
        <f>IF(OR(G1655&gt;Answers!I1670,G1655&lt;Answers!I1671),"Outlier","Normal")</f>
        <v>Outlier</v>
      </c>
      <c r="M1655" s="18">
        <v>38</v>
      </c>
    </row>
    <row r="1656" spans="1:13" ht="20" customHeight="1" x14ac:dyDescent="0.35">
      <c r="A1656" s="17">
        <v>1095387</v>
      </c>
      <c r="B1656" s="18">
        <v>1251</v>
      </c>
      <c r="C1656" s="23" t="s">
        <v>99</v>
      </c>
      <c r="D1656" s="27">
        <v>45246.089583333334</v>
      </c>
      <c r="E1656" s="18" t="s">
        <v>133</v>
      </c>
      <c r="F1656" s="18" t="s">
        <v>69</v>
      </c>
      <c r="G1656" s="18">
        <v>2942</v>
      </c>
      <c r="H1656" s="25">
        <f t="shared" si="100"/>
        <v>45246</v>
      </c>
      <c r="I1656" s="26">
        <f t="shared" si="101"/>
        <v>8.9583333334303461E-2</v>
      </c>
      <c r="J1656" s="18" t="str">
        <f t="shared" si="102"/>
        <v>November</v>
      </c>
      <c r="K1656" s="56" t="str">
        <f t="shared" si="103"/>
        <v>Thursday</v>
      </c>
      <c r="L1656" s="18" t="str">
        <f>IF(OR(G1656&gt;Answers!I1671,G1656&lt;Answers!I1672),"Outlier","Normal")</f>
        <v>Outlier</v>
      </c>
      <c r="M1656" s="18">
        <v>31</v>
      </c>
    </row>
    <row r="1657" spans="1:13" ht="20" customHeight="1" x14ac:dyDescent="0.35">
      <c r="A1657" s="17">
        <v>1097967</v>
      </c>
      <c r="B1657" s="18">
        <v>1097</v>
      </c>
      <c r="C1657" s="23" t="s">
        <v>113</v>
      </c>
      <c r="D1657" s="27">
        <v>44996.072222222225</v>
      </c>
      <c r="E1657" s="18" t="s">
        <v>96</v>
      </c>
      <c r="F1657" s="18" t="s">
        <v>43</v>
      </c>
      <c r="G1657" s="18">
        <v>9517</v>
      </c>
      <c r="H1657" s="25">
        <f t="shared" si="100"/>
        <v>44996</v>
      </c>
      <c r="I1657" s="26">
        <f t="shared" si="101"/>
        <v>7.2222222224809229E-2</v>
      </c>
      <c r="J1657" s="18" t="str">
        <f t="shared" si="102"/>
        <v>March</v>
      </c>
      <c r="K1657" s="56" t="str">
        <f t="shared" si="103"/>
        <v>Saturday</v>
      </c>
      <c r="L1657" s="18" t="str">
        <f>IF(OR(G1657&gt;Answers!I1672,G1657&lt;Answers!I1673),"Outlier","Normal")</f>
        <v>Outlier</v>
      </c>
      <c r="M1657" s="18">
        <v>81</v>
      </c>
    </row>
    <row r="1658" spans="1:13" ht="20" customHeight="1" x14ac:dyDescent="0.35">
      <c r="A1658" s="17">
        <v>1098350</v>
      </c>
      <c r="B1658" s="18">
        <v>1983</v>
      </c>
      <c r="C1658" s="23" t="s">
        <v>105</v>
      </c>
      <c r="D1658" s="27">
        <v>44966.068749999999</v>
      </c>
      <c r="E1658" s="18" t="s">
        <v>98</v>
      </c>
      <c r="F1658" s="18" t="s">
        <v>22</v>
      </c>
      <c r="G1658" s="18">
        <v>7342</v>
      </c>
      <c r="H1658" s="25">
        <f t="shared" si="100"/>
        <v>44966</v>
      </c>
      <c r="I1658" s="26">
        <f t="shared" si="101"/>
        <v>6.8749999998544808E-2</v>
      </c>
      <c r="J1658" s="18" t="str">
        <f t="shared" si="102"/>
        <v>February</v>
      </c>
      <c r="K1658" s="56" t="str">
        <f t="shared" si="103"/>
        <v>Thursday</v>
      </c>
      <c r="L1658" s="18" t="str">
        <f>IF(OR(G1658&gt;Answers!I1673,G1658&lt;Answers!I1674),"Outlier","Normal")</f>
        <v>Outlier</v>
      </c>
      <c r="M1658" s="18">
        <v>35</v>
      </c>
    </row>
    <row r="1659" spans="1:13" ht="20" customHeight="1" x14ac:dyDescent="0.35">
      <c r="A1659" s="17">
        <v>1099712</v>
      </c>
      <c r="B1659" s="18">
        <v>772</v>
      </c>
      <c r="C1659" s="23" t="s">
        <v>100</v>
      </c>
      <c r="D1659" s="27">
        <v>45175.061805555553</v>
      </c>
      <c r="E1659" s="18" t="s">
        <v>97</v>
      </c>
      <c r="F1659" s="18" t="s">
        <v>41</v>
      </c>
      <c r="G1659" s="18">
        <v>9284</v>
      </c>
      <c r="H1659" s="25">
        <f t="shared" si="100"/>
        <v>45175</v>
      </c>
      <c r="I1659" s="26">
        <f t="shared" si="101"/>
        <v>6.1805555553291924E-2</v>
      </c>
      <c r="J1659" s="18" t="str">
        <f t="shared" si="102"/>
        <v>September</v>
      </c>
      <c r="K1659" s="56" t="str">
        <f t="shared" si="103"/>
        <v>Wednesday</v>
      </c>
      <c r="L1659" s="18" t="str">
        <f>IF(OR(G1659&gt;Answers!I1674,G1659&lt;Answers!I1675),"Outlier","Normal")</f>
        <v>Outlier</v>
      </c>
      <c r="M1659" s="18">
        <v>37</v>
      </c>
    </row>
    <row r="1660" spans="1:13" ht="20" customHeight="1" x14ac:dyDescent="0.35">
      <c r="A1660" s="17">
        <v>1100277</v>
      </c>
      <c r="B1660" s="18">
        <v>1886</v>
      </c>
      <c r="C1660" s="23" t="s">
        <v>101</v>
      </c>
      <c r="D1660" s="27">
        <v>45196.045138888891</v>
      </c>
      <c r="E1660" s="18" t="s">
        <v>96</v>
      </c>
      <c r="F1660" s="18" t="s">
        <v>19</v>
      </c>
      <c r="G1660" s="18">
        <v>1924</v>
      </c>
      <c r="H1660" s="25">
        <f t="shared" si="100"/>
        <v>45196</v>
      </c>
      <c r="I1660" s="26">
        <f t="shared" si="101"/>
        <v>4.5138888890505768E-2</v>
      </c>
      <c r="J1660" s="18" t="str">
        <f t="shared" si="102"/>
        <v>September</v>
      </c>
      <c r="K1660" s="56" t="str">
        <f t="shared" si="103"/>
        <v>Wednesday</v>
      </c>
      <c r="L1660" s="18" t="str">
        <f>IF(OR(G1660&gt;Answers!I1675,G1660&lt;Answers!I1676),"Outlier","Normal")</f>
        <v>Outlier</v>
      </c>
      <c r="M1660" s="18">
        <v>28</v>
      </c>
    </row>
    <row r="1661" spans="1:13" ht="20" customHeight="1" x14ac:dyDescent="0.35">
      <c r="A1661" s="17">
        <v>1101025</v>
      </c>
      <c r="B1661" s="18">
        <v>289</v>
      </c>
      <c r="C1661" s="23" t="s">
        <v>100</v>
      </c>
      <c r="D1661" s="27">
        <v>45048.020833333336</v>
      </c>
      <c r="E1661" s="18" t="s">
        <v>97</v>
      </c>
      <c r="F1661" s="18" t="s">
        <v>35</v>
      </c>
      <c r="G1661" s="18">
        <v>5344</v>
      </c>
      <c r="H1661" s="25">
        <f t="shared" si="100"/>
        <v>45048</v>
      </c>
      <c r="I1661" s="26">
        <f t="shared" si="101"/>
        <v>2.0833333335758653E-2</v>
      </c>
      <c r="J1661" s="18" t="str">
        <f t="shared" si="102"/>
        <v>May</v>
      </c>
      <c r="K1661" s="56" t="str">
        <f t="shared" si="103"/>
        <v>Tuesday</v>
      </c>
      <c r="L1661" s="18" t="str">
        <f>IF(OR(G1661&gt;Answers!I1676,G1661&lt;Answers!I1677),"Outlier","Normal")</f>
        <v>Outlier</v>
      </c>
      <c r="M1661" s="18">
        <v>82</v>
      </c>
    </row>
    <row r="1662" spans="1:13" ht="20" customHeight="1" x14ac:dyDescent="0.35">
      <c r="A1662" s="17">
        <v>1101866</v>
      </c>
      <c r="B1662" s="18">
        <v>986</v>
      </c>
      <c r="C1662" s="23" t="s">
        <v>101</v>
      </c>
      <c r="D1662" s="27">
        <v>45094.042361111111</v>
      </c>
      <c r="E1662" s="18" t="s">
        <v>98</v>
      </c>
      <c r="F1662" s="18" t="s">
        <v>15</v>
      </c>
      <c r="G1662" s="18">
        <v>9741</v>
      </c>
      <c r="H1662" s="25">
        <f t="shared" si="100"/>
        <v>45094</v>
      </c>
      <c r="I1662" s="26">
        <f t="shared" si="101"/>
        <v>4.2361111110949423E-2</v>
      </c>
      <c r="J1662" s="18" t="str">
        <f t="shared" si="102"/>
        <v>June</v>
      </c>
      <c r="K1662" s="56" t="str">
        <f t="shared" si="103"/>
        <v>Saturday</v>
      </c>
      <c r="L1662" s="18" t="str">
        <f>IF(OR(G1662&gt;Answers!I1677,G1662&lt;Answers!I1678),"Outlier","Normal")</f>
        <v>Outlier</v>
      </c>
      <c r="M1662" s="18">
        <v>44</v>
      </c>
    </row>
    <row r="1663" spans="1:13" ht="20" customHeight="1" x14ac:dyDescent="0.35">
      <c r="A1663" s="17">
        <v>1102470</v>
      </c>
      <c r="B1663" s="18">
        <v>1686</v>
      </c>
      <c r="C1663" s="23" t="s">
        <v>100</v>
      </c>
      <c r="D1663" s="27">
        <v>44973.984722222223</v>
      </c>
      <c r="E1663" s="18" t="s">
        <v>133</v>
      </c>
      <c r="F1663" s="18" t="s">
        <v>28</v>
      </c>
      <c r="G1663" s="18">
        <v>7654</v>
      </c>
      <c r="H1663" s="25">
        <f t="shared" si="100"/>
        <v>44973</v>
      </c>
      <c r="I1663" s="26">
        <f t="shared" si="101"/>
        <v>0.98472222222335404</v>
      </c>
      <c r="J1663" s="18" t="str">
        <f t="shared" si="102"/>
        <v>February</v>
      </c>
      <c r="K1663" s="56" t="str">
        <f t="shared" si="103"/>
        <v>Thursday</v>
      </c>
      <c r="L1663" s="18" t="str">
        <f>IF(OR(G1663&gt;Answers!I1678,G1663&lt;Answers!I1679),"Outlier","Normal")</f>
        <v>Outlier</v>
      </c>
      <c r="M1663" s="18">
        <v>53</v>
      </c>
    </row>
    <row r="1664" spans="1:13" ht="20" customHeight="1" x14ac:dyDescent="0.35">
      <c r="A1664" s="17">
        <v>1102591</v>
      </c>
      <c r="B1664" s="18">
        <v>874</v>
      </c>
      <c r="C1664" s="23" t="s">
        <v>99</v>
      </c>
      <c r="D1664" s="27">
        <v>45170.597222222219</v>
      </c>
      <c r="E1664" s="18" t="s">
        <v>97</v>
      </c>
      <c r="F1664" s="18" t="s">
        <v>29</v>
      </c>
      <c r="G1664" s="18">
        <v>8227</v>
      </c>
      <c r="H1664" s="25">
        <f t="shared" si="100"/>
        <v>45170</v>
      </c>
      <c r="I1664" s="26">
        <f t="shared" si="101"/>
        <v>0.59722222221898846</v>
      </c>
      <c r="J1664" s="18" t="str">
        <f t="shared" si="102"/>
        <v>September</v>
      </c>
      <c r="K1664" s="56" t="str">
        <f t="shared" si="103"/>
        <v>Friday</v>
      </c>
      <c r="L1664" s="18" t="str">
        <f>IF(OR(G1664&gt;Answers!I1679,G1664&lt;Answers!I1680),"Outlier","Normal")</f>
        <v>Outlier</v>
      </c>
      <c r="M1664" s="18">
        <v>40</v>
      </c>
    </row>
    <row r="1665" spans="1:13" ht="20" customHeight="1" x14ac:dyDescent="0.35">
      <c r="A1665" s="17">
        <v>1102910</v>
      </c>
      <c r="B1665" s="18">
        <v>347</v>
      </c>
      <c r="C1665" s="23" t="s">
        <v>108</v>
      </c>
      <c r="D1665" s="27">
        <v>45232.988194444442</v>
      </c>
      <c r="E1665" s="18" t="s">
        <v>96</v>
      </c>
      <c r="F1665" s="18" t="s">
        <v>27</v>
      </c>
      <c r="G1665" s="18">
        <v>5043</v>
      </c>
      <c r="H1665" s="25">
        <f t="shared" si="100"/>
        <v>45232</v>
      </c>
      <c r="I1665" s="26">
        <f t="shared" si="101"/>
        <v>0.9881944444423425</v>
      </c>
      <c r="J1665" s="18" t="str">
        <f t="shared" si="102"/>
        <v>November</v>
      </c>
      <c r="K1665" s="56" t="str">
        <f t="shared" si="103"/>
        <v>Thursday</v>
      </c>
      <c r="L1665" s="18" t="str">
        <f>IF(OR(G1665&gt;Answers!I1680,G1665&lt;Answers!I1681),"Outlier","Normal")</f>
        <v>Outlier</v>
      </c>
      <c r="M1665" s="18">
        <v>59</v>
      </c>
    </row>
    <row r="1666" spans="1:13" ht="20" customHeight="1" x14ac:dyDescent="0.35">
      <c r="A1666" s="17">
        <v>1103132</v>
      </c>
      <c r="B1666" s="18">
        <v>213</v>
      </c>
      <c r="C1666" s="23" t="s">
        <v>99</v>
      </c>
      <c r="D1666" s="27">
        <v>45227.018750000003</v>
      </c>
      <c r="E1666" s="18" t="s">
        <v>133</v>
      </c>
      <c r="F1666" s="18" t="s">
        <v>43</v>
      </c>
      <c r="G1666" s="18">
        <v>2021</v>
      </c>
      <c r="H1666" s="25">
        <f t="shared" si="100"/>
        <v>45227</v>
      </c>
      <c r="I1666" s="26">
        <f t="shared" si="101"/>
        <v>1.8750000002910383E-2</v>
      </c>
      <c r="J1666" s="18" t="str">
        <f t="shared" si="102"/>
        <v>October</v>
      </c>
      <c r="K1666" s="56" t="str">
        <f t="shared" si="103"/>
        <v>Saturday</v>
      </c>
      <c r="L1666" s="18" t="str">
        <f>IF(OR(G1666&gt;Answers!I1681,G1666&lt;Answers!I1682),"Outlier","Normal")</f>
        <v>Outlier</v>
      </c>
      <c r="M1666" s="18">
        <v>52</v>
      </c>
    </row>
    <row r="1667" spans="1:13" ht="20" customHeight="1" x14ac:dyDescent="0.35">
      <c r="A1667" s="17">
        <v>1103298</v>
      </c>
      <c r="B1667" s="18">
        <v>1505</v>
      </c>
      <c r="C1667" s="23" t="s">
        <v>99</v>
      </c>
      <c r="D1667" s="27">
        <v>45291.027083333334</v>
      </c>
      <c r="E1667" s="18" t="s">
        <v>98</v>
      </c>
      <c r="F1667" s="18" t="s">
        <v>43</v>
      </c>
      <c r="G1667" s="18">
        <v>1147</v>
      </c>
      <c r="H1667" s="25">
        <f t="shared" ref="H1667:H1730" si="104">INT(D1667)</f>
        <v>45291</v>
      </c>
      <c r="I1667" s="26">
        <f t="shared" ref="I1667:I1730" si="105">MOD(D1667,1)</f>
        <v>2.7083333334303461E-2</v>
      </c>
      <c r="J1667" s="18" t="str">
        <f t="shared" ref="J1667:J1730" si="106">TEXT(D1667,"mmmm")</f>
        <v>December</v>
      </c>
      <c r="K1667" s="56" t="str">
        <f t="shared" ref="K1667:K1730" si="107">TEXT(D1667,"dddd")</f>
        <v>Sunday</v>
      </c>
      <c r="L1667" s="18" t="str">
        <f>IF(OR(G1667&gt;Answers!I1682,G1667&lt;Answers!I1683),"Outlier","Normal")</f>
        <v>Outlier</v>
      </c>
      <c r="M1667" s="18">
        <v>48</v>
      </c>
    </row>
    <row r="1668" spans="1:13" ht="20" customHeight="1" x14ac:dyDescent="0.35">
      <c r="A1668" s="17">
        <v>1104089</v>
      </c>
      <c r="B1668" s="18">
        <v>1775</v>
      </c>
      <c r="C1668" s="23" t="s">
        <v>99</v>
      </c>
      <c r="D1668" s="27">
        <v>45108.072916666664</v>
      </c>
      <c r="E1668" s="18" t="s">
        <v>133</v>
      </c>
      <c r="F1668" s="18" t="s">
        <v>27</v>
      </c>
      <c r="G1668" s="18">
        <v>6964</v>
      </c>
      <c r="H1668" s="25">
        <f t="shared" si="104"/>
        <v>45108</v>
      </c>
      <c r="I1668" s="26">
        <f t="shared" si="105"/>
        <v>7.2916666664241347E-2</v>
      </c>
      <c r="J1668" s="18" t="str">
        <f t="shared" si="106"/>
        <v>July</v>
      </c>
      <c r="K1668" s="56" t="str">
        <f t="shared" si="107"/>
        <v>Saturday</v>
      </c>
      <c r="L1668" s="18" t="str">
        <f>IF(OR(G1668&gt;Answers!I1683,G1668&lt;Answers!I1684),"Outlier","Normal")</f>
        <v>Outlier</v>
      </c>
      <c r="M1668" s="18">
        <v>42</v>
      </c>
    </row>
    <row r="1669" spans="1:13" ht="20" customHeight="1" x14ac:dyDescent="0.35">
      <c r="A1669" s="17">
        <v>1104509</v>
      </c>
      <c r="B1669" s="18">
        <v>20</v>
      </c>
      <c r="C1669" s="23" t="s">
        <v>99</v>
      </c>
      <c r="D1669" s="27">
        <v>45073.05972222222</v>
      </c>
      <c r="E1669" s="18" t="s">
        <v>96</v>
      </c>
      <c r="F1669" s="18" t="s">
        <v>18</v>
      </c>
      <c r="G1669" s="18">
        <v>5599</v>
      </c>
      <c r="H1669" s="25">
        <f t="shared" si="104"/>
        <v>45073</v>
      </c>
      <c r="I1669" s="26">
        <f t="shared" si="105"/>
        <v>5.9722222220443655E-2</v>
      </c>
      <c r="J1669" s="18" t="str">
        <f t="shared" si="106"/>
        <v>May</v>
      </c>
      <c r="K1669" s="56" t="str">
        <f t="shared" si="107"/>
        <v>Saturday</v>
      </c>
      <c r="L1669" s="18" t="str">
        <f>IF(OR(G1669&gt;Answers!I1684,G1669&lt;Answers!I1685),"Outlier","Normal")</f>
        <v>Outlier</v>
      </c>
      <c r="M1669" s="18">
        <v>38</v>
      </c>
    </row>
    <row r="1670" spans="1:13" ht="20" customHeight="1" x14ac:dyDescent="0.35">
      <c r="A1670" s="17">
        <v>1104723</v>
      </c>
      <c r="B1670" s="18">
        <v>584</v>
      </c>
      <c r="C1670" s="23" t="s">
        <v>99</v>
      </c>
      <c r="D1670" s="27">
        <v>44952.986111111109</v>
      </c>
      <c r="E1670" s="18" t="s">
        <v>98</v>
      </c>
      <c r="F1670" s="18" t="s">
        <v>70</v>
      </c>
      <c r="G1670" s="18">
        <v>1066</v>
      </c>
      <c r="H1670" s="25">
        <f t="shared" si="104"/>
        <v>44952</v>
      </c>
      <c r="I1670" s="26">
        <f t="shared" si="105"/>
        <v>0.98611111110949423</v>
      </c>
      <c r="J1670" s="18" t="str">
        <f t="shared" si="106"/>
        <v>January</v>
      </c>
      <c r="K1670" s="56" t="str">
        <f t="shared" si="107"/>
        <v>Thursday</v>
      </c>
      <c r="L1670" s="18" t="str">
        <f>IF(OR(G1670&gt;Answers!I1685,G1670&lt;Answers!I1686),"Outlier","Normal")</f>
        <v>Outlier</v>
      </c>
      <c r="M1670" s="18">
        <v>70</v>
      </c>
    </row>
    <row r="1671" spans="1:13" ht="20" customHeight="1" x14ac:dyDescent="0.35">
      <c r="A1671" s="17">
        <v>1105163</v>
      </c>
      <c r="B1671" s="18">
        <v>1591</v>
      </c>
      <c r="C1671" s="23" t="s">
        <v>99</v>
      </c>
      <c r="D1671" s="27">
        <v>45042.058333333334</v>
      </c>
      <c r="E1671" s="18" t="s">
        <v>96</v>
      </c>
      <c r="F1671" s="18" t="s">
        <v>5</v>
      </c>
      <c r="G1671" s="18">
        <v>9903</v>
      </c>
      <c r="H1671" s="25">
        <f t="shared" si="104"/>
        <v>45042</v>
      </c>
      <c r="I1671" s="26">
        <f t="shared" si="105"/>
        <v>5.8333333334303461E-2</v>
      </c>
      <c r="J1671" s="18" t="str">
        <f t="shared" si="106"/>
        <v>April</v>
      </c>
      <c r="K1671" s="56" t="str">
        <f t="shared" si="107"/>
        <v>Wednesday</v>
      </c>
      <c r="L1671" s="18" t="str">
        <f>IF(OR(G1671&gt;Answers!I1686,G1671&lt;Answers!I1687),"Outlier","Normal")</f>
        <v>Outlier</v>
      </c>
      <c r="M1671" s="18">
        <v>61</v>
      </c>
    </row>
    <row r="1672" spans="1:13" ht="20" customHeight="1" x14ac:dyDescent="0.35">
      <c r="A1672" s="17">
        <v>1105875</v>
      </c>
      <c r="B1672" s="18">
        <v>1722</v>
      </c>
      <c r="C1672" s="23" t="s">
        <v>99</v>
      </c>
      <c r="D1672" s="27">
        <v>45275.976388888892</v>
      </c>
      <c r="E1672" s="18" t="s">
        <v>133</v>
      </c>
      <c r="F1672" s="18" t="s">
        <v>43</v>
      </c>
      <c r="G1672" s="18">
        <v>4863</v>
      </c>
      <c r="H1672" s="25">
        <f t="shared" si="104"/>
        <v>45275</v>
      </c>
      <c r="I1672" s="26">
        <f t="shared" si="105"/>
        <v>0.97638888889196096</v>
      </c>
      <c r="J1672" s="18" t="str">
        <f t="shared" si="106"/>
        <v>December</v>
      </c>
      <c r="K1672" s="56" t="str">
        <f t="shared" si="107"/>
        <v>Friday</v>
      </c>
      <c r="L1672" s="18" t="str">
        <f>IF(OR(G1672&gt;Answers!I1687,G1672&lt;Answers!I1688),"Outlier","Normal")</f>
        <v>Outlier</v>
      </c>
      <c r="M1672" s="18">
        <v>46</v>
      </c>
    </row>
    <row r="1673" spans="1:13" ht="20" customHeight="1" x14ac:dyDescent="0.35">
      <c r="A1673" s="17">
        <v>1106456</v>
      </c>
      <c r="B1673" s="18">
        <v>378</v>
      </c>
      <c r="C1673" s="23" t="s">
        <v>110</v>
      </c>
      <c r="D1673" s="27">
        <v>45141.952777777777</v>
      </c>
      <c r="E1673" s="18" t="s">
        <v>96</v>
      </c>
      <c r="F1673" s="18" t="s">
        <v>7</v>
      </c>
      <c r="G1673" s="18">
        <v>9636</v>
      </c>
      <c r="H1673" s="25">
        <f t="shared" si="104"/>
        <v>45141</v>
      </c>
      <c r="I1673" s="26">
        <f t="shared" si="105"/>
        <v>0.95277777777664596</v>
      </c>
      <c r="J1673" s="18" t="str">
        <f t="shared" si="106"/>
        <v>August</v>
      </c>
      <c r="K1673" s="56" t="str">
        <f t="shared" si="107"/>
        <v>Thursday</v>
      </c>
      <c r="L1673" s="18" t="str">
        <f>IF(OR(G1673&gt;Answers!I1688,G1673&lt;Answers!I1689),"Outlier","Normal")</f>
        <v>Outlier</v>
      </c>
      <c r="M1673" s="18">
        <v>69</v>
      </c>
    </row>
    <row r="1674" spans="1:13" ht="20" customHeight="1" x14ac:dyDescent="0.35">
      <c r="A1674" s="17">
        <v>1107821</v>
      </c>
      <c r="B1674" s="18">
        <v>581</v>
      </c>
      <c r="C1674" s="23" t="s">
        <v>99</v>
      </c>
      <c r="D1674" s="27">
        <v>45217.017361111109</v>
      </c>
      <c r="E1674" s="18" t="s">
        <v>98</v>
      </c>
      <c r="F1674" s="18" t="s">
        <v>8</v>
      </c>
      <c r="G1674" s="18">
        <v>3452</v>
      </c>
      <c r="H1674" s="25">
        <f t="shared" si="104"/>
        <v>45217</v>
      </c>
      <c r="I1674" s="26">
        <f t="shared" si="105"/>
        <v>1.7361111109494232E-2</v>
      </c>
      <c r="J1674" s="18" t="str">
        <f t="shared" si="106"/>
        <v>October</v>
      </c>
      <c r="K1674" s="56" t="str">
        <f t="shared" si="107"/>
        <v>Wednesday</v>
      </c>
      <c r="L1674" s="18" t="str">
        <f>IF(OR(G1674&gt;Answers!I1689,G1674&lt;Answers!I1690),"Outlier","Normal")</f>
        <v>Outlier</v>
      </c>
      <c r="M1674" s="18">
        <v>53</v>
      </c>
    </row>
    <row r="1675" spans="1:13" ht="20" customHeight="1" x14ac:dyDescent="0.35">
      <c r="A1675" s="17">
        <v>1107986</v>
      </c>
      <c r="B1675" s="18">
        <v>632</v>
      </c>
      <c r="C1675" s="23" t="s">
        <v>99</v>
      </c>
      <c r="D1675" s="27">
        <v>45187.020833333336</v>
      </c>
      <c r="E1675" s="18" t="s">
        <v>96</v>
      </c>
      <c r="F1675" s="18" t="s">
        <v>46</v>
      </c>
      <c r="G1675" s="18">
        <v>384</v>
      </c>
      <c r="H1675" s="25">
        <f t="shared" si="104"/>
        <v>45187</v>
      </c>
      <c r="I1675" s="26">
        <f t="shared" si="105"/>
        <v>2.0833333335758653E-2</v>
      </c>
      <c r="J1675" s="18" t="str">
        <f t="shared" si="106"/>
        <v>September</v>
      </c>
      <c r="K1675" s="56" t="str">
        <f t="shared" si="107"/>
        <v>Monday</v>
      </c>
      <c r="L1675" s="18" t="str">
        <f>IF(OR(G1675&gt;Answers!I1690,G1675&lt;Answers!I1691),"Outlier","Normal")</f>
        <v>Outlier</v>
      </c>
      <c r="M1675" s="18">
        <v>67</v>
      </c>
    </row>
    <row r="1676" spans="1:13" ht="20" customHeight="1" x14ac:dyDescent="0.35">
      <c r="A1676" s="17">
        <v>1108968</v>
      </c>
      <c r="B1676" s="18">
        <v>255</v>
      </c>
      <c r="C1676" s="23" t="s">
        <v>107</v>
      </c>
      <c r="D1676" s="27">
        <v>45244.05</v>
      </c>
      <c r="E1676" s="18" t="s">
        <v>97</v>
      </c>
      <c r="F1676" s="18" t="s">
        <v>10</v>
      </c>
      <c r="G1676" s="18">
        <v>2300</v>
      </c>
      <c r="H1676" s="25">
        <f t="shared" si="104"/>
        <v>45244</v>
      </c>
      <c r="I1676" s="26">
        <f t="shared" si="105"/>
        <v>5.0000000002910383E-2</v>
      </c>
      <c r="J1676" s="18" t="str">
        <f t="shared" si="106"/>
        <v>November</v>
      </c>
      <c r="K1676" s="56" t="str">
        <f t="shared" si="107"/>
        <v>Tuesday</v>
      </c>
      <c r="L1676" s="18" t="str">
        <f>IF(OR(G1676&gt;Answers!I1691,G1676&lt;Answers!I1692),"Outlier","Normal")</f>
        <v>Outlier</v>
      </c>
      <c r="M1676" s="18">
        <v>62</v>
      </c>
    </row>
    <row r="1677" spans="1:13" ht="20" customHeight="1" x14ac:dyDescent="0.35">
      <c r="A1677" s="17">
        <v>1110547</v>
      </c>
      <c r="B1677" s="18">
        <v>1438</v>
      </c>
      <c r="C1677" s="23" t="s">
        <v>106</v>
      </c>
      <c r="D1677" s="27">
        <v>44971.954861111109</v>
      </c>
      <c r="E1677" s="18" t="s">
        <v>133</v>
      </c>
      <c r="F1677" s="18" t="s">
        <v>27</v>
      </c>
      <c r="G1677" s="18">
        <v>8840</v>
      </c>
      <c r="H1677" s="25">
        <f t="shared" si="104"/>
        <v>44971</v>
      </c>
      <c r="I1677" s="26">
        <f t="shared" si="105"/>
        <v>0.95486111110949423</v>
      </c>
      <c r="J1677" s="18" t="str">
        <f t="shared" si="106"/>
        <v>February</v>
      </c>
      <c r="K1677" s="56" t="str">
        <f t="shared" si="107"/>
        <v>Tuesday</v>
      </c>
      <c r="L1677" s="18" t="str">
        <f>IF(OR(G1677&gt;Answers!I1692,G1677&lt;Answers!I1693),"Outlier","Normal")</f>
        <v>Outlier</v>
      </c>
      <c r="M1677" s="18">
        <v>35</v>
      </c>
    </row>
    <row r="1678" spans="1:13" ht="20" customHeight="1" x14ac:dyDescent="0.35">
      <c r="A1678" s="17">
        <v>1111675</v>
      </c>
      <c r="B1678" s="18">
        <v>665</v>
      </c>
      <c r="C1678" s="23" t="s">
        <v>100</v>
      </c>
      <c r="D1678" s="27">
        <v>44983.98333333333</v>
      </c>
      <c r="E1678" s="18" t="s">
        <v>96</v>
      </c>
      <c r="F1678" s="18" t="s">
        <v>13</v>
      </c>
      <c r="G1678" s="18">
        <v>5031</v>
      </c>
      <c r="H1678" s="25">
        <f t="shared" si="104"/>
        <v>44983</v>
      </c>
      <c r="I1678" s="26">
        <f t="shared" si="105"/>
        <v>0.98333333332993789</v>
      </c>
      <c r="J1678" s="18" t="str">
        <f t="shared" si="106"/>
        <v>February</v>
      </c>
      <c r="K1678" s="56" t="str">
        <f t="shared" si="107"/>
        <v>Sunday</v>
      </c>
      <c r="L1678" s="18" t="str">
        <f>IF(OR(G1678&gt;Answers!I1693,G1678&lt;Answers!I1694),"Outlier","Normal")</f>
        <v>Outlier</v>
      </c>
      <c r="M1678" s="18">
        <v>42</v>
      </c>
    </row>
    <row r="1679" spans="1:13" ht="20" customHeight="1" x14ac:dyDescent="0.35">
      <c r="A1679" s="17">
        <v>1112646</v>
      </c>
      <c r="B1679" s="18">
        <v>1355</v>
      </c>
      <c r="C1679" s="23" t="s">
        <v>105</v>
      </c>
      <c r="D1679" s="27">
        <v>45196.018750000003</v>
      </c>
      <c r="E1679" s="18" t="s">
        <v>133</v>
      </c>
      <c r="F1679" s="18" t="s">
        <v>10</v>
      </c>
      <c r="G1679" s="18">
        <v>8949</v>
      </c>
      <c r="H1679" s="25">
        <f t="shared" si="104"/>
        <v>45196</v>
      </c>
      <c r="I1679" s="26">
        <f t="shared" si="105"/>
        <v>1.8750000002910383E-2</v>
      </c>
      <c r="J1679" s="18" t="str">
        <f t="shared" si="106"/>
        <v>September</v>
      </c>
      <c r="K1679" s="56" t="str">
        <f t="shared" si="107"/>
        <v>Wednesday</v>
      </c>
      <c r="L1679" s="18" t="str">
        <f>IF(OR(G1679&gt;Answers!I1694,G1679&lt;Answers!I1695),"Outlier","Normal")</f>
        <v>Outlier</v>
      </c>
      <c r="M1679" s="18">
        <v>83</v>
      </c>
    </row>
    <row r="1680" spans="1:13" ht="20" customHeight="1" x14ac:dyDescent="0.35">
      <c r="A1680" s="17">
        <v>1114314</v>
      </c>
      <c r="B1680" s="18">
        <v>1192</v>
      </c>
      <c r="C1680" s="23" t="s">
        <v>99</v>
      </c>
      <c r="D1680" s="27">
        <v>45017.038888888892</v>
      </c>
      <c r="E1680" s="18" t="s">
        <v>98</v>
      </c>
      <c r="F1680" s="18" t="s">
        <v>15</v>
      </c>
      <c r="G1680" s="18">
        <v>3962</v>
      </c>
      <c r="H1680" s="25">
        <f t="shared" si="104"/>
        <v>45017</v>
      </c>
      <c r="I1680" s="26">
        <f t="shared" si="105"/>
        <v>3.888888889196096E-2</v>
      </c>
      <c r="J1680" s="18" t="str">
        <f t="shared" si="106"/>
        <v>April</v>
      </c>
      <c r="K1680" s="56" t="str">
        <f t="shared" si="107"/>
        <v>Saturday</v>
      </c>
      <c r="L1680" s="18" t="str">
        <f>IF(OR(G1680&gt;Answers!I1695,G1680&lt;Answers!I1696),"Outlier","Normal")</f>
        <v>Outlier</v>
      </c>
      <c r="M1680" s="18">
        <v>87</v>
      </c>
    </row>
    <row r="1681" spans="1:13" ht="20" customHeight="1" x14ac:dyDescent="0.35">
      <c r="A1681" s="17">
        <v>1115197</v>
      </c>
      <c r="B1681" s="18">
        <v>1108</v>
      </c>
      <c r="C1681" s="23" t="s">
        <v>113</v>
      </c>
      <c r="D1681" s="27">
        <v>45136.001388888886</v>
      </c>
      <c r="E1681" s="18" t="s">
        <v>98</v>
      </c>
      <c r="F1681" s="18" t="s">
        <v>13</v>
      </c>
      <c r="G1681" s="18">
        <v>1278</v>
      </c>
      <c r="H1681" s="25">
        <f t="shared" si="104"/>
        <v>45136</v>
      </c>
      <c r="I1681" s="26">
        <f t="shared" si="105"/>
        <v>1.3888888861401938E-3</v>
      </c>
      <c r="J1681" s="18" t="str">
        <f t="shared" si="106"/>
        <v>July</v>
      </c>
      <c r="K1681" s="56" t="str">
        <f t="shared" si="107"/>
        <v>Saturday</v>
      </c>
      <c r="L1681" s="18" t="str">
        <f>IF(OR(G1681&gt;Answers!I1696,G1681&lt;Answers!I1697),"Outlier","Normal")</f>
        <v>Outlier</v>
      </c>
      <c r="M1681" s="18">
        <v>47</v>
      </c>
    </row>
    <row r="1682" spans="1:13" ht="20" customHeight="1" x14ac:dyDescent="0.35">
      <c r="A1682" s="17">
        <v>1115208</v>
      </c>
      <c r="B1682" s="18">
        <v>1777</v>
      </c>
      <c r="C1682" s="23" t="s">
        <v>99</v>
      </c>
      <c r="D1682" s="27">
        <v>45000.943749999999</v>
      </c>
      <c r="E1682" s="18" t="s">
        <v>133</v>
      </c>
      <c r="F1682" s="18" t="s">
        <v>62</v>
      </c>
      <c r="G1682" s="18">
        <v>1807</v>
      </c>
      <c r="H1682" s="25">
        <f t="shared" si="104"/>
        <v>45000</v>
      </c>
      <c r="I1682" s="26">
        <f t="shared" si="105"/>
        <v>0.94374999999854481</v>
      </c>
      <c r="J1682" s="18" t="str">
        <f t="shared" si="106"/>
        <v>March</v>
      </c>
      <c r="K1682" s="56" t="str">
        <f t="shared" si="107"/>
        <v>Wednesday</v>
      </c>
      <c r="L1682" s="18" t="str">
        <f>IF(OR(G1682&gt;Answers!I1697,G1682&lt;Answers!I1698),"Outlier","Normal")</f>
        <v>Outlier</v>
      </c>
      <c r="M1682" s="18">
        <v>58</v>
      </c>
    </row>
    <row r="1683" spans="1:13" ht="20" customHeight="1" x14ac:dyDescent="0.35">
      <c r="A1683" s="17">
        <v>1115751</v>
      </c>
      <c r="B1683" s="18">
        <v>587</v>
      </c>
      <c r="C1683" s="23" t="s">
        <v>99</v>
      </c>
      <c r="D1683" s="27">
        <v>45083.991666666669</v>
      </c>
      <c r="E1683" s="18" t="s">
        <v>133</v>
      </c>
      <c r="F1683" s="18" t="s">
        <v>75</v>
      </c>
      <c r="G1683" s="18">
        <v>3833</v>
      </c>
      <c r="H1683" s="25">
        <f t="shared" si="104"/>
        <v>45083</v>
      </c>
      <c r="I1683" s="26">
        <f t="shared" si="105"/>
        <v>0.99166666666860692</v>
      </c>
      <c r="J1683" s="18" t="str">
        <f t="shared" si="106"/>
        <v>June</v>
      </c>
      <c r="K1683" s="56" t="str">
        <f t="shared" si="107"/>
        <v>Tuesday</v>
      </c>
      <c r="L1683" s="18" t="str">
        <f>IF(OR(G1683&gt;Answers!I1698,G1683&lt;Answers!I1699),"Outlier","Normal")</f>
        <v>Outlier</v>
      </c>
      <c r="M1683" s="18">
        <v>51</v>
      </c>
    </row>
    <row r="1684" spans="1:13" ht="20" customHeight="1" x14ac:dyDescent="0.35">
      <c r="A1684" s="17">
        <v>1115759</v>
      </c>
      <c r="B1684" s="18">
        <v>378</v>
      </c>
      <c r="C1684" s="23" t="s">
        <v>110</v>
      </c>
      <c r="D1684" s="27">
        <v>44967.004166666666</v>
      </c>
      <c r="E1684" s="18" t="s">
        <v>98</v>
      </c>
      <c r="F1684" s="18" t="s">
        <v>19</v>
      </c>
      <c r="G1684" s="18">
        <v>6504</v>
      </c>
      <c r="H1684" s="25">
        <f t="shared" si="104"/>
        <v>44967</v>
      </c>
      <c r="I1684" s="26">
        <f t="shared" si="105"/>
        <v>4.166666665696539E-3</v>
      </c>
      <c r="J1684" s="18" t="str">
        <f t="shared" si="106"/>
        <v>February</v>
      </c>
      <c r="K1684" s="56" t="str">
        <f t="shared" si="107"/>
        <v>Friday</v>
      </c>
      <c r="L1684" s="18" t="str">
        <f>IF(OR(G1684&gt;Answers!I1699,G1684&lt;Answers!I1700),"Outlier","Normal")</f>
        <v>Outlier</v>
      </c>
      <c r="M1684" s="18">
        <v>69</v>
      </c>
    </row>
    <row r="1685" spans="1:13" ht="20" customHeight="1" x14ac:dyDescent="0.35">
      <c r="A1685" s="17">
        <v>1118626</v>
      </c>
      <c r="B1685" s="18">
        <v>1552</v>
      </c>
      <c r="C1685" s="23" t="s">
        <v>107</v>
      </c>
      <c r="D1685" s="27">
        <v>45272.067361111112</v>
      </c>
      <c r="E1685" s="18" t="s">
        <v>98</v>
      </c>
      <c r="F1685" s="18" t="s">
        <v>20</v>
      </c>
      <c r="G1685" s="18">
        <v>1623</v>
      </c>
      <c r="H1685" s="25">
        <f t="shared" si="104"/>
        <v>45272</v>
      </c>
      <c r="I1685" s="26">
        <f t="shared" si="105"/>
        <v>6.7361111112404615E-2</v>
      </c>
      <c r="J1685" s="18" t="str">
        <f t="shared" si="106"/>
        <v>December</v>
      </c>
      <c r="K1685" s="56" t="str">
        <f t="shared" si="107"/>
        <v>Tuesday</v>
      </c>
      <c r="L1685" s="18" t="str">
        <f>IF(OR(G1685&gt;Answers!I1700,G1685&lt;Answers!I1701),"Outlier","Normal")</f>
        <v>Outlier</v>
      </c>
      <c r="M1685" s="18">
        <v>37</v>
      </c>
    </row>
    <row r="1686" spans="1:13" ht="20" customHeight="1" x14ac:dyDescent="0.35">
      <c r="A1686" s="17">
        <v>1119156</v>
      </c>
      <c r="B1686" s="18">
        <v>837</v>
      </c>
      <c r="C1686" s="23" t="s">
        <v>101</v>
      </c>
      <c r="D1686" s="27">
        <v>45285.059027777781</v>
      </c>
      <c r="E1686" s="18" t="s">
        <v>97</v>
      </c>
      <c r="F1686" s="18" t="s">
        <v>21</v>
      </c>
      <c r="G1686" s="18">
        <v>2932</v>
      </c>
      <c r="H1686" s="25">
        <f t="shared" si="104"/>
        <v>45285</v>
      </c>
      <c r="I1686" s="26">
        <f t="shared" si="105"/>
        <v>5.9027777781011537E-2</v>
      </c>
      <c r="J1686" s="18" t="str">
        <f t="shared" si="106"/>
        <v>December</v>
      </c>
      <c r="K1686" s="56" t="str">
        <f t="shared" si="107"/>
        <v>Monday</v>
      </c>
      <c r="L1686" s="18" t="str">
        <f>IF(OR(G1686&gt;Answers!I1701,G1686&lt;Answers!I1702),"Outlier","Normal")</f>
        <v>Outlier</v>
      </c>
      <c r="M1686" s="18">
        <v>55</v>
      </c>
    </row>
    <row r="1687" spans="1:13" ht="20" customHeight="1" x14ac:dyDescent="0.35">
      <c r="A1687" s="17">
        <v>1119400</v>
      </c>
      <c r="B1687" s="18">
        <v>1428</v>
      </c>
      <c r="C1687" s="23" t="s">
        <v>100</v>
      </c>
      <c r="D1687" s="27">
        <v>45084.963888888888</v>
      </c>
      <c r="E1687" s="18" t="s">
        <v>133</v>
      </c>
      <c r="F1687" s="18" t="s">
        <v>83</v>
      </c>
      <c r="G1687" s="18">
        <v>1558</v>
      </c>
      <c r="H1687" s="25">
        <f t="shared" si="104"/>
        <v>45084</v>
      </c>
      <c r="I1687" s="26">
        <f t="shared" si="105"/>
        <v>0.96388888888759539</v>
      </c>
      <c r="J1687" s="18" t="str">
        <f t="shared" si="106"/>
        <v>June</v>
      </c>
      <c r="K1687" s="56" t="str">
        <f t="shared" si="107"/>
        <v>Wednesday</v>
      </c>
      <c r="L1687" s="18" t="str">
        <f>IF(OR(G1687&gt;Answers!I1702,G1687&lt;Answers!I1703),"Outlier","Normal")</f>
        <v>Outlier</v>
      </c>
      <c r="M1687" s="18">
        <v>57</v>
      </c>
    </row>
    <row r="1688" spans="1:13" ht="20" customHeight="1" x14ac:dyDescent="0.35">
      <c r="A1688" s="17">
        <v>1121011</v>
      </c>
      <c r="B1688" s="18">
        <v>1757</v>
      </c>
      <c r="C1688" s="23" t="s">
        <v>105</v>
      </c>
      <c r="D1688" s="27">
        <v>45202.043055555558</v>
      </c>
      <c r="E1688" s="18" t="s">
        <v>96</v>
      </c>
      <c r="F1688" s="18" t="s">
        <v>70</v>
      </c>
      <c r="G1688" s="18">
        <v>1675</v>
      </c>
      <c r="H1688" s="25">
        <f t="shared" si="104"/>
        <v>45202</v>
      </c>
      <c r="I1688" s="26">
        <f t="shared" si="105"/>
        <v>4.3055555557657499E-2</v>
      </c>
      <c r="J1688" s="18" t="str">
        <f t="shared" si="106"/>
        <v>October</v>
      </c>
      <c r="K1688" s="56" t="str">
        <f t="shared" si="107"/>
        <v>Tuesday</v>
      </c>
      <c r="L1688" s="18" t="str">
        <f>IF(OR(G1688&gt;Answers!I1703,G1688&lt;Answers!I1704),"Outlier","Normal")</f>
        <v>Outlier</v>
      </c>
      <c r="M1688" s="18">
        <v>20</v>
      </c>
    </row>
    <row r="1689" spans="1:13" ht="20" customHeight="1" x14ac:dyDescent="0.35">
      <c r="A1689" s="17">
        <v>1122327</v>
      </c>
      <c r="B1689" s="18">
        <v>1295</v>
      </c>
      <c r="C1689" s="23" t="s">
        <v>102</v>
      </c>
      <c r="D1689" s="27">
        <v>45140.697222222225</v>
      </c>
      <c r="E1689" s="18" t="s">
        <v>97</v>
      </c>
      <c r="F1689" s="18" t="s">
        <v>23</v>
      </c>
      <c r="G1689" s="18">
        <v>6240</v>
      </c>
      <c r="H1689" s="25">
        <f t="shared" si="104"/>
        <v>45140</v>
      </c>
      <c r="I1689" s="26">
        <f t="shared" si="105"/>
        <v>0.69722222222480923</v>
      </c>
      <c r="J1689" s="18" t="str">
        <f t="shared" si="106"/>
        <v>August</v>
      </c>
      <c r="K1689" s="56" t="str">
        <f t="shared" si="107"/>
        <v>Wednesday</v>
      </c>
      <c r="L1689" s="18" t="str">
        <f>IF(OR(G1689&gt;Answers!I1704,G1689&lt;Answers!I1705),"Outlier","Normal")</f>
        <v>Outlier</v>
      </c>
      <c r="M1689" s="18">
        <v>86</v>
      </c>
    </row>
    <row r="1690" spans="1:13" ht="20" customHeight="1" x14ac:dyDescent="0.35">
      <c r="A1690" s="17">
        <v>1123688</v>
      </c>
      <c r="B1690" s="18">
        <v>66</v>
      </c>
      <c r="C1690" s="23" t="s">
        <v>101</v>
      </c>
      <c r="D1690" s="27">
        <v>45041.046527777777</v>
      </c>
      <c r="E1690" s="18" t="s">
        <v>98</v>
      </c>
      <c r="F1690" s="18" t="s">
        <v>27</v>
      </c>
      <c r="G1690" s="18">
        <v>1398</v>
      </c>
      <c r="H1690" s="25">
        <f t="shared" si="104"/>
        <v>45041</v>
      </c>
      <c r="I1690" s="26">
        <f t="shared" si="105"/>
        <v>4.6527777776645962E-2</v>
      </c>
      <c r="J1690" s="18" t="str">
        <f t="shared" si="106"/>
        <v>April</v>
      </c>
      <c r="K1690" s="56" t="str">
        <f t="shared" si="107"/>
        <v>Tuesday</v>
      </c>
      <c r="L1690" s="18" t="str">
        <f>IF(OR(G1690&gt;Answers!I1705,G1690&lt;Answers!I1706),"Outlier","Normal")</f>
        <v>Outlier</v>
      </c>
      <c r="M1690" s="18">
        <v>30</v>
      </c>
    </row>
    <row r="1691" spans="1:13" ht="20" customHeight="1" x14ac:dyDescent="0.35">
      <c r="A1691" s="17">
        <v>1124146</v>
      </c>
      <c r="B1691" s="18">
        <v>1501</v>
      </c>
      <c r="C1691" s="23" t="s">
        <v>99</v>
      </c>
      <c r="D1691" s="27">
        <v>45037.01666666667</v>
      </c>
      <c r="E1691" s="18" t="s">
        <v>98</v>
      </c>
      <c r="F1691" s="18" t="s">
        <v>77</v>
      </c>
      <c r="G1691" s="18">
        <v>3329</v>
      </c>
      <c r="H1691" s="25">
        <f t="shared" si="104"/>
        <v>45037</v>
      </c>
      <c r="I1691" s="26">
        <f t="shared" si="105"/>
        <v>1.6666666670062114E-2</v>
      </c>
      <c r="J1691" s="18" t="str">
        <f t="shared" si="106"/>
        <v>April</v>
      </c>
      <c r="K1691" s="56" t="str">
        <f t="shared" si="107"/>
        <v>Friday</v>
      </c>
      <c r="L1691" s="18" t="str">
        <f>IF(OR(G1691&gt;Answers!I1706,G1691&lt;Answers!I1707),"Outlier","Normal")</f>
        <v>Outlier</v>
      </c>
      <c r="M1691" s="18">
        <v>51</v>
      </c>
    </row>
    <row r="1692" spans="1:13" ht="20" customHeight="1" x14ac:dyDescent="0.35">
      <c r="A1692" s="17">
        <v>1125245</v>
      </c>
      <c r="B1692" s="18">
        <v>1611</v>
      </c>
      <c r="C1692" s="23" t="s">
        <v>100</v>
      </c>
      <c r="D1692" s="27">
        <v>45074.996527777781</v>
      </c>
      <c r="E1692" s="18" t="s">
        <v>97</v>
      </c>
      <c r="F1692" s="18" t="s">
        <v>18</v>
      </c>
      <c r="G1692" s="18">
        <v>4618</v>
      </c>
      <c r="H1692" s="25">
        <f t="shared" si="104"/>
        <v>45074</v>
      </c>
      <c r="I1692" s="26">
        <f t="shared" si="105"/>
        <v>0.99652777778101154</v>
      </c>
      <c r="J1692" s="18" t="str">
        <f t="shared" si="106"/>
        <v>May</v>
      </c>
      <c r="K1692" s="56" t="str">
        <f t="shared" si="107"/>
        <v>Sunday</v>
      </c>
      <c r="L1692" s="18" t="str">
        <f>IF(OR(G1692&gt;Answers!I1707,G1692&lt;Answers!I1708),"Outlier","Normal")</f>
        <v>Outlier</v>
      </c>
      <c r="M1692" s="18">
        <v>37</v>
      </c>
    </row>
    <row r="1693" spans="1:13" ht="20" customHeight="1" x14ac:dyDescent="0.35">
      <c r="A1693" s="17">
        <v>1125247</v>
      </c>
      <c r="B1693" s="18">
        <v>1574</v>
      </c>
      <c r="C1693" s="23" t="s">
        <v>104</v>
      </c>
      <c r="D1693" s="27">
        <v>45128.005555555559</v>
      </c>
      <c r="E1693" s="18" t="s">
        <v>96</v>
      </c>
      <c r="F1693" s="18" t="s">
        <v>43</v>
      </c>
      <c r="G1693" s="18">
        <v>905</v>
      </c>
      <c r="H1693" s="25">
        <f t="shared" si="104"/>
        <v>45128</v>
      </c>
      <c r="I1693" s="26">
        <f t="shared" si="105"/>
        <v>5.5555555591126904E-3</v>
      </c>
      <c r="J1693" s="18" t="str">
        <f t="shared" si="106"/>
        <v>July</v>
      </c>
      <c r="K1693" s="56" t="str">
        <f t="shared" si="107"/>
        <v>Friday</v>
      </c>
      <c r="L1693" s="18" t="str">
        <f>IF(OR(G1693&gt;Answers!I1708,G1693&lt;Answers!I1709),"Outlier","Normal")</f>
        <v>Outlier</v>
      </c>
      <c r="M1693" s="18">
        <v>36</v>
      </c>
    </row>
    <row r="1694" spans="1:13" ht="20" customHeight="1" x14ac:dyDescent="0.35">
      <c r="A1694" s="17">
        <v>1125352</v>
      </c>
      <c r="B1694" s="18">
        <v>1633</v>
      </c>
      <c r="C1694" s="23" t="s">
        <v>101</v>
      </c>
      <c r="D1694" s="27">
        <v>45043.064583333333</v>
      </c>
      <c r="E1694" s="18" t="s">
        <v>97</v>
      </c>
      <c r="F1694" s="18" t="s">
        <v>26</v>
      </c>
      <c r="G1694" s="18">
        <v>4193</v>
      </c>
      <c r="H1694" s="25">
        <f t="shared" si="104"/>
        <v>45043</v>
      </c>
      <c r="I1694" s="26">
        <f t="shared" si="105"/>
        <v>6.4583333332848269E-2</v>
      </c>
      <c r="J1694" s="18" t="str">
        <f t="shared" si="106"/>
        <v>April</v>
      </c>
      <c r="K1694" s="56" t="str">
        <f t="shared" si="107"/>
        <v>Thursday</v>
      </c>
      <c r="L1694" s="18" t="str">
        <f>IF(OR(G1694&gt;Answers!I1709,G1694&lt;Answers!I1710),"Outlier","Normal")</f>
        <v>Outlier</v>
      </c>
      <c r="M1694" s="18">
        <v>64</v>
      </c>
    </row>
    <row r="1695" spans="1:13" ht="20" customHeight="1" x14ac:dyDescent="0.35">
      <c r="A1695" s="17">
        <v>1127154</v>
      </c>
      <c r="B1695" s="18">
        <v>87</v>
      </c>
      <c r="C1695" s="23" t="s">
        <v>113</v>
      </c>
      <c r="D1695" s="27">
        <v>45086.00277777778</v>
      </c>
      <c r="E1695" s="18" t="s">
        <v>96</v>
      </c>
      <c r="F1695" s="18" t="s">
        <v>81</v>
      </c>
      <c r="G1695" s="18">
        <v>9219</v>
      </c>
      <c r="H1695" s="25">
        <f t="shared" si="104"/>
        <v>45086</v>
      </c>
      <c r="I1695" s="26">
        <f t="shared" si="105"/>
        <v>2.7777777795563452E-3</v>
      </c>
      <c r="J1695" s="18" t="str">
        <f t="shared" si="106"/>
        <v>June</v>
      </c>
      <c r="K1695" s="56" t="str">
        <f t="shared" si="107"/>
        <v>Friday</v>
      </c>
      <c r="L1695" s="18" t="str">
        <f>IF(OR(G1695&gt;Answers!I1710,G1695&lt;Answers!I1711),"Outlier","Normal")</f>
        <v>Outlier</v>
      </c>
      <c r="M1695" s="18">
        <v>62</v>
      </c>
    </row>
    <row r="1696" spans="1:13" ht="20" customHeight="1" x14ac:dyDescent="0.35">
      <c r="A1696" s="17">
        <v>1127303</v>
      </c>
      <c r="B1696" s="18">
        <v>1778</v>
      </c>
      <c r="C1696" s="23" t="s">
        <v>99</v>
      </c>
      <c r="D1696" s="27">
        <v>44971.040277777778</v>
      </c>
      <c r="E1696" s="18" t="s">
        <v>96</v>
      </c>
      <c r="F1696" s="18" t="s">
        <v>88</v>
      </c>
      <c r="G1696" s="18">
        <v>866</v>
      </c>
      <c r="H1696" s="25">
        <f t="shared" si="104"/>
        <v>44971</v>
      </c>
      <c r="I1696" s="26">
        <f t="shared" si="105"/>
        <v>4.0277777778101154E-2</v>
      </c>
      <c r="J1696" s="18" t="str">
        <f t="shared" si="106"/>
        <v>February</v>
      </c>
      <c r="K1696" s="56" t="str">
        <f t="shared" si="107"/>
        <v>Tuesday</v>
      </c>
      <c r="L1696" s="18" t="str">
        <f>IF(OR(G1696&gt;Answers!I1711,G1696&lt;Answers!I1712),"Outlier","Normal")</f>
        <v>Outlier</v>
      </c>
      <c r="M1696" s="18">
        <v>20</v>
      </c>
    </row>
    <row r="1697" spans="1:13" ht="20" customHeight="1" x14ac:dyDescent="0.35">
      <c r="A1697" s="17">
        <v>1127861</v>
      </c>
      <c r="B1697" s="18">
        <v>1385</v>
      </c>
      <c r="C1697" s="23" t="s">
        <v>99</v>
      </c>
      <c r="D1697" s="27">
        <v>45127.052083333336</v>
      </c>
      <c r="E1697" s="18" t="s">
        <v>97</v>
      </c>
      <c r="F1697" s="18" t="s">
        <v>46</v>
      </c>
      <c r="G1697" s="18">
        <v>8302</v>
      </c>
      <c r="H1697" s="25">
        <f t="shared" si="104"/>
        <v>45127</v>
      </c>
      <c r="I1697" s="26">
        <f t="shared" si="105"/>
        <v>5.2083333335758653E-2</v>
      </c>
      <c r="J1697" s="18" t="str">
        <f t="shared" si="106"/>
        <v>July</v>
      </c>
      <c r="K1697" s="56" t="str">
        <f t="shared" si="107"/>
        <v>Thursday</v>
      </c>
      <c r="L1697" s="18" t="str">
        <f>IF(OR(G1697&gt;Answers!I1712,G1697&lt;Answers!I1713),"Outlier","Normal")</f>
        <v>Outlier</v>
      </c>
      <c r="M1697" s="18">
        <v>32</v>
      </c>
    </row>
    <row r="1698" spans="1:13" ht="20" customHeight="1" x14ac:dyDescent="0.35">
      <c r="A1698" s="17">
        <v>1127964</v>
      </c>
      <c r="B1698" s="18">
        <v>934</v>
      </c>
      <c r="C1698" s="23" t="s">
        <v>99</v>
      </c>
      <c r="D1698" s="27">
        <v>45235.015972222223</v>
      </c>
      <c r="E1698" s="18" t="s">
        <v>97</v>
      </c>
      <c r="F1698" s="18" t="s">
        <v>82</v>
      </c>
      <c r="G1698" s="18">
        <v>927</v>
      </c>
      <c r="H1698" s="25">
        <f t="shared" si="104"/>
        <v>45235</v>
      </c>
      <c r="I1698" s="26">
        <f t="shared" si="105"/>
        <v>1.5972222223354038E-2</v>
      </c>
      <c r="J1698" s="18" t="str">
        <f t="shared" si="106"/>
        <v>November</v>
      </c>
      <c r="K1698" s="56" t="str">
        <f t="shared" si="107"/>
        <v>Sunday</v>
      </c>
      <c r="L1698" s="18" t="str">
        <f>IF(OR(G1698&gt;Answers!I1713,G1698&lt;Answers!I1714),"Outlier","Normal")</f>
        <v>Outlier</v>
      </c>
      <c r="M1698" s="18">
        <v>70</v>
      </c>
    </row>
    <row r="1699" spans="1:13" ht="20" customHeight="1" x14ac:dyDescent="0.35">
      <c r="A1699" s="17">
        <v>1129422</v>
      </c>
      <c r="B1699" s="18">
        <v>327</v>
      </c>
      <c r="C1699" s="23" t="s">
        <v>113</v>
      </c>
      <c r="D1699" s="27">
        <v>45220.05972222222</v>
      </c>
      <c r="E1699" s="18" t="s">
        <v>98</v>
      </c>
      <c r="F1699" s="18" t="s">
        <v>17</v>
      </c>
      <c r="G1699" s="18">
        <v>1595</v>
      </c>
      <c r="H1699" s="25">
        <f t="shared" si="104"/>
        <v>45220</v>
      </c>
      <c r="I1699" s="26">
        <f t="shared" si="105"/>
        <v>5.9722222220443655E-2</v>
      </c>
      <c r="J1699" s="18" t="str">
        <f t="shared" si="106"/>
        <v>October</v>
      </c>
      <c r="K1699" s="56" t="str">
        <f t="shared" si="107"/>
        <v>Saturday</v>
      </c>
      <c r="L1699" s="18" t="str">
        <f>IF(OR(G1699&gt;Answers!I1714,G1699&lt;Answers!I1715),"Outlier","Normal")</f>
        <v>Outlier</v>
      </c>
      <c r="M1699" s="18">
        <v>32</v>
      </c>
    </row>
    <row r="1700" spans="1:13" ht="20" customHeight="1" x14ac:dyDescent="0.35">
      <c r="A1700" s="17">
        <v>1129509</v>
      </c>
      <c r="B1700" s="18">
        <v>1097</v>
      </c>
      <c r="C1700" s="23" t="s">
        <v>113</v>
      </c>
      <c r="D1700" s="27">
        <v>45081.052777777775</v>
      </c>
      <c r="E1700" s="18" t="s">
        <v>98</v>
      </c>
      <c r="F1700" s="18" t="s">
        <v>43</v>
      </c>
      <c r="G1700" s="18">
        <v>7051</v>
      </c>
      <c r="H1700" s="25">
        <f t="shared" si="104"/>
        <v>45081</v>
      </c>
      <c r="I1700" s="26">
        <f t="shared" si="105"/>
        <v>5.2777777775190771E-2</v>
      </c>
      <c r="J1700" s="18" t="str">
        <f t="shared" si="106"/>
        <v>June</v>
      </c>
      <c r="K1700" s="56" t="str">
        <f t="shared" si="107"/>
        <v>Sunday</v>
      </c>
      <c r="L1700" s="18" t="str">
        <f>IF(OR(G1700&gt;Answers!I1715,G1700&lt;Answers!I1716),"Outlier","Normal")</f>
        <v>Outlier</v>
      </c>
      <c r="M1700" s="18">
        <v>81</v>
      </c>
    </row>
    <row r="1701" spans="1:13" ht="20" customHeight="1" x14ac:dyDescent="0.35">
      <c r="A1701" s="17">
        <v>1129725</v>
      </c>
      <c r="B1701" s="18">
        <v>1250</v>
      </c>
      <c r="C1701" s="23" t="s">
        <v>99</v>
      </c>
      <c r="D1701" s="27">
        <v>45239.005555555559</v>
      </c>
      <c r="E1701" s="18" t="s">
        <v>133</v>
      </c>
      <c r="F1701" s="18" t="s">
        <v>44</v>
      </c>
      <c r="G1701" s="18">
        <v>9660</v>
      </c>
      <c r="H1701" s="25">
        <f t="shared" si="104"/>
        <v>45239</v>
      </c>
      <c r="I1701" s="26">
        <f t="shared" si="105"/>
        <v>5.5555555591126904E-3</v>
      </c>
      <c r="J1701" s="18" t="str">
        <f t="shared" si="106"/>
        <v>November</v>
      </c>
      <c r="K1701" s="56" t="str">
        <f t="shared" si="107"/>
        <v>Thursday</v>
      </c>
      <c r="L1701" s="18" t="str">
        <f>IF(OR(G1701&gt;Answers!I1716,G1701&lt;Answers!I1717),"Outlier","Normal")</f>
        <v>Outlier</v>
      </c>
      <c r="M1701" s="18">
        <v>57</v>
      </c>
    </row>
    <row r="1702" spans="1:13" ht="20" customHeight="1" x14ac:dyDescent="0.35">
      <c r="A1702" s="17">
        <v>1130025</v>
      </c>
      <c r="B1702" s="18">
        <v>5</v>
      </c>
      <c r="C1702" s="23" t="s">
        <v>108</v>
      </c>
      <c r="D1702" s="27">
        <v>45086.959722222222</v>
      </c>
      <c r="E1702" s="18" t="s">
        <v>96</v>
      </c>
      <c r="F1702" s="18" t="s">
        <v>78</v>
      </c>
      <c r="G1702" s="18">
        <v>5739</v>
      </c>
      <c r="H1702" s="25">
        <f t="shared" si="104"/>
        <v>45086</v>
      </c>
      <c r="I1702" s="26">
        <f t="shared" si="105"/>
        <v>0.95972222222189885</v>
      </c>
      <c r="J1702" s="18" t="str">
        <f t="shared" si="106"/>
        <v>June</v>
      </c>
      <c r="K1702" s="56" t="str">
        <f t="shared" si="107"/>
        <v>Friday</v>
      </c>
      <c r="L1702" s="18" t="str">
        <f>IF(OR(G1702&gt;Answers!I1717,G1702&lt;Answers!I1718),"Outlier","Normal")</f>
        <v>Outlier</v>
      </c>
      <c r="M1702" s="18">
        <v>81</v>
      </c>
    </row>
    <row r="1703" spans="1:13" ht="20" customHeight="1" x14ac:dyDescent="0.35">
      <c r="A1703" s="17">
        <v>1130287</v>
      </c>
      <c r="B1703" s="18">
        <v>362</v>
      </c>
      <c r="C1703" s="23" t="s">
        <v>113</v>
      </c>
      <c r="D1703" s="27">
        <v>45168.036805555559</v>
      </c>
      <c r="E1703" s="18" t="s">
        <v>98</v>
      </c>
      <c r="F1703" s="18" t="s">
        <v>27</v>
      </c>
      <c r="G1703" s="18">
        <v>7662</v>
      </c>
      <c r="H1703" s="25">
        <f t="shared" si="104"/>
        <v>45168</v>
      </c>
      <c r="I1703" s="26">
        <f t="shared" si="105"/>
        <v>3.680555555911269E-2</v>
      </c>
      <c r="J1703" s="18" t="str">
        <f t="shared" si="106"/>
        <v>August</v>
      </c>
      <c r="K1703" s="56" t="str">
        <f t="shared" si="107"/>
        <v>Wednesday</v>
      </c>
      <c r="L1703" s="18" t="str">
        <f>IF(OR(G1703&gt;Answers!I1718,G1703&lt;Answers!I1719),"Outlier","Normal")</f>
        <v>Outlier</v>
      </c>
      <c r="M1703" s="18">
        <v>68</v>
      </c>
    </row>
    <row r="1704" spans="1:13" ht="20" customHeight="1" x14ac:dyDescent="0.35">
      <c r="A1704" s="17">
        <v>1130380</v>
      </c>
      <c r="B1704" s="18">
        <v>745</v>
      </c>
      <c r="C1704" s="23" t="s">
        <v>101</v>
      </c>
      <c r="D1704" s="27">
        <v>45250.954861111109</v>
      </c>
      <c r="E1704" s="18" t="s">
        <v>98</v>
      </c>
      <c r="F1704" s="18" t="s">
        <v>34</v>
      </c>
      <c r="G1704" s="18">
        <v>7425</v>
      </c>
      <c r="H1704" s="25">
        <f t="shared" si="104"/>
        <v>45250</v>
      </c>
      <c r="I1704" s="26">
        <f t="shared" si="105"/>
        <v>0.95486111110949423</v>
      </c>
      <c r="J1704" s="18" t="str">
        <f t="shared" si="106"/>
        <v>November</v>
      </c>
      <c r="K1704" s="56" t="str">
        <f t="shared" si="107"/>
        <v>Monday</v>
      </c>
      <c r="L1704" s="18" t="str">
        <f>IF(OR(G1704&gt;Answers!I1719,G1704&lt;Answers!I1720),"Outlier","Normal")</f>
        <v>Outlier</v>
      </c>
      <c r="M1704" s="18">
        <v>27</v>
      </c>
    </row>
    <row r="1705" spans="1:13" ht="20" customHeight="1" x14ac:dyDescent="0.35">
      <c r="A1705" s="17">
        <v>1131650</v>
      </c>
      <c r="B1705" s="18">
        <v>1676</v>
      </c>
      <c r="C1705" s="23" t="s">
        <v>104</v>
      </c>
      <c r="D1705" s="27">
        <v>44944.963888888888</v>
      </c>
      <c r="E1705" s="18" t="s">
        <v>133</v>
      </c>
      <c r="F1705" s="18" t="s">
        <v>87</v>
      </c>
      <c r="G1705" s="18">
        <v>3121</v>
      </c>
      <c r="H1705" s="25">
        <f t="shared" si="104"/>
        <v>44944</v>
      </c>
      <c r="I1705" s="26">
        <f t="shared" si="105"/>
        <v>0.96388888888759539</v>
      </c>
      <c r="J1705" s="18" t="str">
        <f t="shared" si="106"/>
        <v>January</v>
      </c>
      <c r="K1705" s="56" t="str">
        <f t="shared" si="107"/>
        <v>Wednesday</v>
      </c>
      <c r="L1705" s="18" t="str">
        <f>IF(OR(G1705&gt;Answers!I1720,G1705&lt;Answers!I1721),"Outlier","Normal")</f>
        <v>Outlier</v>
      </c>
      <c r="M1705" s="18">
        <v>25</v>
      </c>
    </row>
    <row r="1706" spans="1:13" ht="20" customHeight="1" x14ac:dyDescent="0.35">
      <c r="A1706" s="17">
        <v>1132855</v>
      </c>
      <c r="B1706" s="18">
        <v>16</v>
      </c>
      <c r="C1706" s="23" t="s">
        <v>103</v>
      </c>
      <c r="D1706" s="27">
        <v>45097.083333333336</v>
      </c>
      <c r="E1706" s="18" t="s">
        <v>97</v>
      </c>
      <c r="F1706" s="18" t="s">
        <v>78</v>
      </c>
      <c r="G1706" s="18">
        <v>4518</v>
      </c>
      <c r="H1706" s="25">
        <f t="shared" si="104"/>
        <v>45097</v>
      </c>
      <c r="I1706" s="26">
        <f t="shared" si="105"/>
        <v>8.3333333335758653E-2</v>
      </c>
      <c r="J1706" s="18" t="str">
        <f t="shared" si="106"/>
        <v>June</v>
      </c>
      <c r="K1706" s="56" t="str">
        <f t="shared" si="107"/>
        <v>Tuesday</v>
      </c>
      <c r="L1706" s="18" t="str">
        <f>IF(OR(G1706&gt;Answers!I1721,G1706&lt;Answers!I1722),"Outlier","Normal")</f>
        <v>Outlier</v>
      </c>
      <c r="M1706" s="18">
        <v>81</v>
      </c>
    </row>
    <row r="1707" spans="1:13" ht="20" customHeight="1" x14ac:dyDescent="0.35">
      <c r="A1707" s="17">
        <v>1133062</v>
      </c>
      <c r="B1707" s="18">
        <v>226</v>
      </c>
      <c r="C1707" s="23" t="s">
        <v>99</v>
      </c>
      <c r="D1707" s="27">
        <v>45200.958333333336</v>
      </c>
      <c r="E1707" s="18" t="s">
        <v>98</v>
      </c>
      <c r="F1707" s="18" t="s">
        <v>27</v>
      </c>
      <c r="G1707" s="18">
        <v>3501</v>
      </c>
      <c r="H1707" s="25">
        <f t="shared" si="104"/>
        <v>45200</v>
      </c>
      <c r="I1707" s="26">
        <f t="shared" si="105"/>
        <v>0.95833333333575865</v>
      </c>
      <c r="J1707" s="18" t="str">
        <f t="shared" si="106"/>
        <v>October</v>
      </c>
      <c r="K1707" s="56" t="str">
        <f t="shared" si="107"/>
        <v>Sunday</v>
      </c>
      <c r="L1707" s="18" t="str">
        <f>IF(OR(G1707&gt;Answers!I1722,G1707&lt;Answers!I1723),"Outlier","Normal")</f>
        <v>Outlier</v>
      </c>
      <c r="M1707" s="18">
        <v>31</v>
      </c>
    </row>
    <row r="1708" spans="1:13" ht="20" customHeight="1" x14ac:dyDescent="0.35">
      <c r="A1708" s="17">
        <v>1133882</v>
      </c>
      <c r="B1708" s="18">
        <v>291</v>
      </c>
      <c r="C1708" s="23" t="s">
        <v>113</v>
      </c>
      <c r="D1708" s="27">
        <v>45145.996527777781</v>
      </c>
      <c r="E1708" s="18" t="s">
        <v>98</v>
      </c>
      <c r="F1708" s="18" t="s">
        <v>69</v>
      </c>
      <c r="G1708" s="18">
        <v>3789</v>
      </c>
      <c r="H1708" s="25">
        <f t="shared" si="104"/>
        <v>45145</v>
      </c>
      <c r="I1708" s="26">
        <f t="shared" si="105"/>
        <v>0.99652777778101154</v>
      </c>
      <c r="J1708" s="18" t="str">
        <f t="shared" si="106"/>
        <v>August</v>
      </c>
      <c r="K1708" s="56" t="str">
        <f t="shared" si="107"/>
        <v>Monday</v>
      </c>
      <c r="L1708" s="18" t="str">
        <f>IF(OR(G1708&gt;Answers!I1723,G1708&lt;Answers!I1724),"Outlier","Normal")</f>
        <v>Outlier</v>
      </c>
      <c r="M1708" s="18">
        <v>44</v>
      </c>
    </row>
    <row r="1709" spans="1:13" ht="20" customHeight="1" x14ac:dyDescent="0.35">
      <c r="A1709" s="17">
        <v>1134072</v>
      </c>
      <c r="B1709" s="18">
        <v>662</v>
      </c>
      <c r="C1709" s="23" t="s">
        <v>99</v>
      </c>
      <c r="D1709" s="27">
        <v>45266.03402777778</v>
      </c>
      <c r="E1709" s="18" t="s">
        <v>97</v>
      </c>
      <c r="F1709" s="18" t="s">
        <v>26</v>
      </c>
      <c r="G1709" s="18">
        <v>3885</v>
      </c>
      <c r="H1709" s="25">
        <f t="shared" si="104"/>
        <v>45266</v>
      </c>
      <c r="I1709" s="26">
        <f t="shared" si="105"/>
        <v>3.4027777779556345E-2</v>
      </c>
      <c r="J1709" s="18" t="str">
        <f t="shared" si="106"/>
        <v>December</v>
      </c>
      <c r="K1709" s="56" t="str">
        <f t="shared" si="107"/>
        <v>Wednesday</v>
      </c>
      <c r="L1709" s="18" t="str">
        <f>IF(OR(G1709&gt;Answers!I1724,G1709&lt;Answers!I1725),"Outlier","Normal")</f>
        <v>Outlier</v>
      </c>
      <c r="M1709" s="18">
        <v>23</v>
      </c>
    </row>
    <row r="1710" spans="1:13" ht="20" customHeight="1" x14ac:dyDescent="0.35">
      <c r="A1710" s="17">
        <v>1134801</v>
      </c>
      <c r="B1710" s="18">
        <v>430</v>
      </c>
      <c r="C1710" s="23" t="s">
        <v>113</v>
      </c>
      <c r="D1710" s="27">
        <v>44997.978472222225</v>
      </c>
      <c r="E1710" s="18" t="s">
        <v>98</v>
      </c>
      <c r="F1710" s="18" t="s">
        <v>27</v>
      </c>
      <c r="G1710" s="18">
        <v>3505</v>
      </c>
      <c r="H1710" s="25">
        <f t="shared" si="104"/>
        <v>44997</v>
      </c>
      <c r="I1710" s="26">
        <f t="shared" si="105"/>
        <v>0.97847222222480923</v>
      </c>
      <c r="J1710" s="18" t="str">
        <f t="shared" si="106"/>
        <v>March</v>
      </c>
      <c r="K1710" s="56" t="str">
        <f t="shared" si="107"/>
        <v>Sunday</v>
      </c>
      <c r="L1710" s="18" t="str">
        <f>IF(OR(G1710&gt;Answers!I1725,G1710&lt;Answers!I1726),"Outlier","Normal")</f>
        <v>Outlier</v>
      </c>
      <c r="M1710" s="18">
        <v>82</v>
      </c>
    </row>
    <row r="1711" spans="1:13" ht="20" customHeight="1" x14ac:dyDescent="0.35">
      <c r="A1711" s="17">
        <v>1135081</v>
      </c>
      <c r="B1711" s="18">
        <v>48</v>
      </c>
      <c r="C1711" s="23" t="s">
        <v>99</v>
      </c>
      <c r="D1711" s="27">
        <v>44937.002083333333</v>
      </c>
      <c r="E1711" s="18" t="s">
        <v>133</v>
      </c>
      <c r="F1711" s="18" t="s">
        <v>25</v>
      </c>
      <c r="G1711" s="18">
        <v>7107</v>
      </c>
      <c r="H1711" s="25">
        <f t="shared" si="104"/>
        <v>44937</v>
      </c>
      <c r="I1711" s="26">
        <f t="shared" si="105"/>
        <v>2.0833333328482695E-3</v>
      </c>
      <c r="J1711" s="18" t="str">
        <f t="shared" si="106"/>
        <v>January</v>
      </c>
      <c r="K1711" s="56" t="str">
        <f t="shared" si="107"/>
        <v>Wednesday</v>
      </c>
      <c r="L1711" s="18" t="str">
        <f>IF(OR(G1711&gt;Answers!I1726,G1711&lt;Answers!I1727),"Outlier","Normal")</f>
        <v>Outlier</v>
      </c>
      <c r="M1711" s="18">
        <v>66</v>
      </c>
    </row>
    <row r="1712" spans="1:13" ht="20" customHeight="1" x14ac:dyDescent="0.35">
      <c r="A1712" s="17">
        <v>1136468</v>
      </c>
      <c r="B1712" s="18">
        <v>1179</v>
      </c>
      <c r="C1712" s="23" t="s">
        <v>105</v>
      </c>
      <c r="D1712" s="27">
        <v>45236.046527777777</v>
      </c>
      <c r="E1712" s="18" t="s">
        <v>96</v>
      </c>
      <c r="F1712" s="18" t="s">
        <v>81</v>
      </c>
      <c r="G1712" s="18">
        <v>8751</v>
      </c>
      <c r="H1712" s="25">
        <f t="shared" si="104"/>
        <v>45236</v>
      </c>
      <c r="I1712" s="26">
        <f t="shared" si="105"/>
        <v>4.6527777776645962E-2</v>
      </c>
      <c r="J1712" s="18" t="str">
        <f t="shared" si="106"/>
        <v>November</v>
      </c>
      <c r="K1712" s="56" t="str">
        <f t="shared" si="107"/>
        <v>Monday</v>
      </c>
      <c r="L1712" s="18" t="str">
        <f>IF(OR(G1712&gt;Answers!I1727,G1712&lt;Answers!I1728),"Outlier","Normal")</f>
        <v>Outlier</v>
      </c>
      <c r="M1712" s="18">
        <v>49</v>
      </c>
    </row>
    <row r="1713" spans="1:13" ht="20" customHeight="1" x14ac:dyDescent="0.35">
      <c r="A1713" s="17">
        <v>1137562</v>
      </c>
      <c r="B1713" s="18">
        <v>1456</v>
      </c>
      <c r="C1713" s="23" t="s">
        <v>105</v>
      </c>
      <c r="D1713" s="27">
        <v>45227.006249999999</v>
      </c>
      <c r="E1713" s="18" t="s">
        <v>97</v>
      </c>
      <c r="F1713" s="18" t="s">
        <v>88</v>
      </c>
      <c r="G1713" s="18">
        <v>9253</v>
      </c>
      <c r="H1713" s="25">
        <f t="shared" si="104"/>
        <v>45227</v>
      </c>
      <c r="I1713" s="26">
        <f t="shared" si="105"/>
        <v>6.2499999985448085E-3</v>
      </c>
      <c r="J1713" s="18" t="str">
        <f t="shared" si="106"/>
        <v>October</v>
      </c>
      <c r="K1713" s="56" t="str">
        <f t="shared" si="107"/>
        <v>Saturday</v>
      </c>
      <c r="L1713" s="18" t="str">
        <f>IF(OR(G1713&gt;Answers!I1728,G1713&lt;Answers!I1729),"Outlier","Normal")</f>
        <v>Outlier</v>
      </c>
      <c r="M1713" s="18">
        <v>35</v>
      </c>
    </row>
    <row r="1714" spans="1:13" ht="20" customHeight="1" x14ac:dyDescent="0.35">
      <c r="A1714" s="17">
        <v>1137891</v>
      </c>
      <c r="B1714" s="18">
        <v>1447</v>
      </c>
      <c r="C1714" s="23" t="s">
        <v>106</v>
      </c>
      <c r="D1714" s="27">
        <v>45279.95416666667</v>
      </c>
      <c r="E1714" s="18" t="s">
        <v>133</v>
      </c>
      <c r="F1714" s="18" t="s">
        <v>43</v>
      </c>
      <c r="G1714" s="18">
        <v>1289</v>
      </c>
      <c r="H1714" s="25">
        <f t="shared" si="104"/>
        <v>45279</v>
      </c>
      <c r="I1714" s="26">
        <f t="shared" si="105"/>
        <v>0.95416666667006211</v>
      </c>
      <c r="J1714" s="18" t="str">
        <f t="shared" si="106"/>
        <v>December</v>
      </c>
      <c r="K1714" s="56" t="str">
        <f t="shared" si="107"/>
        <v>Tuesday</v>
      </c>
      <c r="L1714" s="18" t="str">
        <f>IF(OR(G1714&gt;Answers!I1729,G1714&lt;Answers!I1730),"Outlier","Normal")</f>
        <v>Outlier</v>
      </c>
      <c r="M1714" s="18">
        <v>20</v>
      </c>
    </row>
    <row r="1715" spans="1:13" ht="20" customHeight="1" x14ac:dyDescent="0.35">
      <c r="A1715" s="17">
        <v>1138694</v>
      </c>
      <c r="B1715" s="18">
        <v>1525</v>
      </c>
      <c r="C1715" s="23" t="s">
        <v>107</v>
      </c>
      <c r="D1715" s="27">
        <v>44986.061111111114</v>
      </c>
      <c r="E1715" s="18" t="s">
        <v>98</v>
      </c>
      <c r="F1715" s="18" t="s">
        <v>27</v>
      </c>
      <c r="G1715" s="18">
        <v>1217</v>
      </c>
      <c r="H1715" s="25">
        <f t="shared" si="104"/>
        <v>44986</v>
      </c>
      <c r="I1715" s="26">
        <f t="shared" si="105"/>
        <v>6.1111111113859806E-2</v>
      </c>
      <c r="J1715" s="18" t="str">
        <f t="shared" si="106"/>
        <v>March</v>
      </c>
      <c r="K1715" s="56" t="str">
        <f t="shared" si="107"/>
        <v>Wednesday</v>
      </c>
      <c r="L1715" s="18" t="str">
        <f>IF(OR(G1715&gt;Answers!I1730,G1715&lt;Answers!I1731),"Outlier","Normal")</f>
        <v>Outlier</v>
      </c>
      <c r="M1715" s="18">
        <v>87</v>
      </c>
    </row>
    <row r="1716" spans="1:13" ht="20" customHeight="1" x14ac:dyDescent="0.35">
      <c r="A1716" s="17">
        <v>1139025</v>
      </c>
      <c r="B1716" s="18">
        <v>1855</v>
      </c>
      <c r="C1716" s="23" t="s">
        <v>108</v>
      </c>
      <c r="D1716" s="27">
        <v>45148.002083333333</v>
      </c>
      <c r="E1716" s="18" t="s">
        <v>96</v>
      </c>
      <c r="F1716" s="18" t="s">
        <v>65</v>
      </c>
      <c r="G1716" s="18">
        <v>8569</v>
      </c>
      <c r="H1716" s="25">
        <f t="shared" si="104"/>
        <v>45148</v>
      </c>
      <c r="I1716" s="26">
        <f t="shared" si="105"/>
        <v>2.0833333328482695E-3</v>
      </c>
      <c r="J1716" s="18" t="str">
        <f t="shared" si="106"/>
        <v>August</v>
      </c>
      <c r="K1716" s="56" t="str">
        <f t="shared" si="107"/>
        <v>Thursday</v>
      </c>
      <c r="L1716" s="18" t="str">
        <f>IF(OR(G1716&gt;Answers!I1731,G1716&lt;Answers!I1732),"Outlier","Normal")</f>
        <v>Outlier</v>
      </c>
      <c r="M1716" s="18">
        <v>44</v>
      </c>
    </row>
    <row r="1717" spans="1:13" ht="20" customHeight="1" x14ac:dyDescent="0.35">
      <c r="A1717" s="17">
        <v>1140100</v>
      </c>
      <c r="B1717" s="18">
        <v>759</v>
      </c>
      <c r="C1717" s="23" t="s">
        <v>99</v>
      </c>
      <c r="D1717" s="27">
        <v>45084.044444444444</v>
      </c>
      <c r="E1717" s="18" t="s">
        <v>98</v>
      </c>
      <c r="F1717" s="18" t="s">
        <v>24</v>
      </c>
      <c r="G1717" s="18">
        <v>6772</v>
      </c>
      <c r="H1717" s="25">
        <f t="shared" si="104"/>
        <v>45084</v>
      </c>
      <c r="I1717" s="26">
        <f t="shared" si="105"/>
        <v>4.4444444443797693E-2</v>
      </c>
      <c r="J1717" s="18" t="str">
        <f t="shared" si="106"/>
        <v>June</v>
      </c>
      <c r="K1717" s="56" t="str">
        <f t="shared" si="107"/>
        <v>Wednesday</v>
      </c>
      <c r="L1717" s="18" t="str">
        <f>IF(OR(G1717&gt;Answers!I1732,G1717&lt;Answers!I1733),"Outlier","Normal")</f>
        <v>Outlier</v>
      </c>
      <c r="M1717" s="18">
        <v>19</v>
      </c>
    </row>
    <row r="1718" spans="1:13" ht="20" customHeight="1" x14ac:dyDescent="0.35">
      <c r="A1718" s="17">
        <v>1140822</v>
      </c>
      <c r="B1718" s="18">
        <v>741</v>
      </c>
      <c r="C1718" s="23" t="s">
        <v>99</v>
      </c>
      <c r="D1718" s="27">
        <v>45241.020138888889</v>
      </c>
      <c r="E1718" s="18" t="s">
        <v>97</v>
      </c>
      <c r="F1718" s="18" t="s">
        <v>27</v>
      </c>
      <c r="G1718" s="18">
        <v>2833</v>
      </c>
      <c r="H1718" s="25">
        <f t="shared" si="104"/>
        <v>45241</v>
      </c>
      <c r="I1718" s="26">
        <f t="shared" si="105"/>
        <v>2.0138888889050577E-2</v>
      </c>
      <c r="J1718" s="18" t="str">
        <f t="shared" si="106"/>
        <v>November</v>
      </c>
      <c r="K1718" s="56" t="str">
        <f t="shared" si="107"/>
        <v>Saturday</v>
      </c>
      <c r="L1718" s="18" t="str">
        <f>IF(OR(G1718&gt;Answers!I1733,G1718&lt;Answers!I1734),"Outlier","Normal")</f>
        <v>Outlier</v>
      </c>
      <c r="M1718" s="18">
        <v>25</v>
      </c>
    </row>
    <row r="1719" spans="1:13" ht="20" customHeight="1" x14ac:dyDescent="0.35">
      <c r="A1719" s="17">
        <v>1141931</v>
      </c>
      <c r="B1719" s="18">
        <v>1018</v>
      </c>
      <c r="C1719" s="23" t="s">
        <v>100</v>
      </c>
      <c r="D1719" s="27">
        <v>45109.950694444444</v>
      </c>
      <c r="E1719" s="18" t="s">
        <v>98</v>
      </c>
      <c r="F1719" s="18" t="s">
        <v>66</v>
      </c>
      <c r="G1719" s="18">
        <v>9219</v>
      </c>
      <c r="H1719" s="25">
        <f t="shared" si="104"/>
        <v>45109</v>
      </c>
      <c r="I1719" s="26">
        <f t="shared" si="105"/>
        <v>0.95069444444379769</v>
      </c>
      <c r="J1719" s="18" t="str">
        <f t="shared" si="106"/>
        <v>July</v>
      </c>
      <c r="K1719" s="56" t="str">
        <f t="shared" si="107"/>
        <v>Sunday</v>
      </c>
      <c r="L1719" s="18" t="str">
        <f>IF(OR(G1719&gt;Answers!I1734,G1719&lt;Answers!I1735),"Outlier","Normal")</f>
        <v>Outlier</v>
      </c>
      <c r="M1719" s="18">
        <v>52</v>
      </c>
    </row>
    <row r="1720" spans="1:13" ht="20" customHeight="1" x14ac:dyDescent="0.35">
      <c r="A1720" s="17">
        <v>1143333</v>
      </c>
      <c r="B1720" s="18">
        <v>1998</v>
      </c>
      <c r="C1720" s="23" t="s">
        <v>101</v>
      </c>
      <c r="D1720" s="27">
        <v>45081.993750000001</v>
      </c>
      <c r="E1720" s="18" t="s">
        <v>97</v>
      </c>
      <c r="F1720" s="18" t="s">
        <v>78</v>
      </c>
      <c r="G1720" s="18">
        <v>9565</v>
      </c>
      <c r="H1720" s="25">
        <f t="shared" si="104"/>
        <v>45081</v>
      </c>
      <c r="I1720" s="26">
        <f t="shared" si="105"/>
        <v>0.99375000000145519</v>
      </c>
      <c r="J1720" s="18" t="str">
        <f t="shared" si="106"/>
        <v>June</v>
      </c>
      <c r="K1720" s="56" t="str">
        <f t="shared" si="107"/>
        <v>Sunday</v>
      </c>
      <c r="L1720" s="18" t="str">
        <f>IF(OR(G1720&gt;Answers!I1735,G1720&lt;Answers!I1736),"Outlier","Normal")</f>
        <v>Outlier</v>
      </c>
      <c r="M1720" s="18">
        <v>82</v>
      </c>
    </row>
    <row r="1721" spans="1:13" ht="20" customHeight="1" x14ac:dyDescent="0.35">
      <c r="A1721" s="17">
        <v>1144813</v>
      </c>
      <c r="B1721" s="18">
        <v>1176</v>
      </c>
      <c r="C1721" s="23" t="s">
        <v>99</v>
      </c>
      <c r="D1721" s="27">
        <v>45239.04583333333</v>
      </c>
      <c r="E1721" s="18" t="s">
        <v>96</v>
      </c>
      <c r="F1721" s="18" t="s">
        <v>77</v>
      </c>
      <c r="G1721" s="18">
        <v>1665</v>
      </c>
      <c r="H1721" s="25">
        <f t="shared" si="104"/>
        <v>45239</v>
      </c>
      <c r="I1721" s="26">
        <f t="shared" si="105"/>
        <v>4.5833333329937886E-2</v>
      </c>
      <c r="J1721" s="18" t="str">
        <f t="shared" si="106"/>
        <v>November</v>
      </c>
      <c r="K1721" s="56" t="str">
        <f t="shared" si="107"/>
        <v>Thursday</v>
      </c>
      <c r="L1721" s="18" t="str">
        <f>IF(OR(G1721&gt;Answers!I1736,G1721&lt;Answers!I1737),"Outlier","Normal")</f>
        <v>Outlier</v>
      </c>
      <c r="M1721" s="18">
        <v>89</v>
      </c>
    </row>
    <row r="1722" spans="1:13" ht="20" customHeight="1" x14ac:dyDescent="0.35">
      <c r="A1722" s="17">
        <v>1145871</v>
      </c>
      <c r="B1722" s="18">
        <v>1893</v>
      </c>
      <c r="C1722" s="23" t="s">
        <v>101</v>
      </c>
      <c r="D1722" s="27">
        <v>45204.022222222222</v>
      </c>
      <c r="E1722" s="18" t="s">
        <v>133</v>
      </c>
      <c r="F1722" s="18" t="s">
        <v>64</v>
      </c>
      <c r="G1722" s="18">
        <v>2301</v>
      </c>
      <c r="H1722" s="25">
        <f t="shared" si="104"/>
        <v>45204</v>
      </c>
      <c r="I1722" s="26">
        <f t="shared" si="105"/>
        <v>2.2222222221898846E-2</v>
      </c>
      <c r="J1722" s="18" t="str">
        <f t="shared" si="106"/>
        <v>October</v>
      </c>
      <c r="K1722" s="56" t="str">
        <f t="shared" si="107"/>
        <v>Thursday</v>
      </c>
      <c r="L1722" s="18" t="str">
        <f>IF(OR(G1722&gt;Answers!I1737,G1722&lt;Answers!I1738),"Outlier","Normal")</f>
        <v>Outlier</v>
      </c>
      <c r="M1722" s="18">
        <v>47</v>
      </c>
    </row>
    <row r="1723" spans="1:13" ht="20" customHeight="1" x14ac:dyDescent="0.35">
      <c r="A1723" s="17">
        <v>1146705</v>
      </c>
      <c r="B1723" s="18">
        <v>1840</v>
      </c>
      <c r="C1723" s="23" t="s">
        <v>99</v>
      </c>
      <c r="D1723" s="27">
        <v>45130.98333333333</v>
      </c>
      <c r="E1723" s="18" t="s">
        <v>96</v>
      </c>
      <c r="F1723" s="18" t="s">
        <v>30</v>
      </c>
      <c r="G1723" s="18">
        <v>6434</v>
      </c>
      <c r="H1723" s="25">
        <f t="shared" si="104"/>
        <v>45130</v>
      </c>
      <c r="I1723" s="26">
        <f t="shared" si="105"/>
        <v>0.98333333332993789</v>
      </c>
      <c r="J1723" s="18" t="str">
        <f t="shared" si="106"/>
        <v>July</v>
      </c>
      <c r="K1723" s="56" t="str">
        <f t="shared" si="107"/>
        <v>Sunday</v>
      </c>
      <c r="L1723" s="18" t="str">
        <f>IF(OR(G1723&gt;Answers!I1738,G1723&lt;Answers!I1739),"Outlier","Normal")</f>
        <v>Outlier</v>
      </c>
      <c r="M1723" s="18">
        <v>83</v>
      </c>
    </row>
    <row r="1724" spans="1:13" ht="20" customHeight="1" x14ac:dyDescent="0.35">
      <c r="A1724" s="17">
        <v>1147846</v>
      </c>
      <c r="B1724" s="18">
        <v>137</v>
      </c>
      <c r="C1724" s="23" t="s">
        <v>113</v>
      </c>
      <c r="D1724" s="27">
        <v>45224.023611111108</v>
      </c>
      <c r="E1724" s="18" t="s">
        <v>96</v>
      </c>
      <c r="F1724" s="18" t="s">
        <v>53</v>
      </c>
      <c r="G1724" s="18">
        <v>792</v>
      </c>
      <c r="H1724" s="25">
        <f t="shared" si="104"/>
        <v>45224</v>
      </c>
      <c r="I1724" s="26">
        <f t="shared" si="105"/>
        <v>2.361111110803904E-2</v>
      </c>
      <c r="J1724" s="18" t="str">
        <f t="shared" si="106"/>
        <v>October</v>
      </c>
      <c r="K1724" s="56" t="str">
        <f t="shared" si="107"/>
        <v>Wednesday</v>
      </c>
      <c r="L1724" s="18" t="str">
        <f>IF(OR(G1724&gt;Answers!I1739,G1724&lt;Answers!I1740),"Outlier","Normal")</f>
        <v>Outlier</v>
      </c>
      <c r="M1724" s="18">
        <v>25</v>
      </c>
    </row>
    <row r="1725" spans="1:13" ht="20" customHeight="1" x14ac:dyDescent="0.35">
      <c r="A1725" s="17">
        <v>1149488</v>
      </c>
      <c r="B1725" s="18">
        <v>1235</v>
      </c>
      <c r="C1725" s="23" t="s">
        <v>106</v>
      </c>
      <c r="D1725" s="27">
        <v>45033.025000000001</v>
      </c>
      <c r="E1725" s="18" t="s">
        <v>98</v>
      </c>
      <c r="F1725" s="18" t="s">
        <v>85</v>
      </c>
      <c r="G1725" s="18">
        <v>2062</v>
      </c>
      <c r="H1725" s="25">
        <f t="shared" si="104"/>
        <v>45033</v>
      </c>
      <c r="I1725" s="26">
        <f t="shared" si="105"/>
        <v>2.5000000001455192E-2</v>
      </c>
      <c r="J1725" s="18" t="str">
        <f t="shared" si="106"/>
        <v>April</v>
      </c>
      <c r="K1725" s="56" t="str">
        <f t="shared" si="107"/>
        <v>Monday</v>
      </c>
      <c r="L1725" s="18" t="str">
        <f>IF(OR(G1725&gt;Answers!I1740,G1725&lt;Answers!I1741),"Outlier","Normal")</f>
        <v>Outlier</v>
      </c>
      <c r="M1725" s="18">
        <v>69</v>
      </c>
    </row>
    <row r="1726" spans="1:13" ht="20" customHeight="1" x14ac:dyDescent="0.35">
      <c r="A1726" s="17">
        <v>1149537</v>
      </c>
      <c r="B1726" s="18">
        <v>158</v>
      </c>
      <c r="C1726" s="23" t="s">
        <v>99</v>
      </c>
      <c r="D1726" s="27">
        <v>44958.013888888891</v>
      </c>
      <c r="E1726" s="18" t="s">
        <v>98</v>
      </c>
      <c r="F1726" s="18" t="s">
        <v>51</v>
      </c>
      <c r="G1726" s="18">
        <v>2663</v>
      </c>
      <c r="H1726" s="25">
        <f t="shared" si="104"/>
        <v>44958</v>
      </c>
      <c r="I1726" s="26">
        <f t="shared" si="105"/>
        <v>1.3888888890505768E-2</v>
      </c>
      <c r="J1726" s="18" t="str">
        <f t="shared" si="106"/>
        <v>February</v>
      </c>
      <c r="K1726" s="56" t="str">
        <f t="shared" si="107"/>
        <v>Wednesday</v>
      </c>
      <c r="L1726" s="18" t="str">
        <f>IF(OR(G1726&gt;Answers!I1741,G1726&lt;Answers!I1742),"Outlier","Normal")</f>
        <v>Outlier</v>
      </c>
      <c r="M1726" s="18">
        <v>41</v>
      </c>
    </row>
    <row r="1727" spans="1:13" ht="20" customHeight="1" x14ac:dyDescent="0.35">
      <c r="A1727" s="17">
        <v>1150741</v>
      </c>
      <c r="B1727" s="18">
        <v>304</v>
      </c>
      <c r="C1727" s="23" t="s">
        <v>113</v>
      </c>
      <c r="D1727" s="27">
        <v>44994.05972222222</v>
      </c>
      <c r="E1727" s="18" t="s">
        <v>96</v>
      </c>
      <c r="F1727" s="18" t="s">
        <v>68</v>
      </c>
      <c r="G1727" s="18">
        <v>9404</v>
      </c>
      <c r="H1727" s="25">
        <f t="shared" si="104"/>
        <v>44994</v>
      </c>
      <c r="I1727" s="26">
        <f t="shared" si="105"/>
        <v>5.9722222220443655E-2</v>
      </c>
      <c r="J1727" s="18" t="str">
        <f t="shared" si="106"/>
        <v>March</v>
      </c>
      <c r="K1727" s="56" t="str">
        <f t="shared" si="107"/>
        <v>Thursday</v>
      </c>
      <c r="L1727" s="18" t="str">
        <f>IF(OR(G1727&gt;Answers!I1742,G1727&lt;Answers!I1743),"Outlier","Normal")</f>
        <v>Outlier</v>
      </c>
      <c r="M1727" s="18">
        <v>71</v>
      </c>
    </row>
    <row r="1728" spans="1:13" ht="20" customHeight="1" x14ac:dyDescent="0.35">
      <c r="A1728" s="17">
        <v>1151977</v>
      </c>
      <c r="B1728" s="18">
        <v>1190</v>
      </c>
      <c r="C1728" s="23" t="s">
        <v>103</v>
      </c>
      <c r="D1728" s="27">
        <v>45291.073611111111</v>
      </c>
      <c r="E1728" s="18" t="s">
        <v>97</v>
      </c>
      <c r="F1728" s="18" t="s">
        <v>86</v>
      </c>
      <c r="G1728" s="18">
        <v>4385</v>
      </c>
      <c r="H1728" s="25">
        <f t="shared" si="104"/>
        <v>45291</v>
      </c>
      <c r="I1728" s="26">
        <f t="shared" si="105"/>
        <v>7.3611111110949423E-2</v>
      </c>
      <c r="J1728" s="18" t="str">
        <f t="shared" si="106"/>
        <v>December</v>
      </c>
      <c r="K1728" s="56" t="str">
        <f t="shared" si="107"/>
        <v>Sunday</v>
      </c>
      <c r="L1728" s="18" t="str">
        <f>IF(OR(G1728&gt;Answers!I1743,G1728&lt;Answers!I1744),"Outlier","Normal")</f>
        <v>Outlier</v>
      </c>
      <c r="M1728" s="18">
        <v>50</v>
      </c>
    </row>
    <row r="1729" spans="1:13" ht="20" customHeight="1" x14ac:dyDescent="0.35">
      <c r="A1729" s="17">
        <v>1152358</v>
      </c>
      <c r="B1729" s="18">
        <v>1098</v>
      </c>
      <c r="C1729" s="23" t="s">
        <v>106</v>
      </c>
      <c r="D1729" s="27">
        <v>45142.057638888888</v>
      </c>
      <c r="E1729" s="18" t="s">
        <v>96</v>
      </c>
      <c r="F1729" s="18" t="s">
        <v>43</v>
      </c>
      <c r="G1729" s="18">
        <v>596</v>
      </c>
      <c r="H1729" s="25">
        <f t="shared" si="104"/>
        <v>45142</v>
      </c>
      <c r="I1729" s="26">
        <f t="shared" si="105"/>
        <v>5.7638888887595385E-2</v>
      </c>
      <c r="J1729" s="18" t="str">
        <f t="shared" si="106"/>
        <v>August</v>
      </c>
      <c r="K1729" s="56" t="str">
        <f t="shared" si="107"/>
        <v>Friday</v>
      </c>
      <c r="L1729" s="18" t="str">
        <f>IF(OR(G1729&gt;Answers!I1744,G1729&lt;Answers!I1745),"Outlier","Normal")</f>
        <v>Outlier</v>
      </c>
      <c r="M1729" s="18">
        <v>31</v>
      </c>
    </row>
    <row r="1730" spans="1:13" ht="20" customHeight="1" x14ac:dyDescent="0.35">
      <c r="A1730" s="17">
        <v>1153425</v>
      </c>
      <c r="B1730" s="18">
        <v>1349</v>
      </c>
      <c r="C1730" s="23" t="s">
        <v>101</v>
      </c>
      <c r="D1730" s="27">
        <v>45112.04583333333</v>
      </c>
      <c r="E1730" s="18" t="s">
        <v>96</v>
      </c>
      <c r="F1730" s="18" t="s">
        <v>27</v>
      </c>
      <c r="G1730" s="18">
        <v>4412</v>
      </c>
      <c r="H1730" s="25">
        <f t="shared" si="104"/>
        <v>45112</v>
      </c>
      <c r="I1730" s="26">
        <f t="shared" si="105"/>
        <v>4.5833333329937886E-2</v>
      </c>
      <c r="J1730" s="18" t="str">
        <f t="shared" si="106"/>
        <v>July</v>
      </c>
      <c r="K1730" s="56" t="str">
        <f t="shared" si="107"/>
        <v>Wednesday</v>
      </c>
      <c r="L1730" s="18" t="str">
        <f>IF(OR(G1730&gt;Answers!I1745,G1730&lt;Answers!I1746),"Outlier","Normal")</f>
        <v>Outlier</v>
      </c>
      <c r="M1730" s="18">
        <v>66</v>
      </c>
    </row>
    <row r="1731" spans="1:13" ht="20" customHeight="1" x14ac:dyDescent="0.35">
      <c r="A1731" s="17">
        <v>1154586</v>
      </c>
      <c r="B1731" s="18">
        <v>1031</v>
      </c>
      <c r="C1731" s="23" t="s">
        <v>101</v>
      </c>
      <c r="D1731" s="27">
        <v>45207.002083333333</v>
      </c>
      <c r="E1731" s="18" t="s">
        <v>133</v>
      </c>
      <c r="F1731" s="18" t="s">
        <v>69</v>
      </c>
      <c r="G1731" s="18">
        <v>5173</v>
      </c>
      <c r="H1731" s="25">
        <f t="shared" ref="H1731:H1794" si="108">INT(D1731)</f>
        <v>45207</v>
      </c>
      <c r="I1731" s="26">
        <f t="shared" ref="I1731:I1794" si="109">MOD(D1731,1)</f>
        <v>2.0833333328482695E-3</v>
      </c>
      <c r="J1731" s="18" t="str">
        <f t="shared" ref="J1731:J1794" si="110">TEXT(D1731,"mmmm")</f>
        <v>October</v>
      </c>
      <c r="K1731" s="56" t="str">
        <f t="shared" ref="K1731:K1794" si="111">TEXT(D1731,"dddd")</f>
        <v>Sunday</v>
      </c>
      <c r="L1731" s="18" t="str">
        <f>IF(OR(G1731&gt;Answers!I1746,G1731&lt;Answers!I1747),"Outlier","Normal")</f>
        <v>Outlier</v>
      </c>
      <c r="M1731" s="18">
        <v>40</v>
      </c>
    </row>
    <row r="1732" spans="1:13" ht="20" customHeight="1" x14ac:dyDescent="0.35">
      <c r="A1732" s="17">
        <v>1155724</v>
      </c>
      <c r="B1732" s="18">
        <v>174</v>
      </c>
      <c r="C1732" s="23" t="s">
        <v>107</v>
      </c>
      <c r="D1732" s="27">
        <v>45091.968055555553</v>
      </c>
      <c r="E1732" s="18" t="s">
        <v>96</v>
      </c>
      <c r="F1732" s="18" t="s">
        <v>43</v>
      </c>
      <c r="G1732" s="18">
        <v>2828</v>
      </c>
      <c r="H1732" s="25">
        <f t="shared" si="108"/>
        <v>45091</v>
      </c>
      <c r="I1732" s="26">
        <f t="shared" si="109"/>
        <v>0.96805555555329192</v>
      </c>
      <c r="J1732" s="18" t="str">
        <f t="shared" si="110"/>
        <v>June</v>
      </c>
      <c r="K1732" s="56" t="str">
        <f t="shared" si="111"/>
        <v>Wednesday</v>
      </c>
      <c r="L1732" s="18" t="str">
        <f>IF(OR(G1732&gt;Answers!I1747,G1732&lt;Answers!I1748),"Outlier","Normal")</f>
        <v>Outlier</v>
      </c>
      <c r="M1732" s="18">
        <v>68</v>
      </c>
    </row>
    <row r="1733" spans="1:13" ht="20" customHeight="1" x14ac:dyDescent="0.35">
      <c r="A1733" s="17">
        <v>1156199</v>
      </c>
      <c r="B1733" s="18">
        <v>179</v>
      </c>
      <c r="C1733" s="23" t="s">
        <v>100</v>
      </c>
      <c r="D1733" s="27">
        <v>45147.007638888892</v>
      </c>
      <c r="E1733" s="18" t="s">
        <v>98</v>
      </c>
      <c r="F1733" s="18" t="s">
        <v>22</v>
      </c>
      <c r="G1733" s="18">
        <v>893</v>
      </c>
      <c r="H1733" s="25">
        <f t="shared" si="108"/>
        <v>45147</v>
      </c>
      <c r="I1733" s="26">
        <f t="shared" si="109"/>
        <v>7.6388888919609599E-3</v>
      </c>
      <c r="J1733" s="18" t="str">
        <f t="shared" si="110"/>
        <v>August</v>
      </c>
      <c r="K1733" s="56" t="str">
        <f t="shared" si="111"/>
        <v>Wednesday</v>
      </c>
      <c r="L1733" s="18" t="str">
        <f>IF(OR(G1733&gt;Answers!I1748,G1733&lt;Answers!I1749),"Outlier","Normal")</f>
        <v>Outlier</v>
      </c>
      <c r="M1733" s="18">
        <v>27</v>
      </c>
    </row>
    <row r="1734" spans="1:13" ht="20" customHeight="1" x14ac:dyDescent="0.35">
      <c r="A1734" s="17">
        <v>1156227</v>
      </c>
      <c r="B1734" s="18">
        <v>1154</v>
      </c>
      <c r="C1734" s="23" t="s">
        <v>105</v>
      </c>
      <c r="D1734" s="27">
        <v>45128.981944444444</v>
      </c>
      <c r="E1734" s="18" t="s">
        <v>133</v>
      </c>
      <c r="F1734" s="18" t="s">
        <v>4</v>
      </c>
      <c r="G1734" s="18">
        <v>2490</v>
      </c>
      <c r="H1734" s="25">
        <f t="shared" si="108"/>
        <v>45128</v>
      </c>
      <c r="I1734" s="26">
        <f t="shared" si="109"/>
        <v>0.98194444444379769</v>
      </c>
      <c r="J1734" s="18" t="str">
        <f t="shared" si="110"/>
        <v>July</v>
      </c>
      <c r="K1734" s="56" t="str">
        <f t="shared" si="111"/>
        <v>Friday</v>
      </c>
      <c r="L1734" s="18" t="str">
        <f>IF(OR(G1734&gt;Answers!I1749,G1734&lt;Answers!I1750),"Outlier","Normal")</f>
        <v>Outlier</v>
      </c>
      <c r="M1734" s="18">
        <v>88</v>
      </c>
    </row>
    <row r="1735" spans="1:13" ht="20" customHeight="1" x14ac:dyDescent="0.35">
      <c r="A1735" s="17">
        <v>1156649</v>
      </c>
      <c r="B1735" s="18">
        <v>1950</v>
      </c>
      <c r="C1735" s="23" t="s">
        <v>106</v>
      </c>
      <c r="D1735" s="27">
        <v>45141.044444444444</v>
      </c>
      <c r="E1735" s="18" t="s">
        <v>98</v>
      </c>
      <c r="F1735" s="18" t="s">
        <v>19</v>
      </c>
      <c r="G1735" s="18">
        <v>2647</v>
      </c>
      <c r="H1735" s="25">
        <f t="shared" si="108"/>
        <v>45141</v>
      </c>
      <c r="I1735" s="26">
        <f t="shared" si="109"/>
        <v>4.4444444443797693E-2</v>
      </c>
      <c r="J1735" s="18" t="str">
        <f t="shared" si="110"/>
        <v>August</v>
      </c>
      <c r="K1735" s="56" t="str">
        <f t="shared" si="111"/>
        <v>Thursday</v>
      </c>
      <c r="L1735" s="18" t="str">
        <f>IF(OR(G1735&gt;Answers!I1750,G1735&lt;Answers!I1751),"Outlier","Normal")</f>
        <v>Outlier</v>
      </c>
      <c r="M1735" s="18">
        <v>87</v>
      </c>
    </row>
    <row r="1736" spans="1:13" ht="20" customHeight="1" x14ac:dyDescent="0.35">
      <c r="A1736" s="17">
        <v>1157103</v>
      </c>
      <c r="B1736" s="18">
        <v>868</v>
      </c>
      <c r="C1736" s="23" t="s">
        <v>110</v>
      </c>
      <c r="D1736" s="27">
        <v>45196.065972222219</v>
      </c>
      <c r="E1736" s="18" t="s">
        <v>133</v>
      </c>
      <c r="F1736" s="18" t="s">
        <v>82</v>
      </c>
      <c r="G1736" s="18">
        <v>6840</v>
      </c>
      <c r="H1736" s="25">
        <f t="shared" si="108"/>
        <v>45196</v>
      </c>
      <c r="I1736" s="26">
        <f t="shared" si="109"/>
        <v>6.5972222218988463E-2</v>
      </c>
      <c r="J1736" s="18" t="str">
        <f t="shared" si="110"/>
        <v>September</v>
      </c>
      <c r="K1736" s="56" t="str">
        <f t="shared" si="111"/>
        <v>Wednesday</v>
      </c>
      <c r="L1736" s="18" t="str">
        <f>IF(OR(G1736&gt;Answers!I1751,G1736&lt;Answers!I1752),"Outlier","Normal")</f>
        <v>Outlier</v>
      </c>
      <c r="M1736" s="18">
        <v>31</v>
      </c>
    </row>
    <row r="1737" spans="1:13" ht="20" customHeight="1" x14ac:dyDescent="0.35">
      <c r="A1737" s="17">
        <v>1158886</v>
      </c>
      <c r="B1737" s="18">
        <v>1479</v>
      </c>
      <c r="C1737" s="23" t="s">
        <v>99</v>
      </c>
      <c r="D1737" s="27">
        <v>45171.03125</v>
      </c>
      <c r="E1737" s="18" t="s">
        <v>98</v>
      </c>
      <c r="F1737" s="18" t="s">
        <v>15</v>
      </c>
      <c r="G1737" s="18">
        <v>3135</v>
      </c>
      <c r="H1737" s="25">
        <f t="shared" si="108"/>
        <v>45171</v>
      </c>
      <c r="I1737" s="26">
        <f t="shared" si="109"/>
        <v>3.125E-2</v>
      </c>
      <c r="J1737" s="18" t="str">
        <f t="shared" si="110"/>
        <v>September</v>
      </c>
      <c r="K1737" s="56" t="str">
        <f t="shared" si="111"/>
        <v>Saturday</v>
      </c>
      <c r="L1737" s="18" t="str">
        <f>IF(OR(G1737&gt;Answers!I1752,G1737&lt;Answers!I1753),"Outlier","Normal")</f>
        <v>Outlier</v>
      </c>
      <c r="M1737" s="18">
        <v>87</v>
      </c>
    </row>
    <row r="1738" spans="1:13" ht="20" customHeight="1" x14ac:dyDescent="0.35">
      <c r="A1738" s="17">
        <v>1159317</v>
      </c>
      <c r="B1738" s="18">
        <v>997</v>
      </c>
      <c r="C1738" s="23" t="s">
        <v>113</v>
      </c>
      <c r="D1738" s="27">
        <v>45266.033333333333</v>
      </c>
      <c r="E1738" s="18" t="s">
        <v>96</v>
      </c>
      <c r="F1738" s="18" t="s">
        <v>43</v>
      </c>
      <c r="G1738" s="18">
        <v>9148</v>
      </c>
      <c r="H1738" s="25">
        <f t="shared" si="108"/>
        <v>45266</v>
      </c>
      <c r="I1738" s="26">
        <f t="shared" si="109"/>
        <v>3.3333333332848269E-2</v>
      </c>
      <c r="J1738" s="18" t="str">
        <f t="shared" si="110"/>
        <v>December</v>
      </c>
      <c r="K1738" s="56" t="str">
        <f t="shared" si="111"/>
        <v>Wednesday</v>
      </c>
      <c r="L1738" s="18" t="str">
        <f>IF(OR(G1738&gt;Answers!I1753,G1738&lt;Answers!I1754),"Outlier","Normal")</f>
        <v>Outlier</v>
      </c>
      <c r="M1738" s="18">
        <v>58</v>
      </c>
    </row>
    <row r="1739" spans="1:13" ht="20" customHeight="1" x14ac:dyDescent="0.35">
      <c r="A1739" s="17">
        <v>1160516</v>
      </c>
      <c r="B1739" s="18">
        <v>1958</v>
      </c>
      <c r="C1739" s="23" t="s">
        <v>111</v>
      </c>
      <c r="D1739" s="27">
        <v>45139.004166666666</v>
      </c>
      <c r="E1739" s="18" t="s">
        <v>97</v>
      </c>
      <c r="F1739" s="18" t="s">
        <v>78</v>
      </c>
      <c r="G1739" s="18">
        <v>3233</v>
      </c>
      <c r="H1739" s="25">
        <f t="shared" si="108"/>
        <v>45139</v>
      </c>
      <c r="I1739" s="26">
        <f t="shared" si="109"/>
        <v>4.166666665696539E-3</v>
      </c>
      <c r="J1739" s="18" t="str">
        <f t="shared" si="110"/>
        <v>August</v>
      </c>
      <c r="K1739" s="56" t="str">
        <f t="shared" si="111"/>
        <v>Tuesday</v>
      </c>
      <c r="L1739" s="18" t="str">
        <f>IF(OR(G1739&gt;Answers!I1754,G1739&lt;Answers!I1755),"Outlier","Normal")</f>
        <v>Outlier</v>
      </c>
      <c r="M1739" s="18">
        <v>23</v>
      </c>
    </row>
    <row r="1740" spans="1:13" ht="20" customHeight="1" x14ac:dyDescent="0.35">
      <c r="A1740" s="17">
        <v>1160613</v>
      </c>
      <c r="B1740" s="18">
        <v>1990</v>
      </c>
      <c r="C1740" s="23" t="s">
        <v>99</v>
      </c>
      <c r="D1740" s="27">
        <v>45282.051388888889</v>
      </c>
      <c r="E1740" s="18" t="s">
        <v>96</v>
      </c>
      <c r="F1740" s="18" t="s">
        <v>27</v>
      </c>
      <c r="G1740" s="18">
        <v>8077</v>
      </c>
      <c r="H1740" s="25">
        <f t="shared" si="108"/>
        <v>45282</v>
      </c>
      <c r="I1740" s="26">
        <f t="shared" si="109"/>
        <v>5.1388888889050577E-2</v>
      </c>
      <c r="J1740" s="18" t="str">
        <f t="shared" si="110"/>
        <v>December</v>
      </c>
      <c r="K1740" s="56" t="str">
        <f t="shared" si="111"/>
        <v>Friday</v>
      </c>
      <c r="L1740" s="18" t="str">
        <f>IF(OR(G1740&gt;Answers!I1755,G1740&lt;Answers!I1756),"Outlier","Normal")</f>
        <v>Outlier</v>
      </c>
      <c r="M1740" s="18">
        <v>89</v>
      </c>
    </row>
    <row r="1741" spans="1:13" ht="20" customHeight="1" x14ac:dyDescent="0.35">
      <c r="A1741" s="17">
        <v>1162071</v>
      </c>
      <c r="B1741" s="18">
        <v>1920</v>
      </c>
      <c r="C1741" s="23" t="s">
        <v>99</v>
      </c>
      <c r="D1741" s="27">
        <v>45103.067361111112</v>
      </c>
      <c r="E1741" s="18" t="s">
        <v>133</v>
      </c>
      <c r="F1741" s="18" t="s">
        <v>43</v>
      </c>
      <c r="G1741" s="18">
        <v>2237</v>
      </c>
      <c r="H1741" s="25">
        <f t="shared" si="108"/>
        <v>45103</v>
      </c>
      <c r="I1741" s="26">
        <f t="shared" si="109"/>
        <v>6.7361111112404615E-2</v>
      </c>
      <c r="J1741" s="18" t="str">
        <f t="shared" si="110"/>
        <v>June</v>
      </c>
      <c r="K1741" s="56" t="str">
        <f t="shared" si="111"/>
        <v>Monday</v>
      </c>
      <c r="L1741" s="18" t="str">
        <f>IF(OR(G1741&gt;Answers!I1756,G1741&lt;Answers!I1757),"Outlier","Normal")</f>
        <v>Outlier</v>
      </c>
      <c r="M1741" s="18">
        <v>43</v>
      </c>
    </row>
    <row r="1742" spans="1:13" ht="20" customHeight="1" x14ac:dyDescent="0.35">
      <c r="A1742" s="17">
        <v>1162786</v>
      </c>
      <c r="B1742" s="18">
        <v>1923</v>
      </c>
      <c r="C1742" s="23" t="s">
        <v>107</v>
      </c>
      <c r="D1742" s="27">
        <v>45032.938194444447</v>
      </c>
      <c r="E1742" s="18" t="s">
        <v>98</v>
      </c>
      <c r="F1742" s="18" t="s">
        <v>27</v>
      </c>
      <c r="G1742" s="18">
        <v>3405</v>
      </c>
      <c r="H1742" s="25">
        <f t="shared" si="108"/>
        <v>45032</v>
      </c>
      <c r="I1742" s="26">
        <f t="shared" si="109"/>
        <v>0.93819444444670808</v>
      </c>
      <c r="J1742" s="18" t="str">
        <f t="shared" si="110"/>
        <v>April</v>
      </c>
      <c r="K1742" s="56" t="str">
        <f t="shared" si="111"/>
        <v>Sunday</v>
      </c>
      <c r="L1742" s="18" t="str">
        <f>IF(OR(G1742&gt;Answers!I1757,G1742&lt;Answers!I1758),"Outlier","Normal")</f>
        <v>Outlier</v>
      </c>
      <c r="M1742" s="18">
        <v>29</v>
      </c>
    </row>
    <row r="1743" spans="1:13" ht="20" customHeight="1" x14ac:dyDescent="0.35">
      <c r="A1743" s="17">
        <v>1162801</v>
      </c>
      <c r="B1743" s="18">
        <v>1177</v>
      </c>
      <c r="C1743" s="23" t="s">
        <v>108</v>
      </c>
      <c r="D1743" s="27">
        <v>45048.0625</v>
      </c>
      <c r="E1743" s="18" t="s">
        <v>96</v>
      </c>
      <c r="F1743" s="18" t="s">
        <v>27</v>
      </c>
      <c r="G1743" s="18">
        <v>8149</v>
      </c>
      <c r="H1743" s="25">
        <f t="shared" si="108"/>
        <v>45048</v>
      </c>
      <c r="I1743" s="26">
        <f t="shared" si="109"/>
        <v>6.25E-2</v>
      </c>
      <c r="J1743" s="18" t="str">
        <f t="shared" si="110"/>
        <v>May</v>
      </c>
      <c r="K1743" s="56" t="str">
        <f t="shared" si="111"/>
        <v>Tuesday</v>
      </c>
      <c r="L1743" s="18" t="str">
        <f>IF(OR(G1743&gt;Answers!I1758,G1743&lt;Answers!I1759),"Outlier","Normal")</f>
        <v>Outlier</v>
      </c>
      <c r="M1743" s="18">
        <v>90</v>
      </c>
    </row>
    <row r="1744" spans="1:13" ht="20" customHeight="1" x14ac:dyDescent="0.35">
      <c r="A1744" s="17">
        <v>1162874</v>
      </c>
      <c r="B1744" s="18">
        <v>1403</v>
      </c>
      <c r="C1744" s="23" t="s">
        <v>99</v>
      </c>
      <c r="D1744" s="27">
        <v>45085.954861111109</v>
      </c>
      <c r="E1744" s="18" t="s">
        <v>133</v>
      </c>
      <c r="F1744" s="18" t="s">
        <v>27</v>
      </c>
      <c r="G1744" s="18">
        <v>2610</v>
      </c>
      <c r="H1744" s="25">
        <f t="shared" si="108"/>
        <v>45085</v>
      </c>
      <c r="I1744" s="26">
        <f t="shared" si="109"/>
        <v>0.95486111110949423</v>
      </c>
      <c r="J1744" s="18" t="str">
        <f t="shared" si="110"/>
        <v>June</v>
      </c>
      <c r="K1744" s="56" t="str">
        <f t="shared" si="111"/>
        <v>Thursday</v>
      </c>
      <c r="L1744" s="18" t="str">
        <f>IF(OR(G1744&gt;Answers!I1759,G1744&lt;Answers!I1760),"Outlier","Normal")</f>
        <v>Outlier</v>
      </c>
      <c r="M1744" s="18">
        <v>81</v>
      </c>
    </row>
    <row r="1745" spans="1:13" ht="20" customHeight="1" x14ac:dyDescent="0.35">
      <c r="A1745" s="17">
        <v>1163316</v>
      </c>
      <c r="B1745" s="18">
        <v>863</v>
      </c>
      <c r="C1745" s="23" t="s">
        <v>111</v>
      </c>
      <c r="D1745" s="27">
        <v>44959.020833333336</v>
      </c>
      <c r="E1745" s="18" t="s">
        <v>98</v>
      </c>
      <c r="F1745" s="18" t="s">
        <v>18</v>
      </c>
      <c r="G1745" s="18">
        <v>5671</v>
      </c>
      <c r="H1745" s="25">
        <f t="shared" si="108"/>
        <v>44959</v>
      </c>
      <c r="I1745" s="26">
        <f t="shared" si="109"/>
        <v>2.0833333335758653E-2</v>
      </c>
      <c r="J1745" s="18" t="str">
        <f t="shared" si="110"/>
        <v>February</v>
      </c>
      <c r="K1745" s="56" t="str">
        <f t="shared" si="111"/>
        <v>Thursday</v>
      </c>
      <c r="L1745" s="18" t="str">
        <f>IF(OR(G1745&gt;Answers!I1760,G1745&lt;Answers!I1761),"Outlier","Normal")</f>
        <v>Outlier</v>
      </c>
      <c r="M1745" s="18">
        <v>63</v>
      </c>
    </row>
    <row r="1746" spans="1:13" ht="20" customHeight="1" x14ac:dyDescent="0.35">
      <c r="A1746" s="17">
        <v>1163648</v>
      </c>
      <c r="B1746" s="18">
        <v>958</v>
      </c>
      <c r="C1746" s="23" t="s">
        <v>99</v>
      </c>
      <c r="D1746" s="27">
        <v>44987.039583333331</v>
      </c>
      <c r="E1746" s="18" t="s">
        <v>97</v>
      </c>
      <c r="F1746" s="18" t="s">
        <v>90</v>
      </c>
      <c r="G1746" s="18">
        <v>9428</v>
      </c>
      <c r="H1746" s="25">
        <f t="shared" si="108"/>
        <v>44987</v>
      </c>
      <c r="I1746" s="26">
        <f t="shared" si="109"/>
        <v>3.9583333331393078E-2</v>
      </c>
      <c r="J1746" s="18" t="str">
        <f t="shared" si="110"/>
        <v>March</v>
      </c>
      <c r="K1746" s="56" t="str">
        <f t="shared" si="111"/>
        <v>Thursday</v>
      </c>
      <c r="L1746" s="18" t="str">
        <f>IF(OR(G1746&gt;Answers!I1761,G1746&lt;Answers!I1762),"Outlier","Normal")</f>
        <v>Outlier</v>
      </c>
      <c r="M1746" s="18">
        <v>89</v>
      </c>
    </row>
    <row r="1747" spans="1:13" ht="20" customHeight="1" x14ac:dyDescent="0.35">
      <c r="A1747" s="17">
        <v>1163680</v>
      </c>
      <c r="B1747" s="18">
        <v>485</v>
      </c>
      <c r="C1747" s="23" t="s">
        <v>100</v>
      </c>
      <c r="D1747" s="27">
        <v>45011.024305555555</v>
      </c>
      <c r="E1747" s="18" t="s">
        <v>97</v>
      </c>
      <c r="F1747" s="18" t="s">
        <v>23</v>
      </c>
      <c r="G1747" s="18">
        <v>890</v>
      </c>
      <c r="H1747" s="25">
        <f t="shared" si="108"/>
        <v>45011</v>
      </c>
      <c r="I1747" s="26">
        <f t="shared" si="109"/>
        <v>2.4305555554747116E-2</v>
      </c>
      <c r="J1747" s="18" t="str">
        <f t="shared" si="110"/>
        <v>March</v>
      </c>
      <c r="K1747" s="56" t="str">
        <f t="shared" si="111"/>
        <v>Sunday</v>
      </c>
      <c r="L1747" s="18" t="str">
        <f>IF(OR(G1747&gt;Answers!I1762,G1747&lt;Answers!I1763),"Outlier","Normal")</f>
        <v>Outlier</v>
      </c>
      <c r="M1747" s="18">
        <v>19</v>
      </c>
    </row>
    <row r="1748" spans="1:13" ht="20" customHeight="1" x14ac:dyDescent="0.35">
      <c r="A1748" s="17">
        <v>1164686</v>
      </c>
      <c r="B1748" s="18">
        <v>393</v>
      </c>
      <c r="C1748" s="23" t="s">
        <v>113</v>
      </c>
      <c r="D1748" s="27">
        <v>45289.06527777778</v>
      </c>
      <c r="E1748" s="18" t="s">
        <v>96</v>
      </c>
      <c r="F1748" s="18" t="s">
        <v>92</v>
      </c>
      <c r="G1748" s="18">
        <v>1148</v>
      </c>
      <c r="H1748" s="25">
        <f t="shared" si="108"/>
        <v>45289</v>
      </c>
      <c r="I1748" s="26">
        <f t="shared" si="109"/>
        <v>6.5277777779556345E-2</v>
      </c>
      <c r="J1748" s="18" t="str">
        <f t="shared" si="110"/>
        <v>December</v>
      </c>
      <c r="K1748" s="56" t="str">
        <f t="shared" si="111"/>
        <v>Friday</v>
      </c>
      <c r="L1748" s="18" t="str">
        <f>IF(OR(G1748&gt;Answers!I1763,G1748&lt;Answers!I1764),"Outlier","Normal")</f>
        <v>Outlier</v>
      </c>
      <c r="M1748" s="18">
        <v>19</v>
      </c>
    </row>
    <row r="1749" spans="1:13" ht="20" customHeight="1" x14ac:dyDescent="0.35">
      <c r="A1749" s="17">
        <v>1164859</v>
      </c>
      <c r="B1749" s="18">
        <v>1620</v>
      </c>
      <c r="C1749" s="23" t="s">
        <v>99</v>
      </c>
      <c r="D1749" s="27">
        <v>45022.943749999999</v>
      </c>
      <c r="E1749" s="18" t="s">
        <v>133</v>
      </c>
      <c r="F1749" s="18" t="s">
        <v>54</v>
      </c>
      <c r="G1749" s="18">
        <v>7286</v>
      </c>
      <c r="H1749" s="25">
        <f t="shared" si="108"/>
        <v>45022</v>
      </c>
      <c r="I1749" s="26">
        <f t="shared" si="109"/>
        <v>0.94374999999854481</v>
      </c>
      <c r="J1749" s="18" t="str">
        <f t="shared" si="110"/>
        <v>April</v>
      </c>
      <c r="K1749" s="56" t="str">
        <f t="shared" si="111"/>
        <v>Thursday</v>
      </c>
      <c r="L1749" s="18" t="str">
        <f>IF(OR(G1749&gt;Answers!I1764,G1749&lt;Answers!I1765),"Outlier","Normal")</f>
        <v>Outlier</v>
      </c>
      <c r="M1749" s="18">
        <v>61</v>
      </c>
    </row>
    <row r="1750" spans="1:13" ht="20" customHeight="1" x14ac:dyDescent="0.35">
      <c r="A1750" s="17">
        <v>1165044</v>
      </c>
      <c r="B1750" s="18">
        <v>1562</v>
      </c>
      <c r="C1750" s="23" t="s">
        <v>105</v>
      </c>
      <c r="D1750" s="27">
        <v>45008.029861111114</v>
      </c>
      <c r="E1750" s="18" t="s">
        <v>133</v>
      </c>
      <c r="F1750" s="18" t="s">
        <v>20</v>
      </c>
      <c r="G1750" s="18">
        <v>8271</v>
      </c>
      <c r="H1750" s="25">
        <f t="shared" si="108"/>
        <v>45008</v>
      </c>
      <c r="I1750" s="26">
        <f t="shared" si="109"/>
        <v>2.9861111113859806E-2</v>
      </c>
      <c r="J1750" s="18" t="str">
        <f t="shared" si="110"/>
        <v>March</v>
      </c>
      <c r="K1750" s="56" t="str">
        <f t="shared" si="111"/>
        <v>Thursday</v>
      </c>
      <c r="L1750" s="18" t="str">
        <f>IF(OR(G1750&gt;Answers!I1765,G1750&lt;Answers!I1766),"Outlier","Normal")</f>
        <v>Outlier</v>
      </c>
      <c r="M1750" s="18">
        <v>20</v>
      </c>
    </row>
    <row r="1751" spans="1:13" ht="20" customHeight="1" x14ac:dyDescent="0.35">
      <c r="A1751" s="17">
        <v>1165350</v>
      </c>
      <c r="B1751" s="18">
        <v>1526</v>
      </c>
      <c r="C1751" s="23" t="s">
        <v>99</v>
      </c>
      <c r="D1751" s="27">
        <v>45176.04791666667</v>
      </c>
      <c r="E1751" s="18" t="s">
        <v>98</v>
      </c>
      <c r="F1751" s="18" t="s">
        <v>41</v>
      </c>
      <c r="G1751" s="18">
        <v>4870</v>
      </c>
      <c r="H1751" s="25">
        <f t="shared" si="108"/>
        <v>45176</v>
      </c>
      <c r="I1751" s="26">
        <f t="shared" si="109"/>
        <v>4.7916666670062114E-2</v>
      </c>
      <c r="J1751" s="18" t="str">
        <f t="shared" si="110"/>
        <v>September</v>
      </c>
      <c r="K1751" s="56" t="str">
        <f t="shared" si="111"/>
        <v>Thursday</v>
      </c>
      <c r="L1751" s="18" t="str">
        <f>IF(OR(G1751&gt;Answers!I1766,G1751&lt;Answers!I1767),"Outlier","Normal")</f>
        <v>Outlier</v>
      </c>
      <c r="M1751" s="18">
        <v>50</v>
      </c>
    </row>
    <row r="1752" spans="1:13" ht="20" customHeight="1" x14ac:dyDescent="0.35">
      <c r="A1752" s="17">
        <v>1165475</v>
      </c>
      <c r="B1752" s="18">
        <v>713</v>
      </c>
      <c r="C1752" s="23" t="s">
        <v>102</v>
      </c>
      <c r="D1752" s="27">
        <v>45231.97152777778</v>
      </c>
      <c r="E1752" s="18" t="s">
        <v>98</v>
      </c>
      <c r="F1752" s="18" t="s">
        <v>55</v>
      </c>
      <c r="G1752" s="18">
        <v>4856</v>
      </c>
      <c r="H1752" s="25">
        <f t="shared" si="108"/>
        <v>45231</v>
      </c>
      <c r="I1752" s="26">
        <f t="shared" si="109"/>
        <v>0.97152777777955635</v>
      </c>
      <c r="J1752" s="18" t="str">
        <f t="shared" si="110"/>
        <v>November</v>
      </c>
      <c r="K1752" s="56" t="str">
        <f t="shared" si="111"/>
        <v>Wednesday</v>
      </c>
      <c r="L1752" s="18" t="str">
        <f>IF(OR(G1752&gt;Answers!I1767,G1752&lt;Answers!I1768),"Outlier","Normal")</f>
        <v>Outlier</v>
      </c>
      <c r="M1752" s="18">
        <v>89</v>
      </c>
    </row>
    <row r="1753" spans="1:13" ht="20" customHeight="1" x14ac:dyDescent="0.35">
      <c r="A1753" s="17">
        <v>1165654</v>
      </c>
      <c r="B1753" s="18">
        <v>454</v>
      </c>
      <c r="C1753" s="23" t="s">
        <v>99</v>
      </c>
      <c r="D1753" s="27">
        <v>45226.975694444445</v>
      </c>
      <c r="E1753" s="18" t="s">
        <v>98</v>
      </c>
      <c r="F1753" s="18" t="s">
        <v>56</v>
      </c>
      <c r="G1753" s="18">
        <v>7755</v>
      </c>
      <c r="H1753" s="25">
        <f t="shared" si="108"/>
        <v>45226</v>
      </c>
      <c r="I1753" s="26">
        <f t="shared" si="109"/>
        <v>0.97569444444525288</v>
      </c>
      <c r="J1753" s="18" t="str">
        <f t="shared" si="110"/>
        <v>October</v>
      </c>
      <c r="K1753" s="56" t="str">
        <f t="shared" si="111"/>
        <v>Friday</v>
      </c>
      <c r="L1753" s="18" t="str">
        <f>IF(OR(G1753&gt;Answers!I1768,G1753&lt;Answers!I1769),"Outlier","Normal")</f>
        <v>Outlier</v>
      </c>
      <c r="M1753" s="18">
        <v>37</v>
      </c>
    </row>
    <row r="1754" spans="1:13" ht="20" customHeight="1" x14ac:dyDescent="0.35">
      <c r="A1754" s="17">
        <v>1165962</v>
      </c>
      <c r="B1754" s="18">
        <v>53</v>
      </c>
      <c r="C1754" s="23" t="s">
        <v>107</v>
      </c>
      <c r="D1754" s="27">
        <v>45290.990277777775</v>
      </c>
      <c r="E1754" s="18" t="s">
        <v>98</v>
      </c>
      <c r="F1754" s="18" t="s">
        <v>70</v>
      </c>
      <c r="G1754" s="18">
        <v>9977</v>
      </c>
      <c r="H1754" s="25">
        <f t="shared" si="108"/>
        <v>45290</v>
      </c>
      <c r="I1754" s="26">
        <f t="shared" si="109"/>
        <v>0.99027777777519077</v>
      </c>
      <c r="J1754" s="18" t="str">
        <f t="shared" si="110"/>
        <v>December</v>
      </c>
      <c r="K1754" s="56" t="str">
        <f t="shared" si="111"/>
        <v>Saturday</v>
      </c>
      <c r="L1754" s="18" t="str">
        <f>IF(OR(G1754&gt;Answers!I1769,G1754&lt;Answers!I1770),"Outlier","Normal")</f>
        <v>Outlier</v>
      </c>
      <c r="M1754" s="18">
        <v>62</v>
      </c>
    </row>
    <row r="1755" spans="1:13" ht="20" customHeight="1" x14ac:dyDescent="0.35">
      <c r="A1755" s="17">
        <v>1166621</v>
      </c>
      <c r="B1755" s="18">
        <v>1789</v>
      </c>
      <c r="C1755" s="23" t="s">
        <v>109</v>
      </c>
      <c r="D1755" s="27">
        <v>45118.006249999999</v>
      </c>
      <c r="E1755" s="18" t="s">
        <v>96</v>
      </c>
      <c r="F1755" s="18" t="s">
        <v>58</v>
      </c>
      <c r="G1755" s="18">
        <v>2664</v>
      </c>
      <c r="H1755" s="25">
        <f t="shared" si="108"/>
        <v>45118</v>
      </c>
      <c r="I1755" s="26">
        <f t="shared" si="109"/>
        <v>6.2499999985448085E-3</v>
      </c>
      <c r="J1755" s="18" t="str">
        <f t="shared" si="110"/>
        <v>July</v>
      </c>
      <c r="K1755" s="56" t="str">
        <f t="shared" si="111"/>
        <v>Tuesday</v>
      </c>
      <c r="L1755" s="18" t="str">
        <f>IF(OR(G1755&gt;Answers!I1770,G1755&lt;Answers!I1771),"Outlier","Normal")</f>
        <v>Outlier</v>
      </c>
      <c r="M1755" s="18">
        <v>35</v>
      </c>
    </row>
    <row r="1756" spans="1:13" ht="20" customHeight="1" x14ac:dyDescent="0.35">
      <c r="A1756" s="17">
        <v>1166715</v>
      </c>
      <c r="B1756" s="18">
        <v>337</v>
      </c>
      <c r="C1756" s="23" t="s">
        <v>106</v>
      </c>
      <c r="D1756" s="27">
        <v>45056.010416666664</v>
      </c>
      <c r="E1756" s="18" t="s">
        <v>98</v>
      </c>
      <c r="F1756" s="18" t="s">
        <v>59</v>
      </c>
      <c r="G1756" s="18">
        <v>8874</v>
      </c>
      <c r="H1756" s="25">
        <f t="shared" si="108"/>
        <v>45056</v>
      </c>
      <c r="I1756" s="26">
        <f t="shared" si="109"/>
        <v>1.0416666664241347E-2</v>
      </c>
      <c r="J1756" s="18" t="str">
        <f t="shared" si="110"/>
        <v>May</v>
      </c>
      <c r="K1756" s="56" t="str">
        <f t="shared" si="111"/>
        <v>Wednesday</v>
      </c>
      <c r="L1756" s="18" t="str">
        <f>IF(OR(G1756&gt;Answers!I1771,G1756&lt;Answers!I1772),"Outlier","Normal")</f>
        <v>Outlier</v>
      </c>
      <c r="M1756" s="18">
        <v>58</v>
      </c>
    </row>
    <row r="1757" spans="1:13" ht="20" customHeight="1" x14ac:dyDescent="0.35">
      <c r="A1757" s="17">
        <v>1168908</v>
      </c>
      <c r="B1757" s="18">
        <v>982</v>
      </c>
      <c r="C1757" s="23" t="s">
        <v>99</v>
      </c>
      <c r="D1757" s="27">
        <v>45215.05</v>
      </c>
      <c r="E1757" s="18" t="s">
        <v>133</v>
      </c>
      <c r="F1757" s="18" t="s">
        <v>37</v>
      </c>
      <c r="G1757" s="18">
        <v>6598</v>
      </c>
      <c r="H1757" s="25">
        <f t="shared" si="108"/>
        <v>45215</v>
      </c>
      <c r="I1757" s="26">
        <f t="shared" si="109"/>
        <v>5.0000000002910383E-2</v>
      </c>
      <c r="J1757" s="18" t="str">
        <f t="shared" si="110"/>
        <v>October</v>
      </c>
      <c r="K1757" s="56" t="str">
        <f t="shared" si="111"/>
        <v>Monday</v>
      </c>
      <c r="L1757" s="18" t="str">
        <f>IF(OR(G1757&gt;Answers!I1772,G1757&lt;Answers!I1773),"Outlier","Normal")</f>
        <v>Outlier</v>
      </c>
      <c r="M1757" s="18">
        <v>35</v>
      </c>
    </row>
    <row r="1758" spans="1:13" ht="20" customHeight="1" x14ac:dyDescent="0.35">
      <c r="A1758" s="17">
        <v>1169043</v>
      </c>
      <c r="B1758" s="18">
        <v>189</v>
      </c>
      <c r="C1758" s="23" t="s">
        <v>99</v>
      </c>
      <c r="D1758" s="27">
        <v>45102.01666666667</v>
      </c>
      <c r="E1758" s="18" t="s">
        <v>133</v>
      </c>
      <c r="F1758" s="18" t="s">
        <v>27</v>
      </c>
      <c r="G1758" s="18">
        <v>6955</v>
      </c>
      <c r="H1758" s="25">
        <f t="shared" si="108"/>
        <v>45102</v>
      </c>
      <c r="I1758" s="26">
        <f t="shared" si="109"/>
        <v>1.6666666670062114E-2</v>
      </c>
      <c r="J1758" s="18" t="str">
        <f t="shared" si="110"/>
        <v>June</v>
      </c>
      <c r="K1758" s="56" t="str">
        <f t="shared" si="111"/>
        <v>Sunday</v>
      </c>
      <c r="L1758" s="18" t="str">
        <f>IF(OR(G1758&gt;Answers!I1773,G1758&lt;Answers!I1774),"Outlier","Normal")</f>
        <v>Outlier</v>
      </c>
      <c r="M1758" s="18">
        <v>59</v>
      </c>
    </row>
    <row r="1759" spans="1:13" ht="20" customHeight="1" x14ac:dyDescent="0.35">
      <c r="A1759" s="17">
        <v>1170043</v>
      </c>
      <c r="B1759" s="18">
        <v>950</v>
      </c>
      <c r="C1759" s="23" t="s">
        <v>100</v>
      </c>
      <c r="D1759" s="27">
        <v>45250.070833333331</v>
      </c>
      <c r="E1759" s="18" t="s">
        <v>96</v>
      </c>
      <c r="F1759" s="18" t="s">
        <v>45</v>
      </c>
      <c r="G1759" s="18">
        <v>6767</v>
      </c>
      <c r="H1759" s="25">
        <f t="shared" si="108"/>
        <v>45250</v>
      </c>
      <c r="I1759" s="26">
        <f t="shared" si="109"/>
        <v>7.0833333331393078E-2</v>
      </c>
      <c r="J1759" s="18" t="str">
        <f t="shared" si="110"/>
        <v>November</v>
      </c>
      <c r="K1759" s="56" t="str">
        <f t="shared" si="111"/>
        <v>Monday</v>
      </c>
      <c r="L1759" s="18" t="str">
        <f>IF(OR(G1759&gt;Answers!I1774,G1759&lt;Answers!I1775),"Outlier","Normal")</f>
        <v>Outlier</v>
      </c>
      <c r="M1759" s="18">
        <v>72</v>
      </c>
    </row>
    <row r="1760" spans="1:13" ht="20" customHeight="1" x14ac:dyDescent="0.35">
      <c r="A1760" s="17">
        <v>1171504</v>
      </c>
      <c r="B1760" s="18">
        <v>853</v>
      </c>
      <c r="C1760" s="23" t="s">
        <v>99</v>
      </c>
      <c r="D1760" s="27">
        <v>45053.015972222223</v>
      </c>
      <c r="E1760" s="18" t="s">
        <v>98</v>
      </c>
      <c r="F1760" s="18" t="s">
        <v>89</v>
      </c>
      <c r="G1760" s="18">
        <v>4396</v>
      </c>
      <c r="H1760" s="25">
        <f t="shared" si="108"/>
        <v>45053</v>
      </c>
      <c r="I1760" s="26">
        <f t="shared" si="109"/>
        <v>1.5972222223354038E-2</v>
      </c>
      <c r="J1760" s="18" t="str">
        <f t="shared" si="110"/>
        <v>May</v>
      </c>
      <c r="K1760" s="56" t="str">
        <f t="shared" si="111"/>
        <v>Sunday</v>
      </c>
      <c r="L1760" s="18" t="str">
        <f>IF(OR(G1760&gt;Answers!I1775,G1760&lt;Answers!I1776),"Outlier","Normal")</f>
        <v>Outlier</v>
      </c>
      <c r="M1760" s="18">
        <v>57</v>
      </c>
    </row>
    <row r="1761" spans="1:13" ht="20" customHeight="1" x14ac:dyDescent="0.35">
      <c r="A1761" s="17">
        <v>1171525</v>
      </c>
      <c r="B1761" s="18">
        <v>602</v>
      </c>
      <c r="C1761" s="23" t="s">
        <v>104</v>
      </c>
      <c r="D1761" s="27">
        <v>44988.992361111108</v>
      </c>
      <c r="E1761" s="18" t="s">
        <v>96</v>
      </c>
      <c r="F1761" s="18" t="s">
        <v>93</v>
      </c>
      <c r="G1761" s="18">
        <v>849</v>
      </c>
      <c r="H1761" s="25">
        <f t="shared" si="108"/>
        <v>44988</v>
      </c>
      <c r="I1761" s="26">
        <f t="shared" si="109"/>
        <v>0.99236111110803904</v>
      </c>
      <c r="J1761" s="18" t="str">
        <f t="shared" si="110"/>
        <v>March</v>
      </c>
      <c r="K1761" s="56" t="str">
        <f t="shared" si="111"/>
        <v>Friday</v>
      </c>
      <c r="L1761" s="18" t="str">
        <f>IF(OR(G1761&gt;Answers!I1776,G1761&lt;Answers!I1777),"Outlier","Normal")</f>
        <v>Outlier</v>
      </c>
      <c r="M1761" s="18">
        <v>24</v>
      </c>
    </row>
    <row r="1762" spans="1:13" ht="20" customHeight="1" x14ac:dyDescent="0.35">
      <c r="A1762" s="17">
        <v>1173348</v>
      </c>
      <c r="B1762" s="18">
        <v>1068</v>
      </c>
      <c r="C1762" s="23" t="s">
        <v>105</v>
      </c>
      <c r="D1762" s="27">
        <v>45277.053472222222</v>
      </c>
      <c r="E1762" s="18" t="s">
        <v>97</v>
      </c>
      <c r="F1762" s="18" t="s">
        <v>33</v>
      </c>
      <c r="G1762" s="18">
        <v>8654</v>
      </c>
      <c r="H1762" s="25">
        <f t="shared" si="108"/>
        <v>45277</v>
      </c>
      <c r="I1762" s="26">
        <f t="shared" si="109"/>
        <v>5.3472222221898846E-2</v>
      </c>
      <c r="J1762" s="18" t="str">
        <f t="shared" si="110"/>
        <v>December</v>
      </c>
      <c r="K1762" s="56" t="str">
        <f t="shared" si="111"/>
        <v>Sunday</v>
      </c>
      <c r="L1762" s="18" t="str">
        <f>IF(OR(G1762&gt;Answers!I1777,G1762&lt;Answers!I1778),"Outlier","Normal")</f>
        <v>Outlier</v>
      </c>
      <c r="M1762" s="18">
        <v>56</v>
      </c>
    </row>
    <row r="1763" spans="1:13" ht="20" customHeight="1" x14ac:dyDescent="0.35">
      <c r="A1763" s="17">
        <v>1173471</v>
      </c>
      <c r="B1763" s="18">
        <v>1979</v>
      </c>
      <c r="C1763" s="23" t="s">
        <v>102</v>
      </c>
      <c r="D1763" s="27">
        <v>45158.083333333336</v>
      </c>
      <c r="E1763" s="18" t="s">
        <v>96</v>
      </c>
      <c r="F1763" s="18" t="s">
        <v>63</v>
      </c>
      <c r="G1763" s="18">
        <v>7703</v>
      </c>
      <c r="H1763" s="25">
        <f t="shared" si="108"/>
        <v>45158</v>
      </c>
      <c r="I1763" s="26">
        <f t="shared" si="109"/>
        <v>8.3333333335758653E-2</v>
      </c>
      <c r="J1763" s="18" t="str">
        <f t="shared" si="110"/>
        <v>August</v>
      </c>
      <c r="K1763" s="56" t="str">
        <f t="shared" si="111"/>
        <v>Sunday</v>
      </c>
      <c r="L1763" s="18" t="str">
        <f>IF(OR(G1763&gt;Answers!I1778,G1763&lt;Answers!I1779),"Outlier","Normal")</f>
        <v>Outlier</v>
      </c>
      <c r="M1763" s="18">
        <v>21</v>
      </c>
    </row>
    <row r="1764" spans="1:13" ht="20" customHeight="1" x14ac:dyDescent="0.35">
      <c r="A1764" s="17">
        <v>1175258</v>
      </c>
      <c r="B1764" s="18">
        <v>1643</v>
      </c>
      <c r="C1764" s="23" t="s">
        <v>101</v>
      </c>
      <c r="D1764" s="27">
        <v>45137.035416666666</v>
      </c>
      <c r="E1764" s="18" t="s">
        <v>97</v>
      </c>
      <c r="F1764" s="18" t="s">
        <v>90</v>
      </c>
      <c r="G1764" s="18">
        <v>6538</v>
      </c>
      <c r="H1764" s="25">
        <f t="shared" si="108"/>
        <v>45137</v>
      </c>
      <c r="I1764" s="26">
        <f t="shared" si="109"/>
        <v>3.5416666665696539E-2</v>
      </c>
      <c r="J1764" s="18" t="str">
        <f t="shared" si="110"/>
        <v>July</v>
      </c>
      <c r="K1764" s="56" t="str">
        <f t="shared" si="111"/>
        <v>Sunday</v>
      </c>
      <c r="L1764" s="18" t="str">
        <f>IF(OR(G1764&gt;Answers!I1779,G1764&lt;Answers!I1780),"Outlier","Normal")</f>
        <v>Outlier</v>
      </c>
      <c r="M1764" s="18">
        <v>29</v>
      </c>
    </row>
    <row r="1765" spans="1:13" ht="20" customHeight="1" x14ac:dyDescent="0.35">
      <c r="A1765" s="17">
        <v>1175716</v>
      </c>
      <c r="B1765" s="18">
        <v>1442</v>
      </c>
      <c r="C1765" s="23" t="s">
        <v>99</v>
      </c>
      <c r="D1765" s="27">
        <v>45035.033333333333</v>
      </c>
      <c r="E1765" s="18" t="s">
        <v>98</v>
      </c>
      <c r="F1765" s="18" t="s">
        <v>39</v>
      </c>
      <c r="G1765" s="18">
        <v>9617</v>
      </c>
      <c r="H1765" s="25">
        <f t="shared" si="108"/>
        <v>45035</v>
      </c>
      <c r="I1765" s="26">
        <f t="shared" si="109"/>
        <v>3.3333333332848269E-2</v>
      </c>
      <c r="J1765" s="18" t="str">
        <f t="shared" si="110"/>
        <v>April</v>
      </c>
      <c r="K1765" s="56" t="str">
        <f t="shared" si="111"/>
        <v>Wednesday</v>
      </c>
      <c r="L1765" s="18" t="str">
        <f>IF(OR(G1765&gt;Answers!I1780,G1765&lt;Answers!I1781),"Outlier","Normal")</f>
        <v>Outlier</v>
      </c>
      <c r="M1765" s="18">
        <v>82</v>
      </c>
    </row>
    <row r="1766" spans="1:13" ht="20" customHeight="1" x14ac:dyDescent="0.35">
      <c r="A1766" s="17">
        <v>1177486</v>
      </c>
      <c r="B1766" s="18">
        <v>642</v>
      </c>
      <c r="C1766" s="23" t="s">
        <v>100</v>
      </c>
      <c r="D1766" s="27">
        <v>45278.068055555559</v>
      </c>
      <c r="E1766" s="18" t="s">
        <v>97</v>
      </c>
      <c r="F1766" s="18" t="s">
        <v>53</v>
      </c>
      <c r="G1766" s="18">
        <v>2740</v>
      </c>
      <c r="H1766" s="25">
        <f t="shared" si="108"/>
        <v>45278</v>
      </c>
      <c r="I1766" s="26">
        <f t="shared" si="109"/>
        <v>6.805555555911269E-2</v>
      </c>
      <c r="J1766" s="18" t="str">
        <f t="shared" si="110"/>
        <v>December</v>
      </c>
      <c r="K1766" s="56" t="str">
        <f t="shared" si="111"/>
        <v>Monday</v>
      </c>
      <c r="L1766" s="18" t="str">
        <f>IF(OR(G1766&gt;Answers!I1781,G1766&lt;Answers!I1782),"Outlier","Normal")</f>
        <v>Outlier</v>
      </c>
      <c r="M1766" s="18">
        <v>32</v>
      </c>
    </row>
    <row r="1767" spans="1:13" ht="20" customHeight="1" x14ac:dyDescent="0.35">
      <c r="A1767" s="17">
        <v>1178982</v>
      </c>
      <c r="B1767" s="18">
        <v>687</v>
      </c>
      <c r="C1767" s="23" t="s">
        <v>100</v>
      </c>
      <c r="D1767" s="27">
        <v>45044.044444444444</v>
      </c>
      <c r="E1767" s="18" t="s">
        <v>133</v>
      </c>
      <c r="F1767" s="18" t="s">
        <v>64</v>
      </c>
      <c r="G1767" s="18">
        <v>52</v>
      </c>
      <c r="H1767" s="25">
        <f t="shared" si="108"/>
        <v>45044</v>
      </c>
      <c r="I1767" s="26">
        <f t="shared" si="109"/>
        <v>4.4444444443797693E-2</v>
      </c>
      <c r="J1767" s="18" t="str">
        <f t="shared" si="110"/>
        <v>April</v>
      </c>
      <c r="K1767" s="56" t="str">
        <f t="shared" si="111"/>
        <v>Friday</v>
      </c>
      <c r="L1767" s="18" t="str">
        <f>IF(OR(G1767&gt;Answers!I1782,G1767&lt;Answers!I1783),"Outlier","Normal")</f>
        <v>Outlier</v>
      </c>
      <c r="M1767" s="18">
        <v>50</v>
      </c>
    </row>
    <row r="1768" spans="1:13" ht="20" customHeight="1" x14ac:dyDescent="0.35">
      <c r="A1768" s="17">
        <v>1179872</v>
      </c>
      <c r="B1768" s="18">
        <v>323</v>
      </c>
      <c r="C1768" s="23" t="s">
        <v>100</v>
      </c>
      <c r="D1768" s="27">
        <v>45134.00277777778</v>
      </c>
      <c r="E1768" s="18" t="s">
        <v>97</v>
      </c>
      <c r="F1768" s="18" t="s">
        <v>27</v>
      </c>
      <c r="G1768" s="18">
        <v>6228</v>
      </c>
      <c r="H1768" s="25">
        <f t="shared" si="108"/>
        <v>45134</v>
      </c>
      <c r="I1768" s="26">
        <f t="shared" si="109"/>
        <v>2.7777777795563452E-3</v>
      </c>
      <c r="J1768" s="18" t="str">
        <f t="shared" si="110"/>
        <v>July</v>
      </c>
      <c r="K1768" s="56" t="str">
        <f t="shared" si="111"/>
        <v>Thursday</v>
      </c>
      <c r="L1768" s="18" t="str">
        <f>IF(OR(G1768&gt;Answers!I1783,G1768&lt;Answers!I1784),"Outlier","Normal")</f>
        <v>Outlier</v>
      </c>
      <c r="M1768" s="18">
        <v>49</v>
      </c>
    </row>
    <row r="1769" spans="1:13" ht="20" customHeight="1" x14ac:dyDescent="0.35">
      <c r="A1769" s="17">
        <v>1180153</v>
      </c>
      <c r="B1769" s="18">
        <v>873</v>
      </c>
      <c r="C1769" s="23" t="s">
        <v>102</v>
      </c>
      <c r="D1769" s="27">
        <v>45221.020138888889</v>
      </c>
      <c r="E1769" s="18" t="s">
        <v>96</v>
      </c>
      <c r="F1769" s="18" t="s">
        <v>5</v>
      </c>
      <c r="G1769" s="18">
        <v>3374</v>
      </c>
      <c r="H1769" s="25">
        <f t="shared" si="108"/>
        <v>45221</v>
      </c>
      <c r="I1769" s="26">
        <f t="shared" si="109"/>
        <v>2.0138888889050577E-2</v>
      </c>
      <c r="J1769" s="18" t="str">
        <f t="shared" si="110"/>
        <v>October</v>
      </c>
      <c r="K1769" s="56" t="str">
        <f t="shared" si="111"/>
        <v>Sunday</v>
      </c>
      <c r="L1769" s="18" t="str">
        <f>IF(OR(G1769&gt;Answers!I1784,G1769&lt;Answers!I1785),"Outlier","Normal")</f>
        <v>Outlier</v>
      </c>
      <c r="M1769" s="18">
        <v>75</v>
      </c>
    </row>
    <row r="1770" spans="1:13" ht="20" customHeight="1" x14ac:dyDescent="0.35">
      <c r="A1770" s="17">
        <v>1180567</v>
      </c>
      <c r="B1770" s="18">
        <v>898</v>
      </c>
      <c r="C1770" s="23" t="s">
        <v>99</v>
      </c>
      <c r="D1770" s="27">
        <v>45178.955555555556</v>
      </c>
      <c r="E1770" s="18" t="s">
        <v>96</v>
      </c>
      <c r="F1770" s="18" t="s">
        <v>65</v>
      </c>
      <c r="G1770" s="18">
        <v>7717</v>
      </c>
      <c r="H1770" s="25">
        <f t="shared" si="108"/>
        <v>45178</v>
      </c>
      <c r="I1770" s="26">
        <f t="shared" si="109"/>
        <v>0.95555555555620231</v>
      </c>
      <c r="J1770" s="18" t="str">
        <f t="shared" si="110"/>
        <v>September</v>
      </c>
      <c r="K1770" s="56" t="str">
        <f t="shared" si="111"/>
        <v>Saturday</v>
      </c>
      <c r="L1770" s="18" t="str">
        <f>IF(OR(G1770&gt;Answers!I1785,G1770&lt;Answers!I1786),"Outlier","Normal")</f>
        <v>Outlier</v>
      </c>
      <c r="M1770" s="18">
        <v>64</v>
      </c>
    </row>
    <row r="1771" spans="1:13" ht="20" customHeight="1" x14ac:dyDescent="0.35">
      <c r="A1771" s="17">
        <v>1180828</v>
      </c>
      <c r="B1771" s="18">
        <v>1063</v>
      </c>
      <c r="C1771" s="23" t="s">
        <v>113</v>
      </c>
      <c r="D1771" s="27">
        <v>45114.96875</v>
      </c>
      <c r="E1771" s="18" t="s">
        <v>133</v>
      </c>
      <c r="F1771" s="18" t="s">
        <v>91</v>
      </c>
      <c r="G1771" s="18">
        <v>7190</v>
      </c>
      <c r="H1771" s="25">
        <f t="shared" si="108"/>
        <v>45114</v>
      </c>
      <c r="I1771" s="26">
        <f t="shared" si="109"/>
        <v>0.96875</v>
      </c>
      <c r="J1771" s="18" t="str">
        <f t="shared" si="110"/>
        <v>July</v>
      </c>
      <c r="K1771" s="56" t="str">
        <f t="shared" si="111"/>
        <v>Friday</v>
      </c>
      <c r="L1771" s="18" t="str">
        <f>IF(OR(G1771&gt;Answers!I1786,G1771&lt;Answers!I1787),"Outlier","Normal")</f>
        <v>Outlier</v>
      </c>
      <c r="M1771" s="18">
        <v>82</v>
      </c>
    </row>
    <row r="1772" spans="1:13" ht="20" customHeight="1" x14ac:dyDescent="0.35">
      <c r="A1772" s="17">
        <v>1181602</v>
      </c>
      <c r="B1772" s="18">
        <v>683</v>
      </c>
      <c r="C1772" s="23" t="s">
        <v>101</v>
      </c>
      <c r="D1772" s="27">
        <v>45134.023611111108</v>
      </c>
      <c r="E1772" s="18" t="s">
        <v>98</v>
      </c>
      <c r="F1772" s="18" t="s">
        <v>81</v>
      </c>
      <c r="G1772" s="18">
        <v>8578</v>
      </c>
      <c r="H1772" s="25">
        <f t="shared" si="108"/>
        <v>45134</v>
      </c>
      <c r="I1772" s="26">
        <f t="shared" si="109"/>
        <v>2.361111110803904E-2</v>
      </c>
      <c r="J1772" s="18" t="str">
        <f t="shared" si="110"/>
        <v>July</v>
      </c>
      <c r="K1772" s="56" t="str">
        <f t="shared" si="111"/>
        <v>Thursday</v>
      </c>
      <c r="L1772" s="18" t="str">
        <f>IF(OR(G1772&gt;Answers!I1787,G1772&lt;Answers!I1788),"Outlier","Normal")</f>
        <v>Outlier</v>
      </c>
      <c r="M1772" s="18">
        <v>47</v>
      </c>
    </row>
    <row r="1773" spans="1:13" ht="20" customHeight="1" x14ac:dyDescent="0.35">
      <c r="A1773" s="17">
        <v>1182031</v>
      </c>
      <c r="B1773" s="18">
        <v>1569</v>
      </c>
      <c r="C1773" s="23" t="s">
        <v>105</v>
      </c>
      <c r="D1773" s="27">
        <v>45238.036111111112</v>
      </c>
      <c r="E1773" s="18" t="s">
        <v>133</v>
      </c>
      <c r="F1773" s="18" t="s">
        <v>88</v>
      </c>
      <c r="G1773" s="18">
        <v>3428</v>
      </c>
      <c r="H1773" s="25">
        <f t="shared" si="108"/>
        <v>45238</v>
      </c>
      <c r="I1773" s="26">
        <f t="shared" si="109"/>
        <v>3.6111111112404615E-2</v>
      </c>
      <c r="J1773" s="18" t="str">
        <f t="shared" si="110"/>
        <v>November</v>
      </c>
      <c r="K1773" s="56" t="str">
        <f t="shared" si="111"/>
        <v>Wednesday</v>
      </c>
      <c r="L1773" s="18" t="str">
        <f>IF(OR(G1773&gt;Answers!I1788,G1773&lt;Answers!I1789),"Outlier","Normal")</f>
        <v>Outlier</v>
      </c>
      <c r="M1773" s="18">
        <v>20</v>
      </c>
    </row>
    <row r="1774" spans="1:13" ht="20" customHeight="1" x14ac:dyDescent="0.35">
      <c r="A1774" s="17">
        <v>1182341</v>
      </c>
      <c r="B1774" s="18">
        <v>225</v>
      </c>
      <c r="C1774" s="23" t="s">
        <v>106</v>
      </c>
      <c r="D1774" s="27">
        <v>45262.967361111114</v>
      </c>
      <c r="E1774" s="18" t="s">
        <v>98</v>
      </c>
      <c r="F1774" s="18" t="s">
        <v>46</v>
      </c>
      <c r="G1774" s="18">
        <v>567</v>
      </c>
      <c r="H1774" s="25">
        <f t="shared" si="108"/>
        <v>45262</v>
      </c>
      <c r="I1774" s="26">
        <f t="shared" si="109"/>
        <v>0.96736111111385981</v>
      </c>
      <c r="J1774" s="18" t="str">
        <f t="shared" si="110"/>
        <v>December</v>
      </c>
      <c r="K1774" s="56" t="str">
        <f t="shared" si="111"/>
        <v>Saturday</v>
      </c>
      <c r="L1774" s="18" t="str">
        <f>IF(OR(G1774&gt;Answers!I1789,G1774&lt;Answers!I1790),"Outlier","Normal")</f>
        <v>Outlier</v>
      </c>
      <c r="M1774" s="18">
        <v>83</v>
      </c>
    </row>
    <row r="1775" spans="1:13" ht="20" customHeight="1" x14ac:dyDescent="0.35">
      <c r="A1775" s="17">
        <v>1182759</v>
      </c>
      <c r="B1775" s="18">
        <v>722</v>
      </c>
      <c r="C1775" s="23" t="s">
        <v>99</v>
      </c>
      <c r="D1775" s="27">
        <v>44933.04583333333</v>
      </c>
      <c r="E1775" s="18" t="s">
        <v>98</v>
      </c>
      <c r="F1775" s="18" t="s">
        <v>82</v>
      </c>
      <c r="G1775" s="18">
        <v>2645</v>
      </c>
      <c r="H1775" s="25">
        <f t="shared" si="108"/>
        <v>44933</v>
      </c>
      <c r="I1775" s="26">
        <f t="shared" si="109"/>
        <v>4.5833333329937886E-2</v>
      </c>
      <c r="J1775" s="18" t="str">
        <f t="shared" si="110"/>
        <v>January</v>
      </c>
      <c r="K1775" s="56" t="str">
        <f t="shared" si="111"/>
        <v>Saturday</v>
      </c>
      <c r="L1775" s="18" t="str">
        <f>IF(OR(G1775&gt;Answers!I1790,G1775&lt;Answers!I1791),"Outlier","Normal")</f>
        <v>Outlier</v>
      </c>
      <c r="M1775" s="18">
        <v>27</v>
      </c>
    </row>
    <row r="1776" spans="1:13" ht="20" customHeight="1" x14ac:dyDescent="0.35">
      <c r="A1776" s="17">
        <v>1182819</v>
      </c>
      <c r="B1776" s="18">
        <v>562</v>
      </c>
      <c r="C1776" s="23" t="s">
        <v>106</v>
      </c>
      <c r="D1776" s="27">
        <v>45161.976388888892</v>
      </c>
      <c r="E1776" s="18" t="s">
        <v>133</v>
      </c>
      <c r="F1776" s="18" t="s">
        <v>90</v>
      </c>
      <c r="G1776" s="18">
        <v>7031</v>
      </c>
      <c r="H1776" s="25">
        <f t="shared" si="108"/>
        <v>45161</v>
      </c>
      <c r="I1776" s="26">
        <f t="shared" si="109"/>
        <v>0.97638888889196096</v>
      </c>
      <c r="J1776" s="18" t="str">
        <f t="shared" si="110"/>
        <v>August</v>
      </c>
      <c r="K1776" s="56" t="str">
        <f t="shared" si="111"/>
        <v>Wednesday</v>
      </c>
      <c r="L1776" s="18" t="str">
        <f>IF(OR(G1776&gt;Answers!I1791,G1776&lt;Answers!I1792),"Outlier","Normal")</f>
        <v>Outlier</v>
      </c>
      <c r="M1776" s="18">
        <v>75</v>
      </c>
    </row>
    <row r="1777" spans="1:13" ht="20" customHeight="1" x14ac:dyDescent="0.35">
      <c r="A1777" s="17">
        <v>1182826</v>
      </c>
      <c r="B1777" s="18">
        <v>1439</v>
      </c>
      <c r="C1777" s="23" t="s">
        <v>105</v>
      </c>
      <c r="D1777" s="27">
        <v>45239.998611111114</v>
      </c>
      <c r="E1777" s="18" t="s">
        <v>98</v>
      </c>
      <c r="F1777" s="18" t="s">
        <v>43</v>
      </c>
      <c r="G1777" s="18">
        <v>3629</v>
      </c>
      <c r="H1777" s="25">
        <f t="shared" si="108"/>
        <v>45239</v>
      </c>
      <c r="I1777" s="26">
        <f t="shared" si="109"/>
        <v>0.99861111111385981</v>
      </c>
      <c r="J1777" s="18" t="str">
        <f t="shared" si="110"/>
        <v>November</v>
      </c>
      <c r="K1777" s="56" t="str">
        <f t="shared" si="111"/>
        <v>Thursday</v>
      </c>
      <c r="L1777" s="18" t="str">
        <f>IF(OR(G1777&gt;Answers!I1792,G1777&lt;Answers!I1793),"Outlier","Normal")</f>
        <v>Outlier</v>
      </c>
      <c r="M1777" s="18">
        <v>40</v>
      </c>
    </row>
    <row r="1778" spans="1:13" ht="20" customHeight="1" x14ac:dyDescent="0.35">
      <c r="A1778" s="17">
        <v>1183427</v>
      </c>
      <c r="B1778" s="18">
        <v>857</v>
      </c>
      <c r="C1778" s="23" t="s">
        <v>99</v>
      </c>
      <c r="D1778" s="27">
        <v>44962.940972222219</v>
      </c>
      <c r="E1778" s="18" t="s">
        <v>98</v>
      </c>
      <c r="F1778" s="18" t="s">
        <v>44</v>
      </c>
      <c r="G1778" s="18">
        <v>3095</v>
      </c>
      <c r="H1778" s="25">
        <f t="shared" si="108"/>
        <v>44962</v>
      </c>
      <c r="I1778" s="26">
        <f t="shared" si="109"/>
        <v>0.94097222221898846</v>
      </c>
      <c r="J1778" s="18" t="str">
        <f t="shared" si="110"/>
        <v>February</v>
      </c>
      <c r="K1778" s="56" t="str">
        <f t="shared" si="111"/>
        <v>Sunday</v>
      </c>
      <c r="L1778" s="18" t="str">
        <f>IF(OR(G1778&gt;Answers!I1793,G1778&lt;Answers!I1794),"Outlier","Normal")</f>
        <v>Outlier</v>
      </c>
      <c r="M1778" s="18">
        <v>34</v>
      </c>
    </row>
    <row r="1779" spans="1:13" ht="20" customHeight="1" x14ac:dyDescent="0.35">
      <c r="A1779" s="17">
        <v>1184082</v>
      </c>
      <c r="B1779" s="18">
        <v>312</v>
      </c>
      <c r="C1779" s="23" t="s">
        <v>107</v>
      </c>
      <c r="D1779" s="27">
        <v>44971.039583333331</v>
      </c>
      <c r="E1779" s="18" t="s">
        <v>96</v>
      </c>
      <c r="F1779" s="18" t="s">
        <v>78</v>
      </c>
      <c r="G1779" s="18">
        <v>734</v>
      </c>
      <c r="H1779" s="25">
        <f t="shared" si="108"/>
        <v>44971</v>
      </c>
      <c r="I1779" s="26">
        <f t="shared" si="109"/>
        <v>3.9583333331393078E-2</v>
      </c>
      <c r="J1779" s="18" t="str">
        <f t="shared" si="110"/>
        <v>February</v>
      </c>
      <c r="K1779" s="56" t="str">
        <f t="shared" si="111"/>
        <v>Tuesday</v>
      </c>
      <c r="L1779" s="18" t="str">
        <f>IF(OR(G1779&gt;Answers!I1794,G1779&lt;Answers!I1795),"Outlier","Normal")</f>
        <v>Outlier</v>
      </c>
      <c r="M1779" s="18">
        <v>38</v>
      </c>
    </row>
    <row r="1780" spans="1:13" ht="20" customHeight="1" x14ac:dyDescent="0.35">
      <c r="A1780" s="17">
        <v>1185440</v>
      </c>
      <c r="B1780" s="18">
        <v>1509</v>
      </c>
      <c r="C1780" s="23" t="s">
        <v>99</v>
      </c>
      <c r="D1780" s="27">
        <v>44958.011805555558</v>
      </c>
      <c r="E1780" s="18" t="s">
        <v>97</v>
      </c>
      <c r="F1780" s="18" t="s">
        <v>56</v>
      </c>
      <c r="G1780" s="18">
        <v>2567</v>
      </c>
      <c r="H1780" s="25">
        <f t="shared" si="108"/>
        <v>44958</v>
      </c>
      <c r="I1780" s="26">
        <f t="shared" si="109"/>
        <v>1.1805555557657499E-2</v>
      </c>
      <c r="J1780" s="18" t="str">
        <f t="shared" si="110"/>
        <v>February</v>
      </c>
      <c r="K1780" s="56" t="str">
        <f t="shared" si="111"/>
        <v>Wednesday</v>
      </c>
      <c r="L1780" s="18" t="str">
        <f>IF(OR(G1780&gt;Answers!I1795,G1780&lt;Answers!I1796),"Outlier","Normal")</f>
        <v>Outlier</v>
      </c>
      <c r="M1780" s="18">
        <v>31</v>
      </c>
    </row>
    <row r="1781" spans="1:13" ht="20" customHeight="1" x14ac:dyDescent="0.35">
      <c r="A1781" s="17">
        <v>1186707</v>
      </c>
      <c r="B1781" s="18">
        <v>1512</v>
      </c>
      <c r="C1781" s="23" t="s">
        <v>108</v>
      </c>
      <c r="D1781" s="27">
        <v>44968.01458333333</v>
      </c>
      <c r="E1781" s="18" t="s">
        <v>98</v>
      </c>
      <c r="F1781" s="18" t="s">
        <v>34</v>
      </c>
      <c r="G1781" s="18">
        <v>2061</v>
      </c>
      <c r="H1781" s="25">
        <f t="shared" si="108"/>
        <v>44968</v>
      </c>
      <c r="I1781" s="26">
        <f t="shared" si="109"/>
        <v>1.4583333329937886E-2</v>
      </c>
      <c r="J1781" s="18" t="str">
        <f t="shared" si="110"/>
        <v>February</v>
      </c>
      <c r="K1781" s="56" t="str">
        <f t="shared" si="111"/>
        <v>Saturday</v>
      </c>
      <c r="L1781" s="18" t="str">
        <f>IF(OR(G1781&gt;Answers!I1796,G1781&lt;Answers!I1797),"Outlier","Normal")</f>
        <v>Outlier</v>
      </c>
      <c r="M1781" s="18">
        <v>28</v>
      </c>
    </row>
    <row r="1782" spans="1:13" ht="20" customHeight="1" x14ac:dyDescent="0.35">
      <c r="A1782" s="17">
        <v>1188487</v>
      </c>
      <c r="B1782" s="18">
        <v>526</v>
      </c>
      <c r="C1782" s="23" t="s">
        <v>99</v>
      </c>
      <c r="D1782" s="27">
        <v>45276.077777777777</v>
      </c>
      <c r="E1782" s="18" t="s">
        <v>98</v>
      </c>
      <c r="F1782" s="18" t="s">
        <v>87</v>
      </c>
      <c r="G1782" s="18">
        <v>2527</v>
      </c>
      <c r="H1782" s="25">
        <f t="shared" si="108"/>
        <v>45276</v>
      </c>
      <c r="I1782" s="26">
        <f t="shared" si="109"/>
        <v>7.7777777776645962E-2</v>
      </c>
      <c r="J1782" s="18" t="str">
        <f t="shared" si="110"/>
        <v>December</v>
      </c>
      <c r="K1782" s="56" t="str">
        <f t="shared" si="111"/>
        <v>Saturday</v>
      </c>
      <c r="L1782" s="18" t="str">
        <f>IF(OR(G1782&gt;Answers!I1797,G1782&lt;Answers!I1798),"Outlier","Normal")</f>
        <v>Outlier</v>
      </c>
      <c r="M1782" s="18">
        <v>49</v>
      </c>
    </row>
    <row r="1783" spans="1:13" ht="20" customHeight="1" x14ac:dyDescent="0.35">
      <c r="A1783" s="17">
        <v>1189460</v>
      </c>
      <c r="B1783" s="18">
        <v>1181</v>
      </c>
      <c r="C1783" s="23" t="s">
        <v>106</v>
      </c>
      <c r="D1783" s="27">
        <v>45110.019444444442</v>
      </c>
      <c r="E1783" s="18" t="s">
        <v>97</v>
      </c>
      <c r="F1783" s="18" t="s">
        <v>78</v>
      </c>
      <c r="G1783" s="18">
        <v>4527</v>
      </c>
      <c r="H1783" s="25">
        <f t="shared" si="108"/>
        <v>45110</v>
      </c>
      <c r="I1783" s="26">
        <f t="shared" si="109"/>
        <v>1.9444444442342501E-2</v>
      </c>
      <c r="J1783" s="18" t="str">
        <f t="shared" si="110"/>
        <v>July</v>
      </c>
      <c r="K1783" s="56" t="str">
        <f t="shared" si="111"/>
        <v>Monday</v>
      </c>
      <c r="L1783" s="18" t="str">
        <f>IF(OR(G1783&gt;Answers!I1798,G1783&lt;Answers!I1799),"Outlier","Normal")</f>
        <v>Outlier</v>
      </c>
      <c r="M1783" s="18">
        <v>68</v>
      </c>
    </row>
    <row r="1784" spans="1:13" ht="20" customHeight="1" x14ac:dyDescent="0.35">
      <c r="A1784" s="17">
        <v>1189996</v>
      </c>
      <c r="B1784" s="18">
        <v>522</v>
      </c>
      <c r="C1784" s="23" t="s">
        <v>99</v>
      </c>
      <c r="D1784" s="27">
        <v>45264.015277777777</v>
      </c>
      <c r="E1784" s="18" t="s">
        <v>97</v>
      </c>
      <c r="F1784" s="18" t="s">
        <v>27</v>
      </c>
      <c r="G1784" s="18">
        <v>4719</v>
      </c>
      <c r="H1784" s="25">
        <f t="shared" si="108"/>
        <v>45264</v>
      </c>
      <c r="I1784" s="26">
        <f t="shared" si="109"/>
        <v>1.5277777776645962E-2</v>
      </c>
      <c r="J1784" s="18" t="str">
        <f t="shared" si="110"/>
        <v>December</v>
      </c>
      <c r="K1784" s="56" t="str">
        <f t="shared" si="111"/>
        <v>Monday</v>
      </c>
      <c r="L1784" s="18" t="str">
        <f>IF(OR(G1784&gt;Answers!I1799,G1784&lt;Answers!I1800),"Outlier","Normal")</f>
        <v>Outlier</v>
      </c>
      <c r="M1784" s="18">
        <v>77</v>
      </c>
    </row>
    <row r="1785" spans="1:13" ht="20" customHeight="1" x14ac:dyDescent="0.35">
      <c r="A1785" s="17">
        <v>1190330</v>
      </c>
      <c r="B1785" s="18">
        <v>1176</v>
      </c>
      <c r="C1785" s="23" t="s">
        <v>99</v>
      </c>
      <c r="D1785" s="27">
        <v>45033.018055555556</v>
      </c>
      <c r="E1785" s="18" t="s">
        <v>133</v>
      </c>
      <c r="F1785" s="18" t="s">
        <v>69</v>
      </c>
      <c r="G1785" s="18">
        <v>5495</v>
      </c>
      <c r="H1785" s="25">
        <f t="shared" si="108"/>
        <v>45033</v>
      </c>
      <c r="I1785" s="26">
        <f t="shared" si="109"/>
        <v>1.8055555556202307E-2</v>
      </c>
      <c r="J1785" s="18" t="str">
        <f t="shared" si="110"/>
        <v>April</v>
      </c>
      <c r="K1785" s="56" t="str">
        <f t="shared" si="111"/>
        <v>Monday</v>
      </c>
      <c r="L1785" s="18" t="str">
        <f>IF(OR(G1785&gt;Answers!I1800,G1785&lt;Answers!I1801),"Outlier","Normal")</f>
        <v>Outlier</v>
      </c>
      <c r="M1785" s="18">
        <v>89</v>
      </c>
    </row>
    <row r="1786" spans="1:13" ht="20" customHeight="1" x14ac:dyDescent="0.35">
      <c r="A1786" s="17">
        <v>1190887</v>
      </c>
      <c r="B1786" s="18">
        <v>942</v>
      </c>
      <c r="C1786" s="23" t="s">
        <v>99</v>
      </c>
      <c r="D1786" s="27">
        <v>44965.015972222223</v>
      </c>
      <c r="E1786" s="18" t="s">
        <v>98</v>
      </c>
      <c r="F1786" s="18" t="s">
        <v>26</v>
      </c>
      <c r="G1786" s="18">
        <v>2060</v>
      </c>
      <c r="H1786" s="25">
        <f t="shared" si="108"/>
        <v>44965</v>
      </c>
      <c r="I1786" s="26">
        <f t="shared" si="109"/>
        <v>1.5972222223354038E-2</v>
      </c>
      <c r="J1786" s="18" t="str">
        <f t="shared" si="110"/>
        <v>February</v>
      </c>
      <c r="K1786" s="56" t="str">
        <f t="shared" si="111"/>
        <v>Wednesday</v>
      </c>
      <c r="L1786" s="18" t="str">
        <f>IF(OR(G1786&gt;Answers!I1801,G1786&lt;Answers!I1802),"Outlier","Normal")</f>
        <v>Outlier</v>
      </c>
      <c r="M1786" s="18">
        <v>72</v>
      </c>
    </row>
    <row r="1787" spans="1:13" ht="20" customHeight="1" x14ac:dyDescent="0.35">
      <c r="A1787" s="17">
        <v>1191785</v>
      </c>
      <c r="B1787" s="18">
        <v>1364</v>
      </c>
      <c r="C1787" s="23" t="s">
        <v>100</v>
      </c>
      <c r="D1787" s="27">
        <v>45247.998611111114</v>
      </c>
      <c r="E1787" s="18" t="s">
        <v>133</v>
      </c>
      <c r="F1787" s="18" t="s">
        <v>27</v>
      </c>
      <c r="G1787" s="18">
        <v>8977</v>
      </c>
      <c r="H1787" s="25">
        <f t="shared" si="108"/>
        <v>45247</v>
      </c>
      <c r="I1787" s="26">
        <f t="shared" si="109"/>
        <v>0.99861111111385981</v>
      </c>
      <c r="J1787" s="18" t="str">
        <f t="shared" si="110"/>
        <v>November</v>
      </c>
      <c r="K1787" s="56" t="str">
        <f t="shared" si="111"/>
        <v>Friday</v>
      </c>
      <c r="L1787" s="18" t="str">
        <f>IF(OR(G1787&gt;Answers!I1802,G1787&lt;Answers!I1803),"Outlier","Normal")</f>
        <v>Outlier</v>
      </c>
      <c r="M1787" s="18">
        <v>82</v>
      </c>
    </row>
    <row r="1788" spans="1:13" ht="20" customHeight="1" x14ac:dyDescent="0.35">
      <c r="A1788" s="17">
        <v>1192105</v>
      </c>
      <c r="B1788" s="18">
        <v>1143</v>
      </c>
      <c r="C1788" s="23" t="s">
        <v>107</v>
      </c>
      <c r="D1788" s="27">
        <v>44957.99722222222</v>
      </c>
      <c r="E1788" s="18" t="s">
        <v>133</v>
      </c>
      <c r="F1788" s="18" t="s">
        <v>81</v>
      </c>
      <c r="G1788" s="18">
        <v>2021</v>
      </c>
      <c r="H1788" s="25">
        <f t="shared" si="108"/>
        <v>44957</v>
      </c>
      <c r="I1788" s="26">
        <f t="shared" si="109"/>
        <v>0.99722222222044365</v>
      </c>
      <c r="J1788" s="18" t="str">
        <f t="shared" si="110"/>
        <v>January</v>
      </c>
      <c r="K1788" s="56" t="str">
        <f t="shared" si="111"/>
        <v>Tuesday</v>
      </c>
      <c r="L1788" s="18" t="str">
        <f>IF(OR(G1788&gt;Answers!I1803,G1788&lt;Answers!I1804),"Outlier","Normal")</f>
        <v>Outlier</v>
      </c>
      <c r="M1788" s="18">
        <v>59</v>
      </c>
    </row>
    <row r="1789" spans="1:13" ht="20" customHeight="1" x14ac:dyDescent="0.35">
      <c r="A1789" s="17">
        <v>1194493</v>
      </c>
      <c r="B1789" s="18">
        <v>600</v>
      </c>
      <c r="C1789" s="23" t="s">
        <v>99</v>
      </c>
      <c r="D1789" s="27">
        <v>45110.009027777778</v>
      </c>
      <c r="E1789" s="18" t="s">
        <v>96</v>
      </c>
      <c r="F1789" s="18" t="s">
        <v>88</v>
      </c>
      <c r="G1789" s="18">
        <v>3567</v>
      </c>
      <c r="H1789" s="25">
        <f t="shared" si="108"/>
        <v>45110</v>
      </c>
      <c r="I1789" s="26">
        <f t="shared" si="109"/>
        <v>9.0277777781011537E-3</v>
      </c>
      <c r="J1789" s="18" t="str">
        <f t="shared" si="110"/>
        <v>July</v>
      </c>
      <c r="K1789" s="56" t="str">
        <f t="shared" si="111"/>
        <v>Monday</v>
      </c>
      <c r="L1789" s="18" t="str">
        <f>IF(OR(G1789&gt;Answers!I1804,G1789&lt;Answers!I1805),"Outlier","Normal")</f>
        <v>Outlier</v>
      </c>
      <c r="M1789" s="18">
        <v>77</v>
      </c>
    </row>
    <row r="1790" spans="1:13" ht="20" customHeight="1" x14ac:dyDescent="0.35">
      <c r="A1790" s="17">
        <v>1196110</v>
      </c>
      <c r="B1790" s="18">
        <v>1746</v>
      </c>
      <c r="C1790" s="23" t="s">
        <v>107</v>
      </c>
      <c r="D1790" s="27">
        <v>45012.018750000003</v>
      </c>
      <c r="E1790" s="18" t="s">
        <v>96</v>
      </c>
      <c r="F1790" s="18" t="s">
        <v>43</v>
      </c>
      <c r="G1790" s="18">
        <v>4222</v>
      </c>
      <c r="H1790" s="25">
        <f t="shared" si="108"/>
        <v>45012</v>
      </c>
      <c r="I1790" s="26">
        <f t="shared" si="109"/>
        <v>1.8750000002910383E-2</v>
      </c>
      <c r="J1790" s="18" t="str">
        <f t="shared" si="110"/>
        <v>March</v>
      </c>
      <c r="K1790" s="56" t="str">
        <f t="shared" si="111"/>
        <v>Monday</v>
      </c>
      <c r="L1790" s="18" t="str">
        <f>IF(OR(G1790&gt;Answers!I1805,G1790&lt;Answers!I1806),"Outlier","Normal")</f>
        <v>Outlier</v>
      </c>
      <c r="M1790" s="18">
        <v>66</v>
      </c>
    </row>
    <row r="1791" spans="1:13" ht="20" customHeight="1" x14ac:dyDescent="0.35">
      <c r="A1791" s="17">
        <v>1197422</v>
      </c>
      <c r="B1791" s="18">
        <v>960</v>
      </c>
      <c r="C1791" s="23" t="s">
        <v>99</v>
      </c>
      <c r="D1791" s="27">
        <v>45284.989583333336</v>
      </c>
      <c r="E1791" s="18" t="s">
        <v>97</v>
      </c>
      <c r="F1791" s="18" t="s">
        <v>27</v>
      </c>
      <c r="G1791" s="18">
        <v>6726</v>
      </c>
      <c r="H1791" s="25">
        <f t="shared" si="108"/>
        <v>45284</v>
      </c>
      <c r="I1791" s="26">
        <f t="shared" si="109"/>
        <v>0.98958333333575865</v>
      </c>
      <c r="J1791" s="18" t="str">
        <f t="shared" si="110"/>
        <v>December</v>
      </c>
      <c r="K1791" s="56" t="str">
        <f t="shared" si="111"/>
        <v>Sunday</v>
      </c>
      <c r="L1791" s="18" t="str">
        <f>IF(OR(G1791&gt;Answers!I1806,G1791&lt;Answers!I1807),"Outlier","Normal")</f>
        <v>Outlier</v>
      </c>
      <c r="M1791" s="18">
        <v>69</v>
      </c>
    </row>
    <row r="1792" spans="1:13" ht="20" customHeight="1" x14ac:dyDescent="0.35">
      <c r="A1792" s="17">
        <v>1197876</v>
      </c>
      <c r="B1792" s="18">
        <v>1148</v>
      </c>
      <c r="C1792" s="23" t="s">
        <v>102</v>
      </c>
      <c r="D1792" s="27">
        <v>45263.023611111108</v>
      </c>
      <c r="E1792" s="18" t="s">
        <v>96</v>
      </c>
      <c r="F1792" s="18" t="s">
        <v>65</v>
      </c>
      <c r="G1792" s="18">
        <v>6055</v>
      </c>
      <c r="H1792" s="25">
        <f t="shared" si="108"/>
        <v>45263</v>
      </c>
      <c r="I1792" s="26">
        <f t="shared" si="109"/>
        <v>2.361111110803904E-2</v>
      </c>
      <c r="J1792" s="18" t="str">
        <f t="shared" si="110"/>
        <v>December</v>
      </c>
      <c r="K1792" s="56" t="str">
        <f t="shared" si="111"/>
        <v>Sunday</v>
      </c>
      <c r="L1792" s="18" t="str">
        <f>IF(OR(G1792&gt;Answers!I1807,G1792&lt;Answers!I1808),"Outlier","Normal")</f>
        <v>Outlier</v>
      </c>
      <c r="M1792" s="18">
        <v>53</v>
      </c>
    </row>
    <row r="1793" spans="1:13" ht="20" customHeight="1" x14ac:dyDescent="0.35">
      <c r="A1793" s="17">
        <v>1198103</v>
      </c>
      <c r="B1793" s="18">
        <v>485</v>
      </c>
      <c r="C1793" s="23" t="s">
        <v>100</v>
      </c>
      <c r="D1793" s="27">
        <v>45009.080555555556</v>
      </c>
      <c r="E1793" s="18" t="s">
        <v>97</v>
      </c>
      <c r="F1793" s="18" t="s">
        <v>24</v>
      </c>
      <c r="G1793" s="18">
        <v>1994</v>
      </c>
      <c r="H1793" s="25">
        <f t="shared" si="108"/>
        <v>45009</v>
      </c>
      <c r="I1793" s="26">
        <f t="shared" si="109"/>
        <v>8.0555555556202307E-2</v>
      </c>
      <c r="J1793" s="18" t="str">
        <f t="shared" si="110"/>
        <v>March</v>
      </c>
      <c r="K1793" s="56" t="str">
        <f t="shared" si="111"/>
        <v>Friday</v>
      </c>
      <c r="L1793" s="18" t="str">
        <f>IF(OR(G1793&gt;Answers!I1808,G1793&lt;Answers!I1809),"Outlier","Normal")</f>
        <v>Outlier</v>
      </c>
      <c r="M1793" s="18">
        <v>19</v>
      </c>
    </row>
    <row r="1794" spans="1:13" ht="20" customHeight="1" x14ac:dyDescent="0.35">
      <c r="A1794" s="17">
        <v>1198240</v>
      </c>
      <c r="B1794" s="18">
        <v>1548</v>
      </c>
      <c r="C1794" s="23" t="s">
        <v>100</v>
      </c>
      <c r="D1794" s="27">
        <v>45161.078472222223</v>
      </c>
      <c r="E1794" s="18" t="s">
        <v>133</v>
      </c>
      <c r="F1794" s="18" t="s">
        <v>49</v>
      </c>
      <c r="G1794" s="18">
        <v>1736</v>
      </c>
      <c r="H1794" s="25">
        <f t="shared" si="108"/>
        <v>45161</v>
      </c>
      <c r="I1794" s="26">
        <f t="shared" si="109"/>
        <v>7.8472222223354038E-2</v>
      </c>
      <c r="J1794" s="18" t="str">
        <f t="shared" si="110"/>
        <v>August</v>
      </c>
      <c r="K1794" s="56" t="str">
        <f t="shared" si="111"/>
        <v>Wednesday</v>
      </c>
      <c r="L1794" s="18" t="str">
        <f>IF(OR(G1794&gt;Answers!I1809,G1794&lt;Answers!I1810),"Outlier","Normal")</f>
        <v>Outlier</v>
      </c>
      <c r="M1794" s="18">
        <v>46</v>
      </c>
    </row>
    <row r="1795" spans="1:13" ht="20" customHeight="1" x14ac:dyDescent="0.35">
      <c r="A1795" s="17">
        <v>1198743</v>
      </c>
      <c r="B1795" s="18">
        <v>782</v>
      </c>
      <c r="C1795" s="23" t="s">
        <v>99</v>
      </c>
      <c r="D1795" s="27">
        <v>45108.045138888891</v>
      </c>
      <c r="E1795" s="18" t="s">
        <v>97</v>
      </c>
      <c r="F1795" s="18" t="s">
        <v>71</v>
      </c>
      <c r="G1795" s="18">
        <v>2152</v>
      </c>
      <c r="H1795" s="25">
        <f t="shared" ref="H1795:H1858" si="112">INT(D1795)</f>
        <v>45108</v>
      </c>
      <c r="I1795" s="26">
        <f t="shared" ref="I1795:I1858" si="113">MOD(D1795,1)</f>
        <v>4.5138888890505768E-2</v>
      </c>
      <c r="J1795" s="18" t="str">
        <f t="shared" ref="J1795:J1858" si="114">TEXT(D1795,"mmmm")</f>
        <v>July</v>
      </c>
      <c r="K1795" s="56" t="str">
        <f t="shared" ref="K1795:K1858" si="115">TEXT(D1795,"dddd")</f>
        <v>Saturday</v>
      </c>
      <c r="L1795" s="18" t="str">
        <f>IF(OR(G1795&gt;Answers!I1810,G1795&lt;Answers!I1811),"Outlier","Normal")</f>
        <v>Outlier</v>
      </c>
      <c r="M1795" s="18">
        <v>74</v>
      </c>
    </row>
    <row r="1796" spans="1:13" ht="20" customHeight="1" x14ac:dyDescent="0.35">
      <c r="A1796" s="17">
        <v>1199289</v>
      </c>
      <c r="B1796" s="18">
        <v>228</v>
      </c>
      <c r="C1796" s="23" t="s">
        <v>100</v>
      </c>
      <c r="D1796" s="27">
        <v>45093.047222222223</v>
      </c>
      <c r="E1796" s="18" t="s">
        <v>98</v>
      </c>
      <c r="F1796" s="18" t="s">
        <v>43</v>
      </c>
      <c r="G1796" s="18">
        <v>1078</v>
      </c>
      <c r="H1796" s="25">
        <f t="shared" si="112"/>
        <v>45093</v>
      </c>
      <c r="I1796" s="26">
        <f t="shared" si="113"/>
        <v>4.7222222223354038E-2</v>
      </c>
      <c r="J1796" s="18" t="str">
        <f t="shared" si="114"/>
        <v>June</v>
      </c>
      <c r="K1796" s="56" t="str">
        <f t="shared" si="115"/>
        <v>Friday</v>
      </c>
      <c r="L1796" s="18" t="str">
        <f>IF(OR(G1796&gt;Answers!I1811,G1796&lt;Answers!I1812),"Outlier","Normal")</f>
        <v>Outlier</v>
      </c>
      <c r="M1796" s="18">
        <v>34</v>
      </c>
    </row>
    <row r="1797" spans="1:13" ht="20" customHeight="1" x14ac:dyDescent="0.35">
      <c r="A1797" s="17">
        <v>1200718</v>
      </c>
      <c r="B1797" s="18">
        <v>1963</v>
      </c>
      <c r="C1797" s="23" t="s">
        <v>101</v>
      </c>
      <c r="D1797" s="27">
        <v>45195.03125</v>
      </c>
      <c r="E1797" s="18" t="s">
        <v>97</v>
      </c>
      <c r="F1797" s="18" t="s">
        <v>45</v>
      </c>
      <c r="G1797" s="18">
        <v>8488</v>
      </c>
      <c r="H1797" s="25">
        <f t="shared" si="112"/>
        <v>45195</v>
      </c>
      <c r="I1797" s="26">
        <f t="shared" si="113"/>
        <v>3.125E-2</v>
      </c>
      <c r="J1797" s="18" t="str">
        <f t="shared" si="114"/>
        <v>September</v>
      </c>
      <c r="K1797" s="56" t="str">
        <f t="shared" si="115"/>
        <v>Tuesday</v>
      </c>
      <c r="L1797" s="18" t="str">
        <f>IF(OR(G1797&gt;Answers!I1812,G1797&lt;Answers!I1813),"Outlier","Normal")</f>
        <v>Outlier</v>
      </c>
      <c r="M1797" s="18">
        <v>25</v>
      </c>
    </row>
    <row r="1798" spans="1:13" ht="20" customHeight="1" x14ac:dyDescent="0.35">
      <c r="A1798" s="17">
        <v>1201138</v>
      </c>
      <c r="B1798" s="18">
        <v>1342</v>
      </c>
      <c r="C1798" s="23" t="s">
        <v>99</v>
      </c>
      <c r="D1798" s="27">
        <v>44999.039583333331</v>
      </c>
      <c r="E1798" s="18" t="s">
        <v>98</v>
      </c>
      <c r="F1798" s="18" t="s">
        <v>58</v>
      </c>
      <c r="G1798" s="18">
        <v>6081</v>
      </c>
      <c r="H1798" s="25">
        <f t="shared" si="112"/>
        <v>44999</v>
      </c>
      <c r="I1798" s="26">
        <f t="shared" si="113"/>
        <v>3.9583333331393078E-2</v>
      </c>
      <c r="J1798" s="18" t="str">
        <f t="shared" si="114"/>
        <v>March</v>
      </c>
      <c r="K1798" s="56" t="str">
        <f t="shared" si="115"/>
        <v>Tuesday</v>
      </c>
      <c r="L1798" s="18" t="str">
        <f>IF(OR(G1798&gt;Answers!I1813,G1798&lt;Answers!I1814),"Outlier","Normal")</f>
        <v>Outlier</v>
      </c>
      <c r="M1798" s="18">
        <v>24</v>
      </c>
    </row>
    <row r="1799" spans="1:13" ht="20" customHeight="1" x14ac:dyDescent="0.35">
      <c r="A1799" s="17">
        <v>1201156</v>
      </c>
      <c r="B1799" s="18">
        <v>1931</v>
      </c>
      <c r="C1799" s="23" t="s">
        <v>99</v>
      </c>
      <c r="D1799" s="27">
        <v>45047.043055555558</v>
      </c>
      <c r="E1799" s="18" t="s">
        <v>98</v>
      </c>
      <c r="F1799" s="18" t="s">
        <v>47</v>
      </c>
      <c r="G1799" s="18">
        <v>2329</v>
      </c>
      <c r="H1799" s="25">
        <f t="shared" si="112"/>
        <v>45047</v>
      </c>
      <c r="I1799" s="26">
        <f t="shared" si="113"/>
        <v>4.3055555557657499E-2</v>
      </c>
      <c r="J1799" s="18" t="str">
        <f t="shared" si="114"/>
        <v>May</v>
      </c>
      <c r="K1799" s="56" t="str">
        <f t="shared" si="115"/>
        <v>Monday</v>
      </c>
      <c r="L1799" s="18" t="str">
        <f>IF(OR(G1799&gt;Answers!I1814,G1799&lt;Answers!I1815),"Outlier","Normal")</f>
        <v>Outlier</v>
      </c>
      <c r="M1799" s="18">
        <v>76</v>
      </c>
    </row>
    <row r="1800" spans="1:13" ht="20" customHeight="1" x14ac:dyDescent="0.35">
      <c r="A1800" s="17">
        <v>1202375</v>
      </c>
      <c r="B1800" s="18">
        <v>1662</v>
      </c>
      <c r="C1800" s="23" t="s">
        <v>101</v>
      </c>
      <c r="D1800" s="27">
        <v>44970.052777777775</v>
      </c>
      <c r="E1800" s="18" t="s">
        <v>133</v>
      </c>
      <c r="F1800" s="18" t="s">
        <v>44</v>
      </c>
      <c r="G1800" s="18">
        <v>2832</v>
      </c>
      <c r="H1800" s="25">
        <f t="shared" si="112"/>
        <v>44970</v>
      </c>
      <c r="I1800" s="26">
        <f t="shared" si="113"/>
        <v>5.2777777775190771E-2</v>
      </c>
      <c r="J1800" s="18" t="str">
        <f t="shared" si="114"/>
        <v>February</v>
      </c>
      <c r="K1800" s="56" t="str">
        <f t="shared" si="115"/>
        <v>Monday</v>
      </c>
      <c r="L1800" s="18" t="str">
        <f>IF(OR(G1800&gt;Answers!I1815,G1800&lt;Answers!I1816),"Outlier","Normal")</f>
        <v>Outlier</v>
      </c>
      <c r="M1800" s="18">
        <v>25</v>
      </c>
    </row>
    <row r="1801" spans="1:13" ht="20" customHeight="1" x14ac:dyDescent="0.35">
      <c r="A1801" s="17">
        <v>1202392</v>
      </c>
      <c r="B1801" s="18">
        <v>344</v>
      </c>
      <c r="C1801" s="23" t="s">
        <v>102</v>
      </c>
      <c r="D1801" s="27">
        <v>45230.00277777778</v>
      </c>
      <c r="E1801" s="18" t="s">
        <v>98</v>
      </c>
      <c r="F1801" s="18" t="s">
        <v>11</v>
      </c>
      <c r="G1801" s="18">
        <v>8051</v>
      </c>
      <c r="H1801" s="25">
        <f t="shared" si="112"/>
        <v>45230</v>
      </c>
      <c r="I1801" s="26">
        <f t="shared" si="113"/>
        <v>2.7777777795563452E-3</v>
      </c>
      <c r="J1801" s="18" t="str">
        <f t="shared" si="114"/>
        <v>October</v>
      </c>
      <c r="K1801" s="56" t="str">
        <f t="shared" si="115"/>
        <v>Tuesday</v>
      </c>
      <c r="L1801" s="18" t="str">
        <f>IF(OR(G1801&gt;Answers!I1816,G1801&lt;Answers!I1817),"Outlier","Normal")</f>
        <v>Outlier</v>
      </c>
      <c r="M1801" s="18">
        <v>84</v>
      </c>
    </row>
    <row r="1802" spans="1:13" ht="20" customHeight="1" x14ac:dyDescent="0.35">
      <c r="A1802" s="17">
        <v>1203146</v>
      </c>
      <c r="B1802" s="18">
        <v>1172</v>
      </c>
      <c r="C1802" s="23" t="s">
        <v>101</v>
      </c>
      <c r="D1802" s="27">
        <v>45239.021527777775</v>
      </c>
      <c r="E1802" s="18" t="s">
        <v>97</v>
      </c>
      <c r="F1802" s="18" t="s">
        <v>27</v>
      </c>
      <c r="G1802" s="18">
        <v>6152</v>
      </c>
      <c r="H1802" s="25">
        <f t="shared" si="112"/>
        <v>45239</v>
      </c>
      <c r="I1802" s="26">
        <f t="shared" si="113"/>
        <v>2.1527777775190771E-2</v>
      </c>
      <c r="J1802" s="18" t="str">
        <f t="shared" si="114"/>
        <v>November</v>
      </c>
      <c r="K1802" s="56" t="str">
        <f t="shared" si="115"/>
        <v>Thursday</v>
      </c>
      <c r="L1802" s="18" t="str">
        <f>IF(OR(G1802&gt;Answers!I1817,G1802&lt;Answers!I1818),"Outlier","Normal")</f>
        <v>Outlier</v>
      </c>
      <c r="M1802" s="18">
        <v>23</v>
      </c>
    </row>
    <row r="1803" spans="1:13" ht="20" customHeight="1" x14ac:dyDescent="0.35">
      <c r="A1803" s="17">
        <v>1203312</v>
      </c>
      <c r="B1803" s="18">
        <v>1047</v>
      </c>
      <c r="C1803" s="23" t="s">
        <v>107</v>
      </c>
      <c r="D1803" s="27">
        <v>44938.995833333334</v>
      </c>
      <c r="E1803" s="18" t="s">
        <v>98</v>
      </c>
      <c r="F1803" s="18" t="s">
        <v>27</v>
      </c>
      <c r="G1803" s="18">
        <v>5488</v>
      </c>
      <c r="H1803" s="25">
        <f t="shared" si="112"/>
        <v>44938</v>
      </c>
      <c r="I1803" s="26">
        <f t="shared" si="113"/>
        <v>0.99583333333430346</v>
      </c>
      <c r="J1803" s="18" t="str">
        <f t="shared" si="114"/>
        <v>January</v>
      </c>
      <c r="K1803" s="56" t="str">
        <f t="shared" si="115"/>
        <v>Thursday</v>
      </c>
      <c r="L1803" s="18" t="str">
        <f>IF(OR(G1803&gt;Answers!I1818,G1803&lt;Answers!I1819),"Outlier","Normal")</f>
        <v>Outlier</v>
      </c>
      <c r="M1803" s="18">
        <v>20</v>
      </c>
    </row>
    <row r="1804" spans="1:13" ht="20" customHeight="1" x14ac:dyDescent="0.35">
      <c r="A1804" s="17">
        <v>1204548</v>
      </c>
      <c r="B1804" s="18">
        <v>1467</v>
      </c>
      <c r="C1804" s="23" t="s">
        <v>99</v>
      </c>
      <c r="D1804" s="27">
        <v>45118.982638888891</v>
      </c>
      <c r="E1804" s="18" t="s">
        <v>133</v>
      </c>
      <c r="F1804" s="18" t="s">
        <v>73</v>
      </c>
      <c r="G1804" s="18">
        <v>5832</v>
      </c>
      <c r="H1804" s="25">
        <f t="shared" si="112"/>
        <v>45118</v>
      </c>
      <c r="I1804" s="26">
        <f t="shared" si="113"/>
        <v>0.98263888889050577</v>
      </c>
      <c r="J1804" s="18" t="str">
        <f t="shared" si="114"/>
        <v>July</v>
      </c>
      <c r="K1804" s="56" t="str">
        <f t="shared" si="115"/>
        <v>Tuesday</v>
      </c>
      <c r="L1804" s="18" t="str">
        <f>IF(OR(G1804&gt;Answers!I1819,G1804&lt;Answers!I1820),"Outlier","Normal")</f>
        <v>Outlier</v>
      </c>
      <c r="M1804" s="18">
        <v>18</v>
      </c>
    </row>
    <row r="1805" spans="1:13" ht="20" customHeight="1" x14ac:dyDescent="0.35">
      <c r="A1805" s="17">
        <v>1205050</v>
      </c>
      <c r="B1805" s="18">
        <v>1695</v>
      </c>
      <c r="C1805" s="23" t="s">
        <v>105</v>
      </c>
      <c r="D1805" s="27">
        <v>45119.024305555555</v>
      </c>
      <c r="E1805" s="18" t="s">
        <v>96</v>
      </c>
      <c r="F1805" s="18" t="s">
        <v>64</v>
      </c>
      <c r="G1805" s="18">
        <v>9562</v>
      </c>
      <c r="H1805" s="25">
        <f t="shared" si="112"/>
        <v>45119</v>
      </c>
      <c r="I1805" s="26">
        <f t="shared" si="113"/>
        <v>2.4305555554747116E-2</v>
      </c>
      <c r="J1805" s="18" t="str">
        <f t="shared" si="114"/>
        <v>July</v>
      </c>
      <c r="K1805" s="56" t="str">
        <f t="shared" si="115"/>
        <v>Wednesday</v>
      </c>
      <c r="L1805" s="18" t="str">
        <f>IF(OR(G1805&gt;Answers!I1820,G1805&lt;Answers!I1821),"Outlier","Normal")</f>
        <v>Outlier</v>
      </c>
      <c r="M1805" s="18">
        <v>37</v>
      </c>
    </row>
    <row r="1806" spans="1:13" ht="20" customHeight="1" x14ac:dyDescent="0.35">
      <c r="A1806" s="17">
        <v>1206775</v>
      </c>
      <c r="B1806" s="18">
        <v>728</v>
      </c>
      <c r="C1806" s="23" t="s">
        <v>113</v>
      </c>
      <c r="D1806" s="27">
        <v>45202.973611111112</v>
      </c>
      <c r="E1806" s="18" t="s">
        <v>97</v>
      </c>
      <c r="F1806" s="18" t="s">
        <v>26</v>
      </c>
      <c r="G1806" s="18">
        <v>967</v>
      </c>
      <c r="H1806" s="25">
        <f t="shared" si="112"/>
        <v>45202</v>
      </c>
      <c r="I1806" s="26">
        <f t="shared" si="113"/>
        <v>0.97361111111240461</v>
      </c>
      <c r="J1806" s="18" t="str">
        <f t="shared" si="114"/>
        <v>October</v>
      </c>
      <c r="K1806" s="56" t="str">
        <f t="shared" si="115"/>
        <v>Tuesday</v>
      </c>
      <c r="L1806" s="18" t="str">
        <f>IF(OR(G1806&gt;Answers!I1821,G1806&lt;Answers!I1822),"Outlier","Normal")</f>
        <v>Outlier</v>
      </c>
      <c r="M1806" s="18">
        <v>64</v>
      </c>
    </row>
    <row r="1807" spans="1:13" ht="20" customHeight="1" x14ac:dyDescent="0.35">
      <c r="A1807" s="17">
        <v>1211500</v>
      </c>
      <c r="B1807" s="18">
        <v>1120</v>
      </c>
      <c r="C1807" s="23" t="s">
        <v>108</v>
      </c>
      <c r="D1807" s="27">
        <v>45206.020138888889</v>
      </c>
      <c r="E1807" s="18" t="s">
        <v>96</v>
      </c>
      <c r="F1807" s="18" t="s">
        <v>74</v>
      </c>
      <c r="G1807" s="18">
        <v>845</v>
      </c>
      <c r="H1807" s="25">
        <f t="shared" si="112"/>
        <v>45206</v>
      </c>
      <c r="I1807" s="26">
        <f t="shared" si="113"/>
        <v>2.0138888889050577E-2</v>
      </c>
      <c r="J1807" s="18" t="str">
        <f t="shared" si="114"/>
        <v>October</v>
      </c>
      <c r="K1807" s="56" t="str">
        <f t="shared" si="115"/>
        <v>Saturday</v>
      </c>
      <c r="L1807" s="18" t="str">
        <f>IF(OR(G1807&gt;Answers!I1822,G1807&lt;Answers!I1823),"Outlier","Normal")</f>
        <v>Outlier</v>
      </c>
      <c r="M1807" s="18">
        <v>53</v>
      </c>
    </row>
    <row r="1808" spans="1:13" ht="20" customHeight="1" x14ac:dyDescent="0.35">
      <c r="A1808" s="17">
        <v>1212151</v>
      </c>
      <c r="B1808" s="18">
        <v>1139</v>
      </c>
      <c r="C1808" s="23" t="s">
        <v>99</v>
      </c>
      <c r="D1808" s="27">
        <v>44935.981249999997</v>
      </c>
      <c r="E1808" s="18" t="s">
        <v>133</v>
      </c>
      <c r="F1808" s="18" t="s">
        <v>88</v>
      </c>
      <c r="G1808" s="18">
        <v>374</v>
      </c>
      <c r="H1808" s="25">
        <f t="shared" si="112"/>
        <v>44935</v>
      </c>
      <c r="I1808" s="26">
        <f t="shared" si="113"/>
        <v>0.98124999999708962</v>
      </c>
      <c r="J1808" s="18" t="str">
        <f t="shared" si="114"/>
        <v>January</v>
      </c>
      <c r="K1808" s="56" t="str">
        <f t="shared" si="115"/>
        <v>Monday</v>
      </c>
      <c r="L1808" s="18" t="str">
        <f>IF(OR(G1808&gt;Answers!I1823,G1808&lt;Answers!I1824),"Outlier","Normal")</f>
        <v>Outlier</v>
      </c>
      <c r="M1808" s="18">
        <v>84</v>
      </c>
    </row>
    <row r="1809" spans="1:13" ht="20" customHeight="1" x14ac:dyDescent="0.35">
      <c r="A1809" s="17">
        <v>1212775</v>
      </c>
      <c r="B1809" s="18">
        <v>1685</v>
      </c>
      <c r="C1809" s="23" t="s">
        <v>99</v>
      </c>
      <c r="D1809" s="27">
        <v>45163.05972222222</v>
      </c>
      <c r="E1809" s="18" t="s">
        <v>97</v>
      </c>
      <c r="F1809" s="18" t="s">
        <v>73</v>
      </c>
      <c r="G1809" s="18">
        <v>9604</v>
      </c>
      <c r="H1809" s="25">
        <f t="shared" si="112"/>
        <v>45163</v>
      </c>
      <c r="I1809" s="26">
        <f t="shared" si="113"/>
        <v>5.9722222220443655E-2</v>
      </c>
      <c r="J1809" s="18" t="str">
        <f t="shared" si="114"/>
        <v>August</v>
      </c>
      <c r="K1809" s="56" t="str">
        <f t="shared" si="115"/>
        <v>Friday</v>
      </c>
      <c r="L1809" s="18" t="str">
        <f>IF(OR(G1809&gt;Answers!I1824,G1809&lt;Answers!I1825),"Outlier","Normal")</f>
        <v>Outlier</v>
      </c>
      <c r="M1809" s="18">
        <v>74</v>
      </c>
    </row>
    <row r="1810" spans="1:13" ht="20" customHeight="1" x14ac:dyDescent="0.35">
      <c r="A1810" s="17">
        <v>1213103</v>
      </c>
      <c r="B1810" s="18">
        <v>1429</v>
      </c>
      <c r="C1810" s="23" t="s">
        <v>104</v>
      </c>
      <c r="D1810" s="27">
        <v>45113.002083333333</v>
      </c>
      <c r="E1810" s="18" t="s">
        <v>133</v>
      </c>
      <c r="F1810" s="18" t="s">
        <v>89</v>
      </c>
      <c r="G1810" s="18">
        <v>9678</v>
      </c>
      <c r="H1810" s="25">
        <f t="shared" si="112"/>
        <v>45113</v>
      </c>
      <c r="I1810" s="26">
        <f t="shared" si="113"/>
        <v>2.0833333328482695E-3</v>
      </c>
      <c r="J1810" s="18" t="str">
        <f t="shared" si="114"/>
        <v>July</v>
      </c>
      <c r="K1810" s="56" t="str">
        <f t="shared" si="115"/>
        <v>Thursday</v>
      </c>
      <c r="L1810" s="18" t="str">
        <f>IF(OR(G1810&gt;Answers!I1825,G1810&lt;Answers!I1826),"Outlier","Normal")</f>
        <v>Outlier</v>
      </c>
      <c r="M1810" s="18">
        <v>47</v>
      </c>
    </row>
    <row r="1811" spans="1:13" ht="20" customHeight="1" x14ac:dyDescent="0.35">
      <c r="A1811" s="17">
        <v>1213344</v>
      </c>
      <c r="B1811" s="18">
        <v>504</v>
      </c>
      <c r="C1811" s="23" t="s">
        <v>102</v>
      </c>
      <c r="D1811" s="27">
        <v>45081.012499999997</v>
      </c>
      <c r="E1811" s="18" t="s">
        <v>96</v>
      </c>
      <c r="F1811" s="18" t="s">
        <v>72</v>
      </c>
      <c r="G1811" s="18">
        <v>4603</v>
      </c>
      <c r="H1811" s="25">
        <f t="shared" si="112"/>
        <v>45081</v>
      </c>
      <c r="I1811" s="26">
        <f t="shared" si="113"/>
        <v>1.2499999997089617E-2</v>
      </c>
      <c r="J1811" s="18" t="str">
        <f t="shared" si="114"/>
        <v>June</v>
      </c>
      <c r="K1811" s="56" t="str">
        <f t="shared" si="115"/>
        <v>Sunday</v>
      </c>
      <c r="L1811" s="18" t="str">
        <f>IF(OR(G1811&gt;Answers!I1826,G1811&lt;Answers!I1827),"Outlier","Normal")</f>
        <v>Outlier</v>
      </c>
      <c r="M1811" s="18">
        <v>48</v>
      </c>
    </row>
    <row r="1812" spans="1:13" ht="20" customHeight="1" x14ac:dyDescent="0.35">
      <c r="A1812" s="17">
        <v>1213449</v>
      </c>
      <c r="B1812" s="18">
        <v>729</v>
      </c>
      <c r="C1812" s="23" t="s">
        <v>107</v>
      </c>
      <c r="D1812" s="27">
        <v>44992.015972222223</v>
      </c>
      <c r="E1812" s="18" t="s">
        <v>96</v>
      </c>
      <c r="F1812" s="18" t="s">
        <v>25</v>
      </c>
      <c r="G1812" s="18">
        <v>3344</v>
      </c>
      <c r="H1812" s="25">
        <f t="shared" si="112"/>
        <v>44992</v>
      </c>
      <c r="I1812" s="26">
        <f t="shared" si="113"/>
        <v>1.5972222223354038E-2</v>
      </c>
      <c r="J1812" s="18" t="str">
        <f t="shared" si="114"/>
        <v>March</v>
      </c>
      <c r="K1812" s="56" t="str">
        <f t="shared" si="115"/>
        <v>Tuesday</v>
      </c>
      <c r="L1812" s="18" t="str">
        <f>IF(OR(G1812&gt;Answers!I1827,G1812&lt;Answers!I1828),"Outlier","Normal")</f>
        <v>Outlier</v>
      </c>
      <c r="M1812" s="18">
        <v>66</v>
      </c>
    </row>
    <row r="1813" spans="1:13" ht="20" customHeight="1" x14ac:dyDescent="0.35">
      <c r="A1813" s="17">
        <v>1214613</v>
      </c>
      <c r="B1813" s="18">
        <v>1563</v>
      </c>
      <c r="C1813" s="23" t="s">
        <v>103</v>
      </c>
      <c r="D1813" s="27">
        <v>44946.07708333333</v>
      </c>
      <c r="E1813" s="18" t="s">
        <v>98</v>
      </c>
      <c r="F1813" s="18" t="s">
        <v>49</v>
      </c>
      <c r="G1813" s="18">
        <v>2322</v>
      </c>
      <c r="H1813" s="25">
        <f t="shared" si="112"/>
        <v>44946</v>
      </c>
      <c r="I1813" s="26">
        <f t="shared" si="113"/>
        <v>7.7083333329937886E-2</v>
      </c>
      <c r="J1813" s="18" t="str">
        <f t="shared" si="114"/>
        <v>January</v>
      </c>
      <c r="K1813" s="56" t="str">
        <f t="shared" si="115"/>
        <v>Friday</v>
      </c>
      <c r="L1813" s="18" t="str">
        <f>IF(OR(G1813&gt;Answers!I1828,G1813&lt;Answers!I1829),"Outlier","Normal")</f>
        <v>Outlier</v>
      </c>
      <c r="M1813" s="18">
        <v>65</v>
      </c>
    </row>
    <row r="1814" spans="1:13" ht="20" customHeight="1" x14ac:dyDescent="0.35">
      <c r="A1814" s="17">
        <v>1214829</v>
      </c>
      <c r="B1814" s="18">
        <v>859</v>
      </c>
      <c r="C1814" s="23" t="s">
        <v>99</v>
      </c>
      <c r="D1814" s="27">
        <v>45219.024305555555</v>
      </c>
      <c r="E1814" s="18" t="s">
        <v>133</v>
      </c>
      <c r="F1814" s="18" t="s">
        <v>14</v>
      </c>
      <c r="G1814" s="18">
        <v>7575</v>
      </c>
      <c r="H1814" s="25">
        <f t="shared" si="112"/>
        <v>45219</v>
      </c>
      <c r="I1814" s="26">
        <f t="shared" si="113"/>
        <v>2.4305555554747116E-2</v>
      </c>
      <c r="J1814" s="18" t="str">
        <f t="shared" si="114"/>
        <v>October</v>
      </c>
      <c r="K1814" s="56" t="str">
        <f t="shared" si="115"/>
        <v>Friday</v>
      </c>
      <c r="L1814" s="18" t="str">
        <f>IF(OR(G1814&gt;Answers!I1829,G1814&lt;Answers!I1830),"Outlier","Normal")</f>
        <v>Outlier</v>
      </c>
      <c r="M1814" s="18">
        <v>34</v>
      </c>
    </row>
    <row r="1815" spans="1:13" ht="20" customHeight="1" x14ac:dyDescent="0.35">
      <c r="A1815" s="17">
        <v>1215680</v>
      </c>
      <c r="B1815" s="18">
        <v>1927</v>
      </c>
      <c r="C1815" s="23" t="s">
        <v>105</v>
      </c>
      <c r="D1815" s="27">
        <v>45164.031944444447</v>
      </c>
      <c r="E1815" s="18" t="s">
        <v>98</v>
      </c>
      <c r="F1815" s="18" t="s">
        <v>27</v>
      </c>
      <c r="G1815" s="18">
        <v>1775</v>
      </c>
      <c r="H1815" s="25">
        <f t="shared" si="112"/>
        <v>45164</v>
      </c>
      <c r="I1815" s="26">
        <f t="shared" si="113"/>
        <v>3.1944444446708076E-2</v>
      </c>
      <c r="J1815" s="18" t="str">
        <f t="shared" si="114"/>
        <v>August</v>
      </c>
      <c r="K1815" s="56" t="str">
        <f t="shared" si="115"/>
        <v>Saturday</v>
      </c>
      <c r="L1815" s="18" t="str">
        <f>IF(OR(G1815&gt;Answers!I1830,G1815&lt;Answers!I1831),"Outlier","Normal")</f>
        <v>Outlier</v>
      </c>
      <c r="M1815" s="18">
        <v>52</v>
      </c>
    </row>
    <row r="1816" spans="1:13" ht="20" customHeight="1" x14ac:dyDescent="0.35">
      <c r="A1816" s="17">
        <v>1217144</v>
      </c>
      <c r="B1816" s="18">
        <v>1762</v>
      </c>
      <c r="C1816" s="23" t="s">
        <v>99</v>
      </c>
      <c r="D1816" s="27">
        <v>45288.979166666664</v>
      </c>
      <c r="E1816" s="18" t="s">
        <v>133</v>
      </c>
      <c r="F1816" s="18" t="s">
        <v>7</v>
      </c>
      <c r="G1816" s="18">
        <v>3046</v>
      </c>
      <c r="H1816" s="25">
        <f t="shared" si="112"/>
        <v>45288</v>
      </c>
      <c r="I1816" s="26">
        <f t="shared" si="113"/>
        <v>0.97916666666424135</v>
      </c>
      <c r="J1816" s="18" t="str">
        <f t="shared" si="114"/>
        <v>December</v>
      </c>
      <c r="K1816" s="56" t="str">
        <f t="shared" si="115"/>
        <v>Thursday</v>
      </c>
      <c r="L1816" s="18" t="str">
        <f>IF(OR(G1816&gt;Answers!I1831,G1816&lt;Answers!I1832),"Outlier","Normal")</f>
        <v>Outlier</v>
      </c>
      <c r="M1816" s="18">
        <v>29</v>
      </c>
    </row>
    <row r="1817" spans="1:13" ht="20" customHeight="1" x14ac:dyDescent="0.35">
      <c r="A1817" s="17">
        <v>1218028</v>
      </c>
      <c r="B1817" s="18">
        <v>1649</v>
      </c>
      <c r="C1817" s="23" t="s">
        <v>99</v>
      </c>
      <c r="D1817" s="27">
        <v>44927.044444444444</v>
      </c>
      <c r="E1817" s="18" t="s">
        <v>98</v>
      </c>
      <c r="F1817" s="18" t="s">
        <v>27</v>
      </c>
      <c r="G1817" s="18">
        <v>3119</v>
      </c>
      <c r="H1817" s="25">
        <f t="shared" si="112"/>
        <v>44927</v>
      </c>
      <c r="I1817" s="26">
        <f t="shared" si="113"/>
        <v>4.4444444443797693E-2</v>
      </c>
      <c r="J1817" s="18" t="str">
        <f t="shared" si="114"/>
        <v>January</v>
      </c>
      <c r="K1817" s="56" t="str">
        <f t="shared" si="115"/>
        <v>Sunday</v>
      </c>
      <c r="L1817" s="18" t="str">
        <f>IF(OR(G1817&gt;Answers!I1832,G1817&lt;Answers!I1833),"Outlier","Normal")</f>
        <v>Outlier</v>
      </c>
      <c r="M1817" s="18">
        <v>27</v>
      </c>
    </row>
    <row r="1818" spans="1:13" ht="20" customHeight="1" x14ac:dyDescent="0.35">
      <c r="A1818" s="17">
        <v>1218374</v>
      </c>
      <c r="B1818" s="18">
        <v>1511</v>
      </c>
      <c r="C1818" s="23" t="s">
        <v>99</v>
      </c>
      <c r="D1818" s="27">
        <v>44952.002083333333</v>
      </c>
      <c r="E1818" s="18" t="s">
        <v>97</v>
      </c>
      <c r="F1818" s="18" t="s">
        <v>43</v>
      </c>
      <c r="G1818" s="18">
        <v>44</v>
      </c>
      <c r="H1818" s="25">
        <f t="shared" si="112"/>
        <v>44952</v>
      </c>
      <c r="I1818" s="26">
        <f t="shared" si="113"/>
        <v>2.0833333328482695E-3</v>
      </c>
      <c r="J1818" s="18" t="str">
        <f t="shared" si="114"/>
        <v>January</v>
      </c>
      <c r="K1818" s="56" t="str">
        <f t="shared" si="115"/>
        <v>Thursday</v>
      </c>
      <c r="L1818" s="18" t="str">
        <f>IF(OR(G1818&gt;Answers!I1833,G1818&lt;Answers!I1834),"Outlier","Normal")</f>
        <v>Outlier</v>
      </c>
      <c r="M1818" s="18">
        <v>19</v>
      </c>
    </row>
    <row r="1819" spans="1:13" ht="20" customHeight="1" x14ac:dyDescent="0.35">
      <c r="A1819" s="17">
        <v>1218403</v>
      </c>
      <c r="B1819" s="18">
        <v>1583</v>
      </c>
      <c r="C1819" s="23" t="s">
        <v>106</v>
      </c>
      <c r="D1819" s="27">
        <v>44995.055555555555</v>
      </c>
      <c r="E1819" s="18" t="s">
        <v>98</v>
      </c>
      <c r="F1819" s="18" t="s">
        <v>87</v>
      </c>
      <c r="G1819" s="18">
        <v>8012</v>
      </c>
      <c r="H1819" s="25">
        <f t="shared" si="112"/>
        <v>44995</v>
      </c>
      <c r="I1819" s="26">
        <f t="shared" si="113"/>
        <v>5.5555555554747116E-2</v>
      </c>
      <c r="J1819" s="18" t="str">
        <f t="shared" si="114"/>
        <v>March</v>
      </c>
      <c r="K1819" s="56" t="str">
        <f t="shared" si="115"/>
        <v>Friday</v>
      </c>
      <c r="L1819" s="18" t="str">
        <f>IF(OR(G1819&gt;Answers!I1834,G1819&lt;Answers!I1835),"Outlier","Normal")</f>
        <v>Outlier</v>
      </c>
      <c r="M1819" s="18">
        <v>73</v>
      </c>
    </row>
    <row r="1820" spans="1:13" ht="20" customHeight="1" x14ac:dyDescent="0.35">
      <c r="A1820" s="17">
        <v>1218457</v>
      </c>
      <c r="B1820" s="18">
        <v>870</v>
      </c>
      <c r="C1820" s="23" t="s">
        <v>113</v>
      </c>
      <c r="D1820" s="27">
        <v>44957.033333333333</v>
      </c>
      <c r="E1820" s="18" t="s">
        <v>97</v>
      </c>
      <c r="F1820" s="18" t="s">
        <v>23</v>
      </c>
      <c r="G1820" s="18">
        <v>7602</v>
      </c>
      <c r="H1820" s="25">
        <f t="shared" si="112"/>
        <v>44957</v>
      </c>
      <c r="I1820" s="26">
        <f t="shared" si="113"/>
        <v>3.3333333332848269E-2</v>
      </c>
      <c r="J1820" s="18" t="str">
        <f t="shared" si="114"/>
        <v>January</v>
      </c>
      <c r="K1820" s="56" t="str">
        <f t="shared" si="115"/>
        <v>Tuesday</v>
      </c>
      <c r="L1820" s="18" t="str">
        <f>IF(OR(G1820&gt;Answers!I1835,G1820&lt;Answers!I1836),"Outlier","Normal")</f>
        <v>Outlier</v>
      </c>
      <c r="M1820" s="18">
        <v>65</v>
      </c>
    </row>
    <row r="1821" spans="1:13" ht="20" customHeight="1" x14ac:dyDescent="0.35">
      <c r="A1821" s="17">
        <v>1219438</v>
      </c>
      <c r="B1821" s="18">
        <v>1051</v>
      </c>
      <c r="C1821" s="23" t="s">
        <v>105</v>
      </c>
      <c r="D1821" s="27">
        <v>44936.052083333336</v>
      </c>
      <c r="E1821" s="18" t="s">
        <v>98</v>
      </c>
      <c r="F1821" s="18" t="s">
        <v>52</v>
      </c>
      <c r="G1821" s="18">
        <v>3777</v>
      </c>
      <c r="H1821" s="25">
        <f t="shared" si="112"/>
        <v>44936</v>
      </c>
      <c r="I1821" s="26">
        <f t="shared" si="113"/>
        <v>5.2083333335758653E-2</v>
      </c>
      <c r="J1821" s="18" t="str">
        <f t="shared" si="114"/>
        <v>January</v>
      </c>
      <c r="K1821" s="56" t="str">
        <f t="shared" si="115"/>
        <v>Tuesday</v>
      </c>
      <c r="L1821" s="18" t="str">
        <f>IF(OR(G1821&gt;Answers!I1836,G1821&lt;Answers!I1837),"Outlier","Normal")</f>
        <v>Outlier</v>
      </c>
      <c r="M1821" s="18">
        <v>36</v>
      </c>
    </row>
    <row r="1822" spans="1:13" ht="20" customHeight="1" x14ac:dyDescent="0.35">
      <c r="A1822" s="17">
        <v>1219662</v>
      </c>
      <c r="B1822" s="18">
        <v>45</v>
      </c>
      <c r="C1822" s="23" t="s">
        <v>99</v>
      </c>
      <c r="D1822" s="27">
        <v>45056.959722222222</v>
      </c>
      <c r="E1822" s="18" t="s">
        <v>133</v>
      </c>
      <c r="F1822" s="18" t="s">
        <v>23</v>
      </c>
      <c r="G1822" s="18">
        <v>8683</v>
      </c>
      <c r="H1822" s="25">
        <f t="shared" si="112"/>
        <v>45056</v>
      </c>
      <c r="I1822" s="26">
        <f t="shared" si="113"/>
        <v>0.95972222222189885</v>
      </c>
      <c r="J1822" s="18" t="str">
        <f t="shared" si="114"/>
        <v>May</v>
      </c>
      <c r="K1822" s="56" t="str">
        <f t="shared" si="115"/>
        <v>Wednesday</v>
      </c>
      <c r="L1822" s="18" t="str">
        <f>IF(OR(G1822&gt;Answers!I1837,G1822&lt;Answers!I1838),"Outlier","Normal")</f>
        <v>Outlier</v>
      </c>
      <c r="M1822" s="18">
        <v>89</v>
      </c>
    </row>
    <row r="1823" spans="1:13" ht="20" customHeight="1" x14ac:dyDescent="0.35">
      <c r="A1823" s="17">
        <v>1219899</v>
      </c>
      <c r="B1823" s="18">
        <v>469</v>
      </c>
      <c r="C1823" s="23" t="s">
        <v>100</v>
      </c>
      <c r="D1823" s="27">
        <v>45114.010416666664</v>
      </c>
      <c r="E1823" s="18" t="s">
        <v>96</v>
      </c>
      <c r="F1823" s="18" t="s">
        <v>53</v>
      </c>
      <c r="G1823" s="18">
        <v>2819</v>
      </c>
      <c r="H1823" s="25">
        <f t="shared" si="112"/>
        <v>45114</v>
      </c>
      <c r="I1823" s="26">
        <f t="shared" si="113"/>
        <v>1.0416666664241347E-2</v>
      </c>
      <c r="J1823" s="18" t="str">
        <f t="shared" si="114"/>
        <v>July</v>
      </c>
      <c r="K1823" s="56" t="str">
        <f t="shared" si="115"/>
        <v>Friday</v>
      </c>
      <c r="L1823" s="18" t="str">
        <f>IF(OR(G1823&gt;Answers!I1838,G1823&lt;Answers!I1839),"Outlier","Normal")</f>
        <v>Outlier</v>
      </c>
      <c r="M1823" s="18">
        <v>90</v>
      </c>
    </row>
    <row r="1824" spans="1:13" ht="20" customHeight="1" x14ac:dyDescent="0.35">
      <c r="A1824" s="17">
        <v>1221201</v>
      </c>
      <c r="B1824" s="18">
        <v>1523</v>
      </c>
      <c r="C1824" s="23" t="s">
        <v>105</v>
      </c>
      <c r="D1824" s="27">
        <v>45159.001388888886</v>
      </c>
      <c r="E1824" s="18" t="s">
        <v>98</v>
      </c>
      <c r="F1824" s="18" t="s">
        <v>43</v>
      </c>
      <c r="G1824" s="18">
        <v>9665</v>
      </c>
      <c r="H1824" s="25">
        <f t="shared" si="112"/>
        <v>45159</v>
      </c>
      <c r="I1824" s="26">
        <f t="shared" si="113"/>
        <v>1.3888888861401938E-3</v>
      </c>
      <c r="J1824" s="18" t="str">
        <f t="shared" si="114"/>
        <v>August</v>
      </c>
      <c r="K1824" s="56" t="str">
        <f t="shared" si="115"/>
        <v>Monday</v>
      </c>
      <c r="L1824" s="18" t="str">
        <f>IF(OR(G1824&gt;Answers!I1839,G1824&lt;Answers!I1840),"Outlier","Normal")</f>
        <v>Outlier</v>
      </c>
      <c r="M1824" s="18">
        <v>50</v>
      </c>
    </row>
    <row r="1825" spans="1:13" ht="20" customHeight="1" x14ac:dyDescent="0.35">
      <c r="A1825" s="17">
        <v>1221647</v>
      </c>
      <c r="B1825" s="18">
        <v>113</v>
      </c>
      <c r="C1825" s="23" t="s">
        <v>99</v>
      </c>
      <c r="D1825" s="27">
        <v>45011.025000000001</v>
      </c>
      <c r="E1825" s="18" t="s">
        <v>98</v>
      </c>
      <c r="F1825" s="18" t="s">
        <v>84</v>
      </c>
      <c r="G1825" s="18">
        <v>6210</v>
      </c>
      <c r="H1825" s="25">
        <f t="shared" si="112"/>
        <v>45011</v>
      </c>
      <c r="I1825" s="26">
        <f t="shared" si="113"/>
        <v>2.5000000001455192E-2</v>
      </c>
      <c r="J1825" s="18" t="str">
        <f t="shared" si="114"/>
        <v>March</v>
      </c>
      <c r="K1825" s="56" t="str">
        <f t="shared" si="115"/>
        <v>Sunday</v>
      </c>
      <c r="L1825" s="18" t="str">
        <f>IF(OR(G1825&gt;Answers!I1840,G1825&lt;Answers!I1841),"Outlier","Normal")</f>
        <v>Outlier</v>
      </c>
      <c r="M1825" s="18">
        <v>72</v>
      </c>
    </row>
    <row r="1826" spans="1:13" ht="20" customHeight="1" x14ac:dyDescent="0.35">
      <c r="A1826" s="17">
        <v>1223016</v>
      </c>
      <c r="B1826" s="18">
        <v>1161</v>
      </c>
      <c r="C1826" s="23" t="s">
        <v>105</v>
      </c>
      <c r="D1826" s="27">
        <v>45180.986805555556</v>
      </c>
      <c r="E1826" s="18" t="s">
        <v>133</v>
      </c>
      <c r="F1826" s="18" t="s">
        <v>41</v>
      </c>
      <c r="G1826" s="18">
        <v>4739</v>
      </c>
      <c r="H1826" s="25">
        <f t="shared" si="112"/>
        <v>45180</v>
      </c>
      <c r="I1826" s="26">
        <f t="shared" si="113"/>
        <v>0.98680555555620231</v>
      </c>
      <c r="J1826" s="18" t="str">
        <f t="shared" si="114"/>
        <v>September</v>
      </c>
      <c r="K1826" s="56" t="str">
        <f t="shared" si="115"/>
        <v>Monday</v>
      </c>
      <c r="L1826" s="18" t="str">
        <f>IF(OR(G1826&gt;Answers!I1841,G1826&lt;Answers!I1842),"Outlier","Normal")</f>
        <v>Outlier</v>
      </c>
      <c r="M1826" s="18">
        <v>36</v>
      </c>
    </row>
    <row r="1827" spans="1:13" ht="20" customHeight="1" x14ac:dyDescent="0.35">
      <c r="A1827" s="17">
        <v>1223038</v>
      </c>
      <c r="B1827" s="18">
        <v>1723</v>
      </c>
      <c r="C1827" s="23" t="s">
        <v>105</v>
      </c>
      <c r="D1827" s="27">
        <v>45212.993750000001</v>
      </c>
      <c r="E1827" s="18" t="s">
        <v>97</v>
      </c>
      <c r="F1827" s="18" t="s">
        <v>80</v>
      </c>
      <c r="G1827" s="18">
        <v>8273</v>
      </c>
      <c r="H1827" s="25">
        <f t="shared" si="112"/>
        <v>45212</v>
      </c>
      <c r="I1827" s="26">
        <f t="shared" si="113"/>
        <v>0.99375000000145519</v>
      </c>
      <c r="J1827" s="18" t="str">
        <f t="shared" si="114"/>
        <v>October</v>
      </c>
      <c r="K1827" s="56" t="str">
        <f t="shared" si="115"/>
        <v>Friday</v>
      </c>
      <c r="L1827" s="18" t="str">
        <f>IF(OR(G1827&gt;Answers!I1842,G1827&lt;Answers!I1843),"Outlier","Normal")</f>
        <v>Outlier</v>
      </c>
      <c r="M1827" s="18">
        <v>82</v>
      </c>
    </row>
    <row r="1828" spans="1:13" ht="20" customHeight="1" x14ac:dyDescent="0.35">
      <c r="A1828" s="17">
        <v>1224367</v>
      </c>
      <c r="B1828" s="18">
        <v>1608</v>
      </c>
      <c r="C1828" s="23" t="s">
        <v>99</v>
      </c>
      <c r="D1828" s="27">
        <v>44979.020138888889</v>
      </c>
      <c r="E1828" s="18" t="s">
        <v>97</v>
      </c>
      <c r="F1828" s="18" t="s">
        <v>54</v>
      </c>
      <c r="G1828" s="18">
        <v>3078</v>
      </c>
      <c r="H1828" s="25">
        <f t="shared" si="112"/>
        <v>44979</v>
      </c>
      <c r="I1828" s="26">
        <f t="shared" si="113"/>
        <v>2.0138888889050577E-2</v>
      </c>
      <c r="J1828" s="18" t="str">
        <f t="shared" si="114"/>
        <v>February</v>
      </c>
      <c r="K1828" s="56" t="str">
        <f t="shared" si="115"/>
        <v>Wednesday</v>
      </c>
      <c r="L1828" s="18" t="str">
        <f>IF(OR(G1828&gt;Answers!I1843,G1828&lt;Answers!I1844),"Outlier","Normal")</f>
        <v>Outlier</v>
      </c>
      <c r="M1828" s="18">
        <v>43</v>
      </c>
    </row>
    <row r="1829" spans="1:13" ht="20" customHeight="1" x14ac:dyDescent="0.35">
      <c r="A1829" s="17">
        <v>1225156</v>
      </c>
      <c r="B1829" s="18">
        <v>1447</v>
      </c>
      <c r="C1829" s="23" t="s">
        <v>106</v>
      </c>
      <c r="D1829" s="27">
        <v>45206.972916666666</v>
      </c>
      <c r="E1829" s="18" t="s">
        <v>133</v>
      </c>
      <c r="F1829" s="18" t="s">
        <v>57</v>
      </c>
      <c r="G1829" s="18">
        <v>520</v>
      </c>
      <c r="H1829" s="25">
        <f t="shared" si="112"/>
        <v>45206</v>
      </c>
      <c r="I1829" s="26">
        <f t="shared" si="113"/>
        <v>0.97291666666569654</v>
      </c>
      <c r="J1829" s="18" t="str">
        <f t="shared" si="114"/>
        <v>October</v>
      </c>
      <c r="K1829" s="56" t="str">
        <f t="shared" si="115"/>
        <v>Saturday</v>
      </c>
      <c r="L1829" s="18" t="str">
        <f>IF(OR(G1829&gt;Answers!I1844,G1829&lt;Answers!I1845),"Outlier","Normal")</f>
        <v>Outlier</v>
      </c>
      <c r="M1829" s="18">
        <v>20</v>
      </c>
    </row>
    <row r="1830" spans="1:13" ht="20" customHeight="1" x14ac:dyDescent="0.35">
      <c r="A1830" s="17">
        <v>1226095</v>
      </c>
      <c r="B1830" s="18">
        <v>1257</v>
      </c>
      <c r="C1830" s="23" t="s">
        <v>99</v>
      </c>
      <c r="D1830" s="27">
        <v>45230.013888888891</v>
      </c>
      <c r="E1830" s="18" t="s">
        <v>133</v>
      </c>
      <c r="F1830" s="18" t="s">
        <v>34</v>
      </c>
      <c r="G1830" s="18">
        <v>782</v>
      </c>
      <c r="H1830" s="25">
        <f t="shared" si="112"/>
        <v>45230</v>
      </c>
      <c r="I1830" s="26">
        <f t="shared" si="113"/>
        <v>1.3888888890505768E-2</v>
      </c>
      <c r="J1830" s="18" t="str">
        <f t="shared" si="114"/>
        <v>October</v>
      </c>
      <c r="K1830" s="56" t="str">
        <f t="shared" si="115"/>
        <v>Tuesday</v>
      </c>
      <c r="L1830" s="18" t="str">
        <f>IF(OR(G1830&gt;Answers!I1845,G1830&lt;Answers!I1846),"Outlier","Normal")</f>
        <v>Outlier</v>
      </c>
      <c r="M1830" s="18">
        <v>69</v>
      </c>
    </row>
    <row r="1831" spans="1:13" ht="20" customHeight="1" x14ac:dyDescent="0.35">
      <c r="A1831" s="17">
        <v>1228500</v>
      </c>
      <c r="B1831" s="18">
        <v>355</v>
      </c>
      <c r="C1831" s="23" t="s">
        <v>100</v>
      </c>
      <c r="D1831" s="27">
        <v>45003.938888888886</v>
      </c>
      <c r="E1831" s="18" t="s">
        <v>133</v>
      </c>
      <c r="F1831" s="18" t="s">
        <v>59</v>
      </c>
      <c r="G1831" s="18">
        <v>8156</v>
      </c>
      <c r="H1831" s="25">
        <f t="shared" si="112"/>
        <v>45003</v>
      </c>
      <c r="I1831" s="26">
        <f t="shared" si="113"/>
        <v>0.93888888888614019</v>
      </c>
      <c r="J1831" s="18" t="str">
        <f t="shared" si="114"/>
        <v>March</v>
      </c>
      <c r="K1831" s="56" t="str">
        <f t="shared" si="115"/>
        <v>Saturday</v>
      </c>
      <c r="L1831" s="18" t="str">
        <f>IF(OR(G1831&gt;Answers!I1846,G1831&lt;Answers!I1847),"Outlier","Normal")</f>
        <v>Outlier</v>
      </c>
      <c r="M1831" s="18">
        <v>49</v>
      </c>
    </row>
    <row r="1832" spans="1:13" ht="20" customHeight="1" x14ac:dyDescent="0.35">
      <c r="A1832" s="17">
        <v>1228563</v>
      </c>
      <c r="B1832" s="18">
        <v>255</v>
      </c>
      <c r="C1832" s="23" t="s">
        <v>107</v>
      </c>
      <c r="D1832" s="27">
        <v>45213.033333333333</v>
      </c>
      <c r="E1832" s="18" t="s">
        <v>98</v>
      </c>
      <c r="F1832" s="18" t="s">
        <v>16</v>
      </c>
      <c r="G1832" s="18">
        <v>531</v>
      </c>
      <c r="H1832" s="25">
        <f t="shared" si="112"/>
        <v>45213</v>
      </c>
      <c r="I1832" s="26">
        <f t="shared" si="113"/>
        <v>3.3333333332848269E-2</v>
      </c>
      <c r="J1832" s="18" t="str">
        <f t="shared" si="114"/>
        <v>October</v>
      </c>
      <c r="K1832" s="56" t="str">
        <f t="shared" si="115"/>
        <v>Saturday</v>
      </c>
      <c r="L1832" s="18" t="str">
        <f>IF(OR(G1832&gt;Answers!I1847,G1832&lt;Answers!I1848),"Outlier","Normal")</f>
        <v>Outlier</v>
      </c>
      <c r="M1832" s="18">
        <v>62</v>
      </c>
    </row>
    <row r="1833" spans="1:13" ht="20" customHeight="1" x14ac:dyDescent="0.35">
      <c r="A1833" s="17">
        <v>1229877</v>
      </c>
      <c r="B1833" s="18">
        <v>1342</v>
      </c>
      <c r="C1833" s="23" t="s">
        <v>99</v>
      </c>
      <c r="D1833" s="27">
        <v>45144.959027777775</v>
      </c>
      <c r="E1833" s="18" t="s">
        <v>96</v>
      </c>
      <c r="F1833" s="18" t="s">
        <v>4</v>
      </c>
      <c r="G1833" s="18">
        <v>3454</v>
      </c>
      <c r="H1833" s="25">
        <f t="shared" si="112"/>
        <v>45144</v>
      </c>
      <c r="I1833" s="26">
        <f t="shared" si="113"/>
        <v>0.95902777777519077</v>
      </c>
      <c r="J1833" s="18" t="str">
        <f t="shared" si="114"/>
        <v>August</v>
      </c>
      <c r="K1833" s="56" t="str">
        <f t="shared" si="115"/>
        <v>Sunday</v>
      </c>
      <c r="L1833" s="18" t="str">
        <f>IF(OR(G1833&gt;Answers!I1848,G1833&lt;Answers!I1849),"Outlier","Normal")</f>
        <v>Outlier</v>
      </c>
      <c r="M1833" s="18">
        <v>24</v>
      </c>
    </row>
    <row r="1834" spans="1:13" ht="20" customHeight="1" x14ac:dyDescent="0.35">
      <c r="A1834" s="17">
        <v>1229912</v>
      </c>
      <c r="B1834" s="18">
        <v>1193</v>
      </c>
      <c r="C1834" s="23" t="s">
        <v>107</v>
      </c>
      <c r="D1834" s="27">
        <v>45268.993750000001</v>
      </c>
      <c r="E1834" s="18" t="s">
        <v>96</v>
      </c>
      <c r="F1834" s="18" t="s">
        <v>47</v>
      </c>
      <c r="G1834" s="18">
        <v>3977</v>
      </c>
      <c r="H1834" s="25">
        <f t="shared" si="112"/>
        <v>45268</v>
      </c>
      <c r="I1834" s="26">
        <f t="shared" si="113"/>
        <v>0.99375000000145519</v>
      </c>
      <c r="J1834" s="18" t="str">
        <f t="shared" si="114"/>
        <v>December</v>
      </c>
      <c r="K1834" s="56" t="str">
        <f t="shared" si="115"/>
        <v>Friday</v>
      </c>
      <c r="L1834" s="18" t="str">
        <f>IF(OR(G1834&gt;Answers!I1849,G1834&lt;Answers!I1850),"Outlier","Normal")</f>
        <v>Outlier</v>
      </c>
      <c r="M1834" s="18">
        <v>69</v>
      </c>
    </row>
    <row r="1835" spans="1:13" ht="20" customHeight="1" x14ac:dyDescent="0.35">
      <c r="A1835" s="17">
        <v>1230163</v>
      </c>
      <c r="B1835" s="18">
        <v>793</v>
      </c>
      <c r="C1835" s="23" t="s">
        <v>99</v>
      </c>
      <c r="D1835" s="27">
        <v>45082.945138888892</v>
      </c>
      <c r="E1835" s="18" t="s">
        <v>133</v>
      </c>
      <c r="F1835" s="18" t="s">
        <v>60</v>
      </c>
      <c r="G1835" s="18">
        <v>7586</v>
      </c>
      <c r="H1835" s="25">
        <f t="shared" si="112"/>
        <v>45082</v>
      </c>
      <c r="I1835" s="26">
        <f t="shared" si="113"/>
        <v>0.94513888889196096</v>
      </c>
      <c r="J1835" s="18" t="str">
        <f t="shared" si="114"/>
        <v>June</v>
      </c>
      <c r="K1835" s="56" t="str">
        <f t="shared" si="115"/>
        <v>Monday</v>
      </c>
      <c r="L1835" s="18" t="str">
        <f>IF(OR(G1835&gt;Answers!I1850,G1835&lt;Answers!I1851),"Outlier","Normal")</f>
        <v>Outlier</v>
      </c>
      <c r="M1835" s="18">
        <v>87</v>
      </c>
    </row>
    <row r="1836" spans="1:13" ht="20" customHeight="1" x14ac:dyDescent="0.35">
      <c r="A1836" s="17">
        <v>1230246</v>
      </c>
      <c r="B1836" s="18">
        <v>190</v>
      </c>
      <c r="C1836" s="23" t="s">
        <v>100</v>
      </c>
      <c r="D1836" s="27">
        <v>45253.952777777777</v>
      </c>
      <c r="E1836" s="18" t="s">
        <v>98</v>
      </c>
      <c r="F1836" s="18" t="s">
        <v>61</v>
      </c>
      <c r="G1836" s="18">
        <v>7244</v>
      </c>
      <c r="H1836" s="25">
        <f t="shared" si="112"/>
        <v>45253</v>
      </c>
      <c r="I1836" s="26">
        <f t="shared" si="113"/>
        <v>0.95277777777664596</v>
      </c>
      <c r="J1836" s="18" t="str">
        <f t="shared" si="114"/>
        <v>November</v>
      </c>
      <c r="K1836" s="56" t="str">
        <f t="shared" si="115"/>
        <v>Thursday</v>
      </c>
      <c r="L1836" s="18" t="str">
        <f>IF(OR(G1836&gt;Answers!I1851,G1836&lt;Answers!I1852),"Outlier","Normal")</f>
        <v>Outlier</v>
      </c>
      <c r="M1836" s="18">
        <v>71</v>
      </c>
    </row>
    <row r="1837" spans="1:13" ht="20" customHeight="1" x14ac:dyDescent="0.35">
      <c r="A1837" s="17">
        <v>1230334</v>
      </c>
      <c r="B1837" s="18">
        <v>1502</v>
      </c>
      <c r="C1837" s="23" t="s">
        <v>105</v>
      </c>
      <c r="D1837" s="27">
        <v>45041.99722222222</v>
      </c>
      <c r="E1837" s="18" t="s">
        <v>96</v>
      </c>
      <c r="F1837" s="18" t="s">
        <v>62</v>
      </c>
      <c r="G1837" s="18">
        <v>2395</v>
      </c>
      <c r="H1837" s="25">
        <f t="shared" si="112"/>
        <v>45041</v>
      </c>
      <c r="I1837" s="26">
        <f t="shared" si="113"/>
        <v>0.99722222222044365</v>
      </c>
      <c r="J1837" s="18" t="str">
        <f t="shared" si="114"/>
        <v>April</v>
      </c>
      <c r="K1837" s="56" t="str">
        <f t="shared" si="115"/>
        <v>Tuesday</v>
      </c>
      <c r="L1837" s="18" t="str">
        <f>IF(OR(G1837&gt;Answers!I1852,G1837&lt;Answers!I1853),"Outlier","Normal")</f>
        <v>Outlier</v>
      </c>
      <c r="M1837" s="18">
        <v>33</v>
      </c>
    </row>
    <row r="1838" spans="1:13" ht="20" customHeight="1" x14ac:dyDescent="0.35">
      <c r="A1838" s="17">
        <v>1231036</v>
      </c>
      <c r="B1838" s="18">
        <v>53</v>
      </c>
      <c r="C1838" s="23" t="s">
        <v>107</v>
      </c>
      <c r="D1838" s="27">
        <v>45158.0625</v>
      </c>
      <c r="E1838" s="18" t="s">
        <v>98</v>
      </c>
      <c r="F1838" s="18" t="s">
        <v>81</v>
      </c>
      <c r="G1838" s="18">
        <v>312</v>
      </c>
      <c r="H1838" s="25">
        <f t="shared" si="112"/>
        <v>45158</v>
      </c>
      <c r="I1838" s="26">
        <f t="shared" si="113"/>
        <v>6.25E-2</v>
      </c>
      <c r="J1838" s="18" t="str">
        <f t="shared" si="114"/>
        <v>August</v>
      </c>
      <c r="K1838" s="56" t="str">
        <f t="shared" si="115"/>
        <v>Sunday</v>
      </c>
      <c r="L1838" s="18" t="str">
        <f>IF(OR(G1838&gt;Answers!I1853,G1838&lt;Answers!I1854),"Outlier","Normal")</f>
        <v>Outlier</v>
      </c>
      <c r="M1838" s="18">
        <v>62</v>
      </c>
    </row>
    <row r="1839" spans="1:13" ht="20" customHeight="1" x14ac:dyDescent="0.35">
      <c r="A1839" s="17">
        <v>1232244</v>
      </c>
      <c r="B1839" s="18">
        <v>1686</v>
      </c>
      <c r="C1839" s="23" t="s">
        <v>100</v>
      </c>
      <c r="D1839" s="27">
        <v>45034.072916666664</v>
      </c>
      <c r="E1839" s="18" t="s">
        <v>133</v>
      </c>
      <c r="F1839" s="18" t="s">
        <v>18</v>
      </c>
      <c r="G1839" s="18">
        <v>7689</v>
      </c>
      <c r="H1839" s="25">
        <f t="shared" si="112"/>
        <v>45034</v>
      </c>
      <c r="I1839" s="26">
        <f t="shared" si="113"/>
        <v>7.2916666664241347E-2</v>
      </c>
      <c r="J1839" s="18" t="str">
        <f t="shared" si="114"/>
        <v>April</v>
      </c>
      <c r="K1839" s="56" t="str">
        <f t="shared" si="115"/>
        <v>Tuesday</v>
      </c>
      <c r="L1839" s="18" t="str">
        <f>IF(OR(G1839&gt;Answers!I1854,G1839&lt;Answers!I1855),"Outlier","Normal")</f>
        <v>Outlier</v>
      </c>
      <c r="M1839" s="18">
        <v>53</v>
      </c>
    </row>
    <row r="1840" spans="1:13" ht="20" customHeight="1" x14ac:dyDescent="0.35">
      <c r="A1840" s="17">
        <v>1232656</v>
      </c>
      <c r="B1840" s="18">
        <v>888</v>
      </c>
      <c r="C1840" s="23" t="s">
        <v>108</v>
      </c>
      <c r="D1840" s="27">
        <v>45020.123611111114</v>
      </c>
      <c r="E1840" s="18" t="s">
        <v>96</v>
      </c>
      <c r="F1840" s="18" t="s">
        <v>28</v>
      </c>
      <c r="G1840" s="18">
        <v>1139</v>
      </c>
      <c r="H1840" s="25">
        <f t="shared" si="112"/>
        <v>45020</v>
      </c>
      <c r="I1840" s="26">
        <f t="shared" si="113"/>
        <v>0.12361111111385981</v>
      </c>
      <c r="J1840" s="18" t="str">
        <f t="shared" si="114"/>
        <v>April</v>
      </c>
      <c r="K1840" s="56" t="str">
        <f t="shared" si="115"/>
        <v>Tuesday</v>
      </c>
      <c r="L1840" s="18" t="str">
        <f>IF(OR(G1840&gt;Answers!I1855,G1840&lt;Answers!I1856),"Outlier","Normal")</f>
        <v>Outlier</v>
      </c>
      <c r="M1840" s="18">
        <v>71</v>
      </c>
    </row>
    <row r="1841" spans="1:13" ht="20" customHeight="1" x14ac:dyDescent="0.35">
      <c r="A1841" s="17">
        <v>1234361</v>
      </c>
      <c r="B1841" s="18">
        <v>1857</v>
      </c>
      <c r="C1841" s="23" t="s">
        <v>100</v>
      </c>
      <c r="D1841" s="27">
        <v>45198.082638888889</v>
      </c>
      <c r="E1841" s="18" t="s">
        <v>98</v>
      </c>
      <c r="F1841" s="18" t="s">
        <v>39</v>
      </c>
      <c r="G1841" s="18">
        <v>760</v>
      </c>
      <c r="H1841" s="25">
        <f t="shared" si="112"/>
        <v>45198</v>
      </c>
      <c r="I1841" s="26">
        <f t="shared" si="113"/>
        <v>8.2638888889050577E-2</v>
      </c>
      <c r="J1841" s="18" t="str">
        <f t="shared" si="114"/>
        <v>September</v>
      </c>
      <c r="K1841" s="56" t="str">
        <f t="shared" si="115"/>
        <v>Friday</v>
      </c>
      <c r="L1841" s="18" t="str">
        <f>IF(OR(G1841&gt;Answers!I1856,G1841&lt;Answers!I1857),"Outlier","Normal")</f>
        <v>Outlier</v>
      </c>
      <c r="M1841" s="18">
        <v>75</v>
      </c>
    </row>
    <row r="1842" spans="1:13" ht="20" customHeight="1" x14ac:dyDescent="0.35">
      <c r="A1842" s="17">
        <v>1234676</v>
      </c>
      <c r="B1842" s="18">
        <v>972</v>
      </c>
      <c r="C1842" s="23" t="s">
        <v>100</v>
      </c>
      <c r="D1842" s="27">
        <v>44929.027083333334</v>
      </c>
      <c r="E1842" s="18" t="s">
        <v>97</v>
      </c>
      <c r="F1842" s="18" t="s">
        <v>27</v>
      </c>
      <c r="G1842" s="18">
        <v>9851</v>
      </c>
      <c r="H1842" s="25">
        <f t="shared" si="112"/>
        <v>44929</v>
      </c>
      <c r="I1842" s="26">
        <f t="shared" si="113"/>
        <v>2.7083333334303461E-2</v>
      </c>
      <c r="J1842" s="18" t="str">
        <f t="shared" si="114"/>
        <v>January</v>
      </c>
      <c r="K1842" s="56" t="str">
        <f t="shared" si="115"/>
        <v>Tuesday</v>
      </c>
      <c r="L1842" s="18" t="str">
        <f>IF(OR(G1842&gt;Answers!I1857,G1842&lt;Answers!I1858),"Outlier","Normal")</f>
        <v>Outlier</v>
      </c>
      <c r="M1842" s="18">
        <v>35</v>
      </c>
    </row>
    <row r="1843" spans="1:13" ht="20" customHeight="1" x14ac:dyDescent="0.35">
      <c r="A1843" s="17">
        <v>1234702</v>
      </c>
      <c r="B1843" s="18">
        <v>747</v>
      </c>
      <c r="C1843" s="23" t="s">
        <v>107</v>
      </c>
      <c r="D1843" s="27">
        <v>45202.008333333331</v>
      </c>
      <c r="E1843" s="18" t="s">
        <v>96</v>
      </c>
      <c r="F1843" s="18" t="s">
        <v>64</v>
      </c>
      <c r="G1843" s="18">
        <v>8157</v>
      </c>
      <c r="H1843" s="25">
        <f t="shared" si="112"/>
        <v>45202</v>
      </c>
      <c r="I1843" s="26">
        <f t="shared" si="113"/>
        <v>8.333333331393078E-3</v>
      </c>
      <c r="J1843" s="18" t="str">
        <f t="shared" si="114"/>
        <v>October</v>
      </c>
      <c r="K1843" s="56" t="str">
        <f t="shared" si="115"/>
        <v>Tuesday</v>
      </c>
      <c r="L1843" s="18" t="str">
        <f>IF(OR(G1843&gt;Answers!I1858,G1843&lt;Answers!I1859),"Outlier","Normal")</f>
        <v>Outlier</v>
      </c>
      <c r="M1843" s="18">
        <v>64</v>
      </c>
    </row>
    <row r="1844" spans="1:13" ht="20" customHeight="1" x14ac:dyDescent="0.35">
      <c r="A1844" s="17">
        <v>1234926</v>
      </c>
      <c r="B1844" s="18">
        <v>1983</v>
      </c>
      <c r="C1844" s="23" t="s">
        <v>105</v>
      </c>
      <c r="D1844" s="27">
        <v>45208.977083333331</v>
      </c>
      <c r="E1844" s="18" t="s">
        <v>133</v>
      </c>
      <c r="F1844" s="18" t="s">
        <v>8</v>
      </c>
      <c r="G1844" s="18">
        <v>2280</v>
      </c>
      <c r="H1844" s="25">
        <f t="shared" si="112"/>
        <v>45208</v>
      </c>
      <c r="I1844" s="26">
        <f t="shared" si="113"/>
        <v>0.97708333333139308</v>
      </c>
      <c r="J1844" s="18" t="str">
        <f t="shared" si="114"/>
        <v>October</v>
      </c>
      <c r="K1844" s="56" t="str">
        <f t="shared" si="115"/>
        <v>Monday</v>
      </c>
      <c r="L1844" s="18" t="str">
        <f>IF(OR(G1844&gt;Answers!I1859,G1844&lt;Answers!I1860),"Outlier","Normal")</f>
        <v>Outlier</v>
      </c>
      <c r="M1844" s="18">
        <v>35</v>
      </c>
    </row>
    <row r="1845" spans="1:13" ht="20" customHeight="1" x14ac:dyDescent="0.35">
      <c r="A1845" s="17">
        <v>1236573</v>
      </c>
      <c r="B1845" s="18">
        <v>1036</v>
      </c>
      <c r="C1845" s="23" t="s">
        <v>113</v>
      </c>
      <c r="D1845" s="27">
        <v>45166.995833333334</v>
      </c>
      <c r="E1845" s="18" t="s">
        <v>98</v>
      </c>
      <c r="F1845" s="18" t="s">
        <v>43</v>
      </c>
      <c r="G1845" s="18">
        <v>1114</v>
      </c>
      <c r="H1845" s="25">
        <f t="shared" si="112"/>
        <v>45166</v>
      </c>
      <c r="I1845" s="26">
        <f t="shared" si="113"/>
        <v>0.99583333333430346</v>
      </c>
      <c r="J1845" s="18" t="str">
        <f t="shared" si="114"/>
        <v>August</v>
      </c>
      <c r="K1845" s="56" t="str">
        <f t="shared" si="115"/>
        <v>Monday</v>
      </c>
      <c r="L1845" s="18" t="str">
        <f>IF(OR(G1845&gt;Answers!I1860,G1845&lt;Answers!I1861),"Outlier","Normal")</f>
        <v>Outlier</v>
      </c>
      <c r="M1845" s="18">
        <v>29</v>
      </c>
    </row>
    <row r="1846" spans="1:13" ht="20" customHeight="1" x14ac:dyDescent="0.35">
      <c r="A1846" s="17">
        <v>1236880</v>
      </c>
      <c r="B1846" s="18">
        <v>1511</v>
      </c>
      <c r="C1846" s="23" t="s">
        <v>99</v>
      </c>
      <c r="D1846" s="27">
        <v>45064.938194444447</v>
      </c>
      <c r="E1846" s="18" t="s">
        <v>96</v>
      </c>
      <c r="F1846" s="18" t="s">
        <v>62</v>
      </c>
      <c r="G1846" s="18">
        <v>1203</v>
      </c>
      <c r="H1846" s="25">
        <f t="shared" si="112"/>
        <v>45064</v>
      </c>
      <c r="I1846" s="26">
        <f t="shared" si="113"/>
        <v>0.93819444444670808</v>
      </c>
      <c r="J1846" s="18" t="str">
        <f t="shared" si="114"/>
        <v>May</v>
      </c>
      <c r="K1846" s="56" t="str">
        <f t="shared" si="115"/>
        <v>Thursday</v>
      </c>
      <c r="L1846" s="18" t="str">
        <f>IF(OR(G1846&gt;Answers!I1861,G1846&lt;Answers!I1862),"Outlier","Normal")</f>
        <v>Outlier</v>
      </c>
      <c r="M1846" s="18">
        <v>19</v>
      </c>
    </row>
    <row r="1847" spans="1:13" ht="20" customHeight="1" x14ac:dyDescent="0.35">
      <c r="A1847" s="17">
        <v>1237283</v>
      </c>
      <c r="B1847" s="18">
        <v>1263</v>
      </c>
      <c r="C1847" s="23" t="s">
        <v>99</v>
      </c>
      <c r="D1847" s="27">
        <v>44978.054861111108</v>
      </c>
      <c r="E1847" s="18" t="s">
        <v>96</v>
      </c>
      <c r="F1847" s="18" t="s">
        <v>81</v>
      </c>
      <c r="G1847" s="18">
        <v>3809</v>
      </c>
      <c r="H1847" s="25">
        <f t="shared" si="112"/>
        <v>44978</v>
      </c>
      <c r="I1847" s="26">
        <f t="shared" si="113"/>
        <v>5.486111110803904E-2</v>
      </c>
      <c r="J1847" s="18" t="str">
        <f t="shared" si="114"/>
        <v>February</v>
      </c>
      <c r="K1847" s="56" t="str">
        <f t="shared" si="115"/>
        <v>Tuesday</v>
      </c>
      <c r="L1847" s="18" t="str">
        <f>IF(OR(G1847&gt;Answers!I1862,G1847&lt;Answers!I1863),"Outlier","Normal")</f>
        <v>Outlier</v>
      </c>
      <c r="M1847" s="18">
        <v>78</v>
      </c>
    </row>
    <row r="1848" spans="1:13" ht="20" customHeight="1" x14ac:dyDescent="0.35">
      <c r="A1848" s="17">
        <v>1237541</v>
      </c>
      <c r="B1848" s="18">
        <v>354</v>
      </c>
      <c r="C1848" s="23" t="s">
        <v>113</v>
      </c>
      <c r="D1848" s="27">
        <v>45202.998611111114</v>
      </c>
      <c r="E1848" s="18" t="s">
        <v>98</v>
      </c>
      <c r="F1848" s="18" t="s">
        <v>88</v>
      </c>
      <c r="G1848" s="18">
        <v>301</v>
      </c>
      <c r="H1848" s="25">
        <f t="shared" si="112"/>
        <v>45202</v>
      </c>
      <c r="I1848" s="26">
        <f t="shared" si="113"/>
        <v>0.99861111111385981</v>
      </c>
      <c r="J1848" s="18" t="str">
        <f t="shared" si="114"/>
        <v>October</v>
      </c>
      <c r="K1848" s="56" t="str">
        <f t="shared" si="115"/>
        <v>Tuesday</v>
      </c>
      <c r="L1848" s="18" t="str">
        <f>IF(OR(G1848&gt;Answers!I1863,G1848&lt;Answers!I1864),"Outlier","Normal")</f>
        <v>Outlier</v>
      </c>
      <c r="M1848" s="18">
        <v>29</v>
      </c>
    </row>
    <row r="1849" spans="1:13" ht="20" customHeight="1" x14ac:dyDescent="0.35">
      <c r="A1849" s="17">
        <v>1238511</v>
      </c>
      <c r="B1849" s="18">
        <v>433</v>
      </c>
      <c r="C1849" s="23" t="s">
        <v>113</v>
      </c>
      <c r="D1849" s="27">
        <v>44935.01666666667</v>
      </c>
      <c r="E1849" s="18" t="s">
        <v>133</v>
      </c>
      <c r="F1849" s="18" t="s">
        <v>46</v>
      </c>
      <c r="G1849" s="18">
        <v>7820</v>
      </c>
      <c r="H1849" s="25">
        <f t="shared" si="112"/>
        <v>44935</v>
      </c>
      <c r="I1849" s="26">
        <f t="shared" si="113"/>
        <v>1.6666666670062114E-2</v>
      </c>
      <c r="J1849" s="18" t="str">
        <f t="shared" si="114"/>
        <v>January</v>
      </c>
      <c r="K1849" s="56" t="str">
        <f t="shared" si="115"/>
        <v>Monday</v>
      </c>
      <c r="L1849" s="18" t="str">
        <f>IF(OR(G1849&gt;Answers!I1864,G1849&lt;Answers!I1865),"Outlier","Normal")</f>
        <v>Outlier</v>
      </c>
      <c r="M1849" s="18">
        <v>55</v>
      </c>
    </row>
    <row r="1850" spans="1:13" ht="20" customHeight="1" x14ac:dyDescent="0.35">
      <c r="A1850" s="17">
        <v>1239298</v>
      </c>
      <c r="B1850" s="18">
        <v>270</v>
      </c>
      <c r="C1850" s="23" t="s">
        <v>101</v>
      </c>
      <c r="D1850" s="27">
        <v>45193.986805555556</v>
      </c>
      <c r="E1850" s="18" t="s">
        <v>97</v>
      </c>
      <c r="F1850" s="18" t="s">
        <v>82</v>
      </c>
      <c r="G1850" s="18">
        <v>1355</v>
      </c>
      <c r="H1850" s="25">
        <f t="shared" si="112"/>
        <v>45193</v>
      </c>
      <c r="I1850" s="26">
        <f t="shared" si="113"/>
        <v>0.98680555555620231</v>
      </c>
      <c r="J1850" s="18" t="str">
        <f t="shared" si="114"/>
        <v>September</v>
      </c>
      <c r="K1850" s="56" t="str">
        <f t="shared" si="115"/>
        <v>Sunday</v>
      </c>
      <c r="L1850" s="18" t="str">
        <f>IF(OR(G1850&gt;Answers!I1865,G1850&lt;Answers!I1866),"Outlier","Normal")</f>
        <v>Outlier</v>
      </c>
      <c r="M1850" s="18">
        <v>74</v>
      </c>
    </row>
    <row r="1851" spans="1:13" ht="20" customHeight="1" x14ac:dyDescent="0.35">
      <c r="A1851" s="17">
        <v>1239461</v>
      </c>
      <c r="B1851" s="18">
        <v>245</v>
      </c>
      <c r="C1851" s="23" t="s">
        <v>113</v>
      </c>
      <c r="D1851" s="27">
        <v>45183.053472222222</v>
      </c>
      <c r="E1851" s="18" t="s">
        <v>98</v>
      </c>
      <c r="F1851" s="18" t="s">
        <v>17</v>
      </c>
      <c r="G1851" s="18">
        <v>653</v>
      </c>
      <c r="H1851" s="25">
        <f t="shared" si="112"/>
        <v>45183</v>
      </c>
      <c r="I1851" s="26">
        <f t="shared" si="113"/>
        <v>5.3472222221898846E-2</v>
      </c>
      <c r="J1851" s="18" t="str">
        <f t="shared" si="114"/>
        <v>September</v>
      </c>
      <c r="K1851" s="56" t="str">
        <f t="shared" si="115"/>
        <v>Thursday</v>
      </c>
      <c r="L1851" s="18" t="str">
        <f>IF(OR(G1851&gt;Answers!I1866,G1851&lt;Answers!I1867),"Outlier","Normal")</f>
        <v>Outlier</v>
      </c>
      <c r="M1851" s="18">
        <v>63</v>
      </c>
    </row>
    <row r="1852" spans="1:13" ht="20" customHeight="1" x14ac:dyDescent="0.35">
      <c r="A1852" s="17">
        <v>1240058</v>
      </c>
      <c r="B1852" s="18">
        <v>1665</v>
      </c>
      <c r="C1852" s="23" t="s">
        <v>110</v>
      </c>
      <c r="D1852" s="27">
        <v>44929.052083333336</v>
      </c>
      <c r="E1852" s="18" t="s">
        <v>97</v>
      </c>
      <c r="F1852" s="18" t="s">
        <v>43</v>
      </c>
      <c r="G1852" s="18">
        <v>1633</v>
      </c>
      <c r="H1852" s="25">
        <f t="shared" si="112"/>
        <v>44929</v>
      </c>
      <c r="I1852" s="26">
        <f t="shared" si="113"/>
        <v>5.2083333335758653E-2</v>
      </c>
      <c r="J1852" s="18" t="str">
        <f t="shared" si="114"/>
        <v>January</v>
      </c>
      <c r="K1852" s="56" t="str">
        <f t="shared" si="115"/>
        <v>Tuesday</v>
      </c>
      <c r="L1852" s="18" t="str">
        <f>IF(OR(G1852&gt;Answers!I1867,G1852&lt;Answers!I1868),"Outlier","Normal")</f>
        <v>Outlier</v>
      </c>
      <c r="M1852" s="18">
        <v>19</v>
      </c>
    </row>
    <row r="1853" spans="1:13" ht="20" customHeight="1" x14ac:dyDescent="0.35">
      <c r="A1853" s="17">
        <v>1240090</v>
      </c>
      <c r="B1853" s="18">
        <v>319</v>
      </c>
      <c r="C1853" s="23" t="s">
        <v>113</v>
      </c>
      <c r="D1853" s="27">
        <v>44968.015972222223</v>
      </c>
      <c r="E1853" s="18" t="s">
        <v>97</v>
      </c>
      <c r="F1853" s="18" t="s">
        <v>44</v>
      </c>
      <c r="G1853" s="18">
        <v>286</v>
      </c>
      <c r="H1853" s="25">
        <f t="shared" si="112"/>
        <v>44968</v>
      </c>
      <c r="I1853" s="26">
        <f t="shared" si="113"/>
        <v>1.5972222223354038E-2</v>
      </c>
      <c r="J1853" s="18" t="str">
        <f t="shared" si="114"/>
        <v>February</v>
      </c>
      <c r="K1853" s="56" t="str">
        <f t="shared" si="115"/>
        <v>Saturday</v>
      </c>
      <c r="L1853" s="18" t="str">
        <f>IF(OR(G1853&gt;Answers!I1868,G1853&lt;Answers!I1869),"Outlier","Normal")</f>
        <v>Outlier</v>
      </c>
      <c r="M1853" s="18">
        <v>39</v>
      </c>
    </row>
    <row r="1854" spans="1:13" ht="20" customHeight="1" x14ac:dyDescent="0.35">
      <c r="A1854" s="17">
        <v>1241751</v>
      </c>
      <c r="B1854" s="18">
        <v>1252</v>
      </c>
      <c r="C1854" s="23" t="s">
        <v>99</v>
      </c>
      <c r="D1854" s="27">
        <v>45050.986111111109</v>
      </c>
      <c r="E1854" s="18" t="s">
        <v>133</v>
      </c>
      <c r="F1854" s="18" t="s">
        <v>78</v>
      </c>
      <c r="G1854" s="18">
        <v>6106</v>
      </c>
      <c r="H1854" s="25">
        <f t="shared" si="112"/>
        <v>45050</v>
      </c>
      <c r="I1854" s="26">
        <f t="shared" si="113"/>
        <v>0.98611111110949423</v>
      </c>
      <c r="J1854" s="18" t="str">
        <f t="shared" si="114"/>
        <v>May</v>
      </c>
      <c r="K1854" s="56" t="str">
        <f t="shared" si="115"/>
        <v>Thursday</v>
      </c>
      <c r="L1854" s="18" t="str">
        <f>IF(OR(G1854&gt;Answers!I1869,G1854&lt;Answers!I1870),"Outlier","Normal")</f>
        <v>Outlier</v>
      </c>
      <c r="M1854" s="18">
        <v>66</v>
      </c>
    </row>
    <row r="1855" spans="1:13" ht="20" customHeight="1" x14ac:dyDescent="0.35">
      <c r="A1855" s="17">
        <v>1242334</v>
      </c>
      <c r="B1855" s="18">
        <v>701</v>
      </c>
      <c r="C1855" s="23" t="s">
        <v>113</v>
      </c>
      <c r="D1855" s="27">
        <v>44965.96875</v>
      </c>
      <c r="E1855" s="18" t="s">
        <v>98</v>
      </c>
      <c r="F1855" s="18" t="s">
        <v>27</v>
      </c>
      <c r="G1855" s="18">
        <v>4664</v>
      </c>
      <c r="H1855" s="25">
        <f t="shared" si="112"/>
        <v>44965</v>
      </c>
      <c r="I1855" s="26">
        <f t="shared" si="113"/>
        <v>0.96875</v>
      </c>
      <c r="J1855" s="18" t="str">
        <f t="shared" si="114"/>
        <v>February</v>
      </c>
      <c r="K1855" s="56" t="str">
        <f t="shared" si="115"/>
        <v>Wednesday</v>
      </c>
      <c r="L1855" s="18" t="str">
        <f>IF(OR(G1855&gt;Answers!I1870,G1855&lt;Answers!I1871),"Outlier","Normal")</f>
        <v>Outlier</v>
      </c>
      <c r="M1855" s="18">
        <v>72</v>
      </c>
    </row>
    <row r="1856" spans="1:13" ht="20" customHeight="1" x14ac:dyDescent="0.35">
      <c r="A1856" s="17">
        <v>1242726</v>
      </c>
      <c r="B1856" s="18">
        <v>724</v>
      </c>
      <c r="C1856" s="23" t="s">
        <v>99</v>
      </c>
      <c r="D1856" s="27">
        <v>44952.98333333333</v>
      </c>
      <c r="E1856" s="18" t="s">
        <v>98</v>
      </c>
      <c r="F1856" s="18" t="s">
        <v>34</v>
      </c>
      <c r="G1856" s="18">
        <v>3036</v>
      </c>
      <c r="H1856" s="25">
        <f t="shared" si="112"/>
        <v>44952</v>
      </c>
      <c r="I1856" s="26">
        <f t="shared" si="113"/>
        <v>0.98333333332993789</v>
      </c>
      <c r="J1856" s="18" t="str">
        <f t="shared" si="114"/>
        <v>January</v>
      </c>
      <c r="K1856" s="56" t="str">
        <f t="shared" si="115"/>
        <v>Thursday</v>
      </c>
      <c r="L1856" s="18" t="str">
        <f>IF(OR(G1856&gt;Answers!I1871,G1856&lt;Answers!I1872),"Outlier","Normal")</f>
        <v>Outlier</v>
      </c>
      <c r="M1856" s="18">
        <v>30</v>
      </c>
    </row>
    <row r="1857" spans="1:13" ht="20" customHeight="1" x14ac:dyDescent="0.35">
      <c r="A1857" s="17">
        <v>1243085</v>
      </c>
      <c r="B1857" s="18">
        <v>39</v>
      </c>
      <c r="C1857" s="23" t="s">
        <v>99</v>
      </c>
      <c r="D1857" s="27">
        <v>45241.068749999999</v>
      </c>
      <c r="E1857" s="18" t="s">
        <v>133</v>
      </c>
      <c r="F1857" s="18" t="s">
        <v>87</v>
      </c>
      <c r="G1857" s="18">
        <v>6819</v>
      </c>
      <c r="H1857" s="25">
        <f t="shared" si="112"/>
        <v>45241</v>
      </c>
      <c r="I1857" s="26">
        <f t="shared" si="113"/>
        <v>6.8749999998544808E-2</v>
      </c>
      <c r="J1857" s="18" t="str">
        <f t="shared" si="114"/>
        <v>November</v>
      </c>
      <c r="K1857" s="56" t="str">
        <f t="shared" si="115"/>
        <v>Saturday</v>
      </c>
      <c r="L1857" s="18" t="str">
        <f>IF(OR(G1857&gt;Answers!I1872,G1857&lt;Answers!I1873),"Outlier","Normal")</f>
        <v>Outlier</v>
      </c>
      <c r="M1857" s="18">
        <v>46</v>
      </c>
    </row>
    <row r="1858" spans="1:13" ht="20" customHeight="1" x14ac:dyDescent="0.35">
      <c r="A1858" s="17">
        <v>1243807</v>
      </c>
      <c r="B1858" s="18">
        <v>869</v>
      </c>
      <c r="C1858" s="23" t="s">
        <v>104</v>
      </c>
      <c r="D1858" s="27">
        <v>45099.058333333334</v>
      </c>
      <c r="E1858" s="18" t="s">
        <v>98</v>
      </c>
      <c r="F1858" s="18" t="s">
        <v>78</v>
      </c>
      <c r="G1858" s="18">
        <v>5634</v>
      </c>
      <c r="H1858" s="25">
        <f t="shared" si="112"/>
        <v>45099</v>
      </c>
      <c r="I1858" s="26">
        <f t="shared" si="113"/>
        <v>5.8333333334303461E-2</v>
      </c>
      <c r="J1858" s="18" t="str">
        <f t="shared" si="114"/>
        <v>June</v>
      </c>
      <c r="K1858" s="56" t="str">
        <f t="shared" si="115"/>
        <v>Thursday</v>
      </c>
      <c r="L1858" s="18" t="str">
        <f>IF(OR(G1858&gt;Answers!I1873,G1858&lt;Answers!I1874),"Outlier","Normal")</f>
        <v>Outlier</v>
      </c>
      <c r="M1858" s="18">
        <v>56</v>
      </c>
    </row>
    <row r="1859" spans="1:13" ht="20" customHeight="1" x14ac:dyDescent="0.35">
      <c r="A1859" s="17">
        <v>1244097</v>
      </c>
      <c r="B1859" s="18">
        <v>380</v>
      </c>
      <c r="C1859" s="23" t="s">
        <v>100</v>
      </c>
      <c r="D1859" s="27">
        <v>45035.015277777777</v>
      </c>
      <c r="E1859" s="18" t="s">
        <v>133</v>
      </c>
      <c r="F1859" s="18" t="s">
        <v>27</v>
      </c>
      <c r="G1859" s="18">
        <v>1026</v>
      </c>
      <c r="H1859" s="25">
        <f t="shared" ref="H1859:H1922" si="116">INT(D1859)</f>
        <v>45035</v>
      </c>
      <c r="I1859" s="26">
        <f t="shared" ref="I1859:I1922" si="117">MOD(D1859,1)</f>
        <v>1.5277777776645962E-2</v>
      </c>
      <c r="J1859" s="18" t="str">
        <f t="shared" ref="J1859:J1922" si="118">TEXT(D1859,"mmmm")</f>
        <v>April</v>
      </c>
      <c r="K1859" s="56" t="str">
        <f t="shared" ref="K1859:K1922" si="119">TEXT(D1859,"dddd")</f>
        <v>Wednesday</v>
      </c>
      <c r="L1859" s="18" t="str">
        <f>IF(OR(G1859&gt;Answers!I1874,G1859&lt;Answers!I1875),"Outlier","Normal")</f>
        <v>Outlier</v>
      </c>
      <c r="M1859" s="18">
        <v>29</v>
      </c>
    </row>
    <row r="1860" spans="1:13" ht="20" customHeight="1" x14ac:dyDescent="0.35">
      <c r="A1860" s="17">
        <v>1244668</v>
      </c>
      <c r="B1860" s="18">
        <v>1872</v>
      </c>
      <c r="C1860" s="23" t="s">
        <v>100</v>
      </c>
      <c r="D1860" s="27">
        <v>45159.04583333333</v>
      </c>
      <c r="E1860" s="18" t="s">
        <v>98</v>
      </c>
      <c r="F1860" s="18" t="s">
        <v>69</v>
      </c>
      <c r="G1860" s="18">
        <v>9021</v>
      </c>
      <c r="H1860" s="25">
        <f t="shared" si="116"/>
        <v>45159</v>
      </c>
      <c r="I1860" s="26">
        <f t="shared" si="117"/>
        <v>4.5833333329937886E-2</v>
      </c>
      <c r="J1860" s="18" t="str">
        <f t="shared" si="118"/>
        <v>August</v>
      </c>
      <c r="K1860" s="56" t="str">
        <f t="shared" si="119"/>
        <v>Monday</v>
      </c>
      <c r="L1860" s="18" t="str">
        <f>IF(OR(G1860&gt;Answers!I1875,G1860&lt;Answers!I1876),"Outlier","Normal")</f>
        <v>Outlier</v>
      </c>
      <c r="M1860" s="18">
        <v>34</v>
      </c>
    </row>
    <row r="1861" spans="1:13" ht="20" customHeight="1" x14ac:dyDescent="0.35">
      <c r="A1861" s="17">
        <v>1244841</v>
      </c>
      <c r="B1861" s="18">
        <v>402</v>
      </c>
      <c r="C1861" s="23" t="s">
        <v>113</v>
      </c>
      <c r="D1861" s="27">
        <v>45238.033333333333</v>
      </c>
      <c r="E1861" s="18" t="s">
        <v>98</v>
      </c>
      <c r="F1861" s="18" t="s">
        <v>26</v>
      </c>
      <c r="G1861" s="18">
        <v>3692</v>
      </c>
      <c r="H1861" s="25">
        <f t="shared" si="116"/>
        <v>45238</v>
      </c>
      <c r="I1861" s="26">
        <f t="shared" si="117"/>
        <v>3.3333333332848269E-2</v>
      </c>
      <c r="J1861" s="18" t="str">
        <f t="shared" si="118"/>
        <v>November</v>
      </c>
      <c r="K1861" s="56" t="str">
        <f t="shared" si="119"/>
        <v>Wednesday</v>
      </c>
      <c r="L1861" s="18" t="str">
        <f>IF(OR(G1861&gt;Answers!I1876,G1861&lt;Answers!I1877),"Outlier","Normal")</f>
        <v>Outlier</v>
      </c>
      <c r="M1861" s="18">
        <v>27</v>
      </c>
    </row>
    <row r="1862" spans="1:13" ht="20" customHeight="1" x14ac:dyDescent="0.35">
      <c r="A1862" s="17">
        <v>1244975</v>
      </c>
      <c r="B1862" s="18">
        <v>413</v>
      </c>
      <c r="C1862" s="23" t="s">
        <v>105</v>
      </c>
      <c r="D1862" s="27">
        <v>45218.089583333334</v>
      </c>
      <c r="E1862" s="18" t="s">
        <v>133</v>
      </c>
      <c r="F1862" s="18" t="s">
        <v>27</v>
      </c>
      <c r="G1862" s="18">
        <v>9062</v>
      </c>
      <c r="H1862" s="25">
        <f t="shared" si="116"/>
        <v>45218</v>
      </c>
      <c r="I1862" s="26">
        <f t="shared" si="117"/>
        <v>8.9583333334303461E-2</v>
      </c>
      <c r="J1862" s="18" t="str">
        <f t="shared" si="118"/>
        <v>October</v>
      </c>
      <c r="K1862" s="56" t="str">
        <f t="shared" si="119"/>
        <v>Thursday</v>
      </c>
      <c r="L1862" s="18" t="str">
        <f>IF(OR(G1862&gt;Answers!I1877,G1862&lt;Answers!I1878),"Outlier","Normal")</f>
        <v>Outlier</v>
      </c>
      <c r="M1862" s="18">
        <v>47</v>
      </c>
    </row>
    <row r="1863" spans="1:13" ht="20" customHeight="1" x14ac:dyDescent="0.35">
      <c r="A1863" s="17">
        <v>1245959</v>
      </c>
      <c r="B1863" s="18">
        <v>1983</v>
      </c>
      <c r="C1863" s="23" t="s">
        <v>105</v>
      </c>
      <c r="D1863" s="27">
        <v>44981.952777777777</v>
      </c>
      <c r="E1863" s="18" t="s">
        <v>96</v>
      </c>
      <c r="F1863" s="18" t="s">
        <v>25</v>
      </c>
      <c r="G1863" s="18">
        <v>774</v>
      </c>
      <c r="H1863" s="25">
        <f t="shared" si="116"/>
        <v>44981</v>
      </c>
      <c r="I1863" s="26">
        <f t="shared" si="117"/>
        <v>0.95277777777664596</v>
      </c>
      <c r="J1863" s="18" t="str">
        <f t="shared" si="118"/>
        <v>February</v>
      </c>
      <c r="K1863" s="56" t="str">
        <f t="shared" si="119"/>
        <v>Friday</v>
      </c>
      <c r="L1863" s="18" t="str">
        <f>IF(OR(G1863&gt;Answers!I1878,G1863&lt;Answers!I1879),"Outlier","Normal")</f>
        <v>Outlier</v>
      </c>
      <c r="M1863" s="18">
        <v>35</v>
      </c>
    </row>
    <row r="1864" spans="1:13" ht="20" customHeight="1" x14ac:dyDescent="0.35">
      <c r="A1864" s="17">
        <v>1246551</v>
      </c>
      <c r="B1864" s="18">
        <v>1907</v>
      </c>
      <c r="C1864" s="23" t="s">
        <v>101</v>
      </c>
      <c r="D1864" s="27">
        <v>45072.953472222223</v>
      </c>
      <c r="E1864" s="18" t="s">
        <v>133</v>
      </c>
      <c r="F1864" s="18" t="s">
        <v>81</v>
      </c>
      <c r="G1864" s="18">
        <v>5938</v>
      </c>
      <c r="H1864" s="25">
        <f t="shared" si="116"/>
        <v>45072</v>
      </c>
      <c r="I1864" s="26">
        <f t="shared" si="117"/>
        <v>0.95347222222335404</v>
      </c>
      <c r="J1864" s="18" t="str">
        <f t="shared" si="118"/>
        <v>May</v>
      </c>
      <c r="K1864" s="56" t="str">
        <f t="shared" si="119"/>
        <v>Friday</v>
      </c>
      <c r="L1864" s="18" t="str">
        <f>IF(OR(G1864&gt;Answers!I1879,G1864&lt;Answers!I1880),"Outlier","Normal")</f>
        <v>Outlier</v>
      </c>
      <c r="M1864" s="18">
        <v>83</v>
      </c>
    </row>
    <row r="1865" spans="1:13" ht="20" customHeight="1" x14ac:dyDescent="0.35">
      <c r="A1865" s="17">
        <v>1246866</v>
      </c>
      <c r="B1865" s="18">
        <v>1884</v>
      </c>
      <c r="C1865" s="23" t="s">
        <v>99</v>
      </c>
      <c r="D1865" s="27">
        <v>45104.977777777778</v>
      </c>
      <c r="E1865" s="18" t="s">
        <v>98</v>
      </c>
      <c r="F1865" s="18" t="s">
        <v>88</v>
      </c>
      <c r="G1865" s="18">
        <v>849</v>
      </c>
      <c r="H1865" s="25">
        <f t="shared" si="116"/>
        <v>45104</v>
      </c>
      <c r="I1865" s="26">
        <f t="shared" si="117"/>
        <v>0.97777777777810115</v>
      </c>
      <c r="J1865" s="18" t="str">
        <f t="shared" si="118"/>
        <v>June</v>
      </c>
      <c r="K1865" s="56" t="str">
        <f t="shared" si="119"/>
        <v>Tuesday</v>
      </c>
      <c r="L1865" s="18" t="str">
        <f>IF(OR(G1865&gt;Answers!I1880,G1865&lt;Answers!I1881),"Outlier","Normal")</f>
        <v>Outlier</v>
      </c>
      <c r="M1865" s="18">
        <v>31</v>
      </c>
    </row>
    <row r="1866" spans="1:13" ht="20" customHeight="1" x14ac:dyDescent="0.35">
      <c r="A1866" s="17">
        <v>1247542</v>
      </c>
      <c r="B1866" s="18">
        <v>1956</v>
      </c>
      <c r="C1866" s="23" t="s">
        <v>104</v>
      </c>
      <c r="D1866" s="27">
        <v>45151.992361111108</v>
      </c>
      <c r="E1866" s="18" t="s">
        <v>97</v>
      </c>
      <c r="F1866" s="18" t="s">
        <v>43</v>
      </c>
      <c r="G1866" s="18">
        <v>632</v>
      </c>
      <c r="H1866" s="25">
        <f t="shared" si="116"/>
        <v>45151</v>
      </c>
      <c r="I1866" s="26">
        <f t="shared" si="117"/>
        <v>0.99236111110803904</v>
      </c>
      <c r="J1866" s="18" t="str">
        <f t="shared" si="118"/>
        <v>August</v>
      </c>
      <c r="K1866" s="56" t="str">
        <f t="shared" si="119"/>
        <v>Sunday</v>
      </c>
      <c r="L1866" s="18" t="str">
        <f>IF(OR(G1866&gt;Answers!I1881,G1866&lt;Answers!I1882),"Outlier","Normal")</f>
        <v>Outlier</v>
      </c>
      <c r="M1866" s="18">
        <v>41</v>
      </c>
    </row>
    <row r="1867" spans="1:13" ht="20" customHeight="1" x14ac:dyDescent="0.35">
      <c r="A1867" s="17">
        <v>1249517</v>
      </c>
      <c r="B1867" s="18">
        <v>1371</v>
      </c>
      <c r="C1867" s="23" t="s">
        <v>99</v>
      </c>
      <c r="D1867" s="27">
        <v>44963.025000000001</v>
      </c>
      <c r="E1867" s="18" t="s">
        <v>133</v>
      </c>
      <c r="F1867" s="18" t="s">
        <v>27</v>
      </c>
      <c r="G1867" s="18">
        <v>985</v>
      </c>
      <c r="H1867" s="25">
        <f t="shared" si="116"/>
        <v>44963</v>
      </c>
      <c r="I1867" s="26">
        <f t="shared" si="117"/>
        <v>2.5000000001455192E-2</v>
      </c>
      <c r="J1867" s="18" t="str">
        <f t="shared" si="118"/>
        <v>February</v>
      </c>
      <c r="K1867" s="56" t="str">
        <f t="shared" si="119"/>
        <v>Monday</v>
      </c>
      <c r="L1867" s="18" t="str">
        <f>IF(OR(G1867&gt;Answers!I1882,G1867&lt;Answers!I1883),"Outlier","Normal")</f>
        <v>Outlier</v>
      </c>
      <c r="M1867" s="18">
        <v>29</v>
      </c>
    </row>
    <row r="1868" spans="1:13" ht="20" customHeight="1" x14ac:dyDescent="0.35">
      <c r="A1868" s="17">
        <v>1250394</v>
      </c>
      <c r="B1868" s="18">
        <v>1969</v>
      </c>
      <c r="C1868" s="23" t="s">
        <v>105</v>
      </c>
      <c r="D1868" s="27">
        <v>44970.01666666667</v>
      </c>
      <c r="E1868" s="18" t="s">
        <v>97</v>
      </c>
      <c r="F1868" s="18" t="s">
        <v>65</v>
      </c>
      <c r="G1868" s="18">
        <v>9703</v>
      </c>
      <c r="H1868" s="25">
        <f t="shared" si="116"/>
        <v>44970</v>
      </c>
      <c r="I1868" s="26">
        <f t="shared" si="117"/>
        <v>1.6666666670062114E-2</v>
      </c>
      <c r="J1868" s="18" t="str">
        <f t="shared" si="118"/>
        <v>February</v>
      </c>
      <c r="K1868" s="56" t="str">
        <f t="shared" si="119"/>
        <v>Monday</v>
      </c>
      <c r="L1868" s="18" t="str">
        <f>IF(OR(G1868&gt;Answers!I1883,G1868&lt;Answers!I1884),"Outlier","Normal")</f>
        <v>Outlier</v>
      </c>
      <c r="M1868" s="18">
        <v>41</v>
      </c>
    </row>
    <row r="1869" spans="1:13" ht="20" customHeight="1" x14ac:dyDescent="0.35">
      <c r="A1869" s="17">
        <v>1250419</v>
      </c>
      <c r="B1869" s="18">
        <v>1802</v>
      </c>
      <c r="C1869" s="23" t="s">
        <v>100</v>
      </c>
      <c r="D1869" s="27">
        <v>45070.065972222219</v>
      </c>
      <c r="E1869" s="18" t="s">
        <v>97</v>
      </c>
      <c r="F1869" s="18" t="s">
        <v>24</v>
      </c>
      <c r="G1869" s="18">
        <v>3390</v>
      </c>
      <c r="H1869" s="25">
        <f t="shared" si="116"/>
        <v>45070</v>
      </c>
      <c r="I1869" s="26">
        <f t="shared" si="117"/>
        <v>6.5972222218988463E-2</v>
      </c>
      <c r="J1869" s="18" t="str">
        <f t="shared" si="118"/>
        <v>May</v>
      </c>
      <c r="K1869" s="56" t="str">
        <f t="shared" si="119"/>
        <v>Wednesday</v>
      </c>
      <c r="L1869" s="18" t="str">
        <f>IF(OR(G1869&gt;Answers!I1884,G1869&lt;Answers!I1885),"Outlier","Normal")</f>
        <v>Outlier</v>
      </c>
      <c r="M1869" s="18">
        <v>61</v>
      </c>
    </row>
    <row r="1870" spans="1:13" ht="20" customHeight="1" x14ac:dyDescent="0.35">
      <c r="A1870" s="17">
        <v>1252385</v>
      </c>
      <c r="B1870" s="18">
        <v>958</v>
      </c>
      <c r="C1870" s="23" t="s">
        <v>99</v>
      </c>
      <c r="D1870" s="27">
        <v>44983.984722222223</v>
      </c>
      <c r="E1870" s="18" t="s">
        <v>97</v>
      </c>
      <c r="F1870" s="18" t="s">
        <v>70</v>
      </c>
      <c r="G1870" s="18">
        <v>9723</v>
      </c>
      <c r="H1870" s="25">
        <f t="shared" si="116"/>
        <v>44983</v>
      </c>
      <c r="I1870" s="26">
        <f t="shared" si="117"/>
        <v>0.98472222222335404</v>
      </c>
      <c r="J1870" s="18" t="str">
        <f t="shared" si="118"/>
        <v>February</v>
      </c>
      <c r="K1870" s="56" t="str">
        <f t="shared" si="119"/>
        <v>Sunday</v>
      </c>
      <c r="L1870" s="18" t="str">
        <f>IF(OR(G1870&gt;Answers!I1885,G1870&lt;Answers!I1886),"Outlier","Normal")</f>
        <v>Outlier</v>
      </c>
      <c r="M1870" s="18">
        <v>89</v>
      </c>
    </row>
    <row r="1871" spans="1:13" ht="20" customHeight="1" x14ac:dyDescent="0.35">
      <c r="A1871" s="17">
        <v>1252899</v>
      </c>
      <c r="B1871" s="18">
        <v>749</v>
      </c>
      <c r="C1871" s="23" t="s">
        <v>106</v>
      </c>
      <c r="D1871" s="27">
        <v>45261.070138888892</v>
      </c>
      <c r="E1871" s="18" t="s">
        <v>97</v>
      </c>
      <c r="F1871" s="18" t="s">
        <v>71</v>
      </c>
      <c r="G1871" s="18">
        <v>3812</v>
      </c>
      <c r="H1871" s="25">
        <f t="shared" si="116"/>
        <v>45261</v>
      </c>
      <c r="I1871" s="26">
        <f t="shared" si="117"/>
        <v>7.013888889196096E-2</v>
      </c>
      <c r="J1871" s="18" t="str">
        <f t="shared" si="118"/>
        <v>December</v>
      </c>
      <c r="K1871" s="56" t="str">
        <f t="shared" si="119"/>
        <v>Friday</v>
      </c>
      <c r="L1871" s="18" t="str">
        <f>IF(OR(G1871&gt;Answers!I1886,G1871&lt;Answers!I1887),"Outlier","Normal")</f>
        <v>Outlier</v>
      </c>
      <c r="M1871" s="18">
        <v>82</v>
      </c>
    </row>
    <row r="1872" spans="1:13" ht="20" customHeight="1" x14ac:dyDescent="0.35">
      <c r="A1872" s="17">
        <v>1253263</v>
      </c>
      <c r="B1872" s="18">
        <v>61</v>
      </c>
      <c r="C1872" s="23" t="s">
        <v>105</v>
      </c>
      <c r="D1872" s="27">
        <v>45072.068055555559</v>
      </c>
      <c r="E1872" s="18" t="s">
        <v>133</v>
      </c>
      <c r="F1872" s="18" t="s">
        <v>43</v>
      </c>
      <c r="G1872" s="18">
        <v>2843</v>
      </c>
      <c r="H1872" s="25">
        <f t="shared" si="116"/>
        <v>45072</v>
      </c>
      <c r="I1872" s="26">
        <f t="shared" si="117"/>
        <v>6.805555555911269E-2</v>
      </c>
      <c r="J1872" s="18" t="str">
        <f t="shared" si="118"/>
        <v>May</v>
      </c>
      <c r="K1872" s="56" t="str">
        <f t="shared" si="119"/>
        <v>Friday</v>
      </c>
      <c r="L1872" s="18" t="str">
        <f>IF(OR(G1872&gt;Answers!I1887,G1872&lt;Answers!I1888),"Outlier","Normal")</f>
        <v>Outlier</v>
      </c>
      <c r="M1872" s="18">
        <v>47</v>
      </c>
    </row>
    <row r="1873" spans="1:13" ht="20" customHeight="1" x14ac:dyDescent="0.35">
      <c r="A1873" s="17">
        <v>1253641</v>
      </c>
      <c r="B1873" s="18">
        <v>786</v>
      </c>
      <c r="C1873" s="23" t="s">
        <v>108</v>
      </c>
      <c r="D1873" s="27">
        <v>44956.076388888891</v>
      </c>
      <c r="E1873" s="18" t="s">
        <v>98</v>
      </c>
      <c r="F1873" s="18" t="s">
        <v>45</v>
      </c>
      <c r="G1873" s="18">
        <v>2881</v>
      </c>
      <c r="H1873" s="25">
        <f t="shared" si="116"/>
        <v>44956</v>
      </c>
      <c r="I1873" s="26">
        <f t="shared" si="117"/>
        <v>7.6388888890505768E-2</v>
      </c>
      <c r="J1873" s="18" t="str">
        <f t="shared" si="118"/>
        <v>January</v>
      </c>
      <c r="K1873" s="56" t="str">
        <f t="shared" si="119"/>
        <v>Monday</v>
      </c>
      <c r="L1873" s="18" t="str">
        <f>IF(OR(G1873&gt;Answers!I1888,G1873&lt;Answers!I1889),"Outlier","Normal")</f>
        <v>Outlier</v>
      </c>
      <c r="M1873" s="18">
        <v>61</v>
      </c>
    </row>
    <row r="1874" spans="1:13" ht="20" customHeight="1" x14ac:dyDescent="0.35">
      <c r="A1874" s="17">
        <v>1254071</v>
      </c>
      <c r="B1874" s="18">
        <v>1367</v>
      </c>
      <c r="C1874" s="23" t="s">
        <v>107</v>
      </c>
      <c r="D1874" s="27">
        <v>44983.018055555556</v>
      </c>
      <c r="E1874" s="18" t="s">
        <v>133</v>
      </c>
      <c r="F1874" s="18" t="s">
        <v>8</v>
      </c>
      <c r="G1874" s="18">
        <v>3090</v>
      </c>
      <c r="H1874" s="25">
        <f t="shared" si="116"/>
        <v>44983</v>
      </c>
      <c r="I1874" s="26">
        <f t="shared" si="117"/>
        <v>1.8055555556202307E-2</v>
      </c>
      <c r="J1874" s="18" t="str">
        <f t="shared" si="118"/>
        <v>February</v>
      </c>
      <c r="K1874" s="56" t="str">
        <f t="shared" si="119"/>
        <v>Sunday</v>
      </c>
      <c r="L1874" s="18" t="str">
        <f>IF(OR(G1874&gt;Answers!I1889,G1874&lt;Answers!I1890),"Outlier","Normal")</f>
        <v>Outlier</v>
      </c>
      <c r="M1874" s="18">
        <v>25</v>
      </c>
    </row>
    <row r="1875" spans="1:13" ht="20" customHeight="1" x14ac:dyDescent="0.35">
      <c r="A1875" s="17">
        <v>1254601</v>
      </c>
      <c r="B1875" s="18">
        <v>1734</v>
      </c>
      <c r="C1875" s="23" t="s">
        <v>99</v>
      </c>
      <c r="D1875" s="27">
        <v>45049.029166666667</v>
      </c>
      <c r="E1875" s="18" t="s">
        <v>98</v>
      </c>
      <c r="F1875" s="18" t="s">
        <v>46</v>
      </c>
      <c r="G1875" s="18">
        <v>4180</v>
      </c>
      <c r="H1875" s="25">
        <f t="shared" si="116"/>
        <v>45049</v>
      </c>
      <c r="I1875" s="26">
        <f t="shared" si="117"/>
        <v>2.9166666667151731E-2</v>
      </c>
      <c r="J1875" s="18" t="str">
        <f t="shared" si="118"/>
        <v>May</v>
      </c>
      <c r="K1875" s="56" t="str">
        <f t="shared" si="119"/>
        <v>Wednesday</v>
      </c>
      <c r="L1875" s="18" t="str">
        <f>IF(OR(G1875&gt;Answers!I1890,G1875&lt;Answers!I1891),"Outlier","Normal")</f>
        <v>Outlier</v>
      </c>
      <c r="M1875" s="18">
        <v>62</v>
      </c>
    </row>
    <row r="1876" spans="1:13" ht="20" customHeight="1" x14ac:dyDescent="0.35">
      <c r="A1876" s="17">
        <v>1254623</v>
      </c>
      <c r="B1876" s="18">
        <v>1234</v>
      </c>
      <c r="C1876" s="23" t="s">
        <v>99</v>
      </c>
      <c r="D1876" s="27">
        <v>44958.018750000003</v>
      </c>
      <c r="E1876" s="18" t="s">
        <v>133</v>
      </c>
      <c r="F1876" s="18" t="s">
        <v>11</v>
      </c>
      <c r="G1876" s="18">
        <v>3138</v>
      </c>
      <c r="H1876" s="25">
        <f t="shared" si="116"/>
        <v>44958</v>
      </c>
      <c r="I1876" s="26">
        <f t="shared" si="117"/>
        <v>1.8750000002910383E-2</v>
      </c>
      <c r="J1876" s="18" t="str">
        <f t="shared" si="118"/>
        <v>February</v>
      </c>
      <c r="K1876" s="56" t="str">
        <f t="shared" si="119"/>
        <v>Wednesday</v>
      </c>
      <c r="L1876" s="18" t="str">
        <f>IF(OR(G1876&gt;Answers!I1891,G1876&lt;Answers!I1892),"Outlier","Normal")</f>
        <v>Outlier</v>
      </c>
      <c r="M1876" s="18">
        <v>89</v>
      </c>
    </row>
    <row r="1877" spans="1:13" ht="20" customHeight="1" x14ac:dyDescent="0.35">
      <c r="A1877" s="17">
        <v>1255175</v>
      </c>
      <c r="B1877" s="18">
        <v>458</v>
      </c>
      <c r="C1877" s="23" t="s">
        <v>102</v>
      </c>
      <c r="D1877" s="27">
        <v>45254.970138888886</v>
      </c>
      <c r="E1877" s="18" t="s">
        <v>97</v>
      </c>
      <c r="F1877" s="18" t="s">
        <v>72</v>
      </c>
      <c r="G1877" s="18">
        <v>505</v>
      </c>
      <c r="H1877" s="25">
        <f t="shared" si="116"/>
        <v>45254</v>
      </c>
      <c r="I1877" s="26">
        <f t="shared" si="117"/>
        <v>0.97013888888614019</v>
      </c>
      <c r="J1877" s="18" t="str">
        <f t="shared" si="118"/>
        <v>November</v>
      </c>
      <c r="K1877" s="56" t="str">
        <f t="shared" si="119"/>
        <v>Friday</v>
      </c>
      <c r="L1877" s="18" t="str">
        <f>IF(OR(G1877&gt;Answers!I1892,G1877&lt;Answers!I1893),"Outlier","Normal")</f>
        <v>Outlier</v>
      </c>
      <c r="M1877" s="18">
        <v>60</v>
      </c>
    </row>
    <row r="1878" spans="1:13" ht="20" customHeight="1" x14ac:dyDescent="0.35">
      <c r="A1878" s="17">
        <v>1255720</v>
      </c>
      <c r="B1878" s="18">
        <v>1690</v>
      </c>
      <c r="C1878" s="23" t="s">
        <v>101</v>
      </c>
      <c r="D1878" s="27">
        <v>45178.013888888891</v>
      </c>
      <c r="E1878" s="18" t="s">
        <v>97</v>
      </c>
      <c r="F1878" s="18" t="s">
        <v>27</v>
      </c>
      <c r="G1878" s="18">
        <v>6466</v>
      </c>
      <c r="H1878" s="25">
        <f t="shared" si="116"/>
        <v>45178</v>
      </c>
      <c r="I1878" s="26">
        <f t="shared" si="117"/>
        <v>1.3888888890505768E-2</v>
      </c>
      <c r="J1878" s="18" t="str">
        <f t="shared" si="118"/>
        <v>September</v>
      </c>
      <c r="K1878" s="56" t="str">
        <f t="shared" si="119"/>
        <v>Saturday</v>
      </c>
      <c r="L1878" s="18" t="str">
        <f>IF(OR(G1878&gt;Answers!I1893,G1878&lt;Answers!I1894),"Outlier","Normal")</f>
        <v>Outlier</v>
      </c>
      <c r="M1878" s="18">
        <v>57</v>
      </c>
    </row>
    <row r="1879" spans="1:13" ht="20" customHeight="1" x14ac:dyDescent="0.35">
      <c r="A1879" s="17">
        <v>1255723</v>
      </c>
      <c r="B1879" s="18">
        <v>57</v>
      </c>
      <c r="C1879" s="23" t="s">
        <v>113</v>
      </c>
      <c r="D1879" s="27">
        <v>45087.995833333334</v>
      </c>
      <c r="E1879" s="18" t="s">
        <v>96</v>
      </c>
      <c r="F1879" s="18" t="s">
        <v>13</v>
      </c>
      <c r="G1879" s="18">
        <v>9161</v>
      </c>
      <c r="H1879" s="25">
        <f t="shared" si="116"/>
        <v>45087</v>
      </c>
      <c r="I1879" s="26">
        <f t="shared" si="117"/>
        <v>0.99583333333430346</v>
      </c>
      <c r="J1879" s="18" t="str">
        <f t="shared" si="118"/>
        <v>June</v>
      </c>
      <c r="K1879" s="56" t="str">
        <f t="shared" si="119"/>
        <v>Saturday</v>
      </c>
      <c r="L1879" s="18" t="str">
        <f>IF(OR(G1879&gt;Answers!I1894,G1879&lt;Answers!I1895),"Outlier","Normal")</f>
        <v>Outlier</v>
      </c>
      <c r="M1879" s="18">
        <v>79</v>
      </c>
    </row>
    <row r="1880" spans="1:13" ht="20" customHeight="1" x14ac:dyDescent="0.35">
      <c r="A1880" s="17">
        <v>1256035</v>
      </c>
      <c r="B1880" s="18">
        <v>105</v>
      </c>
      <c r="C1880" s="23" t="s">
        <v>99</v>
      </c>
      <c r="D1880" s="27">
        <v>44941.965277777781</v>
      </c>
      <c r="E1880" s="18" t="s">
        <v>133</v>
      </c>
      <c r="F1880" s="18" t="s">
        <v>73</v>
      </c>
      <c r="G1880" s="18">
        <v>2774</v>
      </c>
      <c r="H1880" s="25">
        <f t="shared" si="116"/>
        <v>44941</v>
      </c>
      <c r="I1880" s="26">
        <f t="shared" si="117"/>
        <v>0.96527777778101154</v>
      </c>
      <c r="J1880" s="18" t="str">
        <f t="shared" si="118"/>
        <v>January</v>
      </c>
      <c r="K1880" s="56" t="str">
        <f t="shared" si="119"/>
        <v>Sunday</v>
      </c>
      <c r="L1880" s="18" t="str">
        <f>IF(OR(G1880&gt;Answers!I1895,G1880&lt;Answers!I1896),"Outlier","Normal")</f>
        <v>Outlier</v>
      </c>
      <c r="M1880" s="18">
        <v>80</v>
      </c>
    </row>
    <row r="1881" spans="1:13" ht="20" customHeight="1" x14ac:dyDescent="0.35">
      <c r="A1881" s="17">
        <v>1256522</v>
      </c>
      <c r="B1881" s="18">
        <v>816</v>
      </c>
      <c r="C1881" s="23" t="s">
        <v>113</v>
      </c>
      <c r="D1881" s="27">
        <v>45071.944444444445</v>
      </c>
      <c r="E1881" s="18" t="s">
        <v>96</v>
      </c>
      <c r="F1881" s="18" t="s">
        <v>52</v>
      </c>
      <c r="G1881" s="18">
        <v>7805</v>
      </c>
      <c r="H1881" s="25">
        <f t="shared" si="116"/>
        <v>45071</v>
      </c>
      <c r="I1881" s="26">
        <f t="shared" si="117"/>
        <v>0.94444444444525288</v>
      </c>
      <c r="J1881" s="18" t="str">
        <f t="shared" si="118"/>
        <v>May</v>
      </c>
      <c r="K1881" s="56" t="str">
        <f t="shared" si="119"/>
        <v>Thursday</v>
      </c>
      <c r="L1881" s="18" t="str">
        <f>IF(OR(G1881&gt;Answers!I1896,G1881&lt;Answers!I1897),"Outlier","Normal")</f>
        <v>Outlier</v>
      </c>
      <c r="M1881" s="18">
        <v>46</v>
      </c>
    </row>
    <row r="1882" spans="1:13" ht="20" customHeight="1" x14ac:dyDescent="0.35">
      <c r="A1882" s="17">
        <v>1256855</v>
      </c>
      <c r="B1882" s="18">
        <v>243</v>
      </c>
      <c r="C1882" s="23" t="s">
        <v>99</v>
      </c>
      <c r="D1882" s="27">
        <v>45185.038888888892</v>
      </c>
      <c r="E1882" s="18" t="s">
        <v>98</v>
      </c>
      <c r="F1882" s="18" t="s">
        <v>26</v>
      </c>
      <c r="G1882" s="18">
        <v>2567</v>
      </c>
      <c r="H1882" s="25">
        <f t="shared" si="116"/>
        <v>45185</v>
      </c>
      <c r="I1882" s="26">
        <f t="shared" si="117"/>
        <v>3.888888889196096E-2</v>
      </c>
      <c r="J1882" s="18" t="str">
        <f t="shared" si="118"/>
        <v>September</v>
      </c>
      <c r="K1882" s="56" t="str">
        <f t="shared" si="119"/>
        <v>Saturday</v>
      </c>
      <c r="L1882" s="18" t="str">
        <f>IF(OR(G1882&gt;Answers!I1897,G1882&lt;Answers!I1898),"Outlier","Normal")</f>
        <v>Outlier</v>
      </c>
      <c r="M1882" s="18">
        <v>18</v>
      </c>
    </row>
    <row r="1883" spans="1:13" ht="20" customHeight="1" x14ac:dyDescent="0.35">
      <c r="A1883" s="17">
        <v>1257018</v>
      </c>
      <c r="B1883" s="18">
        <v>87</v>
      </c>
      <c r="C1883" s="23" t="s">
        <v>113</v>
      </c>
      <c r="D1883" s="27">
        <v>44961.0625</v>
      </c>
      <c r="E1883" s="18" t="s">
        <v>97</v>
      </c>
      <c r="F1883" s="18" t="s">
        <v>74</v>
      </c>
      <c r="G1883" s="18">
        <v>8149</v>
      </c>
      <c r="H1883" s="25">
        <f t="shared" si="116"/>
        <v>44961</v>
      </c>
      <c r="I1883" s="26">
        <f t="shared" si="117"/>
        <v>6.25E-2</v>
      </c>
      <c r="J1883" s="18" t="str">
        <f t="shared" si="118"/>
        <v>February</v>
      </c>
      <c r="K1883" s="56" t="str">
        <f t="shared" si="119"/>
        <v>Saturday</v>
      </c>
      <c r="L1883" s="18" t="str">
        <f>IF(OR(G1883&gt;Answers!I1898,G1883&lt;Answers!I1899),"Outlier","Normal")</f>
        <v>Outlier</v>
      </c>
      <c r="M1883" s="18">
        <v>62</v>
      </c>
    </row>
    <row r="1884" spans="1:13" ht="20" customHeight="1" x14ac:dyDescent="0.35">
      <c r="A1884" s="17">
        <v>1258064</v>
      </c>
      <c r="B1884" s="18">
        <v>1478</v>
      </c>
      <c r="C1884" s="23" t="s">
        <v>104</v>
      </c>
      <c r="D1884" s="27">
        <v>45042.019444444442</v>
      </c>
      <c r="E1884" s="18" t="s">
        <v>133</v>
      </c>
      <c r="F1884" s="18" t="s">
        <v>75</v>
      </c>
      <c r="G1884" s="18">
        <v>6527</v>
      </c>
      <c r="H1884" s="25">
        <f t="shared" si="116"/>
        <v>45042</v>
      </c>
      <c r="I1884" s="26">
        <f t="shared" si="117"/>
        <v>1.9444444442342501E-2</v>
      </c>
      <c r="J1884" s="18" t="str">
        <f t="shared" si="118"/>
        <v>April</v>
      </c>
      <c r="K1884" s="56" t="str">
        <f t="shared" si="119"/>
        <v>Wednesday</v>
      </c>
      <c r="L1884" s="18" t="str">
        <f>IF(OR(G1884&gt;Answers!I1899,G1884&lt;Answers!I1900),"Outlier","Normal")</f>
        <v>Outlier</v>
      </c>
      <c r="M1884" s="18">
        <v>43</v>
      </c>
    </row>
    <row r="1885" spans="1:13" ht="20" customHeight="1" x14ac:dyDescent="0.35">
      <c r="A1885" s="17">
        <v>1258245</v>
      </c>
      <c r="B1885" s="18">
        <v>1654</v>
      </c>
      <c r="C1885" s="23" t="s">
        <v>99</v>
      </c>
      <c r="D1885" s="27">
        <v>45020.994444444441</v>
      </c>
      <c r="E1885" s="18" t="s">
        <v>97</v>
      </c>
      <c r="F1885" s="18" t="s">
        <v>73</v>
      </c>
      <c r="G1885" s="18">
        <v>3634</v>
      </c>
      <c r="H1885" s="25">
        <f t="shared" si="116"/>
        <v>45020</v>
      </c>
      <c r="I1885" s="26">
        <f t="shared" si="117"/>
        <v>0.99444444444088731</v>
      </c>
      <c r="J1885" s="18" t="str">
        <f t="shared" si="118"/>
        <v>April</v>
      </c>
      <c r="K1885" s="56" t="str">
        <f t="shared" si="119"/>
        <v>Tuesday</v>
      </c>
      <c r="L1885" s="18" t="str">
        <f>IF(OR(G1885&gt;Answers!I1900,G1885&lt;Answers!I1901),"Outlier","Normal")</f>
        <v>Outlier</v>
      </c>
      <c r="M1885" s="18">
        <v>56</v>
      </c>
    </row>
    <row r="1886" spans="1:13" ht="20" customHeight="1" x14ac:dyDescent="0.35">
      <c r="A1886" s="17">
        <v>1259011</v>
      </c>
      <c r="B1886" s="18">
        <v>1198</v>
      </c>
      <c r="C1886" s="23" t="s">
        <v>99</v>
      </c>
      <c r="D1886" s="27">
        <v>45087.071527777778</v>
      </c>
      <c r="E1886" s="18" t="s">
        <v>98</v>
      </c>
      <c r="F1886" s="18" t="s">
        <v>76</v>
      </c>
      <c r="G1886" s="18">
        <v>247</v>
      </c>
      <c r="H1886" s="25">
        <f t="shared" si="116"/>
        <v>45087</v>
      </c>
      <c r="I1886" s="26">
        <f t="shared" si="117"/>
        <v>7.1527777778101154E-2</v>
      </c>
      <c r="J1886" s="18" t="str">
        <f t="shared" si="118"/>
        <v>June</v>
      </c>
      <c r="K1886" s="56" t="str">
        <f t="shared" si="119"/>
        <v>Saturday</v>
      </c>
      <c r="L1886" s="18" t="str">
        <f>IF(OR(G1886&gt;Answers!I1901,G1886&lt;Answers!I1902),"Outlier","Normal")</f>
        <v>Outlier</v>
      </c>
      <c r="M1886" s="18">
        <v>63</v>
      </c>
    </row>
    <row r="1887" spans="1:13" ht="20" customHeight="1" x14ac:dyDescent="0.35">
      <c r="A1887" s="17">
        <v>1259418</v>
      </c>
      <c r="B1887" s="18">
        <v>1199</v>
      </c>
      <c r="C1887" s="23" t="s">
        <v>107</v>
      </c>
      <c r="D1887" s="27">
        <v>44953.01458333333</v>
      </c>
      <c r="E1887" s="18" t="s">
        <v>97</v>
      </c>
      <c r="F1887" s="18" t="s">
        <v>72</v>
      </c>
      <c r="G1887" s="18">
        <v>7775</v>
      </c>
      <c r="H1887" s="25">
        <f t="shared" si="116"/>
        <v>44953</v>
      </c>
      <c r="I1887" s="26">
        <f t="shared" si="117"/>
        <v>1.4583333329937886E-2</v>
      </c>
      <c r="J1887" s="18" t="str">
        <f t="shared" si="118"/>
        <v>January</v>
      </c>
      <c r="K1887" s="56" t="str">
        <f t="shared" si="119"/>
        <v>Friday</v>
      </c>
      <c r="L1887" s="18" t="str">
        <f>IF(OR(G1887&gt;Answers!I1902,G1887&lt;Answers!I1903),"Outlier","Normal")</f>
        <v>Outlier</v>
      </c>
      <c r="M1887" s="18">
        <v>38</v>
      </c>
    </row>
    <row r="1888" spans="1:13" ht="20" customHeight="1" x14ac:dyDescent="0.35">
      <c r="A1888" s="17">
        <v>1259696</v>
      </c>
      <c r="B1888" s="18">
        <v>1798</v>
      </c>
      <c r="C1888" s="23" t="s">
        <v>99</v>
      </c>
      <c r="D1888" s="27">
        <v>45030.026388888888</v>
      </c>
      <c r="E1888" s="18" t="s">
        <v>98</v>
      </c>
      <c r="F1888" s="18" t="s">
        <v>28</v>
      </c>
      <c r="G1888" s="18">
        <v>4028</v>
      </c>
      <c r="H1888" s="25">
        <f t="shared" si="116"/>
        <v>45030</v>
      </c>
      <c r="I1888" s="26">
        <f t="shared" si="117"/>
        <v>2.6388888887595385E-2</v>
      </c>
      <c r="J1888" s="18" t="str">
        <f t="shared" si="118"/>
        <v>April</v>
      </c>
      <c r="K1888" s="56" t="str">
        <f t="shared" si="119"/>
        <v>Friday</v>
      </c>
      <c r="L1888" s="18" t="str">
        <f>IF(OR(G1888&gt;Answers!I1903,G1888&lt;Answers!I1904),"Outlier","Normal")</f>
        <v>Outlier</v>
      </c>
      <c r="M1888" s="18">
        <v>31</v>
      </c>
    </row>
    <row r="1889" spans="1:13" ht="20" customHeight="1" x14ac:dyDescent="0.35">
      <c r="A1889" s="17">
        <v>1260670</v>
      </c>
      <c r="B1889" s="18">
        <v>1301</v>
      </c>
      <c r="C1889" s="23" t="s">
        <v>105</v>
      </c>
      <c r="D1889" s="27">
        <v>44934.047222222223</v>
      </c>
      <c r="E1889" s="18" t="s">
        <v>133</v>
      </c>
      <c r="F1889" s="18" t="s">
        <v>49</v>
      </c>
      <c r="G1889" s="18">
        <v>1655</v>
      </c>
      <c r="H1889" s="25">
        <f t="shared" si="116"/>
        <v>44934</v>
      </c>
      <c r="I1889" s="26">
        <f t="shared" si="117"/>
        <v>4.7222222223354038E-2</v>
      </c>
      <c r="J1889" s="18" t="str">
        <f t="shared" si="118"/>
        <v>January</v>
      </c>
      <c r="K1889" s="56" t="str">
        <f t="shared" si="119"/>
        <v>Sunday</v>
      </c>
      <c r="L1889" s="18" t="str">
        <f>IF(OR(G1889&gt;Answers!I1904,G1889&lt;Answers!I1905),"Outlier","Normal")</f>
        <v>Outlier</v>
      </c>
      <c r="M1889" s="18">
        <v>84</v>
      </c>
    </row>
    <row r="1890" spans="1:13" ht="20" customHeight="1" x14ac:dyDescent="0.35">
      <c r="A1890" s="17">
        <v>1262059</v>
      </c>
      <c r="B1890" s="18">
        <v>1719</v>
      </c>
      <c r="C1890" s="23" t="s">
        <v>107</v>
      </c>
      <c r="D1890" s="27">
        <v>45134.066666666666</v>
      </c>
      <c r="E1890" s="18" t="s">
        <v>96</v>
      </c>
      <c r="F1890" s="18" t="s">
        <v>14</v>
      </c>
      <c r="G1890" s="18">
        <v>1114</v>
      </c>
      <c r="H1890" s="25">
        <f t="shared" si="116"/>
        <v>45134</v>
      </c>
      <c r="I1890" s="26">
        <f t="shared" si="117"/>
        <v>6.6666666665696539E-2</v>
      </c>
      <c r="J1890" s="18" t="str">
        <f t="shared" si="118"/>
        <v>July</v>
      </c>
      <c r="K1890" s="56" t="str">
        <f t="shared" si="119"/>
        <v>Thursday</v>
      </c>
      <c r="L1890" s="18" t="str">
        <f>IF(OR(G1890&gt;Answers!I1905,G1890&lt;Answers!I1906),"Outlier","Normal")</f>
        <v>Outlier</v>
      </c>
      <c r="M1890" s="18">
        <v>23</v>
      </c>
    </row>
    <row r="1891" spans="1:13" ht="20" customHeight="1" x14ac:dyDescent="0.35">
      <c r="A1891" s="17">
        <v>1265339</v>
      </c>
      <c r="B1891" s="18">
        <v>1916</v>
      </c>
      <c r="C1891" s="23" t="s">
        <v>110</v>
      </c>
      <c r="D1891" s="27">
        <v>44928.075694444444</v>
      </c>
      <c r="E1891" s="18" t="s">
        <v>98</v>
      </c>
      <c r="F1891" s="18" t="s">
        <v>27</v>
      </c>
      <c r="G1891" s="18">
        <v>5272</v>
      </c>
      <c r="H1891" s="25">
        <f t="shared" si="116"/>
        <v>44928</v>
      </c>
      <c r="I1891" s="26">
        <f t="shared" si="117"/>
        <v>7.5694444443797693E-2</v>
      </c>
      <c r="J1891" s="18" t="str">
        <f t="shared" si="118"/>
        <v>January</v>
      </c>
      <c r="K1891" s="56" t="str">
        <f t="shared" si="119"/>
        <v>Monday</v>
      </c>
      <c r="L1891" s="18" t="str">
        <f>IF(OR(G1891&gt;Answers!I1906,G1891&lt;Answers!I1907),"Outlier","Normal")</f>
        <v>Outlier</v>
      </c>
      <c r="M1891" s="18">
        <v>34</v>
      </c>
    </row>
    <row r="1892" spans="1:13" ht="20" customHeight="1" x14ac:dyDescent="0.35">
      <c r="A1892" s="17">
        <v>1265561</v>
      </c>
      <c r="B1892" s="18">
        <v>1</v>
      </c>
      <c r="C1892" s="23" t="s">
        <v>100</v>
      </c>
      <c r="D1892" s="27">
        <v>44985.023611111108</v>
      </c>
      <c r="E1892" s="18" t="s">
        <v>98</v>
      </c>
      <c r="F1892" s="18" t="s">
        <v>77</v>
      </c>
      <c r="G1892" s="18">
        <v>3338</v>
      </c>
      <c r="H1892" s="25">
        <f t="shared" si="116"/>
        <v>44985</v>
      </c>
      <c r="I1892" s="26">
        <f t="shared" si="117"/>
        <v>2.361111110803904E-2</v>
      </c>
      <c r="J1892" s="18" t="str">
        <f t="shared" si="118"/>
        <v>February</v>
      </c>
      <c r="K1892" s="56" t="str">
        <f t="shared" si="119"/>
        <v>Tuesday</v>
      </c>
      <c r="L1892" s="18" t="str">
        <f>IF(OR(G1892&gt;Answers!I1907,G1892&lt;Answers!I1908),"Outlier","Normal")</f>
        <v>Outlier</v>
      </c>
      <c r="M1892" s="18">
        <v>31</v>
      </c>
    </row>
    <row r="1893" spans="1:13" ht="20" customHeight="1" x14ac:dyDescent="0.35">
      <c r="A1893" s="17">
        <v>1267084</v>
      </c>
      <c r="B1893" s="18">
        <v>312</v>
      </c>
      <c r="C1893" s="23" t="s">
        <v>107</v>
      </c>
      <c r="D1893" s="27">
        <v>45271.968055555553</v>
      </c>
      <c r="E1893" s="18" t="s">
        <v>96</v>
      </c>
      <c r="F1893" s="18" t="s">
        <v>27</v>
      </c>
      <c r="G1893" s="18">
        <v>3305</v>
      </c>
      <c r="H1893" s="25">
        <f t="shared" si="116"/>
        <v>45271</v>
      </c>
      <c r="I1893" s="26">
        <f t="shared" si="117"/>
        <v>0.96805555555329192</v>
      </c>
      <c r="J1893" s="18" t="str">
        <f t="shared" si="118"/>
        <v>December</v>
      </c>
      <c r="K1893" s="56" t="str">
        <f t="shared" si="119"/>
        <v>Monday</v>
      </c>
      <c r="L1893" s="18" t="str">
        <f>IF(OR(G1893&gt;Answers!I1908,G1893&lt;Answers!I1909),"Outlier","Normal")</f>
        <v>Outlier</v>
      </c>
      <c r="M1893" s="18">
        <v>38</v>
      </c>
    </row>
    <row r="1894" spans="1:13" ht="20" customHeight="1" x14ac:dyDescent="0.35">
      <c r="A1894" s="17">
        <v>1267886</v>
      </c>
      <c r="B1894" s="18">
        <v>1900</v>
      </c>
      <c r="C1894" s="23" t="s">
        <v>106</v>
      </c>
      <c r="D1894" s="27">
        <v>45086.069444444445</v>
      </c>
      <c r="E1894" s="18" t="s">
        <v>97</v>
      </c>
      <c r="F1894" s="18" t="s">
        <v>43</v>
      </c>
      <c r="G1894" s="18">
        <v>5588</v>
      </c>
      <c r="H1894" s="25">
        <f t="shared" si="116"/>
        <v>45086</v>
      </c>
      <c r="I1894" s="26">
        <f t="shared" si="117"/>
        <v>6.9444444445252884E-2</v>
      </c>
      <c r="J1894" s="18" t="str">
        <f t="shared" si="118"/>
        <v>June</v>
      </c>
      <c r="K1894" s="56" t="str">
        <f t="shared" si="119"/>
        <v>Friday</v>
      </c>
      <c r="L1894" s="18" t="str">
        <f>IF(OR(G1894&gt;Answers!I1909,G1894&lt;Answers!I1910),"Outlier","Normal")</f>
        <v>Outlier</v>
      </c>
      <c r="M1894" s="18">
        <v>28</v>
      </c>
    </row>
    <row r="1895" spans="1:13" ht="20" customHeight="1" x14ac:dyDescent="0.35">
      <c r="A1895" s="17">
        <v>1268060</v>
      </c>
      <c r="B1895" s="18">
        <v>1316</v>
      </c>
      <c r="C1895" s="23" t="s">
        <v>101</v>
      </c>
      <c r="D1895" s="27">
        <v>44930.076388888891</v>
      </c>
      <c r="E1895" s="18" t="s">
        <v>133</v>
      </c>
      <c r="F1895" s="18" t="s">
        <v>23</v>
      </c>
      <c r="G1895" s="18">
        <v>3876</v>
      </c>
      <c r="H1895" s="25">
        <f t="shared" si="116"/>
        <v>44930</v>
      </c>
      <c r="I1895" s="26">
        <f t="shared" si="117"/>
        <v>7.6388888890505768E-2</v>
      </c>
      <c r="J1895" s="18" t="str">
        <f t="shared" si="118"/>
        <v>January</v>
      </c>
      <c r="K1895" s="56" t="str">
        <f t="shared" si="119"/>
        <v>Wednesday</v>
      </c>
      <c r="L1895" s="18" t="str">
        <f>IF(OR(G1895&gt;Answers!I1910,G1895&lt;Answers!I1911),"Outlier","Normal")</f>
        <v>Outlier</v>
      </c>
      <c r="M1895" s="18">
        <v>70</v>
      </c>
    </row>
    <row r="1896" spans="1:13" ht="20" customHeight="1" x14ac:dyDescent="0.35">
      <c r="A1896" s="17">
        <v>1269964</v>
      </c>
      <c r="B1896" s="18">
        <v>1035</v>
      </c>
      <c r="C1896" s="23" t="s">
        <v>113</v>
      </c>
      <c r="D1896" s="27">
        <v>44969.027777777781</v>
      </c>
      <c r="E1896" s="18" t="s">
        <v>133</v>
      </c>
      <c r="F1896" s="18" t="s">
        <v>90</v>
      </c>
      <c r="G1896" s="18">
        <v>9940</v>
      </c>
      <c r="H1896" s="25">
        <f t="shared" si="116"/>
        <v>44969</v>
      </c>
      <c r="I1896" s="26">
        <f t="shared" si="117"/>
        <v>2.7777777781011537E-2</v>
      </c>
      <c r="J1896" s="18" t="str">
        <f t="shared" si="118"/>
        <v>February</v>
      </c>
      <c r="K1896" s="56" t="str">
        <f t="shared" si="119"/>
        <v>Sunday</v>
      </c>
      <c r="L1896" s="18" t="str">
        <f>IF(OR(G1896&gt;Answers!I1911,G1896&lt;Answers!I1912),"Outlier","Normal")</f>
        <v>Outlier</v>
      </c>
      <c r="M1896" s="18">
        <v>56</v>
      </c>
    </row>
    <row r="1897" spans="1:13" ht="20" customHeight="1" x14ac:dyDescent="0.35">
      <c r="A1897" s="17">
        <v>1271055</v>
      </c>
      <c r="B1897" s="18">
        <v>1509</v>
      </c>
      <c r="C1897" s="23" t="s">
        <v>99</v>
      </c>
      <c r="D1897" s="27">
        <v>44935.035416666666</v>
      </c>
      <c r="E1897" s="18" t="s">
        <v>97</v>
      </c>
      <c r="F1897" s="18" t="s">
        <v>23</v>
      </c>
      <c r="G1897" s="18">
        <v>9159</v>
      </c>
      <c r="H1897" s="25">
        <f t="shared" si="116"/>
        <v>44935</v>
      </c>
      <c r="I1897" s="26">
        <f t="shared" si="117"/>
        <v>3.5416666665696539E-2</v>
      </c>
      <c r="J1897" s="18" t="str">
        <f t="shared" si="118"/>
        <v>January</v>
      </c>
      <c r="K1897" s="56" t="str">
        <f t="shared" si="119"/>
        <v>Monday</v>
      </c>
      <c r="L1897" s="18" t="str">
        <f>IF(OR(G1897&gt;Answers!I1912,G1897&lt;Answers!I1913),"Outlier","Normal")</f>
        <v>Outlier</v>
      </c>
      <c r="M1897" s="18">
        <v>31</v>
      </c>
    </row>
    <row r="1898" spans="1:13" ht="20" customHeight="1" x14ac:dyDescent="0.35">
      <c r="A1898" s="17">
        <v>1271264</v>
      </c>
      <c r="B1898" s="18">
        <v>450</v>
      </c>
      <c r="C1898" s="23" t="s">
        <v>107</v>
      </c>
      <c r="D1898" s="27">
        <v>45198.050694444442</v>
      </c>
      <c r="E1898" s="18" t="s">
        <v>98</v>
      </c>
      <c r="F1898" s="18" t="s">
        <v>92</v>
      </c>
      <c r="G1898" s="18">
        <v>2686</v>
      </c>
      <c r="H1898" s="25">
        <f t="shared" si="116"/>
        <v>45198</v>
      </c>
      <c r="I1898" s="26">
        <f t="shared" si="117"/>
        <v>5.0694444442342501E-2</v>
      </c>
      <c r="J1898" s="18" t="str">
        <f t="shared" si="118"/>
        <v>September</v>
      </c>
      <c r="K1898" s="56" t="str">
        <f t="shared" si="119"/>
        <v>Friday</v>
      </c>
      <c r="L1898" s="18" t="str">
        <f>IF(OR(G1898&gt;Answers!I1913,G1898&lt;Answers!I1914),"Outlier","Normal")</f>
        <v>Outlier</v>
      </c>
      <c r="M1898" s="18">
        <v>53</v>
      </c>
    </row>
    <row r="1899" spans="1:13" ht="20" customHeight="1" x14ac:dyDescent="0.35">
      <c r="A1899" s="17">
        <v>1271599</v>
      </c>
      <c r="B1899" s="18">
        <v>987</v>
      </c>
      <c r="C1899" s="23" t="s">
        <v>99</v>
      </c>
      <c r="D1899" s="27">
        <v>45125.975694444445</v>
      </c>
      <c r="E1899" s="18" t="s">
        <v>97</v>
      </c>
      <c r="F1899" s="18" t="s">
        <v>54</v>
      </c>
      <c r="G1899" s="18">
        <v>2478</v>
      </c>
      <c r="H1899" s="25">
        <f t="shared" si="116"/>
        <v>45125</v>
      </c>
      <c r="I1899" s="26">
        <f t="shared" si="117"/>
        <v>0.97569444444525288</v>
      </c>
      <c r="J1899" s="18" t="str">
        <f t="shared" si="118"/>
        <v>July</v>
      </c>
      <c r="K1899" s="56" t="str">
        <f t="shared" si="119"/>
        <v>Tuesday</v>
      </c>
      <c r="L1899" s="18" t="str">
        <f>IF(OR(G1899&gt;Answers!I1914,G1899&lt;Answers!I1915),"Outlier","Normal")</f>
        <v>Outlier</v>
      </c>
      <c r="M1899" s="18">
        <v>23</v>
      </c>
    </row>
    <row r="1900" spans="1:13" ht="20" customHeight="1" x14ac:dyDescent="0.35">
      <c r="A1900" s="17">
        <v>1272310</v>
      </c>
      <c r="B1900" s="18">
        <v>1183</v>
      </c>
      <c r="C1900" s="23" t="s">
        <v>100</v>
      </c>
      <c r="D1900" s="27">
        <v>45139.004861111112</v>
      </c>
      <c r="E1900" s="18" t="s">
        <v>96</v>
      </c>
      <c r="F1900" s="18" t="s">
        <v>20</v>
      </c>
      <c r="G1900" s="18">
        <v>7092</v>
      </c>
      <c r="H1900" s="25">
        <f t="shared" si="116"/>
        <v>45139</v>
      </c>
      <c r="I1900" s="26">
        <f t="shared" si="117"/>
        <v>4.8611111124046147E-3</v>
      </c>
      <c r="J1900" s="18" t="str">
        <f t="shared" si="118"/>
        <v>August</v>
      </c>
      <c r="K1900" s="56" t="str">
        <f t="shared" si="119"/>
        <v>Tuesday</v>
      </c>
      <c r="L1900" s="18" t="str">
        <f>IF(OR(G1900&gt;Answers!I1915,G1900&lt;Answers!I1916),"Outlier","Normal")</f>
        <v>Outlier</v>
      </c>
      <c r="M1900" s="18">
        <v>66</v>
      </c>
    </row>
    <row r="1901" spans="1:13" ht="20" customHeight="1" x14ac:dyDescent="0.35">
      <c r="A1901" s="17">
        <v>1272986</v>
      </c>
      <c r="B1901" s="18">
        <v>1475</v>
      </c>
      <c r="C1901" s="23" t="s">
        <v>105</v>
      </c>
      <c r="D1901" s="27">
        <v>44965.068055555559</v>
      </c>
      <c r="E1901" s="18" t="s">
        <v>97</v>
      </c>
      <c r="F1901" s="18" t="s">
        <v>41</v>
      </c>
      <c r="G1901" s="18">
        <v>4629</v>
      </c>
      <c r="H1901" s="25">
        <f t="shared" si="116"/>
        <v>44965</v>
      </c>
      <c r="I1901" s="26">
        <f t="shared" si="117"/>
        <v>6.805555555911269E-2</v>
      </c>
      <c r="J1901" s="18" t="str">
        <f t="shared" si="118"/>
        <v>February</v>
      </c>
      <c r="K1901" s="56" t="str">
        <f t="shared" si="119"/>
        <v>Wednesday</v>
      </c>
      <c r="L1901" s="18" t="str">
        <f>IF(OR(G1901&gt;Answers!I1916,G1901&lt;Answers!I1917),"Outlier","Normal")</f>
        <v>Outlier</v>
      </c>
      <c r="M1901" s="18">
        <v>25</v>
      </c>
    </row>
    <row r="1902" spans="1:13" ht="20" customHeight="1" x14ac:dyDescent="0.35">
      <c r="A1902" s="17">
        <v>1273418</v>
      </c>
      <c r="B1902" s="18">
        <v>581</v>
      </c>
      <c r="C1902" s="23" t="s">
        <v>99</v>
      </c>
      <c r="D1902" s="27">
        <v>45253.969444444447</v>
      </c>
      <c r="E1902" s="18" t="s">
        <v>133</v>
      </c>
      <c r="F1902" s="18" t="s">
        <v>55</v>
      </c>
      <c r="G1902" s="18">
        <v>5316</v>
      </c>
      <c r="H1902" s="25">
        <f t="shared" si="116"/>
        <v>45253</v>
      </c>
      <c r="I1902" s="26">
        <f t="shared" si="117"/>
        <v>0.96944444444670808</v>
      </c>
      <c r="J1902" s="18" t="str">
        <f t="shared" si="118"/>
        <v>November</v>
      </c>
      <c r="K1902" s="56" t="str">
        <f t="shared" si="119"/>
        <v>Thursday</v>
      </c>
      <c r="L1902" s="18" t="str">
        <f>IF(OR(G1902&gt;Answers!I1917,G1902&lt;Answers!I1918),"Outlier","Normal")</f>
        <v>Outlier</v>
      </c>
      <c r="M1902" s="18">
        <v>53</v>
      </c>
    </row>
    <row r="1903" spans="1:13" ht="20" customHeight="1" x14ac:dyDescent="0.35">
      <c r="A1903" s="17">
        <v>1273432</v>
      </c>
      <c r="B1903" s="18">
        <v>1216</v>
      </c>
      <c r="C1903" s="23" t="s">
        <v>101</v>
      </c>
      <c r="D1903" s="27">
        <v>44963.990972222222</v>
      </c>
      <c r="E1903" s="18" t="s">
        <v>96</v>
      </c>
      <c r="F1903" s="18" t="s">
        <v>56</v>
      </c>
      <c r="G1903" s="18">
        <v>3235</v>
      </c>
      <c r="H1903" s="25">
        <f t="shared" si="116"/>
        <v>44963</v>
      </c>
      <c r="I1903" s="26">
        <f t="shared" si="117"/>
        <v>0.99097222222189885</v>
      </c>
      <c r="J1903" s="18" t="str">
        <f t="shared" si="118"/>
        <v>February</v>
      </c>
      <c r="K1903" s="56" t="str">
        <f t="shared" si="119"/>
        <v>Monday</v>
      </c>
      <c r="L1903" s="18" t="str">
        <f>IF(OR(G1903&gt;Answers!I1918,G1903&lt;Answers!I1919),"Outlier","Normal")</f>
        <v>Outlier</v>
      </c>
      <c r="M1903" s="18">
        <v>63</v>
      </c>
    </row>
    <row r="1904" spans="1:13" ht="20" customHeight="1" x14ac:dyDescent="0.35">
      <c r="A1904" s="17">
        <v>1273811</v>
      </c>
      <c r="B1904" s="18">
        <v>1905</v>
      </c>
      <c r="C1904" s="23" t="s">
        <v>105</v>
      </c>
      <c r="D1904" s="27">
        <v>45277.997916666667</v>
      </c>
      <c r="E1904" s="18" t="s">
        <v>98</v>
      </c>
      <c r="F1904" s="18" t="s">
        <v>70</v>
      </c>
      <c r="G1904" s="18">
        <v>5538</v>
      </c>
      <c r="H1904" s="25">
        <f t="shared" si="116"/>
        <v>45277</v>
      </c>
      <c r="I1904" s="26">
        <f t="shared" si="117"/>
        <v>0.99791666666715173</v>
      </c>
      <c r="J1904" s="18" t="str">
        <f t="shared" si="118"/>
        <v>December</v>
      </c>
      <c r="K1904" s="56" t="str">
        <f t="shared" si="119"/>
        <v>Sunday</v>
      </c>
      <c r="L1904" s="18" t="str">
        <f>IF(OR(G1904&gt;Answers!I1919,G1904&lt;Answers!I1920),"Outlier","Normal")</f>
        <v>Outlier</v>
      </c>
      <c r="M1904" s="18">
        <v>48</v>
      </c>
    </row>
    <row r="1905" spans="1:13" ht="20" customHeight="1" x14ac:dyDescent="0.35">
      <c r="A1905" s="17">
        <v>1274337</v>
      </c>
      <c r="B1905" s="18">
        <v>974</v>
      </c>
      <c r="C1905" s="23" t="s">
        <v>100</v>
      </c>
      <c r="D1905" s="27">
        <v>45231.087500000001</v>
      </c>
      <c r="E1905" s="18" t="s">
        <v>133</v>
      </c>
      <c r="F1905" s="18" t="s">
        <v>58</v>
      </c>
      <c r="G1905" s="18">
        <v>856</v>
      </c>
      <c r="H1905" s="25">
        <f t="shared" si="116"/>
        <v>45231</v>
      </c>
      <c r="I1905" s="26">
        <f t="shared" si="117"/>
        <v>8.7500000001455192E-2</v>
      </c>
      <c r="J1905" s="18" t="str">
        <f t="shared" si="118"/>
        <v>November</v>
      </c>
      <c r="K1905" s="56" t="str">
        <f t="shared" si="119"/>
        <v>Wednesday</v>
      </c>
      <c r="L1905" s="18" t="str">
        <f>IF(OR(G1905&gt;Answers!I1920,G1905&lt;Answers!I1921),"Outlier","Normal")</f>
        <v>Outlier</v>
      </c>
      <c r="M1905" s="18">
        <v>60</v>
      </c>
    </row>
    <row r="1906" spans="1:13" ht="20" customHeight="1" x14ac:dyDescent="0.35">
      <c r="A1906" s="17">
        <v>1274561</v>
      </c>
      <c r="B1906" s="18">
        <v>640</v>
      </c>
      <c r="C1906" s="23" t="s">
        <v>100</v>
      </c>
      <c r="D1906" s="27">
        <v>45188.081250000003</v>
      </c>
      <c r="E1906" s="18" t="s">
        <v>97</v>
      </c>
      <c r="F1906" s="18" t="s">
        <v>59</v>
      </c>
      <c r="G1906" s="18">
        <v>3448</v>
      </c>
      <c r="H1906" s="25">
        <f t="shared" si="116"/>
        <v>45188</v>
      </c>
      <c r="I1906" s="26">
        <f t="shared" si="117"/>
        <v>8.1250000002910383E-2</v>
      </c>
      <c r="J1906" s="18" t="str">
        <f t="shared" si="118"/>
        <v>September</v>
      </c>
      <c r="K1906" s="56" t="str">
        <f t="shared" si="119"/>
        <v>Tuesday</v>
      </c>
      <c r="L1906" s="18" t="str">
        <f>IF(OR(G1906&gt;Answers!I1921,G1906&lt;Answers!I1922),"Outlier","Normal")</f>
        <v>Outlier</v>
      </c>
      <c r="M1906" s="18">
        <v>51</v>
      </c>
    </row>
    <row r="1907" spans="1:13" ht="20" customHeight="1" x14ac:dyDescent="0.35">
      <c r="A1907" s="17">
        <v>1275891</v>
      </c>
      <c r="B1907" s="18">
        <v>248</v>
      </c>
      <c r="C1907" s="23" t="s">
        <v>99</v>
      </c>
      <c r="D1907" s="27">
        <v>45248.943749999999</v>
      </c>
      <c r="E1907" s="18" t="s">
        <v>96</v>
      </c>
      <c r="F1907" s="18" t="s">
        <v>37</v>
      </c>
      <c r="G1907" s="18">
        <v>1143</v>
      </c>
      <c r="H1907" s="25">
        <f t="shared" si="116"/>
        <v>45248</v>
      </c>
      <c r="I1907" s="26">
        <f t="shared" si="117"/>
        <v>0.94374999999854481</v>
      </c>
      <c r="J1907" s="18" t="str">
        <f t="shared" si="118"/>
        <v>November</v>
      </c>
      <c r="K1907" s="56" t="str">
        <f t="shared" si="119"/>
        <v>Saturday</v>
      </c>
      <c r="L1907" s="18" t="str">
        <f>IF(OR(G1907&gt;Answers!I1922,G1907&lt;Answers!I1923),"Outlier","Normal")</f>
        <v>Outlier</v>
      </c>
      <c r="M1907" s="18">
        <v>47</v>
      </c>
    </row>
    <row r="1908" spans="1:13" ht="20" customHeight="1" x14ac:dyDescent="0.35">
      <c r="A1908" s="17">
        <v>1275955</v>
      </c>
      <c r="B1908" s="18">
        <v>1506</v>
      </c>
      <c r="C1908" s="23" t="s">
        <v>99</v>
      </c>
      <c r="D1908" s="27">
        <v>45144.067361111112</v>
      </c>
      <c r="E1908" s="18" t="s">
        <v>133</v>
      </c>
      <c r="F1908" s="18" t="s">
        <v>27</v>
      </c>
      <c r="G1908" s="18">
        <v>8000</v>
      </c>
      <c r="H1908" s="25">
        <f t="shared" si="116"/>
        <v>45144</v>
      </c>
      <c r="I1908" s="26">
        <f t="shared" si="117"/>
        <v>6.7361111112404615E-2</v>
      </c>
      <c r="J1908" s="18" t="str">
        <f t="shared" si="118"/>
        <v>August</v>
      </c>
      <c r="K1908" s="56" t="str">
        <f t="shared" si="119"/>
        <v>Sunday</v>
      </c>
      <c r="L1908" s="18" t="str">
        <f>IF(OR(G1908&gt;Answers!I1923,G1908&lt;Answers!I1924),"Outlier","Normal")</f>
        <v>Outlier</v>
      </c>
      <c r="M1908" s="18">
        <v>18</v>
      </c>
    </row>
    <row r="1909" spans="1:13" ht="20" customHeight="1" x14ac:dyDescent="0.35">
      <c r="A1909" s="17">
        <v>1276372</v>
      </c>
      <c r="B1909" s="18">
        <v>414</v>
      </c>
      <c r="C1909" s="23" t="s">
        <v>113</v>
      </c>
      <c r="D1909" s="27">
        <v>44988.036805555559</v>
      </c>
      <c r="E1909" s="18" t="s">
        <v>96</v>
      </c>
      <c r="F1909" s="18" t="s">
        <v>45</v>
      </c>
      <c r="G1909" s="18">
        <v>1465</v>
      </c>
      <c r="H1909" s="25">
        <f t="shared" si="116"/>
        <v>44988</v>
      </c>
      <c r="I1909" s="26">
        <f t="shared" si="117"/>
        <v>3.680555555911269E-2</v>
      </c>
      <c r="J1909" s="18" t="str">
        <f t="shared" si="118"/>
        <v>March</v>
      </c>
      <c r="K1909" s="56" t="str">
        <f t="shared" si="119"/>
        <v>Friday</v>
      </c>
      <c r="L1909" s="18" t="str">
        <f>IF(OR(G1909&gt;Answers!I1924,G1909&lt;Answers!I1925),"Outlier","Normal")</f>
        <v>Outlier</v>
      </c>
      <c r="M1909" s="18">
        <v>86</v>
      </c>
    </row>
    <row r="1910" spans="1:13" ht="20" customHeight="1" x14ac:dyDescent="0.35">
      <c r="A1910" s="17">
        <v>1277957</v>
      </c>
      <c r="B1910" s="18">
        <v>1687</v>
      </c>
      <c r="C1910" s="23" t="s">
        <v>101</v>
      </c>
      <c r="D1910" s="27">
        <v>44952.071527777778</v>
      </c>
      <c r="E1910" s="18" t="s">
        <v>98</v>
      </c>
      <c r="F1910" s="18" t="s">
        <v>89</v>
      </c>
      <c r="G1910" s="18">
        <v>2062</v>
      </c>
      <c r="H1910" s="25">
        <f t="shared" si="116"/>
        <v>44952</v>
      </c>
      <c r="I1910" s="26">
        <f t="shared" si="117"/>
        <v>7.1527777778101154E-2</v>
      </c>
      <c r="J1910" s="18" t="str">
        <f t="shared" si="118"/>
        <v>January</v>
      </c>
      <c r="K1910" s="56" t="str">
        <f t="shared" si="119"/>
        <v>Thursday</v>
      </c>
      <c r="L1910" s="18" t="str">
        <f>IF(OR(G1910&gt;Answers!I1925,G1910&lt;Answers!I1926),"Outlier","Normal")</f>
        <v>Outlier</v>
      </c>
      <c r="M1910" s="18">
        <v>38</v>
      </c>
    </row>
    <row r="1911" spans="1:13" ht="20" customHeight="1" x14ac:dyDescent="0.35">
      <c r="A1911" s="17">
        <v>1278430</v>
      </c>
      <c r="B1911" s="18">
        <v>1947</v>
      </c>
      <c r="C1911" s="23" t="s">
        <v>105</v>
      </c>
      <c r="D1911" s="27">
        <v>45141.994444444441</v>
      </c>
      <c r="E1911" s="18" t="s">
        <v>98</v>
      </c>
      <c r="F1911" s="18" t="s">
        <v>93</v>
      </c>
      <c r="G1911" s="18">
        <v>2876</v>
      </c>
      <c r="H1911" s="25">
        <f t="shared" si="116"/>
        <v>45141</v>
      </c>
      <c r="I1911" s="26">
        <f t="shared" si="117"/>
        <v>0.99444444444088731</v>
      </c>
      <c r="J1911" s="18" t="str">
        <f t="shared" si="118"/>
        <v>August</v>
      </c>
      <c r="K1911" s="56" t="str">
        <f t="shared" si="119"/>
        <v>Thursday</v>
      </c>
      <c r="L1911" s="18" t="str">
        <f>IF(OR(G1911&gt;Answers!I1926,G1911&lt;Answers!I1927),"Outlier","Normal")</f>
        <v>Outlier</v>
      </c>
      <c r="M1911" s="18">
        <v>33</v>
      </c>
    </row>
    <row r="1912" spans="1:13" ht="20" customHeight="1" x14ac:dyDescent="0.35">
      <c r="A1912" s="17">
        <v>1278929</v>
      </c>
      <c r="B1912" s="18">
        <v>413</v>
      </c>
      <c r="C1912" s="23" t="s">
        <v>105</v>
      </c>
      <c r="D1912" s="27">
        <v>45032.976388888892</v>
      </c>
      <c r="E1912" s="18" t="s">
        <v>98</v>
      </c>
      <c r="F1912" s="18" t="s">
        <v>33</v>
      </c>
      <c r="G1912" s="18">
        <v>6020</v>
      </c>
      <c r="H1912" s="25">
        <f t="shared" si="116"/>
        <v>45032</v>
      </c>
      <c r="I1912" s="26">
        <f t="shared" si="117"/>
        <v>0.97638888889196096</v>
      </c>
      <c r="J1912" s="18" t="str">
        <f t="shared" si="118"/>
        <v>April</v>
      </c>
      <c r="K1912" s="56" t="str">
        <f t="shared" si="119"/>
        <v>Sunday</v>
      </c>
      <c r="L1912" s="18" t="str">
        <f>IF(OR(G1912&gt;Answers!I1927,G1912&lt;Answers!I1928),"Outlier","Normal")</f>
        <v>Outlier</v>
      </c>
      <c r="M1912" s="18">
        <v>47</v>
      </c>
    </row>
    <row r="1913" spans="1:13" ht="20" customHeight="1" x14ac:dyDescent="0.35">
      <c r="A1913" s="17">
        <v>1279393</v>
      </c>
      <c r="B1913" s="18">
        <v>1340</v>
      </c>
      <c r="C1913" s="23" t="s">
        <v>107</v>
      </c>
      <c r="D1913" s="27">
        <v>45177.042361111111</v>
      </c>
      <c r="E1913" s="18" t="s">
        <v>96</v>
      </c>
      <c r="F1913" s="18" t="s">
        <v>63</v>
      </c>
      <c r="G1913" s="18">
        <v>9753</v>
      </c>
      <c r="H1913" s="25">
        <f t="shared" si="116"/>
        <v>45177</v>
      </c>
      <c r="I1913" s="26">
        <f t="shared" si="117"/>
        <v>4.2361111110949423E-2</v>
      </c>
      <c r="J1913" s="18" t="str">
        <f t="shared" si="118"/>
        <v>September</v>
      </c>
      <c r="K1913" s="56" t="str">
        <f t="shared" si="119"/>
        <v>Friday</v>
      </c>
      <c r="L1913" s="18" t="str">
        <f>IF(OR(G1913&gt;Answers!I1928,G1913&lt;Answers!I1929),"Outlier","Normal")</f>
        <v>Outlier</v>
      </c>
      <c r="M1913" s="18">
        <v>40</v>
      </c>
    </row>
    <row r="1914" spans="1:13" ht="20" customHeight="1" x14ac:dyDescent="0.35">
      <c r="A1914" s="17">
        <v>1280103</v>
      </c>
      <c r="B1914" s="18">
        <v>909</v>
      </c>
      <c r="C1914" s="23" t="s">
        <v>113</v>
      </c>
      <c r="D1914" s="27">
        <v>45205.048611111109</v>
      </c>
      <c r="E1914" s="18" t="s">
        <v>96</v>
      </c>
      <c r="F1914" s="18" t="s">
        <v>90</v>
      </c>
      <c r="G1914" s="18">
        <v>2054</v>
      </c>
      <c r="H1914" s="25">
        <f t="shared" si="116"/>
        <v>45205</v>
      </c>
      <c r="I1914" s="26">
        <f t="shared" si="117"/>
        <v>4.8611111109494232E-2</v>
      </c>
      <c r="J1914" s="18" t="str">
        <f t="shared" si="118"/>
        <v>October</v>
      </c>
      <c r="K1914" s="56" t="str">
        <f t="shared" si="119"/>
        <v>Friday</v>
      </c>
      <c r="L1914" s="18" t="str">
        <f>IF(OR(G1914&gt;Answers!I1929,G1914&lt;Answers!I1930),"Outlier","Normal")</f>
        <v>Outlier</v>
      </c>
      <c r="M1914" s="18">
        <v>71</v>
      </c>
    </row>
    <row r="1915" spans="1:13" ht="20" customHeight="1" x14ac:dyDescent="0.35">
      <c r="A1915" s="17">
        <v>1280199</v>
      </c>
      <c r="B1915" s="18">
        <v>337</v>
      </c>
      <c r="C1915" s="23" t="s">
        <v>106</v>
      </c>
      <c r="D1915" s="27">
        <v>45223.025694444441</v>
      </c>
      <c r="E1915" s="18" t="s">
        <v>96</v>
      </c>
      <c r="F1915" s="18" t="s">
        <v>39</v>
      </c>
      <c r="G1915" s="18">
        <v>622</v>
      </c>
      <c r="H1915" s="25">
        <f t="shared" si="116"/>
        <v>45223</v>
      </c>
      <c r="I1915" s="26">
        <f t="shared" si="117"/>
        <v>2.569444444088731E-2</v>
      </c>
      <c r="J1915" s="18" t="str">
        <f t="shared" si="118"/>
        <v>October</v>
      </c>
      <c r="K1915" s="56" t="str">
        <f t="shared" si="119"/>
        <v>Tuesday</v>
      </c>
      <c r="L1915" s="18" t="str">
        <f>IF(OR(G1915&gt;Answers!I1930,G1915&lt;Answers!I1931),"Outlier","Normal")</f>
        <v>Outlier</v>
      </c>
      <c r="M1915" s="18">
        <v>58</v>
      </c>
    </row>
    <row r="1916" spans="1:13" ht="20" customHeight="1" x14ac:dyDescent="0.35">
      <c r="A1916" s="17">
        <v>1282426</v>
      </c>
      <c r="B1916" s="18">
        <v>1866</v>
      </c>
      <c r="C1916" s="23" t="s">
        <v>105</v>
      </c>
      <c r="D1916" s="27">
        <v>45112.007638888892</v>
      </c>
      <c r="E1916" s="18" t="s">
        <v>133</v>
      </c>
      <c r="F1916" s="18" t="s">
        <v>53</v>
      </c>
      <c r="G1916" s="18">
        <v>9455</v>
      </c>
      <c r="H1916" s="25">
        <f t="shared" si="116"/>
        <v>45112</v>
      </c>
      <c r="I1916" s="26">
        <f t="shared" si="117"/>
        <v>7.6388888919609599E-3</v>
      </c>
      <c r="J1916" s="18" t="str">
        <f t="shared" si="118"/>
        <v>July</v>
      </c>
      <c r="K1916" s="56" t="str">
        <f t="shared" si="119"/>
        <v>Wednesday</v>
      </c>
      <c r="L1916" s="18" t="str">
        <f>IF(OR(G1916&gt;Answers!I1931,G1916&lt;Answers!I1932),"Outlier","Normal")</f>
        <v>Outlier</v>
      </c>
      <c r="M1916" s="18">
        <v>53</v>
      </c>
    </row>
    <row r="1917" spans="1:13" ht="20" customHeight="1" x14ac:dyDescent="0.35">
      <c r="A1917" s="17">
        <v>1283493</v>
      </c>
      <c r="B1917" s="18">
        <v>1075</v>
      </c>
      <c r="C1917" s="23" t="s">
        <v>108</v>
      </c>
      <c r="D1917" s="27">
        <v>45226.04791666667</v>
      </c>
      <c r="E1917" s="18" t="s">
        <v>98</v>
      </c>
      <c r="F1917" s="18" t="s">
        <v>24</v>
      </c>
      <c r="G1917" s="18">
        <v>4773</v>
      </c>
      <c r="H1917" s="25">
        <f t="shared" si="116"/>
        <v>45226</v>
      </c>
      <c r="I1917" s="26">
        <f t="shared" si="117"/>
        <v>4.7916666670062114E-2</v>
      </c>
      <c r="J1917" s="18" t="str">
        <f t="shared" si="118"/>
        <v>October</v>
      </c>
      <c r="K1917" s="56" t="str">
        <f t="shared" si="119"/>
        <v>Friday</v>
      </c>
      <c r="L1917" s="18" t="str">
        <f>IF(OR(G1917&gt;Answers!I1932,G1917&lt;Answers!I1933),"Outlier","Normal")</f>
        <v>Outlier</v>
      </c>
      <c r="M1917" s="18">
        <v>55</v>
      </c>
    </row>
    <row r="1918" spans="1:13" ht="20" customHeight="1" x14ac:dyDescent="0.35">
      <c r="A1918" s="17">
        <v>1284119</v>
      </c>
      <c r="B1918" s="18">
        <v>1980</v>
      </c>
      <c r="C1918" s="23" t="s">
        <v>110</v>
      </c>
      <c r="D1918" s="27">
        <v>45206.051388888889</v>
      </c>
      <c r="E1918" s="18" t="s">
        <v>97</v>
      </c>
      <c r="F1918" s="18" t="s">
        <v>64</v>
      </c>
      <c r="G1918" s="18">
        <v>6976</v>
      </c>
      <c r="H1918" s="25">
        <f t="shared" si="116"/>
        <v>45206</v>
      </c>
      <c r="I1918" s="26">
        <f t="shared" si="117"/>
        <v>5.1388888889050577E-2</v>
      </c>
      <c r="J1918" s="18" t="str">
        <f t="shared" si="118"/>
        <v>October</v>
      </c>
      <c r="K1918" s="56" t="str">
        <f t="shared" si="119"/>
        <v>Saturday</v>
      </c>
      <c r="L1918" s="18" t="str">
        <f>IF(OR(G1918&gt;Answers!I1933,G1918&lt;Answers!I1934),"Outlier","Normal")</f>
        <v>Outlier</v>
      </c>
      <c r="M1918" s="18">
        <v>57</v>
      </c>
    </row>
    <row r="1919" spans="1:13" ht="20" customHeight="1" x14ac:dyDescent="0.35">
      <c r="A1919" s="17">
        <v>1284352</v>
      </c>
      <c r="B1919" s="18">
        <v>1957</v>
      </c>
      <c r="C1919" s="23" t="s">
        <v>99</v>
      </c>
      <c r="D1919" s="27">
        <v>45082.000694444447</v>
      </c>
      <c r="E1919" s="18" t="s">
        <v>133</v>
      </c>
      <c r="F1919" s="18" t="s">
        <v>27</v>
      </c>
      <c r="G1919" s="18">
        <v>2512</v>
      </c>
      <c r="H1919" s="25">
        <f t="shared" si="116"/>
        <v>45082</v>
      </c>
      <c r="I1919" s="26">
        <f t="shared" si="117"/>
        <v>6.944444467080757E-4</v>
      </c>
      <c r="J1919" s="18" t="str">
        <f t="shared" si="118"/>
        <v>June</v>
      </c>
      <c r="K1919" s="56" t="str">
        <f t="shared" si="119"/>
        <v>Monday</v>
      </c>
      <c r="L1919" s="18" t="str">
        <f>IF(OR(G1919&gt;Answers!I1934,G1919&lt;Answers!I1935),"Outlier","Normal")</f>
        <v>Outlier</v>
      </c>
      <c r="M1919" s="18">
        <v>42</v>
      </c>
    </row>
    <row r="1920" spans="1:13" ht="20" customHeight="1" x14ac:dyDescent="0.35">
      <c r="A1920" s="17">
        <v>1284756</v>
      </c>
      <c r="B1920" s="18">
        <v>1015</v>
      </c>
      <c r="C1920" s="23" t="s">
        <v>107</v>
      </c>
      <c r="D1920" s="27">
        <v>45237.004166666666</v>
      </c>
      <c r="E1920" s="18" t="s">
        <v>97</v>
      </c>
      <c r="F1920" s="18" t="s">
        <v>5</v>
      </c>
      <c r="G1920" s="18">
        <v>8923</v>
      </c>
      <c r="H1920" s="25">
        <f t="shared" si="116"/>
        <v>45237</v>
      </c>
      <c r="I1920" s="26">
        <f t="shared" si="117"/>
        <v>4.166666665696539E-3</v>
      </c>
      <c r="J1920" s="18" t="str">
        <f t="shared" si="118"/>
        <v>November</v>
      </c>
      <c r="K1920" s="56" t="str">
        <f t="shared" si="119"/>
        <v>Tuesday</v>
      </c>
      <c r="L1920" s="18" t="str">
        <f>IF(OR(G1920&gt;Answers!I1935,G1920&lt;Answers!I1936),"Outlier","Normal")</f>
        <v>Outlier</v>
      </c>
      <c r="M1920" s="18">
        <v>50</v>
      </c>
    </row>
    <row r="1921" spans="1:13" ht="20" customHeight="1" x14ac:dyDescent="0.35">
      <c r="A1921" s="17">
        <v>1287324</v>
      </c>
      <c r="B1921" s="18">
        <v>819</v>
      </c>
      <c r="C1921" s="23" t="s">
        <v>111</v>
      </c>
      <c r="D1921" s="27">
        <v>44988.004166666666</v>
      </c>
      <c r="E1921" s="18" t="s">
        <v>133</v>
      </c>
      <c r="F1921" s="18" t="s">
        <v>65</v>
      </c>
      <c r="G1921" s="18">
        <v>930</v>
      </c>
      <c r="H1921" s="25">
        <f t="shared" si="116"/>
        <v>44988</v>
      </c>
      <c r="I1921" s="26">
        <f t="shared" si="117"/>
        <v>4.166666665696539E-3</v>
      </c>
      <c r="J1921" s="18" t="str">
        <f t="shared" si="118"/>
        <v>March</v>
      </c>
      <c r="K1921" s="56" t="str">
        <f t="shared" si="119"/>
        <v>Friday</v>
      </c>
      <c r="L1921" s="18" t="str">
        <f>IF(OR(G1921&gt;Answers!I1936,G1921&lt;Answers!I1937),"Outlier","Normal")</f>
        <v>Outlier</v>
      </c>
      <c r="M1921" s="18">
        <v>75</v>
      </c>
    </row>
    <row r="1922" spans="1:13" ht="20" customHeight="1" x14ac:dyDescent="0.35">
      <c r="A1922" s="17">
        <v>1288242</v>
      </c>
      <c r="B1922" s="18">
        <v>1879</v>
      </c>
      <c r="C1922" s="23" t="s">
        <v>99</v>
      </c>
      <c r="D1922" s="27">
        <v>45161.003472222219</v>
      </c>
      <c r="E1922" s="18" t="s">
        <v>133</v>
      </c>
      <c r="F1922" s="18" t="s">
        <v>91</v>
      </c>
      <c r="G1922" s="18">
        <v>5169</v>
      </c>
      <c r="H1922" s="25">
        <f t="shared" si="116"/>
        <v>45161</v>
      </c>
      <c r="I1922" s="26">
        <f t="shared" si="117"/>
        <v>3.4722222189884633E-3</v>
      </c>
      <c r="J1922" s="18" t="str">
        <f t="shared" si="118"/>
        <v>August</v>
      </c>
      <c r="K1922" s="56" t="str">
        <f t="shared" si="119"/>
        <v>Wednesday</v>
      </c>
      <c r="L1922" s="18" t="str">
        <f>IF(OR(G1922&gt;Answers!I1937,G1922&lt;Answers!I1938),"Outlier","Normal")</f>
        <v>Outlier</v>
      </c>
      <c r="M1922" s="18">
        <v>76</v>
      </c>
    </row>
    <row r="1923" spans="1:13" ht="20" customHeight="1" x14ac:dyDescent="0.35">
      <c r="A1923" s="17">
        <v>1288279</v>
      </c>
      <c r="B1923" s="18">
        <v>420</v>
      </c>
      <c r="C1923" s="23" t="s">
        <v>105</v>
      </c>
      <c r="D1923" s="27">
        <v>45073.999305555553</v>
      </c>
      <c r="E1923" s="18" t="s">
        <v>97</v>
      </c>
      <c r="F1923" s="18" t="s">
        <v>81</v>
      </c>
      <c r="G1923" s="18">
        <v>5628</v>
      </c>
      <c r="H1923" s="25">
        <f t="shared" ref="H1923:H1986" si="120">INT(D1923)</f>
        <v>45073</v>
      </c>
      <c r="I1923" s="26">
        <f t="shared" ref="I1923:I1986" si="121">MOD(D1923,1)</f>
        <v>0.99930555555329192</v>
      </c>
      <c r="J1923" s="18" t="str">
        <f t="shared" ref="J1923:J1986" si="122">TEXT(D1923,"mmmm")</f>
        <v>May</v>
      </c>
      <c r="K1923" s="56" t="str">
        <f t="shared" ref="K1923:K1986" si="123">TEXT(D1923,"dddd")</f>
        <v>Saturday</v>
      </c>
      <c r="L1923" s="18" t="str">
        <f>IF(OR(G1923&gt;Answers!I1938,G1923&lt;Answers!I1939),"Outlier","Normal")</f>
        <v>Outlier</v>
      </c>
      <c r="M1923" s="18">
        <v>72</v>
      </c>
    </row>
    <row r="1924" spans="1:13" ht="20" customHeight="1" x14ac:dyDescent="0.35">
      <c r="A1924" s="17">
        <v>1288732</v>
      </c>
      <c r="B1924" s="18">
        <v>354</v>
      </c>
      <c r="C1924" s="23" t="s">
        <v>113</v>
      </c>
      <c r="D1924" s="27">
        <v>44965.968055555553</v>
      </c>
      <c r="E1924" s="18" t="s">
        <v>133</v>
      </c>
      <c r="F1924" s="18" t="s">
        <v>88</v>
      </c>
      <c r="G1924" s="18">
        <v>1265</v>
      </c>
      <c r="H1924" s="25">
        <f t="shared" si="120"/>
        <v>44965</v>
      </c>
      <c r="I1924" s="26">
        <f t="shared" si="121"/>
        <v>0.96805555555329192</v>
      </c>
      <c r="J1924" s="18" t="str">
        <f t="shared" si="122"/>
        <v>February</v>
      </c>
      <c r="K1924" s="56" t="str">
        <f t="shared" si="123"/>
        <v>Wednesday</v>
      </c>
      <c r="L1924" s="18" t="str">
        <f>IF(OR(G1924&gt;Answers!I1939,G1924&lt;Answers!I1940),"Outlier","Normal")</f>
        <v>Outlier</v>
      </c>
      <c r="M1924" s="18">
        <v>29</v>
      </c>
    </row>
    <row r="1925" spans="1:13" ht="20" customHeight="1" x14ac:dyDescent="0.35">
      <c r="A1925" s="17">
        <v>1288792</v>
      </c>
      <c r="B1925" s="18">
        <v>25</v>
      </c>
      <c r="C1925" s="23" t="s">
        <v>99</v>
      </c>
      <c r="D1925" s="27">
        <v>45265.070138888892</v>
      </c>
      <c r="E1925" s="18" t="s">
        <v>133</v>
      </c>
      <c r="F1925" s="18" t="s">
        <v>46</v>
      </c>
      <c r="G1925" s="18">
        <v>3516</v>
      </c>
      <c r="H1925" s="25">
        <f t="shared" si="120"/>
        <v>45265</v>
      </c>
      <c r="I1925" s="26">
        <f t="shared" si="121"/>
        <v>7.013888889196096E-2</v>
      </c>
      <c r="J1925" s="18" t="str">
        <f t="shared" si="122"/>
        <v>December</v>
      </c>
      <c r="K1925" s="56" t="str">
        <f t="shared" si="123"/>
        <v>Tuesday</v>
      </c>
      <c r="L1925" s="18" t="str">
        <f>IF(OR(G1925&gt;Answers!I1940,G1925&lt;Answers!I1941),"Outlier","Normal")</f>
        <v>Outlier</v>
      </c>
      <c r="M1925" s="18">
        <v>59</v>
      </c>
    </row>
    <row r="1926" spans="1:13" ht="20" customHeight="1" x14ac:dyDescent="0.35">
      <c r="A1926" s="17">
        <v>1288824</v>
      </c>
      <c r="B1926" s="18">
        <v>912</v>
      </c>
      <c r="C1926" s="23" t="s">
        <v>99</v>
      </c>
      <c r="D1926" s="27">
        <v>44930.002083333333</v>
      </c>
      <c r="E1926" s="18" t="s">
        <v>97</v>
      </c>
      <c r="F1926" s="18" t="s">
        <v>82</v>
      </c>
      <c r="G1926" s="18">
        <v>8079</v>
      </c>
      <c r="H1926" s="25">
        <f t="shared" si="120"/>
        <v>44930</v>
      </c>
      <c r="I1926" s="26">
        <f t="shared" si="121"/>
        <v>2.0833333328482695E-3</v>
      </c>
      <c r="J1926" s="18" t="str">
        <f t="shared" si="122"/>
        <v>January</v>
      </c>
      <c r="K1926" s="56" t="str">
        <f t="shared" si="123"/>
        <v>Wednesday</v>
      </c>
      <c r="L1926" s="18" t="str">
        <f>IF(OR(G1926&gt;Answers!I1941,G1926&lt;Answers!I1942),"Outlier","Normal")</f>
        <v>Outlier</v>
      </c>
      <c r="M1926" s="18">
        <v>33</v>
      </c>
    </row>
    <row r="1927" spans="1:13" ht="20" customHeight="1" x14ac:dyDescent="0.35">
      <c r="A1927" s="17">
        <v>1289179</v>
      </c>
      <c r="B1927" s="18">
        <v>65</v>
      </c>
      <c r="C1927" s="23" t="s">
        <v>105</v>
      </c>
      <c r="D1927" s="27">
        <v>44961.044444444444</v>
      </c>
      <c r="E1927" s="18" t="s">
        <v>98</v>
      </c>
      <c r="F1927" s="18" t="s">
        <v>17</v>
      </c>
      <c r="G1927" s="18">
        <v>2409</v>
      </c>
      <c r="H1927" s="25">
        <f t="shared" si="120"/>
        <v>44961</v>
      </c>
      <c r="I1927" s="26">
        <f t="shared" si="121"/>
        <v>4.4444444443797693E-2</v>
      </c>
      <c r="J1927" s="18" t="str">
        <f t="shared" si="122"/>
        <v>February</v>
      </c>
      <c r="K1927" s="56" t="str">
        <f t="shared" si="123"/>
        <v>Saturday</v>
      </c>
      <c r="L1927" s="18" t="str">
        <f>IF(OR(G1927&gt;Answers!I1942,G1927&lt;Answers!I1943),"Outlier","Normal")</f>
        <v>Outlier</v>
      </c>
      <c r="M1927" s="18">
        <v>37</v>
      </c>
    </row>
    <row r="1928" spans="1:13" ht="20" customHeight="1" x14ac:dyDescent="0.35">
      <c r="A1928" s="17">
        <v>1289588</v>
      </c>
      <c r="B1928" s="18">
        <v>336</v>
      </c>
      <c r="C1928" s="23" t="s">
        <v>105</v>
      </c>
      <c r="D1928" s="27">
        <v>45174.995833333334</v>
      </c>
      <c r="E1928" s="18" t="s">
        <v>133</v>
      </c>
      <c r="F1928" s="18" t="s">
        <v>43</v>
      </c>
      <c r="G1928" s="18">
        <v>4944</v>
      </c>
      <c r="H1928" s="25">
        <f t="shared" si="120"/>
        <v>45174</v>
      </c>
      <c r="I1928" s="26">
        <f t="shared" si="121"/>
        <v>0.99583333333430346</v>
      </c>
      <c r="J1928" s="18" t="str">
        <f t="shared" si="122"/>
        <v>September</v>
      </c>
      <c r="K1928" s="56" t="str">
        <f t="shared" si="123"/>
        <v>Tuesday</v>
      </c>
      <c r="L1928" s="18" t="str">
        <f>IF(OR(G1928&gt;Answers!I1943,G1928&lt;Answers!I1944),"Outlier","Normal")</f>
        <v>Outlier</v>
      </c>
      <c r="M1928" s="18">
        <v>26</v>
      </c>
    </row>
    <row r="1929" spans="1:13" ht="20" customHeight="1" x14ac:dyDescent="0.35">
      <c r="A1929" s="17">
        <v>1289856</v>
      </c>
      <c r="B1929" s="18">
        <v>1174</v>
      </c>
      <c r="C1929" s="23" t="s">
        <v>99</v>
      </c>
      <c r="D1929" s="27">
        <v>45115.018055555556</v>
      </c>
      <c r="E1929" s="18" t="s">
        <v>133</v>
      </c>
      <c r="F1929" s="18" t="s">
        <v>44</v>
      </c>
      <c r="G1929" s="18">
        <v>5660</v>
      </c>
      <c r="H1929" s="25">
        <f t="shared" si="120"/>
        <v>45115</v>
      </c>
      <c r="I1929" s="26">
        <f t="shared" si="121"/>
        <v>1.8055555556202307E-2</v>
      </c>
      <c r="J1929" s="18" t="str">
        <f t="shared" si="122"/>
        <v>July</v>
      </c>
      <c r="K1929" s="56" t="str">
        <f t="shared" si="123"/>
        <v>Saturday</v>
      </c>
      <c r="L1929" s="18" t="str">
        <f>IF(OR(G1929&gt;Answers!I1944,G1929&lt;Answers!I1945),"Outlier","Normal")</f>
        <v>Outlier</v>
      </c>
      <c r="M1929" s="18">
        <v>60</v>
      </c>
    </row>
    <row r="1930" spans="1:13" ht="20" customHeight="1" x14ac:dyDescent="0.35">
      <c r="A1930" s="17">
        <v>1289947</v>
      </c>
      <c r="B1930" s="18">
        <v>164</v>
      </c>
      <c r="C1930" s="23" t="s">
        <v>99</v>
      </c>
      <c r="D1930" s="27">
        <v>45251.975694444445</v>
      </c>
      <c r="E1930" s="18" t="s">
        <v>98</v>
      </c>
      <c r="F1930" s="18" t="s">
        <v>78</v>
      </c>
      <c r="G1930" s="18">
        <v>1867</v>
      </c>
      <c r="H1930" s="25">
        <f t="shared" si="120"/>
        <v>45251</v>
      </c>
      <c r="I1930" s="26">
        <f t="shared" si="121"/>
        <v>0.97569444444525288</v>
      </c>
      <c r="J1930" s="18" t="str">
        <f t="shared" si="122"/>
        <v>November</v>
      </c>
      <c r="K1930" s="56" t="str">
        <f t="shared" si="123"/>
        <v>Tuesday</v>
      </c>
      <c r="L1930" s="18" t="str">
        <f>IF(OR(G1930&gt;Answers!I1945,G1930&lt;Answers!I1946),"Outlier","Normal")</f>
        <v>Outlier</v>
      </c>
      <c r="M1930" s="18">
        <v>36</v>
      </c>
    </row>
    <row r="1931" spans="1:13" ht="20" customHeight="1" x14ac:dyDescent="0.35">
      <c r="A1931" s="17">
        <v>1290448</v>
      </c>
      <c r="B1931" s="18">
        <v>1083</v>
      </c>
      <c r="C1931" s="23" t="s">
        <v>105</v>
      </c>
      <c r="D1931" s="27">
        <v>44971.065972222219</v>
      </c>
      <c r="E1931" s="18" t="s">
        <v>133</v>
      </c>
      <c r="F1931" s="18" t="s">
        <v>27</v>
      </c>
      <c r="G1931" s="18">
        <v>9507</v>
      </c>
      <c r="H1931" s="25">
        <f t="shared" si="120"/>
        <v>44971</v>
      </c>
      <c r="I1931" s="26">
        <f t="shared" si="121"/>
        <v>6.5972222218988463E-2</v>
      </c>
      <c r="J1931" s="18" t="str">
        <f t="shared" si="122"/>
        <v>February</v>
      </c>
      <c r="K1931" s="56" t="str">
        <f t="shared" si="123"/>
        <v>Tuesday</v>
      </c>
      <c r="L1931" s="18" t="str">
        <f>IF(OR(G1931&gt;Answers!I1946,G1931&lt;Answers!I1947),"Outlier","Normal")</f>
        <v>Outlier</v>
      </c>
      <c r="M1931" s="18">
        <v>25</v>
      </c>
    </row>
    <row r="1932" spans="1:13" ht="20" customHeight="1" x14ac:dyDescent="0.35">
      <c r="A1932" s="17">
        <v>1290759</v>
      </c>
      <c r="B1932" s="18">
        <v>497</v>
      </c>
      <c r="C1932" s="23" t="s">
        <v>99</v>
      </c>
      <c r="D1932" s="27">
        <v>44976.036805555559</v>
      </c>
      <c r="E1932" s="18" t="s">
        <v>98</v>
      </c>
      <c r="F1932" s="18" t="s">
        <v>59</v>
      </c>
      <c r="G1932" s="18">
        <v>6538</v>
      </c>
      <c r="H1932" s="25">
        <f t="shared" si="120"/>
        <v>44976</v>
      </c>
      <c r="I1932" s="26">
        <f t="shared" si="121"/>
        <v>3.680555555911269E-2</v>
      </c>
      <c r="J1932" s="18" t="str">
        <f t="shared" si="122"/>
        <v>February</v>
      </c>
      <c r="K1932" s="56" t="str">
        <f t="shared" si="123"/>
        <v>Sunday</v>
      </c>
      <c r="L1932" s="18" t="str">
        <f>IF(OR(G1932&gt;Answers!I1947,G1932&lt;Answers!I1948),"Outlier","Normal")</f>
        <v>Outlier</v>
      </c>
      <c r="M1932" s="18">
        <v>88</v>
      </c>
    </row>
    <row r="1933" spans="1:13" ht="20" customHeight="1" x14ac:dyDescent="0.35">
      <c r="A1933" s="17">
        <v>1290822</v>
      </c>
      <c r="B1933" s="18">
        <v>430</v>
      </c>
      <c r="C1933" s="23" t="s">
        <v>113</v>
      </c>
      <c r="D1933" s="27">
        <v>45034.056944444441</v>
      </c>
      <c r="E1933" s="18" t="s">
        <v>97</v>
      </c>
      <c r="F1933" s="18" t="s">
        <v>87</v>
      </c>
      <c r="G1933" s="18">
        <v>3136</v>
      </c>
      <c r="H1933" s="25">
        <f t="shared" si="120"/>
        <v>45034</v>
      </c>
      <c r="I1933" s="26">
        <f t="shared" si="121"/>
        <v>5.694444444088731E-2</v>
      </c>
      <c r="J1933" s="18" t="str">
        <f t="shared" si="122"/>
        <v>April</v>
      </c>
      <c r="K1933" s="56" t="str">
        <f t="shared" si="123"/>
        <v>Tuesday</v>
      </c>
      <c r="L1933" s="18" t="str">
        <f>IF(OR(G1933&gt;Answers!I1948,G1933&lt;Answers!I1949),"Outlier","Normal")</f>
        <v>Outlier</v>
      </c>
      <c r="M1933" s="18">
        <v>82</v>
      </c>
    </row>
    <row r="1934" spans="1:13" ht="20" customHeight="1" x14ac:dyDescent="0.35">
      <c r="A1934" s="17">
        <v>1291386</v>
      </c>
      <c r="B1934" s="18">
        <v>1855</v>
      </c>
      <c r="C1934" s="23" t="s">
        <v>108</v>
      </c>
      <c r="D1934" s="27">
        <v>45098.051388888889</v>
      </c>
      <c r="E1934" s="18" t="s">
        <v>98</v>
      </c>
      <c r="F1934" s="18" t="s">
        <v>78</v>
      </c>
      <c r="G1934" s="18">
        <v>6840</v>
      </c>
      <c r="H1934" s="25">
        <f t="shared" si="120"/>
        <v>45098</v>
      </c>
      <c r="I1934" s="26">
        <f t="shared" si="121"/>
        <v>5.1388888889050577E-2</v>
      </c>
      <c r="J1934" s="18" t="str">
        <f t="shared" si="122"/>
        <v>June</v>
      </c>
      <c r="K1934" s="56" t="str">
        <f t="shared" si="123"/>
        <v>Wednesday</v>
      </c>
      <c r="L1934" s="18" t="str">
        <f>IF(OR(G1934&gt;Answers!I1949,G1934&lt;Answers!I1950),"Outlier","Normal")</f>
        <v>Outlier</v>
      </c>
      <c r="M1934" s="18">
        <v>44</v>
      </c>
    </row>
    <row r="1935" spans="1:13" ht="20" customHeight="1" x14ac:dyDescent="0.35">
      <c r="A1935" s="17">
        <v>1291392</v>
      </c>
      <c r="B1935" s="18">
        <v>1083</v>
      </c>
      <c r="C1935" s="23" t="s">
        <v>105</v>
      </c>
      <c r="D1935" s="27">
        <v>45119.025000000001</v>
      </c>
      <c r="E1935" s="18" t="s">
        <v>97</v>
      </c>
      <c r="F1935" s="18" t="s">
        <v>27</v>
      </c>
      <c r="G1935" s="18">
        <v>7984</v>
      </c>
      <c r="H1935" s="25">
        <f t="shared" si="120"/>
        <v>45119</v>
      </c>
      <c r="I1935" s="26">
        <f t="shared" si="121"/>
        <v>2.5000000001455192E-2</v>
      </c>
      <c r="J1935" s="18" t="str">
        <f t="shared" si="122"/>
        <v>July</v>
      </c>
      <c r="K1935" s="56" t="str">
        <f t="shared" si="123"/>
        <v>Wednesday</v>
      </c>
      <c r="L1935" s="18" t="str">
        <f>IF(OR(G1935&gt;Answers!I1950,G1935&lt;Answers!I1951),"Outlier","Normal")</f>
        <v>Outlier</v>
      </c>
      <c r="M1935" s="18">
        <v>25</v>
      </c>
    </row>
    <row r="1936" spans="1:13" ht="20" customHeight="1" x14ac:dyDescent="0.35">
      <c r="A1936" s="17">
        <v>1291584</v>
      </c>
      <c r="B1936" s="18">
        <v>1215</v>
      </c>
      <c r="C1936" s="23" t="s">
        <v>99</v>
      </c>
      <c r="D1936" s="27">
        <v>45074.02847222222</v>
      </c>
      <c r="E1936" s="18" t="s">
        <v>97</v>
      </c>
      <c r="F1936" s="18" t="s">
        <v>69</v>
      </c>
      <c r="G1936" s="18">
        <v>813</v>
      </c>
      <c r="H1936" s="25">
        <f t="shared" si="120"/>
        <v>45074</v>
      </c>
      <c r="I1936" s="26">
        <f t="shared" si="121"/>
        <v>2.8472222220443655E-2</v>
      </c>
      <c r="J1936" s="18" t="str">
        <f t="shared" si="122"/>
        <v>May</v>
      </c>
      <c r="K1936" s="56" t="str">
        <f t="shared" si="123"/>
        <v>Sunday</v>
      </c>
      <c r="L1936" s="18" t="str">
        <f>IF(OR(G1936&gt;Answers!I1951,G1936&lt;Answers!I1952),"Outlier","Normal")</f>
        <v>Outlier</v>
      </c>
      <c r="M1936" s="18">
        <v>33</v>
      </c>
    </row>
    <row r="1937" spans="1:13" ht="20" customHeight="1" x14ac:dyDescent="0.35">
      <c r="A1937" s="17">
        <v>1291650</v>
      </c>
      <c r="B1937" s="18">
        <v>1982</v>
      </c>
      <c r="C1937" s="23" t="s">
        <v>107</v>
      </c>
      <c r="D1937" s="27">
        <v>45080.065972222219</v>
      </c>
      <c r="E1937" s="18" t="s">
        <v>98</v>
      </c>
      <c r="F1937" s="18" t="s">
        <v>89</v>
      </c>
      <c r="G1937" s="18">
        <v>5585</v>
      </c>
      <c r="H1937" s="25">
        <f t="shared" si="120"/>
        <v>45080</v>
      </c>
      <c r="I1937" s="26">
        <f t="shared" si="121"/>
        <v>6.5972222218988463E-2</v>
      </c>
      <c r="J1937" s="18" t="str">
        <f t="shared" si="122"/>
        <v>June</v>
      </c>
      <c r="K1937" s="56" t="str">
        <f t="shared" si="123"/>
        <v>Saturday</v>
      </c>
      <c r="L1937" s="18" t="str">
        <f>IF(OR(G1937&gt;Answers!I1952,G1937&lt;Answers!I1953),"Outlier","Normal")</f>
        <v>Outlier</v>
      </c>
      <c r="M1937" s="18">
        <v>74</v>
      </c>
    </row>
    <row r="1938" spans="1:13" ht="20" customHeight="1" x14ac:dyDescent="0.35">
      <c r="A1938" s="17">
        <v>1291973</v>
      </c>
      <c r="B1938" s="18">
        <v>461</v>
      </c>
      <c r="C1938" s="23" t="s">
        <v>101</v>
      </c>
      <c r="D1938" s="27">
        <v>44933.057638888888</v>
      </c>
      <c r="E1938" s="18" t="s">
        <v>96</v>
      </c>
      <c r="F1938" s="18" t="s">
        <v>27</v>
      </c>
      <c r="G1938" s="18">
        <v>5976</v>
      </c>
      <c r="H1938" s="25">
        <f t="shared" si="120"/>
        <v>44933</v>
      </c>
      <c r="I1938" s="26">
        <f t="shared" si="121"/>
        <v>5.7638888887595385E-2</v>
      </c>
      <c r="J1938" s="18" t="str">
        <f t="shared" si="122"/>
        <v>January</v>
      </c>
      <c r="K1938" s="56" t="str">
        <f t="shared" si="123"/>
        <v>Saturday</v>
      </c>
      <c r="L1938" s="18" t="str">
        <f>IF(OR(G1938&gt;Answers!I1953,G1938&lt;Answers!I1954),"Outlier","Normal")</f>
        <v>Outlier</v>
      </c>
      <c r="M1938" s="18">
        <v>77</v>
      </c>
    </row>
    <row r="1939" spans="1:13" ht="20" customHeight="1" x14ac:dyDescent="0.35">
      <c r="A1939" s="17">
        <v>1292166</v>
      </c>
      <c r="B1939" s="18">
        <v>758</v>
      </c>
      <c r="C1939" s="23" t="s">
        <v>99</v>
      </c>
      <c r="D1939" s="27">
        <v>44974.002083333333</v>
      </c>
      <c r="E1939" s="18" t="s">
        <v>96</v>
      </c>
      <c r="F1939" s="18" t="s">
        <v>25</v>
      </c>
      <c r="G1939" s="18">
        <v>7030</v>
      </c>
      <c r="H1939" s="25">
        <f t="shared" si="120"/>
        <v>44974</v>
      </c>
      <c r="I1939" s="26">
        <f t="shared" si="121"/>
        <v>2.0833333328482695E-3</v>
      </c>
      <c r="J1939" s="18" t="str">
        <f t="shared" si="122"/>
        <v>February</v>
      </c>
      <c r="K1939" s="56" t="str">
        <f t="shared" si="123"/>
        <v>Friday</v>
      </c>
      <c r="L1939" s="18" t="str">
        <f>IF(OR(G1939&gt;Answers!I1954,G1939&lt;Answers!I1955),"Outlier","Normal")</f>
        <v>Outlier</v>
      </c>
      <c r="M1939" s="18">
        <v>22</v>
      </c>
    </row>
    <row r="1940" spans="1:13" ht="20" customHeight="1" x14ac:dyDescent="0.35">
      <c r="A1940" s="17">
        <v>1292922</v>
      </c>
      <c r="B1940" s="18">
        <v>27</v>
      </c>
      <c r="C1940" s="23" t="s">
        <v>99</v>
      </c>
      <c r="D1940" s="27">
        <v>44966.074305555558</v>
      </c>
      <c r="E1940" s="18" t="s">
        <v>97</v>
      </c>
      <c r="F1940" s="18" t="s">
        <v>81</v>
      </c>
      <c r="G1940" s="18">
        <v>1646</v>
      </c>
      <c r="H1940" s="25">
        <f t="shared" si="120"/>
        <v>44966</v>
      </c>
      <c r="I1940" s="26">
        <f t="shared" si="121"/>
        <v>7.4305555557657499E-2</v>
      </c>
      <c r="J1940" s="18" t="str">
        <f t="shared" si="122"/>
        <v>February</v>
      </c>
      <c r="K1940" s="56" t="str">
        <f t="shared" si="123"/>
        <v>Thursday</v>
      </c>
      <c r="L1940" s="18" t="str">
        <f>IF(OR(G1940&gt;Answers!I1955,G1940&lt;Answers!I1956),"Outlier","Normal")</f>
        <v>Outlier</v>
      </c>
      <c r="M1940" s="18">
        <v>66</v>
      </c>
    </row>
    <row r="1941" spans="1:13" ht="20" customHeight="1" x14ac:dyDescent="0.35">
      <c r="A1941" s="17">
        <v>1294009</v>
      </c>
      <c r="B1941" s="18">
        <v>538</v>
      </c>
      <c r="C1941" s="23" t="s">
        <v>113</v>
      </c>
      <c r="D1941" s="27">
        <v>44932.073611111111</v>
      </c>
      <c r="E1941" s="18" t="s">
        <v>96</v>
      </c>
      <c r="F1941" s="18" t="s">
        <v>88</v>
      </c>
      <c r="G1941" s="18">
        <v>4279</v>
      </c>
      <c r="H1941" s="25">
        <f t="shared" si="120"/>
        <v>44932</v>
      </c>
      <c r="I1941" s="26">
        <f t="shared" si="121"/>
        <v>7.3611111110949423E-2</v>
      </c>
      <c r="J1941" s="18" t="str">
        <f t="shared" si="122"/>
        <v>January</v>
      </c>
      <c r="K1941" s="56" t="str">
        <f t="shared" si="123"/>
        <v>Friday</v>
      </c>
      <c r="L1941" s="18" t="str">
        <f>IF(OR(G1941&gt;Answers!I1956,G1941&lt;Answers!I1957),"Outlier","Normal")</f>
        <v>Outlier</v>
      </c>
      <c r="M1941" s="18">
        <v>32</v>
      </c>
    </row>
    <row r="1942" spans="1:13" ht="20" customHeight="1" x14ac:dyDescent="0.35">
      <c r="A1942" s="17">
        <v>1297610</v>
      </c>
      <c r="B1942" s="18">
        <v>1732</v>
      </c>
      <c r="C1942" s="23" t="s">
        <v>99</v>
      </c>
      <c r="D1942" s="27">
        <v>45209.058333333334</v>
      </c>
      <c r="E1942" s="18" t="s">
        <v>98</v>
      </c>
      <c r="F1942" s="18" t="s">
        <v>43</v>
      </c>
      <c r="G1942" s="18">
        <v>2563</v>
      </c>
      <c r="H1942" s="25">
        <f t="shared" si="120"/>
        <v>45209</v>
      </c>
      <c r="I1942" s="26">
        <f t="shared" si="121"/>
        <v>5.8333333334303461E-2</v>
      </c>
      <c r="J1942" s="18" t="str">
        <f t="shared" si="122"/>
        <v>October</v>
      </c>
      <c r="K1942" s="56" t="str">
        <f t="shared" si="123"/>
        <v>Tuesday</v>
      </c>
      <c r="L1942" s="18" t="str">
        <f>IF(OR(G1942&gt;Answers!I1957,G1942&lt;Answers!I1958),"Outlier","Normal")</f>
        <v>Outlier</v>
      </c>
      <c r="M1942" s="18">
        <v>90</v>
      </c>
    </row>
    <row r="1943" spans="1:13" ht="20" customHeight="1" x14ac:dyDescent="0.35">
      <c r="A1943" s="17">
        <v>1297796</v>
      </c>
      <c r="B1943" s="18">
        <v>640</v>
      </c>
      <c r="C1943" s="23" t="s">
        <v>100</v>
      </c>
      <c r="D1943" s="27">
        <v>44983.027777777781</v>
      </c>
      <c r="E1943" s="18" t="s">
        <v>97</v>
      </c>
      <c r="F1943" s="18" t="s">
        <v>27</v>
      </c>
      <c r="G1943" s="18">
        <v>9438</v>
      </c>
      <c r="H1943" s="25">
        <f t="shared" si="120"/>
        <v>44983</v>
      </c>
      <c r="I1943" s="26">
        <f t="shared" si="121"/>
        <v>2.7777777781011537E-2</v>
      </c>
      <c r="J1943" s="18" t="str">
        <f t="shared" si="122"/>
        <v>February</v>
      </c>
      <c r="K1943" s="56" t="str">
        <f t="shared" si="123"/>
        <v>Sunday</v>
      </c>
      <c r="L1943" s="18" t="str">
        <f>IF(OR(G1943&gt;Answers!I1958,G1943&lt;Answers!I1959),"Outlier","Normal")</f>
        <v>Outlier</v>
      </c>
      <c r="M1943" s="18">
        <v>51</v>
      </c>
    </row>
    <row r="1944" spans="1:13" ht="20" customHeight="1" x14ac:dyDescent="0.35">
      <c r="A1944" s="17">
        <v>1299122</v>
      </c>
      <c r="B1944" s="18">
        <v>220</v>
      </c>
      <c r="C1944" s="23" t="s">
        <v>101</v>
      </c>
      <c r="D1944" s="27">
        <v>44933.97152777778</v>
      </c>
      <c r="E1944" s="18" t="s">
        <v>98</v>
      </c>
      <c r="F1944" s="18" t="s">
        <v>65</v>
      </c>
      <c r="G1944" s="18">
        <v>9458</v>
      </c>
      <c r="H1944" s="25">
        <f t="shared" si="120"/>
        <v>44933</v>
      </c>
      <c r="I1944" s="26">
        <f t="shared" si="121"/>
        <v>0.97152777777955635</v>
      </c>
      <c r="J1944" s="18" t="str">
        <f t="shared" si="122"/>
        <v>January</v>
      </c>
      <c r="K1944" s="56" t="str">
        <f t="shared" si="123"/>
        <v>Saturday</v>
      </c>
      <c r="L1944" s="18" t="str">
        <f>IF(OR(G1944&gt;Answers!I1959,G1944&lt;Answers!I1960),"Outlier","Normal")</f>
        <v>Outlier</v>
      </c>
      <c r="M1944" s="18">
        <v>71</v>
      </c>
    </row>
    <row r="1945" spans="1:13" ht="20" customHeight="1" x14ac:dyDescent="0.35">
      <c r="A1945" s="17">
        <v>1303658</v>
      </c>
      <c r="B1945" s="18">
        <v>67</v>
      </c>
      <c r="C1945" s="23" t="s">
        <v>107</v>
      </c>
      <c r="D1945" s="27">
        <v>45087.070833333331</v>
      </c>
      <c r="E1945" s="18" t="s">
        <v>97</v>
      </c>
      <c r="F1945" s="18" t="s">
        <v>24</v>
      </c>
      <c r="G1945" s="18">
        <v>897</v>
      </c>
      <c r="H1945" s="25">
        <f t="shared" si="120"/>
        <v>45087</v>
      </c>
      <c r="I1945" s="26">
        <f t="shared" si="121"/>
        <v>7.0833333331393078E-2</v>
      </c>
      <c r="J1945" s="18" t="str">
        <f t="shared" si="122"/>
        <v>June</v>
      </c>
      <c r="K1945" s="56" t="str">
        <f t="shared" si="123"/>
        <v>Saturday</v>
      </c>
      <c r="L1945" s="18" t="str">
        <f>IF(OR(G1945&gt;Answers!I1960,G1945&lt;Answers!I1961),"Outlier","Normal")</f>
        <v>Outlier</v>
      </c>
      <c r="M1945" s="18">
        <v>51</v>
      </c>
    </row>
    <row r="1946" spans="1:13" ht="20" customHeight="1" x14ac:dyDescent="0.35">
      <c r="A1946" s="17">
        <v>1305831</v>
      </c>
      <c r="B1946" s="18">
        <v>1531</v>
      </c>
      <c r="C1946" s="23" t="s">
        <v>106</v>
      </c>
      <c r="D1946" s="27">
        <v>45195.96597222222</v>
      </c>
      <c r="E1946" s="18" t="s">
        <v>133</v>
      </c>
      <c r="F1946" s="18" t="s">
        <v>52</v>
      </c>
      <c r="G1946" s="18">
        <v>695</v>
      </c>
      <c r="H1946" s="25">
        <f t="shared" si="120"/>
        <v>45195</v>
      </c>
      <c r="I1946" s="26">
        <f t="shared" si="121"/>
        <v>0.96597222222044365</v>
      </c>
      <c r="J1946" s="18" t="str">
        <f t="shared" si="122"/>
        <v>September</v>
      </c>
      <c r="K1946" s="56" t="str">
        <f t="shared" si="123"/>
        <v>Tuesday</v>
      </c>
      <c r="L1946" s="18" t="str">
        <f>IF(OR(G1946&gt;Answers!I1961,G1946&lt;Answers!I1962),"Outlier","Normal")</f>
        <v>Outlier</v>
      </c>
      <c r="M1946" s="18">
        <v>41</v>
      </c>
    </row>
    <row r="1947" spans="1:13" ht="20" customHeight="1" x14ac:dyDescent="0.35">
      <c r="A1947" s="17">
        <v>1307458</v>
      </c>
      <c r="B1947" s="18">
        <v>122</v>
      </c>
      <c r="C1947" s="23" t="s">
        <v>105</v>
      </c>
      <c r="D1947" s="27">
        <v>44927.063194444447</v>
      </c>
      <c r="E1947" s="18" t="s">
        <v>133</v>
      </c>
      <c r="F1947" s="18" t="s">
        <v>23</v>
      </c>
      <c r="G1947" s="18">
        <v>943</v>
      </c>
      <c r="H1947" s="25">
        <f t="shared" si="120"/>
        <v>44927</v>
      </c>
      <c r="I1947" s="26">
        <f t="shared" si="121"/>
        <v>6.3194444446708076E-2</v>
      </c>
      <c r="J1947" s="18" t="str">
        <f t="shared" si="122"/>
        <v>January</v>
      </c>
      <c r="K1947" s="56" t="str">
        <f t="shared" si="123"/>
        <v>Sunday</v>
      </c>
      <c r="L1947" s="18" t="str">
        <f>IF(OR(G1947&gt;Answers!I1962,G1947&lt;Answers!I1963),"Outlier","Normal")</f>
        <v>Outlier</v>
      </c>
      <c r="M1947" s="18">
        <v>41</v>
      </c>
    </row>
    <row r="1948" spans="1:13" ht="20" customHeight="1" x14ac:dyDescent="0.35">
      <c r="A1948" s="17">
        <v>1308621</v>
      </c>
      <c r="B1948" s="18">
        <v>1948</v>
      </c>
      <c r="C1948" s="23" t="s">
        <v>99</v>
      </c>
      <c r="D1948" s="27">
        <v>45227.011111111111</v>
      </c>
      <c r="E1948" s="18" t="s">
        <v>98</v>
      </c>
      <c r="F1948" s="18" t="s">
        <v>53</v>
      </c>
      <c r="G1948" s="18">
        <v>1684</v>
      </c>
      <c r="H1948" s="25">
        <f t="shared" si="120"/>
        <v>45227</v>
      </c>
      <c r="I1948" s="26">
        <f t="shared" si="121"/>
        <v>1.1111111110949423E-2</v>
      </c>
      <c r="J1948" s="18" t="str">
        <f t="shared" si="122"/>
        <v>October</v>
      </c>
      <c r="K1948" s="56" t="str">
        <f t="shared" si="123"/>
        <v>Saturday</v>
      </c>
      <c r="L1948" s="18" t="str">
        <f>IF(OR(G1948&gt;Answers!I1963,G1948&lt;Answers!I1964),"Outlier","Normal")</f>
        <v>Outlier</v>
      </c>
      <c r="M1948" s="18">
        <v>79</v>
      </c>
    </row>
    <row r="1949" spans="1:13" ht="20" customHeight="1" x14ac:dyDescent="0.35">
      <c r="A1949" s="17">
        <v>1308737</v>
      </c>
      <c r="B1949" s="18">
        <v>344</v>
      </c>
      <c r="C1949" s="23" t="s">
        <v>102</v>
      </c>
      <c r="D1949" s="27">
        <v>45139.038888888892</v>
      </c>
      <c r="E1949" s="18" t="s">
        <v>133</v>
      </c>
      <c r="F1949" s="18" t="s">
        <v>54</v>
      </c>
      <c r="G1949" s="18">
        <v>144</v>
      </c>
      <c r="H1949" s="25">
        <f t="shared" si="120"/>
        <v>45139</v>
      </c>
      <c r="I1949" s="26">
        <f t="shared" si="121"/>
        <v>3.888888889196096E-2</v>
      </c>
      <c r="J1949" s="18" t="str">
        <f t="shared" si="122"/>
        <v>August</v>
      </c>
      <c r="K1949" s="56" t="str">
        <f t="shared" si="123"/>
        <v>Tuesday</v>
      </c>
      <c r="L1949" s="18" t="str">
        <f>IF(OR(G1949&gt;Answers!I1964,G1949&lt;Answers!I1965),"Outlier","Normal")</f>
        <v>Outlier</v>
      </c>
      <c r="M1949" s="18">
        <v>84</v>
      </c>
    </row>
    <row r="1950" spans="1:13" ht="20" customHeight="1" x14ac:dyDescent="0.35">
      <c r="A1950" s="17">
        <v>1309217</v>
      </c>
      <c r="B1950" s="18">
        <v>1458</v>
      </c>
      <c r="C1950" s="23" t="s">
        <v>100</v>
      </c>
      <c r="D1950" s="27">
        <v>45103.029166666667</v>
      </c>
      <c r="E1950" s="18" t="s">
        <v>97</v>
      </c>
      <c r="F1950" s="18" t="s">
        <v>20</v>
      </c>
      <c r="G1950" s="18">
        <v>5635</v>
      </c>
      <c r="H1950" s="25">
        <f t="shared" si="120"/>
        <v>45103</v>
      </c>
      <c r="I1950" s="26">
        <f t="shared" si="121"/>
        <v>2.9166666667151731E-2</v>
      </c>
      <c r="J1950" s="18" t="str">
        <f t="shared" si="122"/>
        <v>June</v>
      </c>
      <c r="K1950" s="56" t="str">
        <f t="shared" si="123"/>
        <v>Monday</v>
      </c>
      <c r="L1950" s="18" t="str">
        <f>IF(OR(G1950&gt;Answers!I1965,G1950&lt;Answers!I1966),"Outlier","Normal")</f>
        <v>Outlier</v>
      </c>
      <c r="M1950" s="18">
        <v>67</v>
      </c>
    </row>
    <row r="1951" spans="1:13" ht="20" customHeight="1" x14ac:dyDescent="0.35">
      <c r="A1951" s="17">
        <v>1309990</v>
      </c>
      <c r="B1951" s="18">
        <v>221</v>
      </c>
      <c r="C1951" s="23" t="s">
        <v>101</v>
      </c>
      <c r="D1951" s="27">
        <v>45101.999305555553</v>
      </c>
      <c r="E1951" s="18" t="s">
        <v>133</v>
      </c>
      <c r="F1951" s="18" t="s">
        <v>41</v>
      </c>
      <c r="G1951" s="18">
        <v>667</v>
      </c>
      <c r="H1951" s="25">
        <f t="shared" si="120"/>
        <v>45101</v>
      </c>
      <c r="I1951" s="26">
        <f t="shared" si="121"/>
        <v>0.99930555555329192</v>
      </c>
      <c r="J1951" s="18" t="str">
        <f t="shared" si="122"/>
        <v>June</v>
      </c>
      <c r="K1951" s="56" t="str">
        <f t="shared" si="123"/>
        <v>Saturday</v>
      </c>
      <c r="L1951" s="18" t="str">
        <f>IF(OR(G1951&gt;Answers!I1966,G1951&lt;Answers!I1967),"Outlier","Normal")</f>
        <v>Outlier</v>
      </c>
      <c r="M1951" s="18">
        <v>64</v>
      </c>
    </row>
    <row r="1952" spans="1:13" ht="20" customHeight="1" x14ac:dyDescent="0.35">
      <c r="A1952" s="17">
        <v>1310379</v>
      </c>
      <c r="B1952" s="18">
        <v>390</v>
      </c>
      <c r="C1952" s="23" t="s">
        <v>113</v>
      </c>
      <c r="D1952" s="27">
        <v>44980.030555555553</v>
      </c>
      <c r="E1952" s="18" t="s">
        <v>98</v>
      </c>
      <c r="F1952" s="18" t="s">
        <v>55</v>
      </c>
      <c r="G1952" s="18">
        <v>9158</v>
      </c>
      <c r="H1952" s="25">
        <f t="shared" si="120"/>
        <v>44980</v>
      </c>
      <c r="I1952" s="26">
        <f t="shared" si="121"/>
        <v>3.0555555553291924E-2</v>
      </c>
      <c r="J1952" s="18" t="str">
        <f t="shared" si="122"/>
        <v>February</v>
      </c>
      <c r="K1952" s="56" t="str">
        <f t="shared" si="123"/>
        <v>Thursday</v>
      </c>
      <c r="L1952" s="18" t="str">
        <f>IF(OR(G1952&gt;Answers!I1967,G1952&lt;Answers!I1968),"Outlier","Normal")</f>
        <v>Outlier</v>
      </c>
      <c r="M1952" s="18">
        <v>89</v>
      </c>
    </row>
    <row r="1953" spans="1:13" ht="20" customHeight="1" x14ac:dyDescent="0.35">
      <c r="A1953" s="17">
        <v>1311114</v>
      </c>
      <c r="B1953" s="18">
        <v>130</v>
      </c>
      <c r="C1953" s="23" t="s">
        <v>99</v>
      </c>
      <c r="D1953" s="27">
        <v>45100.055555555555</v>
      </c>
      <c r="E1953" s="18" t="s">
        <v>97</v>
      </c>
      <c r="F1953" s="18" t="s">
        <v>56</v>
      </c>
      <c r="G1953" s="18">
        <v>1596</v>
      </c>
      <c r="H1953" s="25">
        <f t="shared" si="120"/>
        <v>45100</v>
      </c>
      <c r="I1953" s="26">
        <f t="shared" si="121"/>
        <v>5.5555555554747116E-2</v>
      </c>
      <c r="J1953" s="18" t="str">
        <f t="shared" si="122"/>
        <v>June</v>
      </c>
      <c r="K1953" s="56" t="str">
        <f t="shared" si="123"/>
        <v>Friday</v>
      </c>
      <c r="L1953" s="18" t="str">
        <f>IF(OR(G1953&gt;Answers!I1968,G1953&lt;Answers!I1969),"Outlier","Normal")</f>
        <v>Outlier</v>
      </c>
      <c r="M1953" s="18">
        <v>50</v>
      </c>
    </row>
    <row r="1954" spans="1:13" ht="20" customHeight="1" x14ac:dyDescent="0.35">
      <c r="A1954" s="17">
        <v>1311384</v>
      </c>
      <c r="B1954" s="18">
        <v>1796</v>
      </c>
      <c r="C1954" s="23" t="s">
        <v>108</v>
      </c>
      <c r="D1954" s="27">
        <v>44974.981944444444</v>
      </c>
      <c r="E1954" s="18" t="s">
        <v>98</v>
      </c>
      <c r="F1954" s="18" t="s">
        <v>57</v>
      </c>
      <c r="G1954" s="18">
        <v>5286</v>
      </c>
      <c r="H1954" s="25">
        <f t="shared" si="120"/>
        <v>44974</v>
      </c>
      <c r="I1954" s="26">
        <f t="shared" si="121"/>
        <v>0.98194444444379769</v>
      </c>
      <c r="J1954" s="18" t="str">
        <f t="shared" si="122"/>
        <v>February</v>
      </c>
      <c r="K1954" s="56" t="str">
        <f t="shared" si="123"/>
        <v>Friday</v>
      </c>
      <c r="L1954" s="18" t="str">
        <f>IF(OR(G1954&gt;Answers!I1969,G1954&lt;Answers!I1970),"Outlier","Normal")</f>
        <v>Outlier</v>
      </c>
      <c r="M1954" s="18">
        <v>86</v>
      </c>
    </row>
    <row r="1955" spans="1:13" ht="20" customHeight="1" x14ac:dyDescent="0.35">
      <c r="A1955" s="17">
        <v>1311758</v>
      </c>
      <c r="B1955" s="18">
        <v>446</v>
      </c>
      <c r="C1955" s="23" t="s">
        <v>99</v>
      </c>
      <c r="D1955" s="27">
        <v>45229.03125</v>
      </c>
      <c r="E1955" s="18" t="s">
        <v>133</v>
      </c>
      <c r="F1955" s="18" t="s">
        <v>58</v>
      </c>
      <c r="G1955" s="18">
        <v>7083</v>
      </c>
      <c r="H1955" s="25">
        <f t="shared" si="120"/>
        <v>45229</v>
      </c>
      <c r="I1955" s="26">
        <f t="shared" si="121"/>
        <v>3.125E-2</v>
      </c>
      <c r="J1955" s="18" t="str">
        <f t="shared" si="122"/>
        <v>October</v>
      </c>
      <c r="K1955" s="56" t="str">
        <f t="shared" si="123"/>
        <v>Monday</v>
      </c>
      <c r="L1955" s="18" t="str">
        <f>IF(OR(G1955&gt;Answers!I1970,G1955&lt;Answers!I1971),"Outlier","Normal")</f>
        <v>Outlier</v>
      </c>
      <c r="M1955" s="18">
        <v>67</v>
      </c>
    </row>
    <row r="1956" spans="1:13" ht="20" customHeight="1" x14ac:dyDescent="0.35">
      <c r="A1956" s="17">
        <v>1311873</v>
      </c>
      <c r="B1956" s="18">
        <v>990</v>
      </c>
      <c r="C1956" s="23" t="s">
        <v>109</v>
      </c>
      <c r="D1956" s="27">
        <v>44995.049305555556</v>
      </c>
      <c r="E1956" s="18" t="s">
        <v>98</v>
      </c>
      <c r="F1956" s="18" t="s">
        <v>59</v>
      </c>
      <c r="G1956" s="18">
        <v>2981</v>
      </c>
      <c r="H1956" s="25">
        <f t="shared" si="120"/>
        <v>44995</v>
      </c>
      <c r="I1956" s="26">
        <f t="shared" si="121"/>
        <v>4.9305555556202307E-2</v>
      </c>
      <c r="J1956" s="18" t="str">
        <f t="shared" si="122"/>
        <v>March</v>
      </c>
      <c r="K1956" s="56" t="str">
        <f t="shared" si="123"/>
        <v>Friday</v>
      </c>
      <c r="L1956" s="18" t="str">
        <f>IF(OR(G1956&gt;Answers!I1971,G1956&lt;Answers!I1972),"Outlier","Normal")</f>
        <v>Outlier</v>
      </c>
      <c r="M1956" s="18">
        <v>37</v>
      </c>
    </row>
    <row r="1957" spans="1:13" ht="20" customHeight="1" x14ac:dyDescent="0.35">
      <c r="A1957" s="17">
        <v>1311950</v>
      </c>
      <c r="B1957" s="18">
        <v>1770</v>
      </c>
      <c r="C1957" s="23" t="s">
        <v>104</v>
      </c>
      <c r="D1957" s="27">
        <v>45290.990972222222</v>
      </c>
      <c r="E1957" s="18" t="s">
        <v>98</v>
      </c>
      <c r="F1957" s="18" t="s">
        <v>4</v>
      </c>
      <c r="G1957" s="18">
        <v>4041</v>
      </c>
      <c r="H1957" s="25">
        <f t="shared" si="120"/>
        <v>45290</v>
      </c>
      <c r="I1957" s="26">
        <f t="shared" si="121"/>
        <v>0.99097222222189885</v>
      </c>
      <c r="J1957" s="18" t="str">
        <f t="shared" si="122"/>
        <v>December</v>
      </c>
      <c r="K1957" s="56" t="str">
        <f t="shared" si="123"/>
        <v>Saturday</v>
      </c>
      <c r="L1957" s="18" t="str">
        <f>IF(OR(G1957&gt;Answers!I1972,G1957&lt;Answers!I1973),"Outlier","Normal")</f>
        <v>Outlier</v>
      </c>
      <c r="M1957" s="18">
        <v>88</v>
      </c>
    </row>
    <row r="1958" spans="1:13" ht="20" customHeight="1" x14ac:dyDescent="0.35">
      <c r="A1958" s="17">
        <v>1312340</v>
      </c>
      <c r="B1958" s="18">
        <v>721</v>
      </c>
      <c r="C1958" s="23" t="s">
        <v>113</v>
      </c>
      <c r="D1958" s="27">
        <v>45197.013888888891</v>
      </c>
      <c r="E1958" s="18" t="s">
        <v>97</v>
      </c>
      <c r="F1958" s="18" t="s">
        <v>27</v>
      </c>
      <c r="G1958" s="18">
        <v>9364</v>
      </c>
      <c r="H1958" s="25">
        <f t="shared" si="120"/>
        <v>45197</v>
      </c>
      <c r="I1958" s="26">
        <f t="shared" si="121"/>
        <v>1.3888888890505768E-2</v>
      </c>
      <c r="J1958" s="18" t="str">
        <f t="shared" si="122"/>
        <v>September</v>
      </c>
      <c r="K1958" s="56" t="str">
        <f t="shared" si="123"/>
        <v>Thursday</v>
      </c>
      <c r="L1958" s="18" t="str">
        <f>IF(OR(G1958&gt;Answers!I1973,G1958&lt;Answers!I1974),"Outlier","Normal")</f>
        <v>Outlier</v>
      </c>
      <c r="M1958" s="18">
        <v>46</v>
      </c>
    </row>
    <row r="1959" spans="1:13" ht="20" customHeight="1" x14ac:dyDescent="0.35">
      <c r="A1959" s="17">
        <v>1312407</v>
      </c>
      <c r="B1959" s="18">
        <v>183</v>
      </c>
      <c r="C1959" s="23" t="s">
        <v>113</v>
      </c>
      <c r="D1959" s="27">
        <v>45020.054861111108</v>
      </c>
      <c r="E1959" s="18" t="s">
        <v>97</v>
      </c>
      <c r="F1959" s="18" t="s">
        <v>60</v>
      </c>
      <c r="G1959" s="18">
        <v>9002</v>
      </c>
      <c r="H1959" s="25">
        <f t="shared" si="120"/>
        <v>45020</v>
      </c>
      <c r="I1959" s="26">
        <f t="shared" si="121"/>
        <v>5.486111110803904E-2</v>
      </c>
      <c r="J1959" s="18" t="str">
        <f t="shared" si="122"/>
        <v>April</v>
      </c>
      <c r="K1959" s="56" t="str">
        <f t="shared" si="123"/>
        <v>Tuesday</v>
      </c>
      <c r="L1959" s="18" t="str">
        <f>IF(OR(G1959&gt;Answers!I1974,G1959&lt;Answers!I1975),"Outlier","Normal")</f>
        <v>Outlier</v>
      </c>
      <c r="M1959" s="18">
        <v>66</v>
      </c>
    </row>
    <row r="1960" spans="1:13" ht="20" customHeight="1" x14ac:dyDescent="0.35">
      <c r="A1960" s="17">
        <v>1312635</v>
      </c>
      <c r="B1960" s="18">
        <v>55</v>
      </c>
      <c r="C1960" s="23" t="s">
        <v>108</v>
      </c>
      <c r="D1960" s="27">
        <v>44970.989583333336</v>
      </c>
      <c r="E1960" s="18" t="s">
        <v>98</v>
      </c>
      <c r="F1960" s="18" t="s">
        <v>61</v>
      </c>
      <c r="G1960" s="18">
        <v>2981</v>
      </c>
      <c r="H1960" s="25">
        <f t="shared" si="120"/>
        <v>44970</v>
      </c>
      <c r="I1960" s="26">
        <f t="shared" si="121"/>
        <v>0.98958333333575865</v>
      </c>
      <c r="J1960" s="18" t="str">
        <f t="shared" si="122"/>
        <v>February</v>
      </c>
      <c r="K1960" s="56" t="str">
        <f t="shared" si="123"/>
        <v>Monday</v>
      </c>
      <c r="L1960" s="18" t="str">
        <f>IF(OR(G1960&gt;Answers!I1975,G1960&lt;Answers!I1976),"Outlier","Normal")</f>
        <v>Outlier</v>
      </c>
      <c r="M1960" s="18">
        <v>32</v>
      </c>
    </row>
    <row r="1961" spans="1:13" ht="20" customHeight="1" x14ac:dyDescent="0.35">
      <c r="A1961" s="17">
        <v>1313934</v>
      </c>
      <c r="B1961" s="18">
        <v>1710</v>
      </c>
      <c r="C1961" s="23" t="s">
        <v>105</v>
      </c>
      <c r="D1961" s="27">
        <v>45242.04583333333</v>
      </c>
      <c r="E1961" s="18" t="s">
        <v>96</v>
      </c>
      <c r="F1961" s="18" t="s">
        <v>93</v>
      </c>
      <c r="G1961" s="18">
        <v>2981</v>
      </c>
      <c r="H1961" s="25">
        <f t="shared" si="120"/>
        <v>45242</v>
      </c>
      <c r="I1961" s="26">
        <f t="shared" si="121"/>
        <v>4.5833333329937886E-2</v>
      </c>
      <c r="J1961" s="18" t="str">
        <f t="shared" si="122"/>
        <v>November</v>
      </c>
      <c r="K1961" s="56" t="str">
        <f t="shared" si="123"/>
        <v>Sunday</v>
      </c>
      <c r="L1961" s="18" t="str">
        <f>IF(OR(G1961&gt;Answers!I1976,G1961&lt;Answers!I1977),"Outlier","Normal")</f>
        <v>Outlier</v>
      </c>
      <c r="M1961" s="18">
        <v>84</v>
      </c>
    </row>
    <row r="1962" spans="1:13" ht="20" customHeight="1" x14ac:dyDescent="0.35">
      <c r="A1962" s="17">
        <v>1313997</v>
      </c>
      <c r="B1962" s="18">
        <v>1327</v>
      </c>
      <c r="C1962" s="23" t="s">
        <v>100</v>
      </c>
      <c r="D1962" s="27">
        <v>44984.00277777778</v>
      </c>
      <c r="E1962" s="18" t="s">
        <v>98</v>
      </c>
      <c r="F1962" s="18" t="s">
        <v>33</v>
      </c>
      <c r="G1962" s="18">
        <v>8609</v>
      </c>
      <c r="H1962" s="25">
        <f t="shared" si="120"/>
        <v>44984</v>
      </c>
      <c r="I1962" s="26">
        <f t="shared" si="121"/>
        <v>2.7777777795563452E-3</v>
      </c>
      <c r="J1962" s="18" t="str">
        <f t="shared" si="122"/>
        <v>February</v>
      </c>
      <c r="K1962" s="56" t="str">
        <f t="shared" si="123"/>
        <v>Monday</v>
      </c>
      <c r="L1962" s="18" t="str">
        <f>IF(OR(G1962&gt;Answers!I1977,G1962&lt;Answers!I1978),"Outlier","Normal")</f>
        <v>Outlier</v>
      </c>
      <c r="M1962" s="18">
        <v>34</v>
      </c>
    </row>
    <row r="1963" spans="1:13" ht="20" customHeight="1" x14ac:dyDescent="0.35">
      <c r="A1963" s="17">
        <v>1314159</v>
      </c>
      <c r="B1963" s="18">
        <v>1357</v>
      </c>
      <c r="C1963" s="23" t="s">
        <v>111</v>
      </c>
      <c r="D1963" s="27">
        <v>45130.018055555556</v>
      </c>
      <c r="E1963" s="18" t="s">
        <v>97</v>
      </c>
      <c r="F1963" s="18" t="s">
        <v>63</v>
      </c>
      <c r="G1963" s="18">
        <v>3684</v>
      </c>
      <c r="H1963" s="25">
        <f t="shared" si="120"/>
        <v>45130</v>
      </c>
      <c r="I1963" s="26">
        <f t="shared" si="121"/>
        <v>1.8055555556202307E-2</v>
      </c>
      <c r="J1963" s="18" t="str">
        <f t="shared" si="122"/>
        <v>July</v>
      </c>
      <c r="K1963" s="56" t="str">
        <f t="shared" si="123"/>
        <v>Sunday</v>
      </c>
      <c r="L1963" s="18" t="str">
        <f>IF(OR(G1963&gt;Answers!I1978,G1963&lt;Answers!I1979),"Outlier","Normal")</f>
        <v>Outlier</v>
      </c>
      <c r="M1963" s="18">
        <v>43</v>
      </c>
    </row>
    <row r="1964" spans="1:13" ht="20" customHeight="1" x14ac:dyDescent="0.35">
      <c r="A1964" s="17">
        <v>1314166</v>
      </c>
      <c r="B1964" s="18">
        <v>1145</v>
      </c>
      <c r="C1964" s="23" t="s">
        <v>99</v>
      </c>
      <c r="D1964" s="27">
        <v>45015.061111111114</v>
      </c>
      <c r="E1964" s="18" t="s">
        <v>96</v>
      </c>
      <c r="F1964" s="18" t="s">
        <v>28</v>
      </c>
      <c r="G1964" s="18">
        <v>9152</v>
      </c>
      <c r="H1964" s="25">
        <f t="shared" si="120"/>
        <v>45015</v>
      </c>
      <c r="I1964" s="26">
        <f t="shared" si="121"/>
        <v>6.1111111113859806E-2</v>
      </c>
      <c r="J1964" s="18" t="str">
        <f t="shared" si="122"/>
        <v>March</v>
      </c>
      <c r="K1964" s="56" t="str">
        <f t="shared" si="123"/>
        <v>Thursday</v>
      </c>
      <c r="L1964" s="18" t="str">
        <f>IF(OR(G1964&gt;Answers!I1979,G1964&lt;Answers!I1980),"Outlier","Normal")</f>
        <v>Outlier</v>
      </c>
      <c r="M1964" s="18">
        <v>50</v>
      </c>
    </row>
    <row r="1965" spans="1:13" ht="20" customHeight="1" x14ac:dyDescent="0.35">
      <c r="A1965" s="17">
        <v>1314895</v>
      </c>
      <c r="B1965" s="18">
        <v>1512</v>
      </c>
      <c r="C1965" s="23" t="s">
        <v>108</v>
      </c>
      <c r="D1965" s="27">
        <v>45278.942361111112</v>
      </c>
      <c r="E1965" s="18" t="s">
        <v>133</v>
      </c>
      <c r="F1965" s="18" t="s">
        <v>39</v>
      </c>
      <c r="G1965" s="18">
        <v>1560</v>
      </c>
      <c r="H1965" s="25">
        <f t="shared" si="120"/>
        <v>45278</v>
      </c>
      <c r="I1965" s="26">
        <f t="shared" si="121"/>
        <v>0.94236111111240461</v>
      </c>
      <c r="J1965" s="18" t="str">
        <f t="shared" si="122"/>
        <v>December</v>
      </c>
      <c r="K1965" s="56" t="str">
        <f t="shared" si="123"/>
        <v>Monday</v>
      </c>
      <c r="L1965" s="18" t="str">
        <f>IF(OR(G1965&gt;Answers!I1980,G1965&lt;Answers!I1981),"Outlier","Normal")</f>
        <v>Outlier</v>
      </c>
      <c r="M1965" s="18">
        <v>28</v>
      </c>
    </row>
    <row r="1966" spans="1:13" ht="20" customHeight="1" x14ac:dyDescent="0.35">
      <c r="A1966" s="17">
        <v>1316887</v>
      </c>
      <c r="B1966" s="18">
        <v>1739</v>
      </c>
      <c r="C1966" s="23" t="s">
        <v>105</v>
      </c>
      <c r="D1966" s="27">
        <v>45023.981249999997</v>
      </c>
      <c r="E1966" s="18" t="s">
        <v>98</v>
      </c>
      <c r="F1966" s="18" t="s">
        <v>27</v>
      </c>
      <c r="G1966" s="18">
        <v>951</v>
      </c>
      <c r="H1966" s="25">
        <f t="shared" si="120"/>
        <v>45023</v>
      </c>
      <c r="I1966" s="26">
        <f t="shared" si="121"/>
        <v>0.98124999999708962</v>
      </c>
      <c r="J1966" s="18" t="str">
        <f t="shared" si="122"/>
        <v>April</v>
      </c>
      <c r="K1966" s="56" t="str">
        <f t="shared" si="123"/>
        <v>Friday</v>
      </c>
      <c r="L1966" s="18" t="str">
        <f>IF(OR(G1966&gt;Answers!I1981,G1966&lt;Answers!I1982),"Outlier","Normal")</f>
        <v>Outlier</v>
      </c>
      <c r="M1966" s="18">
        <v>44</v>
      </c>
    </row>
    <row r="1967" spans="1:13" ht="20" customHeight="1" x14ac:dyDescent="0.35">
      <c r="A1967" s="17">
        <v>1317983</v>
      </c>
      <c r="B1967" s="18">
        <v>997</v>
      </c>
      <c r="C1967" s="23" t="s">
        <v>113</v>
      </c>
      <c r="D1967" s="27">
        <v>45272.060416666667</v>
      </c>
      <c r="E1967" s="18" t="s">
        <v>98</v>
      </c>
      <c r="F1967" s="18" t="s">
        <v>64</v>
      </c>
      <c r="G1967" s="18">
        <v>7185</v>
      </c>
      <c r="H1967" s="25">
        <f t="shared" si="120"/>
        <v>45272</v>
      </c>
      <c r="I1967" s="26">
        <f t="shared" si="121"/>
        <v>6.0416666667151731E-2</v>
      </c>
      <c r="J1967" s="18" t="str">
        <f t="shared" si="122"/>
        <v>December</v>
      </c>
      <c r="K1967" s="56" t="str">
        <f t="shared" si="123"/>
        <v>Tuesday</v>
      </c>
      <c r="L1967" s="18" t="str">
        <f>IF(OR(G1967&gt;Answers!I1982,G1967&lt;Answers!I1983),"Outlier","Normal")</f>
        <v>Outlier</v>
      </c>
      <c r="M1967" s="18">
        <v>58</v>
      </c>
    </row>
    <row r="1968" spans="1:13" ht="20" customHeight="1" x14ac:dyDescent="0.35">
      <c r="A1968" s="17">
        <v>1318200</v>
      </c>
      <c r="B1968" s="18">
        <v>1657</v>
      </c>
      <c r="C1968" s="23" t="s">
        <v>109</v>
      </c>
      <c r="D1968" s="27">
        <v>45269.01666666667</v>
      </c>
      <c r="E1968" s="18" t="s">
        <v>98</v>
      </c>
      <c r="F1968" s="18" t="s">
        <v>43</v>
      </c>
      <c r="G1968" s="18">
        <v>7368</v>
      </c>
      <c r="H1968" s="25">
        <f t="shared" si="120"/>
        <v>45269</v>
      </c>
      <c r="I1968" s="26">
        <f t="shared" si="121"/>
        <v>1.6666666670062114E-2</v>
      </c>
      <c r="J1968" s="18" t="str">
        <f t="shared" si="122"/>
        <v>December</v>
      </c>
      <c r="K1968" s="56" t="str">
        <f t="shared" si="123"/>
        <v>Saturday</v>
      </c>
      <c r="L1968" s="18" t="str">
        <f>IF(OR(G1968&gt;Answers!I1983,G1968&lt;Answers!I1984),"Outlier","Normal")</f>
        <v>Outlier</v>
      </c>
      <c r="M1968" s="18">
        <v>21</v>
      </c>
    </row>
    <row r="1969" spans="1:13" ht="20" customHeight="1" x14ac:dyDescent="0.35">
      <c r="A1969" s="17">
        <v>1318274</v>
      </c>
      <c r="B1969" s="18">
        <v>304</v>
      </c>
      <c r="C1969" s="23" t="s">
        <v>113</v>
      </c>
      <c r="D1969" s="27">
        <v>44990.981249999997</v>
      </c>
      <c r="E1969" s="18" t="s">
        <v>98</v>
      </c>
      <c r="F1969" s="18" t="s">
        <v>43</v>
      </c>
      <c r="G1969" s="18">
        <v>2657</v>
      </c>
      <c r="H1969" s="25">
        <f t="shared" si="120"/>
        <v>44990</v>
      </c>
      <c r="I1969" s="26">
        <f t="shared" si="121"/>
        <v>0.98124999999708962</v>
      </c>
      <c r="J1969" s="18" t="str">
        <f t="shared" si="122"/>
        <v>March</v>
      </c>
      <c r="K1969" s="56" t="str">
        <f t="shared" si="123"/>
        <v>Sunday</v>
      </c>
      <c r="L1969" s="18" t="str">
        <f>IF(OR(G1969&gt;Answers!I1984,G1969&lt;Answers!I1985),"Outlier","Normal")</f>
        <v>Outlier</v>
      </c>
      <c r="M1969" s="18">
        <v>71</v>
      </c>
    </row>
    <row r="1970" spans="1:13" ht="20" customHeight="1" x14ac:dyDescent="0.35">
      <c r="A1970" s="17">
        <v>1318579</v>
      </c>
      <c r="B1970" s="18">
        <v>1120</v>
      </c>
      <c r="C1970" s="23" t="s">
        <v>108</v>
      </c>
      <c r="D1970" s="27">
        <v>45232.079861111109</v>
      </c>
      <c r="E1970" s="18" t="s">
        <v>97</v>
      </c>
      <c r="F1970" s="18" t="s">
        <v>65</v>
      </c>
      <c r="G1970" s="18">
        <v>8857</v>
      </c>
      <c r="H1970" s="25">
        <f t="shared" si="120"/>
        <v>45232</v>
      </c>
      <c r="I1970" s="26">
        <f t="shared" si="121"/>
        <v>7.9861111109494232E-2</v>
      </c>
      <c r="J1970" s="18" t="str">
        <f t="shared" si="122"/>
        <v>November</v>
      </c>
      <c r="K1970" s="56" t="str">
        <f t="shared" si="123"/>
        <v>Thursday</v>
      </c>
      <c r="L1970" s="18" t="str">
        <f>IF(OR(G1970&gt;Answers!I1985,G1970&lt;Answers!I1986),"Outlier","Normal")</f>
        <v>Outlier</v>
      </c>
      <c r="M1970" s="18">
        <v>53</v>
      </c>
    </row>
    <row r="1971" spans="1:13" ht="20" customHeight="1" x14ac:dyDescent="0.35">
      <c r="A1971" s="17">
        <v>1319964</v>
      </c>
      <c r="B1971" s="18">
        <v>281</v>
      </c>
      <c r="C1971" s="23" t="s">
        <v>99</v>
      </c>
      <c r="D1971" s="27">
        <v>44959.989583333336</v>
      </c>
      <c r="E1971" s="18" t="s">
        <v>98</v>
      </c>
      <c r="F1971" s="18" t="s">
        <v>62</v>
      </c>
      <c r="G1971" s="18">
        <v>2954</v>
      </c>
      <c r="H1971" s="25">
        <f t="shared" si="120"/>
        <v>44959</v>
      </c>
      <c r="I1971" s="26">
        <f t="shared" si="121"/>
        <v>0.98958333333575865</v>
      </c>
      <c r="J1971" s="18" t="str">
        <f t="shared" si="122"/>
        <v>February</v>
      </c>
      <c r="K1971" s="56" t="str">
        <f t="shared" si="123"/>
        <v>Thursday</v>
      </c>
      <c r="L1971" s="18" t="str">
        <f>IF(OR(G1971&gt;Answers!I1986,G1971&lt;Answers!I1987),"Outlier","Normal")</f>
        <v>Outlier</v>
      </c>
      <c r="M1971" s="18">
        <v>75</v>
      </c>
    </row>
    <row r="1972" spans="1:13" ht="20" customHeight="1" x14ac:dyDescent="0.35">
      <c r="A1972" s="17">
        <v>1320558</v>
      </c>
      <c r="B1972" s="18">
        <v>1243</v>
      </c>
      <c r="C1972" s="23" t="s">
        <v>105</v>
      </c>
      <c r="D1972" s="27">
        <v>45119.98333333333</v>
      </c>
      <c r="E1972" s="18" t="s">
        <v>98</v>
      </c>
      <c r="F1972" s="18" t="s">
        <v>70</v>
      </c>
      <c r="G1972" s="18">
        <v>6197</v>
      </c>
      <c r="H1972" s="25">
        <f t="shared" si="120"/>
        <v>45119</v>
      </c>
      <c r="I1972" s="26">
        <f t="shared" si="121"/>
        <v>0.98333333332993789</v>
      </c>
      <c r="J1972" s="18" t="str">
        <f t="shared" si="122"/>
        <v>July</v>
      </c>
      <c r="K1972" s="56" t="str">
        <f t="shared" si="123"/>
        <v>Wednesday</v>
      </c>
      <c r="L1972" s="18" t="str">
        <f>IF(OR(G1972&gt;Answers!I1987,G1972&lt;Answers!I1988),"Outlier","Normal")</f>
        <v>Outlier</v>
      </c>
      <c r="M1972" s="18">
        <v>24</v>
      </c>
    </row>
    <row r="1973" spans="1:13" ht="20" customHeight="1" x14ac:dyDescent="0.35">
      <c r="A1973" s="17">
        <v>1321272</v>
      </c>
      <c r="B1973" s="18">
        <v>1045</v>
      </c>
      <c r="C1973" s="23" t="s">
        <v>105</v>
      </c>
      <c r="D1973" s="27">
        <v>45134.006249999999</v>
      </c>
      <c r="E1973" s="18" t="s">
        <v>97</v>
      </c>
      <c r="F1973" s="18" t="s">
        <v>71</v>
      </c>
      <c r="G1973" s="18">
        <v>4967</v>
      </c>
      <c r="H1973" s="25">
        <f t="shared" si="120"/>
        <v>45134</v>
      </c>
      <c r="I1973" s="26">
        <f t="shared" si="121"/>
        <v>6.2499999985448085E-3</v>
      </c>
      <c r="J1973" s="18" t="str">
        <f t="shared" si="122"/>
        <v>July</v>
      </c>
      <c r="K1973" s="56" t="str">
        <f t="shared" si="123"/>
        <v>Thursday</v>
      </c>
      <c r="L1973" s="18" t="str">
        <f>IF(OR(G1973&gt;Answers!I1988,G1973&lt;Answers!I1989),"Outlier","Normal")</f>
        <v>Outlier</v>
      </c>
      <c r="M1973" s="18">
        <v>19</v>
      </c>
    </row>
    <row r="1974" spans="1:13" ht="20" customHeight="1" x14ac:dyDescent="0.35">
      <c r="A1974" s="17">
        <v>1322635</v>
      </c>
      <c r="B1974" s="18">
        <v>481</v>
      </c>
      <c r="C1974" s="23" t="s">
        <v>101</v>
      </c>
      <c r="D1974" s="27">
        <v>44982.990277777775</v>
      </c>
      <c r="E1974" s="18" t="s">
        <v>133</v>
      </c>
      <c r="F1974" s="18" t="s">
        <v>43</v>
      </c>
      <c r="G1974" s="18">
        <v>1854</v>
      </c>
      <c r="H1974" s="25">
        <f t="shared" si="120"/>
        <v>44982</v>
      </c>
      <c r="I1974" s="26">
        <f t="shared" si="121"/>
        <v>0.99027777777519077</v>
      </c>
      <c r="J1974" s="18" t="str">
        <f t="shared" si="122"/>
        <v>February</v>
      </c>
      <c r="K1974" s="56" t="str">
        <f t="shared" si="123"/>
        <v>Saturday</v>
      </c>
      <c r="L1974" s="18" t="str">
        <f>IF(OR(G1974&gt;Answers!I1989,G1974&lt;Answers!I1990),"Outlier","Normal")</f>
        <v>Outlier</v>
      </c>
      <c r="M1974" s="18">
        <v>49</v>
      </c>
    </row>
    <row r="1975" spans="1:13" ht="20" customHeight="1" x14ac:dyDescent="0.35">
      <c r="A1975" s="17">
        <v>1323847</v>
      </c>
      <c r="B1975" s="18">
        <v>1742</v>
      </c>
      <c r="C1975" s="23" t="s">
        <v>99</v>
      </c>
      <c r="D1975" s="27">
        <v>45037.067361111112</v>
      </c>
      <c r="E1975" s="18" t="s">
        <v>133</v>
      </c>
      <c r="F1975" s="18" t="s">
        <v>45</v>
      </c>
      <c r="G1975" s="18">
        <v>4644</v>
      </c>
      <c r="H1975" s="25">
        <f t="shared" si="120"/>
        <v>45037</v>
      </c>
      <c r="I1975" s="26">
        <f t="shared" si="121"/>
        <v>6.7361111112404615E-2</v>
      </c>
      <c r="J1975" s="18" t="str">
        <f t="shared" si="122"/>
        <v>April</v>
      </c>
      <c r="K1975" s="56" t="str">
        <f t="shared" si="123"/>
        <v>Friday</v>
      </c>
      <c r="L1975" s="18" t="str">
        <f>IF(OR(G1975&gt;Answers!I1990,G1975&lt;Answers!I1991),"Outlier","Normal")</f>
        <v>Outlier</v>
      </c>
      <c r="M1975" s="18">
        <v>49</v>
      </c>
    </row>
    <row r="1976" spans="1:13" ht="20" customHeight="1" x14ac:dyDescent="0.35">
      <c r="A1976" s="17">
        <v>1325889</v>
      </c>
      <c r="B1976" s="18">
        <v>399</v>
      </c>
      <c r="C1976" s="23" t="s">
        <v>113</v>
      </c>
      <c r="D1976" s="27">
        <v>45110.027777777781</v>
      </c>
      <c r="E1976" s="18" t="s">
        <v>133</v>
      </c>
      <c r="F1976" s="18" t="s">
        <v>58</v>
      </c>
      <c r="G1976" s="18">
        <v>4141</v>
      </c>
      <c r="H1976" s="25">
        <f t="shared" si="120"/>
        <v>45110</v>
      </c>
      <c r="I1976" s="26">
        <f t="shared" si="121"/>
        <v>2.7777777781011537E-2</v>
      </c>
      <c r="J1976" s="18" t="str">
        <f t="shared" si="122"/>
        <v>July</v>
      </c>
      <c r="K1976" s="56" t="str">
        <f t="shared" si="123"/>
        <v>Monday</v>
      </c>
      <c r="L1976" s="18" t="str">
        <f>IF(OR(G1976&gt;Answers!I1991,G1976&lt;Answers!I1992),"Outlier","Normal")</f>
        <v>Outlier</v>
      </c>
      <c r="M1976" s="18">
        <v>83</v>
      </c>
    </row>
    <row r="1977" spans="1:13" ht="20" customHeight="1" x14ac:dyDescent="0.35">
      <c r="A1977" s="17">
        <v>1326076</v>
      </c>
      <c r="B1977" s="18">
        <v>1939</v>
      </c>
      <c r="C1977" s="23" t="s">
        <v>99</v>
      </c>
      <c r="D1977" s="27">
        <v>45008.037499999999</v>
      </c>
      <c r="E1977" s="18" t="s">
        <v>97</v>
      </c>
      <c r="F1977" s="18" t="s">
        <v>67</v>
      </c>
      <c r="G1977" s="18">
        <v>9937</v>
      </c>
      <c r="H1977" s="25">
        <f t="shared" si="120"/>
        <v>45008</v>
      </c>
      <c r="I1977" s="26">
        <f t="shared" si="121"/>
        <v>3.7499999998544808E-2</v>
      </c>
      <c r="J1977" s="18" t="str">
        <f t="shared" si="122"/>
        <v>March</v>
      </c>
      <c r="K1977" s="56" t="str">
        <f t="shared" si="123"/>
        <v>Thursday</v>
      </c>
      <c r="L1977" s="18" t="str">
        <f>IF(OR(G1977&gt;Answers!I1992,G1977&lt;Answers!I1993),"Outlier","Normal")</f>
        <v>Outlier</v>
      </c>
      <c r="M1977" s="18">
        <v>44</v>
      </c>
    </row>
    <row r="1978" spans="1:13" ht="20" customHeight="1" x14ac:dyDescent="0.35">
      <c r="A1978" s="17">
        <v>1329378</v>
      </c>
      <c r="B1978" s="18">
        <v>985</v>
      </c>
      <c r="C1978" s="23" t="s">
        <v>99</v>
      </c>
      <c r="D1978" s="27">
        <v>44967.981249999997</v>
      </c>
      <c r="E1978" s="18" t="s">
        <v>98</v>
      </c>
      <c r="F1978" s="18" t="s">
        <v>11</v>
      </c>
      <c r="G1978" s="18">
        <v>5704</v>
      </c>
      <c r="H1978" s="25">
        <f t="shared" si="120"/>
        <v>44967</v>
      </c>
      <c r="I1978" s="26">
        <f t="shared" si="121"/>
        <v>0.98124999999708962</v>
      </c>
      <c r="J1978" s="18" t="str">
        <f t="shared" si="122"/>
        <v>February</v>
      </c>
      <c r="K1978" s="56" t="str">
        <f t="shared" si="123"/>
        <v>Friday</v>
      </c>
      <c r="L1978" s="18" t="str">
        <f>IF(OR(G1978&gt;Answers!I1993,G1978&lt;Answers!I1994),"Outlier","Normal")</f>
        <v>Outlier</v>
      </c>
      <c r="M1978" s="18">
        <v>69</v>
      </c>
    </row>
    <row r="1979" spans="1:13" ht="20" customHeight="1" x14ac:dyDescent="0.35">
      <c r="A1979" s="17">
        <v>1330979</v>
      </c>
      <c r="B1979" s="18">
        <v>546</v>
      </c>
      <c r="C1979" s="23" t="s">
        <v>99</v>
      </c>
      <c r="D1979" s="27">
        <v>44929.981249999997</v>
      </c>
      <c r="E1979" s="18" t="s">
        <v>97</v>
      </c>
      <c r="F1979" s="18" t="s">
        <v>44</v>
      </c>
      <c r="G1979" s="18">
        <v>4461</v>
      </c>
      <c r="H1979" s="25">
        <f t="shared" si="120"/>
        <v>44929</v>
      </c>
      <c r="I1979" s="26">
        <f t="shared" si="121"/>
        <v>0.98124999999708962</v>
      </c>
      <c r="J1979" s="18" t="str">
        <f t="shared" si="122"/>
        <v>January</v>
      </c>
      <c r="K1979" s="56" t="str">
        <f t="shared" si="123"/>
        <v>Tuesday</v>
      </c>
      <c r="L1979" s="18" t="str">
        <f>IF(OR(G1979&gt;Answers!I1994,G1979&lt;Answers!I1995),"Outlier","Normal")</f>
        <v>Outlier</v>
      </c>
      <c r="M1979" s="18">
        <v>57</v>
      </c>
    </row>
    <row r="1980" spans="1:13" ht="20" customHeight="1" x14ac:dyDescent="0.35">
      <c r="A1980" s="17">
        <v>1331311</v>
      </c>
      <c r="B1980" s="18">
        <v>106</v>
      </c>
      <c r="C1980" s="23" t="s">
        <v>101</v>
      </c>
      <c r="D1980" s="27">
        <v>44933.033333333333</v>
      </c>
      <c r="E1980" s="18" t="s">
        <v>133</v>
      </c>
      <c r="F1980" s="18" t="s">
        <v>27</v>
      </c>
      <c r="G1980" s="18">
        <v>1909</v>
      </c>
      <c r="H1980" s="25">
        <f t="shared" si="120"/>
        <v>44933</v>
      </c>
      <c r="I1980" s="26">
        <f t="shared" si="121"/>
        <v>3.3333333332848269E-2</v>
      </c>
      <c r="J1980" s="18" t="str">
        <f t="shared" si="122"/>
        <v>January</v>
      </c>
      <c r="K1980" s="56" t="str">
        <f t="shared" si="123"/>
        <v>Saturday</v>
      </c>
      <c r="L1980" s="18" t="str">
        <f>IF(OR(G1980&gt;Answers!I1995,G1980&lt;Answers!I1996),"Outlier","Normal")</f>
        <v>Outlier</v>
      </c>
      <c r="M1980" s="18">
        <v>40</v>
      </c>
    </row>
    <row r="1981" spans="1:13" ht="20" customHeight="1" x14ac:dyDescent="0.35">
      <c r="A1981" s="17">
        <v>1332449</v>
      </c>
      <c r="B1981" s="18">
        <v>1433</v>
      </c>
      <c r="C1981" s="23" t="s">
        <v>101</v>
      </c>
      <c r="D1981" s="27">
        <v>45269.026388888888</v>
      </c>
      <c r="E1981" s="18" t="s">
        <v>97</v>
      </c>
      <c r="F1981" s="18" t="s">
        <v>27</v>
      </c>
      <c r="G1981" s="18">
        <v>4463</v>
      </c>
      <c r="H1981" s="25">
        <f t="shared" si="120"/>
        <v>45269</v>
      </c>
      <c r="I1981" s="26">
        <f t="shared" si="121"/>
        <v>2.6388888887595385E-2</v>
      </c>
      <c r="J1981" s="18" t="str">
        <f t="shared" si="122"/>
        <v>December</v>
      </c>
      <c r="K1981" s="56" t="str">
        <f t="shared" si="123"/>
        <v>Saturday</v>
      </c>
      <c r="L1981" s="18" t="str">
        <f>IF(OR(G1981&gt;Answers!I1996,G1981&lt;Answers!I1997),"Outlier","Normal")</f>
        <v>Outlier</v>
      </c>
      <c r="M1981" s="18">
        <v>28</v>
      </c>
    </row>
    <row r="1982" spans="1:13" ht="20" customHeight="1" x14ac:dyDescent="0.35">
      <c r="A1982" s="17">
        <v>1334431</v>
      </c>
      <c r="B1982" s="18">
        <v>522</v>
      </c>
      <c r="C1982" s="23" t="s">
        <v>99</v>
      </c>
      <c r="D1982" s="27">
        <v>45195.029166666667</v>
      </c>
      <c r="E1982" s="18" t="s">
        <v>133</v>
      </c>
      <c r="F1982" s="18" t="s">
        <v>73</v>
      </c>
      <c r="G1982" s="18">
        <v>6918</v>
      </c>
      <c r="H1982" s="25">
        <f t="shared" si="120"/>
        <v>45195</v>
      </c>
      <c r="I1982" s="26">
        <f t="shared" si="121"/>
        <v>2.9166666667151731E-2</v>
      </c>
      <c r="J1982" s="18" t="str">
        <f t="shared" si="122"/>
        <v>September</v>
      </c>
      <c r="K1982" s="56" t="str">
        <f t="shared" si="123"/>
        <v>Tuesday</v>
      </c>
      <c r="L1982" s="18" t="str">
        <f>IF(OR(G1982&gt;Answers!I1997,G1982&lt;Answers!I1998),"Outlier","Normal")</f>
        <v>Outlier</v>
      </c>
      <c r="M1982" s="18">
        <v>77</v>
      </c>
    </row>
    <row r="1983" spans="1:13" ht="20" customHeight="1" x14ac:dyDescent="0.35">
      <c r="A1983" s="17">
        <v>1335084</v>
      </c>
      <c r="B1983" s="18">
        <v>1170</v>
      </c>
      <c r="C1983" s="23" t="s">
        <v>109</v>
      </c>
      <c r="D1983" s="27">
        <v>45128.025694444441</v>
      </c>
      <c r="E1983" s="18" t="s">
        <v>133</v>
      </c>
      <c r="F1983" s="18" t="s">
        <v>64</v>
      </c>
      <c r="G1983" s="18">
        <v>5783</v>
      </c>
      <c r="H1983" s="25">
        <f t="shared" si="120"/>
        <v>45128</v>
      </c>
      <c r="I1983" s="26">
        <f t="shared" si="121"/>
        <v>2.569444444088731E-2</v>
      </c>
      <c r="J1983" s="18" t="str">
        <f t="shared" si="122"/>
        <v>July</v>
      </c>
      <c r="K1983" s="56" t="str">
        <f t="shared" si="123"/>
        <v>Friday</v>
      </c>
      <c r="L1983" s="18" t="str">
        <f>IF(OR(G1983&gt;Answers!I1998,G1983&lt;Answers!I1999),"Outlier","Normal")</f>
        <v>Outlier</v>
      </c>
      <c r="M1983" s="18">
        <v>65</v>
      </c>
    </row>
    <row r="1984" spans="1:13" ht="20" customHeight="1" x14ac:dyDescent="0.35">
      <c r="A1984" s="17">
        <v>1335543</v>
      </c>
      <c r="B1984" s="18">
        <v>1191</v>
      </c>
      <c r="C1984" s="23" t="s">
        <v>101</v>
      </c>
      <c r="D1984" s="27">
        <v>44959.037499999999</v>
      </c>
      <c r="E1984" s="18" t="s">
        <v>98</v>
      </c>
      <c r="F1984" s="18" t="s">
        <v>26</v>
      </c>
      <c r="G1984" s="18">
        <v>2295</v>
      </c>
      <c r="H1984" s="25">
        <f t="shared" si="120"/>
        <v>44959</v>
      </c>
      <c r="I1984" s="26">
        <f t="shared" si="121"/>
        <v>3.7499999998544808E-2</v>
      </c>
      <c r="J1984" s="18" t="str">
        <f t="shared" si="122"/>
        <v>February</v>
      </c>
      <c r="K1984" s="56" t="str">
        <f t="shared" si="123"/>
        <v>Thursday</v>
      </c>
      <c r="L1984" s="18" t="str">
        <f>IF(OR(G1984&gt;Answers!I1999,G1984&lt;Answers!I2000),"Outlier","Normal")</f>
        <v>Outlier</v>
      </c>
      <c r="M1984" s="18">
        <v>48</v>
      </c>
    </row>
    <row r="1985" spans="1:13" ht="20" customHeight="1" x14ac:dyDescent="0.35">
      <c r="A1985" s="17">
        <v>1335910</v>
      </c>
      <c r="B1985" s="18">
        <v>902</v>
      </c>
      <c r="C1985" s="23" t="s">
        <v>99</v>
      </c>
      <c r="D1985" s="27">
        <v>45278.976388888892</v>
      </c>
      <c r="E1985" s="18" t="s">
        <v>96</v>
      </c>
      <c r="F1985" s="18" t="s">
        <v>74</v>
      </c>
      <c r="G1985" s="18">
        <v>355</v>
      </c>
      <c r="H1985" s="25">
        <f t="shared" si="120"/>
        <v>45278</v>
      </c>
      <c r="I1985" s="26">
        <f t="shared" si="121"/>
        <v>0.97638888889196096</v>
      </c>
      <c r="J1985" s="18" t="str">
        <f t="shared" si="122"/>
        <v>December</v>
      </c>
      <c r="K1985" s="56" t="str">
        <f t="shared" si="123"/>
        <v>Monday</v>
      </c>
      <c r="L1985" s="18" t="str">
        <f>IF(OR(G1985&gt;Answers!I2000,G1985&lt;Answers!I2001),"Outlier","Normal")</f>
        <v>Outlier</v>
      </c>
      <c r="M1985" s="18">
        <v>82</v>
      </c>
    </row>
    <row r="1986" spans="1:13" ht="20" customHeight="1" x14ac:dyDescent="0.35">
      <c r="A1986" s="17">
        <v>1335994</v>
      </c>
      <c r="B1986" s="18">
        <v>1510</v>
      </c>
      <c r="C1986" s="23" t="s">
        <v>103</v>
      </c>
      <c r="D1986" s="27">
        <v>45276.018055555556</v>
      </c>
      <c r="E1986" s="18" t="s">
        <v>133</v>
      </c>
      <c r="F1986" s="18" t="s">
        <v>88</v>
      </c>
      <c r="G1986" s="18">
        <v>7950</v>
      </c>
      <c r="H1986" s="25">
        <f t="shared" si="120"/>
        <v>45276</v>
      </c>
      <c r="I1986" s="26">
        <f t="shared" si="121"/>
        <v>1.8055555556202307E-2</v>
      </c>
      <c r="J1986" s="18" t="str">
        <f t="shared" si="122"/>
        <v>December</v>
      </c>
      <c r="K1986" s="56" t="str">
        <f t="shared" si="123"/>
        <v>Saturday</v>
      </c>
      <c r="L1986" s="18" t="str">
        <f>IF(OR(G1986&gt;Answers!I2001,G1986&lt;Answers!I2002),"Outlier","Normal")</f>
        <v>Outlier</v>
      </c>
      <c r="M1986" s="18">
        <v>23</v>
      </c>
    </row>
    <row r="1987" spans="1:13" ht="20" customHeight="1" x14ac:dyDescent="0.35">
      <c r="A1987" s="17">
        <v>1336012</v>
      </c>
      <c r="B1987" s="18">
        <v>856</v>
      </c>
      <c r="C1987" s="23" t="s">
        <v>99</v>
      </c>
      <c r="D1987" s="27">
        <v>45028.98541666667</v>
      </c>
      <c r="E1987" s="18" t="s">
        <v>133</v>
      </c>
      <c r="F1987" s="18" t="s">
        <v>73</v>
      </c>
      <c r="G1987" s="18">
        <v>7915</v>
      </c>
      <c r="H1987" s="25">
        <f t="shared" ref="H1987:H2050" si="124">INT(D1987)</f>
        <v>45028</v>
      </c>
      <c r="I1987" s="26">
        <f t="shared" ref="I1987:I2050" si="125">MOD(D1987,1)</f>
        <v>0.98541666667006211</v>
      </c>
      <c r="J1987" s="18" t="str">
        <f t="shared" ref="J1987:J2050" si="126">TEXT(D1987,"mmmm")</f>
        <v>April</v>
      </c>
      <c r="K1987" s="56" t="str">
        <f t="shared" ref="K1987:K2050" si="127">TEXT(D1987,"dddd")</f>
        <v>Wednesday</v>
      </c>
      <c r="L1987" s="18" t="str">
        <f>IF(OR(G1987&gt;Answers!I2002,G1987&lt;Answers!I2003),"Outlier","Normal")</f>
        <v>Outlier</v>
      </c>
      <c r="M1987" s="18">
        <v>59</v>
      </c>
    </row>
    <row r="1988" spans="1:13" ht="20" customHeight="1" x14ac:dyDescent="0.35">
      <c r="A1988" s="17">
        <v>1336024</v>
      </c>
      <c r="B1988" s="18">
        <v>1011</v>
      </c>
      <c r="C1988" s="23" t="s">
        <v>100</v>
      </c>
      <c r="D1988" s="27">
        <v>45162.012499999997</v>
      </c>
      <c r="E1988" s="18" t="s">
        <v>96</v>
      </c>
      <c r="F1988" s="18" t="s">
        <v>89</v>
      </c>
      <c r="G1988" s="18">
        <v>8888</v>
      </c>
      <c r="H1988" s="25">
        <f t="shared" si="124"/>
        <v>45162</v>
      </c>
      <c r="I1988" s="26">
        <f t="shared" si="125"/>
        <v>1.2499999997089617E-2</v>
      </c>
      <c r="J1988" s="18" t="str">
        <f t="shared" si="126"/>
        <v>August</v>
      </c>
      <c r="K1988" s="56" t="str">
        <f t="shared" si="127"/>
        <v>Thursday</v>
      </c>
      <c r="L1988" s="18" t="str">
        <f>IF(OR(G1988&gt;Answers!I2003,G1988&lt;Answers!I2004),"Outlier","Normal")</f>
        <v>Outlier</v>
      </c>
      <c r="M1988" s="18">
        <v>20</v>
      </c>
    </row>
    <row r="1989" spans="1:13" ht="20" customHeight="1" x14ac:dyDescent="0.35">
      <c r="A1989" s="17">
        <v>1336827</v>
      </c>
      <c r="B1989" s="18">
        <v>1247</v>
      </c>
      <c r="C1989" s="23" t="s">
        <v>99</v>
      </c>
      <c r="D1989" s="27">
        <v>45033.986805555556</v>
      </c>
      <c r="E1989" s="18" t="s">
        <v>97</v>
      </c>
      <c r="F1989" s="18" t="s">
        <v>72</v>
      </c>
      <c r="G1989" s="18">
        <v>8526</v>
      </c>
      <c r="H1989" s="25">
        <f t="shared" si="124"/>
        <v>45033</v>
      </c>
      <c r="I1989" s="26">
        <f t="shared" si="125"/>
        <v>0.98680555555620231</v>
      </c>
      <c r="J1989" s="18" t="str">
        <f t="shared" si="126"/>
        <v>April</v>
      </c>
      <c r="K1989" s="56" t="str">
        <f t="shared" si="127"/>
        <v>Monday</v>
      </c>
      <c r="L1989" s="18" t="str">
        <f>IF(OR(G1989&gt;Answers!I2004,G1989&lt;Answers!I2005),"Outlier","Normal")</f>
        <v>Outlier</v>
      </c>
      <c r="M1989" s="18">
        <v>24</v>
      </c>
    </row>
    <row r="1990" spans="1:13" ht="20" customHeight="1" x14ac:dyDescent="0.35">
      <c r="A1990" s="17">
        <v>1337570</v>
      </c>
      <c r="B1990" s="18">
        <v>143</v>
      </c>
      <c r="C1990" s="23" t="s">
        <v>99</v>
      </c>
      <c r="D1990" s="27">
        <v>44963.965277777781</v>
      </c>
      <c r="E1990" s="18" t="s">
        <v>133</v>
      </c>
      <c r="F1990" s="18" t="s">
        <v>25</v>
      </c>
      <c r="G1990" s="18">
        <v>518</v>
      </c>
      <c r="H1990" s="25">
        <f t="shared" si="124"/>
        <v>44963</v>
      </c>
      <c r="I1990" s="26">
        <f t="shared" si="125"/>
        <v>0.96527777778101154</v>
      </c>
      <c r="J1990" s="18" t="str">
        <f t="shared" si="126"/>
        <v>February</v>
      </c>
      <c r="K1990" s="56" t="str">
        <f t="shared" si="127"/>
        <v>Monday</v>
      </c>
      <c r="L1990" s="18" t="str">
        <f>IF(OR(G1990&gt;Answers!I2005,G1990&lt;Answers!I2006),"Outlier","Normal")</f>
        <v>Outlier</v>
      </c>
      <c r="M1990" s="18">
        <v>46</v>
      </c>
    </row>
    <row r="1991" spans="1:13" ht="20" customHeight="1" x14ac:dyDescent="0.35">
      <c r="A1991" s="17">
        <v>1337603</v>
      </c>
      <c r="B1991" s="18">
        <v>1915</v>
      </c>
      <c r="C1991" s="23" t="s">
        <v>99</v>
      </c>
      <c r="D1991" s="27">
        <v>44968.010416666664</v>
      </c>
      <c r="E1991" s="18" t="s">
        <v>97</v>
      </c>
      <c r="F1991" s="18" t="s">
        <v>49</v>
      </c>
      <c r="G1991" s="18">
        <v>5719</v>
      </c>
      <c r="H1991" s="25">
        <f t="shared" si="124"/>
        <v>44968</v>
      </c>
      <c r="I1991" s="26">
        <f t="shared" si="125"/>
        <v>1.0416666664241347E-2</v>
      </c>
      <c r="J1991" s="18" t="str">
        <f t="shared" si="126"/>
        <v>February</v>
      </c>
      <c r="K1991" s="56" t="str">
        <f t="shared" si="127"/>
        <v>Saturday</v>
      </c>
      <c r="L1991" s="18" t="str">
        <f>IF(OR(G1991&gt;Answers!I2006,G1991&lt;Answers!I2007),"Outlier","Normal")</f>
        <v>Outlier</v>
      </c>
      <c r="M1991" s="18">
        <v>74</v>
      </c>
    </row>
    <row r="1992" spans="1:13" ht="20" customHeight="1" x14ac:dyDescent="0.35">
      <c r="A1992" s="17">
        <v>1338945</v>
      </c>
      <c r="B1992" s="18">
        <v>627</v>
      </c>
      <c r="C1992" s="23" t="s">
        <v>102</v>
      </c>
      <c r="D1992" s="27">
        <v>44981.010416666664</v>
      </c>
      <c r="E1992" s="18" t="s">
        <v>133</v>
      </c>
      <c r="F1992" s="18" t="s">
        <v>14</v>
      </c>
      <c r="G1992" s="18">
        <v>4854</v>
      </c>
      <c r="H1992" s="25">
        <f t="shared" si="124"/>
        <v>44981</v>
      </c>
      <c r="I1992" s="26">
        <f t="shared" si="125"/>
        <v>1.0416666664241347E-2</v>
      </c>
      <c r="J1992" s="18" t="str">
        <f t="shared" si="126"/>
        <v>February</v>
      </c>
      <c r="K1992" s="56" t="str">
        <f t="shared" si="127"/>
        <v>Friday</v>
      </c>
      <c r="L1992" s="18" t="str">
        <f>IF(OR(G1992&gt;Answers!I2007,G1992&lt;Answers!I2008),"Outlier","Normal")</f>
        <v>Outlier</v>
      </c>
      <c r="M1992" s="18">
        <v>62</v>
      </c>
    </row>
    <row r="1993" spans="1:13" ht="20" customHeight="1" x14ac:dyDescent="0.35">
      <c r="A1993" s="17">
        <v>1339556</v>
      </c>
      <c r="B1993" s="18">
        <v>1216</v>
      </c>
      <c r="C1993" s="23" t="s">
        <v>101</v>
      </c>
      <c r="D1993" s="27">
        <v>45192.055555555555</v>
      </c>
      <c r="E1993" s="18" t="s">
        <v>98</v>
      </c>
      <c r="F1993" s="18" t="s">
        <v>27</v>
      </c>
      <c r="G1993" s="18">
        <v>1757</v>
      </c>
      <c r="H1993" s="25">
        <f t="shared" si="124"/>
        <v>45192</v>
      </c>
      <c r="I1993" s="26">
        <f t="shared" si="125"/>
        <v>5.5555555554747116E-2</v>
      </c>
      <c r="J1993" s="18" t="str">
        <f t="shared" si="126"/>
        <v>September</v>
      </c>
      <c r="K1993" s="56" t="str">
        <f t="shared" si="127"/>
        <v>Saturday</v>
      </c>
      <c r="L1993" s="18" t="str">
        <f>IF(OR(G1993&gt;Answers!I2008,G1993&lt;Answers!I2009),"Outlier","Normal")</f>
        <v>Outlier</v>
      </c>
      <c r="M1993" s="18">
        <v>63</v>
      </c>
    </row>
    <row r="1994" spans="1:13" ht="20" customHeight="1" x14ac:dyDescent="0.35">
      <c r="A1994" s="17">
        <v>1340302</v>
      </c>
      <c r="B1994" s="18">
        <v>1142</v>
      </c>
      <c r="C1994" s="23" t="s">
        <v>99</v>
      </c>
      <c r="D1994" s="27">
        <v>45263.053472222222</v>
      </c>
      <c r="E1994" s="18" t="s">
        <v>133</v>
      </c>
      <c r="F1994" s="18" t="s">
        <v>77</v>
      </c>
      <c r="G1994" s="18">
        <v>9786</v>
      </c>
      <c r="H1994" s="25">
        <f t="shared" si="124"/>
        <v>45263</v>
      </c>
      <c r="I1994" s="26">
        <f t="shared" si="125"/>
        <v>5.3472222221898846E-2</v>
      </c>
      <c r="J1994" s="18" t="str">
        <f t="shared" si="126"/>
        <v>December</v>
      </c>
      <c r="K1994" s="56" t="str">
        <f t="shared" si="127"/>
        <v>Sunday</v>
      </c>
      <c r="L1994" s="18" t="str">
        <f>IF(OR(G1994&gt;Answers!I2009,G1994&lt;Answers!I2010),"Outlier","Normal")</f>
        <v>Outlier</v>
      </c>
      <c r="M1994" s="18">
        <v>59</v>
      </c>
    </row>
    <row r="1995" spans="1:13" ht="20" customHeight="1" x14ac:dyDescent="0.35">
      <c r="A1995" s="17">
        <v>1343250</v>
      </c>
      <c r="B1995" s="18">
        <v>681</v>
      </c>
      <c r="C1995" s="23" t="s">
        <v>99</v>
      </c>
      <c r="D1995" s="27">
        <v>45234.959722222222</v>
      </c>
      <c r="E1995" s="18" t="s">
        <v>97</v>
      </c>
      <c r="F1995" s="18" t="s">
        <v>27</v>
      </c>
      <c r="G1995" s="18">
        <v>6365</v>
      </c>
      <c r="H1995" s="25">
        <f t="shared" si="124"/>
        <v>45234</v>
      </c>
      <c r="I1995" s="26">
        <f t="shared" si="125"/>
        <v>0.95972222222189885</v>
      </c>
      <c r="J1995" s="18" t="str">
        <f t="shared" si="126"/>
        <v>November</v>
      </c>
      <c r="K1995" s="56" t="str">
        <f t="shared" si="127"/>
        <v>Saturday</v>
      </c>
      <c r="L1995" s="18" t="str">
        <f>IF(OR(G1995&gt;Answers!I2010,G1995&lt;Answers!I2011),"Outlier","Normal")</f>
        <v>Outlier</v>
      </c>
      <c r="M1995" s="18">
        <v>62</v>
      </c>
    </row>
    <row r="1996" spans="1:13" ht="20" customHeight="1" x14ac:dyDescent="0.35">
      <c r="A1996" s="17">
        <v>1343766</v>
      </c>
      <c r="B1996" s="18">
        <v>1191</v>
      </c>
      <c r="C1996" s="23" t="s">
        <v>101</v>
      </c>
      <c r="D1996" s="27">
        <v>45037.000694444447</v>
      </c>
      <c r="E1996" s="18" t="s">
        <v>97</v>
      </c>
      <c r="F1996" s="18" t="s">
        <v>43</v>
      </c>
      <c r="G1996" s="18">
        <v>7282</v>
      </c>
      <c r="H1996" s="25">
        <f t="shared" si="124"/>
        <v>45037</v>
      </c>
      <c r="I1996" s="26">
        <f t="shared" si="125"/>
        <v>6.944444467080757E-4</v>
      </c>
      <c r="J1996" s="18" t="str">
        <f t="shared" si="126"/>
        <v>April</v>
      </c>
      <c r="K1996" s="56" t="str">
        <f t="shared" si="127"/>
        <v>Friday</v>
      </c>
      <c r="L1996" s="18" t="str">
        <f>IF(OR(G1996&gt;Answers!I2011,G1996&lt;Answers!I2012),"Outlier","Normal")</f>
        <v>Outlier</v>
      </c>
      <c r="M1996" s="18">
        <v>48</v>
      </c>
    </row>
    <row r="1997" spans="1:13" ht="20" customHeight="1" x14ac:dyDescent="0.35">
      <c r="A1997" s="17">
        <v>1343925</v>
      </c>
      <c r="B1997" s="18">
        <v>1400</v>
      </c>
      <c r="C1997" s="23" t="s">
        <v>99</v>
      </c>
      <c r="D1997" s="27">
        <v>45016.034722222219</v>
      </c>
      <c r="E1997" s="18" t="s">
        <v>98</v>
      </c>
      <c r="F1997" s="18" t="s">
        <v>87</v>
      </c>
      <c r="G1997" s="18">
        <v>9178</v>
      </c>
      <c r="H1997" s="25">
        <f t="shared" si="124"/>
        <v>45016</v>
      </c>
      <c r="I1997" s="26">
        <f t="shared" si="125"/>
        <v>3.4722222218988463E-2</v>
      </c>
      <c r="J1997" s="18" t="str">
        <f t="shared" si="126"/>
        <v>March</v>
      </c>
      <c r="K1997" s="56" t="str">
        <f t="shared" si="127"/>
        <v>Friday</v>
      </c>
      <c r="L1997" s="18" t="str">
        <f>IF(OR(G1997&gt;Answers!I2012,G1997&lt;Answers!I2013),"Outlier","Normal")</f>
        <v>Outlier</v>
      </c>
      <c r="M1997" s="18">
        <v>34</v>
      </c>
    </row>
    <row r="1998" spans="1:13" ht="20" customHeight="1" x14ac:dyDescent="0.35">
      <c r="A1998" s="17">
        <v>1343941</v>
      </c>
      <c r="B1998" s="18">
        <v>135</v>
      </c>
      <c r="C1998" s="23" t="s">
        <v>105</v>
      </c>
      <c r="D1998" s="27">
        <v>45147.968055555553</v>
      </c>
      <c r="E1998" s="18" t="s">
        <v>98</v>
      </c>
      <c r="F1998" s="18" t="s">
        <v>23</v>
      </c>
      <c r="G1998" s="18">
        <v>6934</v>
      </c>
      <c r="H1998" s="25">
        <f t="shared" si="124"/>
        <v>45147</v>
      </c>
      <c r="I1998" s="26">
        <f t="shared" si="125"/>
        <v>0.96805555555329192</v>
      </c>
      <c r="J1998" s="18" t="str">
        <f t="shared" si="126"/>
        <v>August</v>
      </c>
      <c r="K1998" s="56" t="str">
        <f t="shared" si="127"/>
        <v>Wednesday</v>
      </c>
      <c r="L1998" s="18" t="str">
        <f>IF(OR(G1998&gt;Answers!I2013,G1998&lt;Answers!I2014),"Outlier","Normal")</f>
        <v>Outlier</v>
      </c>
      <c r="M1998" s="18">
        <v>27</v>
      </c>
    </row>
    <row r="1999" spans="1:13" ht="20" customHeight="1" x14ac:dyDescent="0.35">
      <c r="A1999" s="17">
        <v>1345016</v>
      </c>
      <c r="B1999" s="18">
        <v>1994</v>
      </c>
      <c r="C1999" s="23" t="s">
        <v>106</v>
      </c>
      <c r="D1999" s="27">
        <v>44972.984027777777</v>
      </c>
      <c r="E1999" s="18" t="s">
        <v>98</v>
      </c>
      <c r="F1999" s="18" t="s">
        <v>90</v>
      </c>
      <c r="G1999" s="18">
        <v>9058</v>
      </c>
      <c r="H1999" s="25">
        <f t="shared" si="124"/>
        <v>44972</v>
      </c>
      <c r="I1999" s="26">
        <f t="shared" si="125"/>
        <v>0.98402777777664596</v>
      </c>
      <c r="J1999" s="18" t="str">
        <f t="shared" si="126"/>
        <v>February</v>
      </c>
      <c r="K1999" s="56" t="str">
        <f t="shared" si="127"/>
        <v>Wednesday</v>
      </c>
      <c r="L1999" s="18" t="str">
        <f>IF(OR(G1999&gt;Answers!I2014,G1999&lt;Answers!I2015),"Outlier","Normal")</f>
        <v>Outlier</v>
      </c>
      <c r="M1999" s="18">
        <v>43</v>
      </c>
    </row>
    <row r="2000" spans="1:13" ht="20" customHeight="1" x14ac:dyDescent="0.35">
      <c r="A2000" s="17">
        <v>1346080</v>
      </c>
      <c r="B2000" s="18">
        <v>254</v>
      </c>
      <c r="C2000" s="23" t="s">
        <v>100</v>
      </c>
      <c r="D2000" s="27">
        <v>45193.981944444444</v>
      </c>
      <c r="E2000" s="18" t="s">
        <v>96</v>
      </c>
      <c r="F2000" s="18" t="s">
        <v>23</v>
      </c>
      <c r="G2000" s="18">
        <v>9148</v>
      </c>
      <c r="H2000" s="25">
        <f t="shared" si="124"/>
        <v>45193</v>
      </c>
      <c r="I2000" s="26">
        <f t="shared" si="125"/>
        <v>0.98194444444379769</v>
      </c>
      <c r="J2000" s="18" t="str">
        <f t="shared" si="126"/>
        <v>September</v>
      </c>
      <c r="K2000" s="56" t="str">
        <f t="shared" si="127"/>
        <v>Sunday</v>
      </c>
      <c r="L2000" s="18" t="str">
        <f>IF(OR(G2000&gt;Answers!I2015,G2000&lt;Answers!I2016),"Outlier","Normal")</f>
        <v>Outlier</v>
      </c>
      <c r="M2000" s="18">
        <v>88</v>
      </c>
    </row>
    <row r="2001" spans="1:13" ht="20" customHeight="1" x14ac:dyDescent="0.35">
      <c r="A2001" s="17">
        <v>1347158</v>
      </c>
      <c r="B2001" s="18">
        <v>621</v>
      </c>
      <c r="C2001" s="23" t="s">
        <v>99</v>
      </c>
      <c r="D2001" s="27">
        <v>45161.975694444445</v>
      </c>
      <c r="E2001" s="18" t="s">
        <v>98</v>
      </c>
      <c r="F2001" s="18" t="s">
        <v>92</v>
      </c>
      <c r="G2001" s="18">
        <v>468</v>
      </c>
      <c r="H2001" s="25">
        <f t="shared" si="124"/>
        <v>45161</v>
      </c>
      <c r="I2001" s="26">
        <f t="shared" si="125"/>
        <v>0.97569444444525288</v>
      </c>
      <c r="J2001" s="18" t="str">
        <f t="shared" si="126"/>
        <v>August</v>
      </c>
      <c r="K2001" s="56" t="str">
        <f t="shared" si="127"/>
        <v>Wednesday</v>
      </c>
      <c r="L2001" s="18" t="str">
        <f>IF(OR(G2001&gt;Answers!I2016,G2001&lt;Answers!I2017),"Outlier","Normal")</f>
        <v>Outlier</v>
      </c>
      <c r="M2001" s="18">
        <v>50</v>
      </c>
    </row>
    <row r="2002" spans="1:13" ht="20" customHeight="1" x14ac:dyDescent="0.35">
      <c r="A2002" s="17">
        <v>1347250</v>
      </c>
      <c r="B2002" s="18">
        <v>1624</v>
      </c>
      <c r="C2002" s="23" t="s">
        <v>99</v>
      </c>
      <c r="D2002" s="27">
        <v>45089.034722222219</v>
      </c>
      <c r="E2002" s="18" t="s">
        <v>97</v>
      </c>
      <c r="F2002" s="18" t="s">
        <v>54</v>
      </c>
      <c r="G2002" s="18">
        <v>3030</v>
      </c>
      <c r="H2002" s="25">
        <f t="shared" si="124"/>
        <v>45089</v>
      </c>
      <c r="I2002" s="26">
        <f t="shared" si="125"/>
        <v>3.4722222218988463E-2</v>
      </c>
      <c r="J2002" s="18" t="str">
        <f t="shared" si="126"/>
        <v>June</v>
      </c>
      <c r="K2002" s="56" t="str">
        <f t="shared" si="127"/>
        <v>Monday</v>
      </c>
      <c r="L2002" s="18" t="str">
        <f>IF(OR(G2002&gt;Answers!I2017,G2002&lt;Answers!I2018),"Outlier","Normal")</f>
        <v>Outlier</v>
      </c>
      <c r="M2002" s="18">
        <v>32</v>
      </c>
    </row>
    <row r="2003" spans="1:13" ht="20" customHeight="1" x14ac:dyDescent="0.35">
      <c r="A2003" s="17">
        <v>1347720</v>
      </c>
      <c r="B2003" s="18">
        <v>82</v>
      </c>
      <c r="C2003" s="23" t="s">
        <v>105</v>
      </c>
      <c r="D2003" s="27">
        <v>45274.986111111109</v>
      </c>
      <c r="E2003" s="18" t="s">
        <v>96</v>
      </c>
      <c r="F2003" s="18" t="s">
        <v>20</v>
      </c>
      <c r="G2003" s="18">
        <v>6776</v>
      </c>
      <c r="H2003" s="25">
        <f t="shared" si="124"/>
        <v>45274</v>
      </c>
      <c r="I2003" s="26">
        <f t="shared" si="125"/>
        <v>0.98611111110949423</v>
      </c>
      <c r="J2003" s="18" t="str">
        <f t="shared" si="126"/>
        <v>December</v>
      </c>
      <c r="K2003" s="56" t="str">
        <f t="shared" si="127"/>
        <v>Thursday</v>
      </c>
      <c r="L2003" s="18" t="str">
        <f>IF(OR(G2003&gt;Answers!I2018,G2003&lt;Answers!I2019),"Outlier","Normal")</f>
        <v>Outlier</v>
      </c>
      <c r="M2003" s="18">
        <v>28</v>
      </c>
    </row>
    <row r="2004" spans="1:13" ht="20" customHeight="1" x14ac:dyDescent="0.35">
      <c r="A2004" s="17">
        <v>1347929</v>
      </c>
      <c r="B2004" s="18">
        <v>105</v>
      </c>
      <c r="C2004" s="23" t="s">
        <v>99</v>
      </c>
      <c r="D2004" s="27">
        <v>44973.01458333333</v>
      </c>
      <c r="E2004" s="18" t="s">
        <v>98</v>
      </c>
      <c r="F2004" s="18" t="s">
        <v>9</v>
      </c>
      <c r="G2004" s="18">
        <v>5624</v>
      </c>
      <c r="H2004" s="25">
        <f t="shared" si="124"/>
        <v>44973</v>
      </c>
      <c r="I2004" s="26">
        <f t="shared" si="125"/>
        <v>1.4583333329937886E-2</v>
      </c>
      <c r="J2004" s="18" t="str">
        <f t="shared" si="126"/>
        <v>February</v>
      </c>
      <c r="K2004" s="56" t="str">
        <f t="shared" si="127"/>
        <v>Thursday</v>
      </c>
      <c r="L2004" s="18" t="str">
        <f>IF(OR(G2004&gt;Answers!I2019,G2004&lt;Answers!I2020),"Outlier","Normal")</f>
        <v>Outlier</v>
      </c>
      <c r="M2004" s="18">
        <v>80</v>
      </c>
    </row>
    <row r="2005" spans="1:13" ht="20" customHeight="1" x14ac:dyDescent="0.35">
      <c r="A2005" s="17">
        <v>1348880</v>
      </c>
      <c r="B2005" s="18">
        <v>735</v>
      </c>
      <c r="C2005" s="23" t="s">
        <v>113</v>
      </c>
      <c r="D2005" s="27">
        <v>44951.021527777775</v>
      </c>
      <c r="E2005" s="18" t="s">
        <v>133</v>
      </c>
      <c r="F2005" s="18" t="s">
        <v>55</v>
      </c>
      <c r="G2005" s="18">
        <v>9491</v>
      </c>
      <c r="H2005" s="25">
        <f t="shared" si="124"/>
        <v>44951</v>
      </c>
      <c r="I2005" s="26">
        <f t="shared" si="125"/>
        <v>2.1527777775190771E-2</v>
      </c>
      <c r="J2005" s="18" t="str">
        <f t="shared" si="126"/>
        <v>January</v>
      </c>
      <c r="K2005" s="56" t="str">
        <f t="shared" si="127"/>
        <v>Wednesday</v>
      </c>
      <c r="L2005" s="18" t="str">
        <f>IF(OR(G2005&gt;Answers!I2020,G2005&lt;Answers!I2021),"Outlier","Normal")</f>
        <v>Outlier</v>
      </c>
      <c r="M2005" s="18">
        <v>42</v>
      </c>
    </row>
    <row r="2006" spans="1:13" ht="20" customHeight="1" x14ac:dyDescent="0.35">
      <c r="A2006" s="17">
        <v>1350108</v>
      </c>
      <c r="B2006" s="18">
        <v>453</v>
      </c>
      <c r="C2006" s="23" t="s">
        <v>100</v>
      </c>
      <c r="D2006" s="27">
        <v>45027.96597222222</v>
      </c>
      <c r="E2006" s="18" t="s">
        <v>98</v>
      </c>
      <c r="F2006" s="18" t="s">
        <v>70</v>
      </c>
      <c r="G2006" s="18">
        <v>4256</v>
      </c>
      <c r="H2006" s="25">
        <f t="shared" si="124"/>
        <v>45027</v>
      </c>
      <c r="I2006" s="26">
        <f t="shared" si="125"/>
        <v>0.96597222222044365</v>
      </c>
      <c r="J2006" s="18" t="str">
        <f t="shared" si="126"/>
        <v>April</v>
      </c>
      <c r="K2006" s="56" t="str">
        <f t="shared" si="127"/>
        <v>Tuesday</v>
      </c>
      <c r="L2006" s="18" t="str">
        <f>IF(OR(G2006&gt;Answers!I2021,G2006&lt;Answers!I2022),"Outlier","Normal")</f>
        <v>Outlier</v>
      </c>
      <c r="M2006" s="18">
        <v>52</v>
      </c>
    </row>
    <row r="2007" spans="1:13" ht="20" customHeight="1" x14ac:dyDescent="0.35">
      <c r="A2007" s="17">
        <v>1350840</v>
      </c>
      <c r="B2007" s="18">
        <v>1282</v>
      </c>
      <c r="C2007" s="23" t="s">
        <v>100</v>
      </c>
      <c r="D2007" s="27">
        <v>45108.952777777777</v>
      </c>
      <c r="E2007" s="18" t="s">
        <v>98</v>
      </c>
      <c r="F2007" s="18" t="s">
        <v>48</v>
      </c>
      <c r="G2007" s="18">
        <v>6519</v>
      </c>
      <c r="H2007" s="25">
        <f t="shared" si="124"/>
        <v>45108</v>
      </c>
      <c r="I2007" s="26">
        <f t="shared" si="125"/>
        <v>0.95277777777664596</v>
      </c>
      <c r="J2007" s="18" t="str">
        <f t="shared" si="126"/>
        <v>July</v>
      </c>
      <c r="K2007" s="56" t="str">
        <f t="shared" si="127"/>
        <v>Saturday</v>
      </c>
      <c r="L2007" s="18" t="str">
        <f>IF(OR(G2007&gt;Answers!I2022,G2007&lt;Answers!I2023),"Outlier","Normal")</f>
        <v>Outlier</v>
      </c>
      <c r="M2007" s="18">
        <v>35</v>
      </c>
    </row>
    <row r="2008" spans="1:13" ht="20" customHeight="1" x14ac:dyDescent="0.35">
      <c r="A2008" s="17">
        <v>1352087</v>
      </c>
      <c r="B2008" s="18">
        <v>1051</v>
      </c>
      <c r="C2008" s="23" t="s">
        <v>105</v>
      </c>
      <c r="D2008" s="27">
        <v>45095.015972222223</v>
      </c>
      <c r="E2008" s="18" t="s">
        <v>97</v>
      </c>
      <c r="F2008" s="18" t="s">
        <v>59</v>
      </c>
      <c r="G2008" s="18">
        <v>4016</v>
      </c>
      <c r="H2008" s="25">
        <f t="shared" si="124"/>
        <v>45095</v>
      </c>
      <c r="I2008" s="26">
        <f t="shared" si="125"/>
        <v>1.5972222223354038E-2</v>
      </c>
      <c r="J2008" s="18" t="str">
        <f t="shared" si="126"/>
        <v>June</v>
      </c>
      <c r="K2008" s="56" t="str">
        <f t="shared" si="127"/>
        <v>Sunday</v>
      </c>
      <c r="L2008" s="18" t="str">
        <f>IF(OR(G2008&gt;Answers!I2023,G2008&lt;Answers!I2024),"Outlier","Normal")</f>
        <v>Outlier</v>
      </c>
      <c r="M2008" s="18">
        <v>36</v>
      </c>
    </row>
    <row r="2009" spans="1:13" ht="20" customHeight="1" x14ac:dyDescent="0.35">
      <c r="A2009" s="17">
        <v>1352182</v>
      </c>
      <c r="B2009" s="18">
        <v>1238</v>
      </c>
      <c r="C2009" s="23" t="s">
        <v>99</v>
      </c>
      <c r="D2009" s="27">
        <v>45054.048611111109</v>
      </c>
      <c r="E2009" s="18" t="s">
        <v>98</v>
      </c>
      <c r="F2009" s="18" t="s">
        <v>61</v>
      </c>
      <c r="G2009" s="18">
        <v>2508</v>
      </c>
      <c r="H2009" s="25">
        <f t="shared" si="124"/>
        <v>45054</v>
      </c>
      <c r="I2009" s="26">
        <f t="shared" si="125"/>
        <v>4.8611111109494232E-2</v>
      </c>
      <c r="J2009" s="18" t="str">
        <f t="shared" si="126"/>
        <v>May</v>
      </c>
      <c r="K2009" s="56" t="str">
        <f t="shared" si="127"/>
        <v>Monday</v>
      </c>
      <c r="L2009" s="18" t="str">
        <f>IF(OR(G2009&gt;Answers!I2024,G2009&lt;Answers!I2025),"Outlier","Normal")</f>
        <v>Outlier</v>
      </c>
      <c r="M2009" s="18">
        <v>65</v>
      </c>
    </row>
    <row r="2010" spans="1:13" ht="20" customHeight="1" x14ac:dyDescent="0.35">
      <c r="A2010" s="17">
        <v>1353569</v>
      </c>
      <c r="B2010" s="18">
        <v>276</v>
      </c>
      <c r="C2010" s="23" t="s">
        <v>113</v>
      </c>
      <c r="D2010" s="27">
        <v>45135.055555555555</v>
      </c>
      <c r="E2010" s="18" t="s">
        <v>133</v>
      </c>
      <c r="F2010" s="18" t="s">
        <v>65</v>
      </c>
      <c r="G2010" s="18">
        <v>7760</v>
      </c>
      <c r="H2010" s="25">
        <f t="shared" si="124"/>
        <v>45135</v>
      </c>
      <c r="I2010" s="26">
        <f t="shared" si="125"/>
        <v>5.5555555554747116E-2</v>
      </c>
      <c r="J2010" s="18" t="str">
        <f t="shared" si="126"/>
        <v>July</v>
      </c>
      <c r="K2010" s="56" t="str">
        <f t="shared" si="127"/>
        <v>Friday</v>
      </c>
      <c r="L2010" s="18" t="str">
        <f>IF(OR(G2010&gt;Answers!I2025,G2010&lt;Answers!I2026),"Outlier","Normal")</f>
        <v>Outlier</v>
      </c>
      <c r="M2010" s="18">
        <v>59</v>
      </c>
    </row>
    <row r="2011" spans="1:13" ht="20" customHeight="1" x14ac:dyDescent="0.35">
      <c r="A2011" s="17">
        <v>1354438</v>
      </c>
      <c r="B2011" s="18">
        <v>1076</v>
      </c>
      <c r="C2011" s="23" t="s">
        <v>113</v>
      </c>
      <c r="D2011" s="27">
        <v>44960.990277777775</v>
      </c>
      <c r="E2011" s="18" t="s">
        <v>97</v>
      </c>
      <c r="F2011" s="18" t="s">
        <v>27</v>
      </c>
      <c r="G2011" s="18">
        <v>4766</v>
      </c>
      <c r="H2011" s="25">
        <f t="shared" si="124"/>
        <v>44960</v>
      </c>
      <c r="I2011" s="26">
        <f t="shared" si="125"/>
        <v>0.99027777777519077</v>
      </c>
      <c r="J2011" s="18" t="str">
        <f t="shared" si="126"/>
        <v>February</v>
      </c>
      <c r="K2011" s="56" t="str">
        <f t="shared" si="127"/>
        <v>Friday</v>
      </c>
      <c r="L2011" s="18" t="str">
        <f>IF(OR(G2011&gt;Answers!I2026,G2011&lt;Answers!I2027),"Outlier","Normal")</f>
        <v>Outlier</v>
      </c>
      <c r="M2011" s="18">
        <v>18</v>
      </c>
    </row>
    <row r="2012" spans="1:13" ht="20" customHeight="1" x14ac:dyDescent="0.35">
      <c r="A2012" s="17">
        <v>1354758</v>
      </c>
      <c r="B2012" s="18">
        <v>892</v>
      </c>
      <c r="C2012" s="23" t="s">
        <v>99</v>
      </c>
      <c r="D2012" s="27">
        <v>45238.007638888892</v>
      </c>
      <c r="E2012" s="18" t="s">
        <v>98</v>
      </c>
      <c r="F2012" s="18" t="s">
        <v>18</v>
      </c>
      <c r="G2012" s="18">
        <v>4217</v>
      </c>
      <c r="H2012" s="25">
        <f t="shared" si="124"/>
        <v>45238</v>
      </c>
      <c r="I2012" s="26">
        <f t="shared" si="125"/>
        <v>7.6388888919609599E-3</v>
      </c>
      <c r="J2012" s="18" t="str">
        <f t="shared" si="126"/>
        <v>November</v>
      </c>
      <c r="K2012" s="56" t="str">
        <f t="shared" si="127"/>
        <v>Wednesday</v>
      </c>
      <c r="L2012" s="18" t="str">
        <f>IF(OR(G2012&gt;Answers!I2027,G2012&lt;Answers!I2028),"Outlier","Normal")</f>
        <v>Outlier</v>
      </c>
      <c r="M2012" s="18">
        <v>34</v>
      </c>
    </row>
    <row r="2013" spans="1:13" ht="20" customHeight="1" x14ac:dyDescent="0.35">
      <c r="A2013" s="17">
        <v>1355256</v>
      </c>
      <c r="B2013" s="18">
        <v>332</v>
      </c>
      <c r="C2013" s="23" t="s">
        <v>113</v>
      </c>
      <c r="D2013" s="27">
        <v>44977.027083333334</v>
      </c>
      <c r="E2013" s="18" t="s">
        <v>133</v>
      </c>
      <c r="F2013" s="18" t="s">
        <v>89</v>
      </c>
      <c r="G2013" s="18">
        <v>2173</v>
      </c>
      <c r="H2013" s="25">
        <f t="shared" si="124"/>
        <v>44977</v>
      </c>
      <c r="I2013" s="26">
        <f t="shared" si="125"/>
        <v>2.7083333334303461E-2</v>
      </c>
      <c r="J2013" s="18" t="str">
        <f t="shared" si="126"/>
        <v>February</v>
      </c>
      <c r="K2013" s="56" t="str">
        <f t="shared" si="127"/>
        <v>Monday</v>
      </c>
      <c r="L2013" s="18" t="str">
        <f>IF(OR(G2013&gt;Answers!I2028,G2013&lt;Answers!I2029),"Outlier","Normal")</f>
        <v>Outlier</v>
      </c>
      <c r="M2013" s="18">
        <v>78</v>
      </c>
    </row>
    <row r="2014" spans="1:13" ht="20" customHeight="1" x14ac:dyDescent="0.35">
      <c r="A2014" s="17">
        <v>1355679</v>
      </c>
      <c r="B2014" s="18">
        <v>1315</v>
      </c>
      <c r="C2014" s="23" t="s">
        <v>99</v>
      </c>
      <c r="D2014" s="27">
        <v>45202.045138888891</v>
      </c>
      <c r="E2014" s="18" t="s">
        <v>133</v>
      </c>
      <c r="F2014" s="18" t="s">
        <v>93</v>
      </c>
      <c r="G2014" s="18">
        <v>8855</v>
      </c>
      <c r="H2014" s="25">
        <f t="shared" si="124"/>
        <v>45202</v>
      </c>
      <c r="I2014" s="26">
        <f t="shared" si="125"/>
        <v>4.5138888890505768E-2</v>
      </c>
      <c r="J2014" s="18" t="str">
        <f t="shared" si="126"/>
        <v>October</v>
      </c>
      <c r="K2014" s="56" t="str">
        <f t="shared" si="127"/>
        <v>Tuesday</v>
      </c>
      <c r="L2014" s="18" t="str">
        <f>IF(OR(G2014&gt;Answers!I2029,G2014&lt;Answers!I2030),"Outlier","Normal")</f>
        <v>Outlier</v>
      </c>
      <c r="M2014" s="18">
        <v>76</v>
      </c>
    </row>
    <row r="2015" spans="1:13" ht="20" customHeight="1" x14ac:dyDescent="0.35">
      <c r="A2015" s="17">
        <v>1356717</v>
      </c>
      <c r="B2015" s="18">
        <v>59</v>
      </c>
      <c r="C2015" s="23" t="s">
        <v>101</v>
      </c>
      <c r="D2015" s="27">
        <v>44996.936805555553</v>
      </c>
      <c r="E2015" s="18" t="s">
        <v>97</v>
      </c>
      <c r="F2015" s="18" t="s">
        <v>51</v>
      </c>
      <c r="G2015" s="18">
        <v>4472</v>
      </c>
      <c r="H2015" s="25">
        <f t="shared" si="124"/>
        <v>44996</v>
      </c>
      <c r="I2015" s="26">
        <f t="shared" si="125"/>
        <v>0.93680555555329192</v>
      </c>
      <c r="J2015" s="18" t="str">
        <f t="shared" si="126"/>
        <v>March</v>
      </c>
      <c r="K2015" s="56" t="str">
        <f t="shared" si="127"/>
        <v>Saturday</v>
      </c>
      <c r="L2015" s="18" t="str">
        <f>IF(OR(G2015&gt;Answers!I2030,G2015&lt;Answers!I2031),"Outlier","Normal")</f>
        <v>Outlier</v>
      </c>
      <c r="M2015" s="18">
        <v>70</v>
      </c>
    </row>
    <row r="2016" spans="1:13" ht="20" customHeight="1" x14ac:dyDescent="0.35">
      <c r="A2016" s="17">
        <v>1357382</v>
      </c>
      <c r="B2016" s="18">
        <v>463</v>
      </c>
      <c r="C2016" s="23" t="s">
        <v>109</v>
      </c>
      <c r="D2016" s="27">
        <v>45274.070833333331</v>
      </c>
      <c r="E2016" s="18" t="s">
        <v>98</v>
      </c>
      <c r="F2016" s="18" t="s">
        <v>63</v>
      </c>
      <c r="G2016" s="18">
        <v>2708</v>
      </c>
      <c r="H2016" s="25">
        <f t="shared" si="124"/>
        <v>45274</v>
      </c>
      <c r="I2016" s="26">
        <f t="shared" si="125"/>
        <v>7.0833333331393078E-2</v>
      </c>
      <c r="J2016" s="18" t="str">
        <f t="shared" si="126"/>
        <v>December</v>
      </c>
      <c r="K2016" s="56" t="str">
        <f t="shared" si="127"/>
        <v>Thursday</v>
      </c>
      <c r="L2016" s="18" t="str">
        <f>IF(OR(G2016&gt;Answers!I2031,G2016&lt;Answers!I2032),"Outlier","Normal")</f>
        <v>Outlier</v>
      </c>
      <c r="M2016" s="18">
        <v>55</v>
      </c>
    </row>
    <row r="2017" spans="1:13" ht="20" customHeight="1" x14ac:dyDescent="0.35">
      <c r="A2017" s="17">
        <v>1358333</v>
      </c>
      <c r="B2017" s="18">
        <v>1755</v>
      </c>
      <c r="C2017" s="23" t="s">
        <v>105</v>
      </c>
      <c r="D2017" s="27">
        <v>45001.967361111114</v>
      </c>
      <c r="E2017" s="18" t="s">
        <v>97</v>
      </c>
      <c r="F2017" s="18" t="s">
        <v>90</v>
      </c>
      <c r="G2017" s="18">
        <v>1585</v>
      </c>
      <c r="H2017" s="25">
        <f t="shared" si="124"/>
        <v>45001</v>
      </c>
      <c r="I2017" s="26">
        <f t="shared" si="125"/>
        <v>0.96736111111385981</v>
      </c>
      <c r="J2017" s="18" t="str">
        <f t="shared" si="126"/>
        <v>March</v>
      </c>
      <c r="K2017" s="56" t="str">
        <f t="shared" si="127"/>
        <v>Thursday</v>
      </c>
      <c r="L2017" s="18" t="str">
        <f>IF(OR(G2017&gt;Answers!I2032,G2017&lt;Answers!I2033),"Outlier","Normal")</f>
        <v>Outlier</v>
      </c>
      <c r="M2017" s="18">
        <v>66</v>
      </c>
    </row>
    <row r="2018" spans="1:13" ht="20" customHeight="1" x14ac:dyDescent="0.35">
      <c r="A2018" s="17">
        <v>1358621</v>
      </c>
      <c r="B2018" s="18">
        <v>909</v>
      </c>
      <c r="C2018" s="23" t="s">
        <v>113</v>
      </c>
      <c r="D2018" s="27">
        <v>45253.952777777777</v>
      </c>
      <c r="E2018" s="18" t="s">
        <v>97</v>
      </c>
      <c r="F2018" s="18" t="s">
        <v>39</v>
      </c>
      <c r="G2018" s="18">
        <v>7200</v>
      </c>
      <c r="H2018" s="25">
        <f t="shared" si="124"/>
        <v>45253</v>
      </c>
      <c r="I2018" s="26">
        <f t="shared" si="125"/>
        <v>0.95277777777664596</v>
      </c>
      <c r="J2018" s="18" t="str">
        <f t="shared" si="126"/>
        <v>November</v>
      </c>
      <c r="K2018" s="56" t="str">
        <f t="shared" si="127"/>
        <v>Thursday</v>
      </c>
      <c r="L2018" s="18" t="str">
        <f>IF(OR(G2018&gt;Answers!I2033,G2018&lt;Answers!I2034),"Outlier","Normal")</f>
        <v>Outlier</v>
      </c>
      <c r="M2018" s="18">
        <v>71</v>
      </c>
    </row>
    <row r="2019" spans="1:13" ht="20" customHeight="1" x14ac:dyDescent="0.35">
      <c r="A2019" s="17">
        <v>1358679</v>
      </c>
      <c r="B2019" s="18">
        <v>144</v>
      </c>
      <c r="C2019" s="23" t="s">
        <v>108</v>
      </c>
      <c r="D2019" s="27">
        <v>45011.042361111111</v>
      </c>
      <c r="E2019" s="18" t="s">
        <v>98</v>
      </c>
      <c r="F2019" s="18" t="s">
        <v>53</v>
      </c>
      <c r="G2019" s="18">
        <v>3276</v>
      </c>
      <c r="H2019" s="25">
        <f t="shared" si="124"/>
        <v>45011</v>
      </c>
      <c r="I2019" s="26">
        <f t="shared" si="125"/>
        <v>4.2361111110949423E-2</v>
      </c>
      <c r="J2019" s="18" t="str">
        <f t="shared" si="126"/>
        <v>March</v>
      </c>
      <c r="K2019" s="56" t="str">
        <f t="shared" si="127"/>
        <v>Sunday</v>
      </c>
      <c r="L2019" s="18" t="str">
        <f>IF(OR(G2019&gt;Answers!I2034,G2019&lt;Answers!I2035),"Outlier","Normal")</f>
        <v>Outlier</v>
      </c>
      <c r="M2019" s="18">
        <v>27</v>
      </c>
    </row>
    <row r="2020" spans="1:13" ht="20" customHeight="1" x14ac:dyDescent="0.35">
      <c r="A2020" s="17">
        <v>1359265</v>
      </c>
      <c r="B2020" s="18">
        <v>1458</v>
      </c>
      <c r="C2020" s="23" t="s">
        <v>100</v>
      </c>
      <c r="D2020" s="27">
        <v>45140.939583333333</v>
      </c>
      <c r="E2020" s="18" t="s">
        <v>97</v>
      </c>
      <c r="F2020" s="18" t="s">
        <v>24</v>
      </c>
      <c r="G2020" s="18">
        <v>7400</v>
      </c>
      <c r="H2020" s="25">
        <f t="shared" si="124"/>
        <v>45140</v>
      </c>
      <c r="I2020" s="26">
        <f t="shared" si="125"/>
        <v>0.93958333333284827</v>
      </c>
      <c r="J2020" s="18" t="str">
        <f t="shared" si="126"/>
        <v>August</v>
      </c>
      <c r="K2020" s="56" t="str">
        <f t="shared" si="127"/>
        <v>Wednesday</v>
      </c>
      <c r="L2020" s="18" t="str">
        <f>IF(OR(G2020&gt;Answers!I2035,G2020&lt;Answers!I2036),"Outlier","Normal")</f>
        <v>Outlier</v>
      </c>
      <c r="M2020" s="18">
        <v>67</v>
      </c>
    </row>
    <row r="2021" spans="1:13" ht="20" customHeight="1" x14ac:dyDescent="0.35">
      <c r="A2021" s="17">
        <v>1359304</v>
      </c>
      <c r="B2021" s="18">
        <v>1033</v>
      </c>
      <c r="C2021" s="23" t="s">
        <v>113</v>
      </c>
      <c r="D2021" s="27">
        <v>45123.969444444447</v>
      </c>
      <c r="E2021" s="18" t="s">
        <v>97</v>
      </c>
      <c r="F2021" s="18" t="s">
        <v>64</v>
      </c>
      <c r="G2021" s="18">
        <v>941</v>
      </c>
      <c r="H2021" s="25">
        <f t="shared" si="124"/>
        <v>45123</v>
      </c>
      <c r="I2021" s="26">
        <f t="shared" si="125"/>
        <v>0.96944444444670808</v>
      </c>
      <c r="J2021" s="18" t="str">
        <f t="shared" si="126"/>
        <v>July</v>
      </c>
      <c r="K2021" s="56" t="str">
        <f t="shared" si="127"/>
        <v>Sunday</v>
      </c>
      <c r="L2021" s="18" t="str">
        <f>IF(OR(G2021&gt;Answers!I2036,G2021&lt;Answers!I2037),"Outlier","Normal")</f>
        <v>Outlier</v>
      </c>
      <c r="M2021" s="18">
        <v>56</v>
      </c>
    </row>
    <row r="2022" spans="1:13" ht="20" customHeight="1" x14ac:dyDescent="0.35">
      <c r="A2022" s="17">
        <v>1359599</v>
      </c>
      <c r="B2022" s="18">
        <v>883</v>
      </c>
      <c r="C2022" s="23" t="s">
        <v>99</v>
      </c>
      <c r="D2022" s="27">
        <v>45188.008333333331</v>
      </c>
      <c r="E2022" s="18" t="s">
        <v>96</v>
      </c>
      <c r="F2022" s="18" t="s">
        <v>27</v>
      </c>
      <c r="G2022" s="18">
        <v>2508</v>
      </c>
      <c r="H2022" s="25">
        <f t="shared" si="124"/>
        <v>45188</v>
      </c>
      <c r="I2022" s="26">
        <f t="shared" si="125"/>
        <v>8.333333331393078E-3</v>
      </c>
      <c r="J2022" s="18" t="str">
        <f t="shared" si="126"/>
        <v>September</v>
      </c>
      <c r="K2022" s="56" t="str">
        <f t="shared" si="127"/>
        <v>Tuesday</v>
      </c>
      <c r="L2022" s="18" t="str">
        <f>IF(OR(G2022&gt;Answers!I2037,G2022&lt;Answers!I2038),"Outlier","Normal")</f>
        <v>Outlier</v>
      </c>
      <c r="M2022" s="18">
        <v>81</v>
      </c>
    </row>
    <row r="2023" spans="1:13" ht="20" customHeight="1" x14ac:dyDescent="0.35">
      <c r="A2023" s="17">
        <v>1360263</v>
      </c>
      <c r="B2023" s="18">
        <v>1782</v>
      </c>
      <c r="C2023" s="23" t="s">
        <v>105</v>
      </c>
      <c r="D2023" s="27">
        <v>45131.011805555558</v>
      </c>
      <c r="E2023" s="18" t="s">
        <v>133</v>
      </c>
      <c r="F2023" s="18" t="s">
        <v>5</v>
      </c>
      <c r="G2023" s="18">
        <v>7986</v>
      </c>
      <c r="H2023" s="25">
        <f t="shared" si="124"/>
        <v>45131</v>
      </c>
      <c r="I2023" s="26">
        <f t="shared" si="125"/>
        <v>1.1805555557657499E-2</v>
      </c>
      <c r="J2023" s="18" t="str">
        <f t="shared" si="126"/>
        <v>July</v>
      </c>
      <c r="K2023" s="56" t="str">
        <f t="shared" si="127"/>
        <v>Monday</v>
      </c>
      <c r="L2023" s="18" t="str">
        <f>IF(OR(G2023&gt;Answers!I2038,G2023&lt;Answers!I2039),"Outlier","Normal")</f>
        <v>Outlier</v>
      </c>
      <c r="M2023" s="18">
        <v>50</v>
      </c>
    </row>
    <row r="2024" spans="1:13" ht="20" customHeight="1" x14ac:dyDescent="0.35">
      <c r="A2024" s="17">
        <v>1360843</v>
      </c>
      <c r="B2024" s="18">
        <v>760</v>
      </c>
      <c r="C2024" s="23" t="s">
        <v>113</v>
      </c>
      <c r="D2024" s="27">
        <v>45079.023611111108</v>
      </c>
      <c r="E2024" s="18" t="s">
        <v>98</v>
      </c>
      <c r="F2024" s="18" t="s">
        <v>16</v>
      </c>
      <c r="G2024" s="18">
        <v>2752</v>
      </c>
      <c r="H2024" s="25">
        <f t="shared" si="124"/>
        <v>45079</v>
      </c>
      <c r="I2024" s="26">
        <f t="shared" si="125"/>
        <v>2.361111110803904E-2</v>
      </c>
      <c r="J2024" s="18" t="str">
        <f t="shared" si="126"/>
        <v>June</v>
      </c>
      <c r="K2024" s="56" t="str">
        <f t="shared" si="127"/>
        <v>Friday</v>
      </c>
      <c r="L2024" s="18" t="str">
        <f>IF(OR(G2024&gt;Answers!I2039,G2024&lt;Answers!I2040),"Outlier","Normal")</f>
        <v>Outlier</v>
      </c>
      <c r="M2024" s="18">
        <v>22</v>
      </c>
    </row>
    <row r="2025" spans="1:13" ht="20" customHeight="1" x14ac:dyDescent="0.35">
      <c r="A2025" s="17">
        <v>1361770</v>
      </c>
      <c r="B2025" s="18">
        <v>1061</v>
      </c>
      <c r="C2025" s="23" t="s">
        <v>102</v>
      </c>
      <c r="D2025" s="27">
        <v>45042.004166666666</v>
      </c>
      <c r="E2025" s="18" t="s">
        <v>97</v>
      </c>
      <c r="F2025" s="18" t="s">
        <v>74</v>
      </c>
      <c r="G2025" s="18">
        <v>8962</v>
      </c>
      <c r="H2025" s="25">
        <f t="shared" si="124"/>
        <v>45042</v>
      </c>
      <c r="I2025" s="26">
        <f t="shared" si="125"/>
        <v>4.166666665696539E-3</v>
      </c>
      <c r="J2025" s="18" t="str">
        <f t="shared" si="126"/>
        <v>April</v>
      </c>
      <c r="K2025" s="56" t="str">
        <f t="shared" si="127"/>
        <v>Wednesday</v>
      </c>
      <c r="L2025" s="18" t="str">
        <f>IF(OR(G2025&gt;Answers!I2040,G2025&lt;Answers!I2041),"Outlier","Normal")</f>
        <v>Outlier</v>
      </c>
      <c r="M2025" s="18">
        <v>61</v>
      </c>
    </row>
    <row r="2026" spans="1:13" ht="20" customHeight="1" x14ac:dyDescent="0.35">
      <c r="A2026" s="17">
        <v>1361969</v>
      </c>
      <c r="B2026" s="18">
        <v>1350</v>
      </c>
      <c r="C2026" s="23" t="s">
        <v>105</v>
      </c>
      <c r="D2026" s="27">
        <v>45051.083333333336</v>
      </c>
      <c r="E2026" s="18" t="s">
        <v>133</v>
      </c>
      <c r="F2026" s="18" t="s">
        <v>44</v>
      </c>
      <c r="G2026" s="18">
        <v>3695</v>
      </c>
      <c r="H2026" s="25">
        <f t="shared" si="124"/>
        <v>45051</v>
      </c>
      <c r="I2026" s="26">
        <f t="shared" si="125"/>
        <v>8.3333333335758653E-2</v>
      </c>
      <c r="J2026" s="18" t="str">
        <f t="shared" si="126"/>
        <v>May</v>
      </c>
      <c r="K2026" s="56" t="str">
        <f t="shared" si="127"/>
        <v>Friday</v>
      </c>
      <c r="L2026" s="18" t="str">
        <f>IF(OR(G2026&gt;Answers!I2041,G2026&lt;Answers!I2042),"Outlier","Normal")</f>
        <v>Outlier</v>
      </c>
      <c r="M2026" s="18">
        <v>51</v>
      </c>
    </row>
    <row r="2027" spans="1:13" ht="20" customHeight="1" x14ac:dyDescent="0.35">
      <c r="A2027" s="17">
        <v>1362369</v>
      </c>
      <c r="B2027" s="18">
        <v>230</v>
      </c>
      <c r="C2027" s="23" t="s">
        <v>99</v>
      </c>
      <c r="D2027" s="27">
        <v>44931.042361111111</v>
      </c>
      <c r="E2027" s="18" t="s">
        <v>96</v>
      </c>
      <c r="F2027" s="18" t="s">
        <v>81</v>
      </c>
      <c r="G2027" s="18">
        <v>9795</v>
      </c>
      <c r="H2027" s="25">
        <f t="shared" si="124"/>
        <v>44931</v>
      </c>
      <c r="I2027" s="26">
        <f t="shared" si="125"/>
        <v>4.2361111110949423E-2</v>
      </c>
      <c r="J2027" s="18" t="str">
        <f t="shared" si="126"/>
        <v>January</v>
      </c>
      <c r="K2027" s="56" t="str">
        <f t="shared" si="127"/>
        <v>Thursday</v>
      </c>
      <c r="L2027" s="18" t="str">
        <f>IF(OR(G2027&gt;Answers!I2042,G2027&lt;Answers!I2043),"Outlier","Normal")</f>
        <v>Outlier</v>
      </c>
      <c r="M2027" s="18">
        <v>79</v>
      </c>
    </row>
    <row r="2028" spans="1:13" ht="20" customHeight="1" x14ac:dyDescent="0.35">
      <c r="A2028" s="17">
        <v>1362785</v>
      </c>
      <c r="B2028" s="18">
        <v>61</v>
      </c>
      <c r="C2028" s="23" t="s">
        <v>105</v>
      </c>
      <c r="D2028" s="27">
        <v>45284.97152777778</v>
      </c>
      <c r="E2028" s="18" t="s">
        <v>96</v>
      </c>
      <c r="F2028" s="18" t="s">
        <v>88</v>
      </c>
      <c r="G2028" s="18">
        <v>3114</v>
      </c>
      <c r="H2028" s="25">
        <f t="shared" si="124"/>
        <v>45284</v>
      </c>
      <c r="I2028" s="26">
        <f t="shared" si="125"/>
        <v>0.97152777777955635</v>
      </c>
      <c r="J2028" s="18" t="str">
        <f t="shared" si="126"/>
        <v>December</v>
      </c>
      <c r="K2028" s="56" t="str">
        <f t="shared" si="127"/>
        <v>Sunday</v>
      </c>
      <c r="L2028" s="18" t="str">
        <f>IF(OR(G2028&gt;Answers!I2043,G2028&lt;Answers!I2044),"Outlier","Normal")</f>
        <v>Outlier</v>
      </c>
      <c r="M2028" s="18">
        <v>47</v>
      </c>
    </row>
    <row r="2029" spans="1:13" ht="20" customHeight="1" x14ac:dyDescent="0.35">
      <c r="A2029" s="17">
        <v>1365205</v>
      </c>
      <c r="B2029" s="18">
        <v>298</v>
      </c>
      <c r="C2029" s="23" t="s">
        <v>105</v>
      </c>
      <c r="D2029" s="27">
        <v>44949.957638888889</v>
      </c>
      <c r="E2029" s="18" t="s">
        <v>98</v>
      </c>
      <c r="F2029" s="18" t="s">
        <v>86</v>
      </c>
      <c r="G2029" s="18">
        <v>7140</v>
      </c>
      <c r="H2029" s="25">
        <f t="shared" si="124"/>
        <v>44949</v>
      </c>
      <c r="I2029" s="26">
        <f t="shared" si="125"/>
        <v>0.95763888888905058</v>
      </c>
      <c r="J2029" s="18" t="str">
        <f t="shared" si="126"/>
        <v>January</v>
      </c>
      <c r="K2029" s="56" t="str">
        <f t="shared" si="127"/>
        <v>Monday</v>
      </c>
      <c r="L2029" s="18" t="str">
        <f>IF(OR(G2029&gt;Answers!I2044,G2029&lt;Answers!I2045),"Outlier","Normal")</f>
        <v>Outlier</v>
      </c>
      <c r="M2029" s="18">
        <v>34</v>
      </c>
    </row>
    <row r="2030" spans="1:13" ht="20" customHeight="1" x14ac:dyDescent="0.35">
      <c r="A2030" s="17">
        <v>1365442</v>
      </c>
      <c r="B2030" s="18">
        <v>1707</v>
      </c>
      <c r="C2030" s="23" t="s">
        <v>100</v>
      </c>
      <c r="D2030" s="27">
        <v>44999.011805555558</v>
      </c>
      <c r="E2030" s="18" t="s">
        <v>96</v>
      </c>
      <c r="F2030" s="18" t="s">
        <v>8</v>
      </c>
      <c r="G2030" s="18">
        <v>8105</v>
      </c>
      <c r="H2030" s="25">
        <f t="shared" si="124"/>
        <v>44999</v>
      </c>
      <c r="I2030" s="26">
        <f t="shared" si="125"/>
        <v>1.1805555557657499E-2</v>
      </c>
      <c r="J2030" s="18" t="str">
        <f t="shared" si="126"/>
        <v>March</v>
      </c>
      <c r="K2030" s="56" t="str">
        <f t="shared" si="127"/>
        <v>Tuesday</v>
      </c>
      <c r="L2030" s="18" t="str">
        <f>IF(OR(G2030&gt;Answers!I2045,G2030&lt;Answers!I2046),"Outlier","Normal")</f>
        <v>Outlier</v>
      </c>
      <c r="M2030" s="18">
        <v>85</v>
      </c>
    </row>
    <row r="2031" spans="1:13" ht="20" customHeight="1" x14ac:dyDescent="0.35">
      <c r="A2031" s="17">
        <v>1365869</v>
      </c>
      <c r="B2031" s="18">
        <v>1763</v>
      </c>
      <c r="C2031" s="23" t="s">
        <v>99</v>
      </c>
      <c r="D2031" s="27">
        <v>45217.955555555556</v>
      </c>
      <c r="E2031" s="18" t="s">
        <v>97</v>
      </c>
      <c r="F2031" s="18" t="s">
        <v>90</v>
      </c>
      <c r="G2031" s="18">
        <v>8523</v>
      </c>
      <c r="H2031" s="25">
        <f t="shared" si="124"/>
        <v>45217</v>
      </c>
      <c r="I2031" s="26">
        <f t="shared" si="125"/>
        <v>0.95555555555620231</v>
      </c>
      <c r="J2031" s="18" t="str">
        <f t="shared" si="126"/>
        <v>October</v>
      </c>
      <c r="K2031" s="56" t="str">
        <f t="shared" si="127"/>
        <v>Wednesday</v>
      </c>
      <c r="L2031" s="18" t="str">
        <f>IF(OR(G2031&gt;Answers!I2046,G2031&lt;Answers!I2047),"Outlier","Normal")</f>
        <v>Outlier</v>
      </c>
      <c r="M2031" s="18">
        <v>84</v>
      </c>
    </row>
    <row r="2032" spans="1:13" ht="20" customHeight="1" x14ac:dyDescent="0.35">
      <c r="A2032" s="17">
        <v>1366020</v>
      </c>
      <c r="B2032" s="18">
        <v>659</v>
      </c>
      <c r="C2032" s="23" t="s">
        <v>101</v>
      </c>
      <c r="D2032" s="27">
        <v>45148.972222222219</v>
      </c>
      <c r="E2032" s="18" t="s">
        <v>97</v>
      </c>
      <c r="F2032" s="18" t="s">
        <v>43</v>
      </c>
      <c r="G2032" s="18">
        <v>9989</v>
      </c>
      <c r="H2032" s="25">
        <f t="shared" si="124"/>
        <v>45148</v>
      </c>
      <c r="I2032" s="26">
        <f t="shared" si="125"/>
        <v>0.97222222221898846</v>
      </c>
      <c r="J2032" s="18" t="str">
        <f t="shared" si="126"/>
        <v>August</v>
      </c>
      <c r="K2032" s="56" t="str">
        <f t="shared" si="127"/>
        <v>Thursday</v>
      </c>
      <c r="L2032" s="18" t="str">
        <f>IF(OR(G2032&gt;Answers!I2047,G2032&lt;Answers!I2048),"Outlier","Normal")</f>
        <v>Outlier</v>
      </c>
      <c r="M2032" s="18">
        <v>61</v>
      </c>
    </row>
    <row r="2033" spans="1:13" ht="20" customHeight="1" x14ac:dyDescent="0.35">
      <c r="A2033" s="17">
        <v>1366848</v>
      </c>
      <c r="B2033" s="18">
        <v>1433</v>
      </c>
      <c r="C2033" s="23" t="s">
        <v>101</v>
      </c>
      <c r="D2033" s="27">
        <v>45090.040277777778</v>
      </c>
      <c r="E2033" s="18" t="s">
        <v>133</v>
      </c>
      <c r="F2033" s="18" t="s">
        <v>91</v>
      </c>
      <c r="G2033" s="18">
        <v>2562</v>
      </c>
      <c r="H2033" s="25">
        <f t="shared" si="124"/>
        <v>45090</v>
      </c>
      <c r="I2033" s="26">
        <f t="shared" si="125"/>
        <v>4.0277777778101154E-2</v>
      </c>
      <c r="J2033" s="18" t="str">
        <f t="shared" si="126"/>
        <v>June</v>
      </c>
      <c r="K2033" s="56" t="str">
        <f t="shared" si="127"/>
        <v>Tuesday</v>
      </c>
      <c r="L2033" s="18" t="str">
        <f>IF(OR(G2033&gt;Answers!I2048,G2033&lt;Answers!I2049),"Outlier","Normal")</f>
        <v>Outlier</v>
      </c>
      <c r="M2033" s="18">
        <v>28</v>
      </c>
    </row>
    <row r="2034" spans="1:13" ht="20" customHeight="1" x14ac:dyDescent="0.35">
      <c r="A2034" s="17">
        <v>1366911</v>
      </c>
      <c r="B2034" s="18">
        <v>1017</v>
      </c>
      <c r="C2034" s="23" t="s">
        <v>113</v>
      </c>
      <c r="D2034" s="27">
        <v>45168.986111111109</v>
      </c>
      <c r="E2034" s="18" t="s">
        <v>96</v>
      </c>
      <c r="F2034" s="18" t="s">
        <v>78</v>
      </c>
      <c r="G2034" s="18">
        <v>1302</v>
      </c>
      <c r="H2034" s="25">
        <f t="shared" si="124"/>
        <v>45168</v>
      </c>
      <c r="I2034" s="26">
        <f t="shared" si="125"/>
        <v>0.98611111110949423</v>
      </c>
      <c r="J2034" s="18" t="str">
        <f t="shared" si="126"/>
        <v>August</v>
      </c>
      <c r="K2034" s="56" t="str">
        <f t="shared" si="127"/>
        <v>Wednesday</v>
      </c>
      <c r="L2034" s="18" t="str">
        <f>IF(OR(G2034&gt;Answers!I2049,G2034&lt;Answers!I2050),"Outlier","Normal")</f>
        <v>Outlier</v>
      </c>
      <c r="M2034" s="18">
        <v>38</v>
      </c>
    </row>
    <row r="2035" spans="1:13" ht="20" customHeight="1" x14ac:dyDescent="0.35">
      <c r="A2035" s="17">
        <v>1366955</v>
      </c>
      <c r="B2035" s="18">
        <v>1529</v>
      </c>
      <c r="C2035" s="23" t="s">
        <v>102</v>
      </c>
      <c r="D2035" s="27">
        <v>45005.03125</v>
      </c>
      <c r="E2035" s="18" t="s">
        <v>98</v>
      </c>
      <c r="F2035" s="18" t="s">
        <v>29</v>
      </c>
      <c r="G2035" s="18">
        <v>5336</v>
      </c>
      <c r="H2035" s="25">
        <f t="shared" si="124"/>
        <v>45005</v>
      </c>
      <c r="I2035" s="26">
        <f t="shared" si="125"/>
        <v>3.125E-2</v>
      </c>
      <c r="J2035" s="18" t="str">
        <f t="shared" si="126"/>
        <v>March</v>
      </c>
      <c r="K2035" s="56" t="str">
        <f t="shared" si="127"/>
        <v>Monday</v>
      </c>
      <c r="L2035" s="18" t="str">
        <f>IF(OR(G2035&gt;Answers!I2050,G2035&lt;Answers!I2051),"Outlier","Normal")</f>
        <v>Outlier</v>
      </c>
      <c r="M2035" s="18">
        <v>27</v>
      </c>
    </row>
    <row r="2036" spans="1:13" ht="20" customHeight="1" x14ac:dyDescent="0.35">
      <c r="A2036" s="17">
        <v>1368464</v>
      </c>
      <c r="B2036" s="18">
        <v>414</v>
      </c>
      <c r="C2036" s="23" t="s">
        <v>113</v>
      </c>
      <c r="D2036" s="27">
        <v>45252.036111111112</v>
      </c>
      <c r="E2036" s="18" t="s">
        <v>96</v>
      </c>
      <c r="F2036" s="18" t="s">
        <v>34</v>
      </c>
      <c r="G2036" s="18">
        <v>7424</v>
      </c>
      <c r="H2036" s="25">
        <f t="shared" si="124"/>
        <v>45252</v>
      </c>
      <c r="I2036" s="26">
        <f t="shared" si="125"/>
        <v>3.6111111112404615E-2</v>
      </c>
      <c r="J2036" s="18" t="str">
        <f t="shared" si="126"/>
        <v>November</v>
      </c>
      <c r="K2036" s="56" t="str">
        <f t="shared" si="127"/>
        <v>Wednesday</v>
      </c>
      <c r="L2036" s="18" t="str">
        <f>IF(OR(G2036&gt;Answers!I2051,G2036&lt;Answers!I2052),"Outlier","Normal")</f>
        <v>Outlier</v>
      </c>
      <c r="M2036" s="18">
        <v>86</v>
      </c>
    </row>
    <row r="2037" spans="1:13" ht="20" customHeight="1" x14ac:dyDescent="0.35">
      <c r="A2037" s="17">
        <v>1369791</v>
      </c>
      <c r="B2037" s="18">
        <v>588</v>
      </c>
      <c r="C2037" s="23" t="s">
        <v>107</v>
      </c>
      <c r="D2037" s="27">
        <v>44964.046527777777</v>
      </c>
      <c r="E2037" s="18" t="s">
        <v>97</v>
      </c>
      <c r="F2037" s="18" t="s">
        <v>83</v>
      </c>
      <c r="G2037" s="18">
        <v>6758</v>
      </c>
      <c r="H2037" s="25">
        <f t="shared" si="124"/>
        <v>44964</v>
      </c>
      <c r="I2037" s="26">
        <f t="shared" si="125"/>
        <v>4.6527777776645962E-2</v>
      </c>
      <c r="J2037" s="18" t="str">
        <f t="shared" si="126"/>
        <v>February</v>
      </c>
      <c r="K2037" s="56" t="str">
        <f t="shared" si="127"/>
        <v>Tuesday</v>
      </c>
      <c r="L2037" s="18" t="str">
        <f>IF(OR(G2037&gt;Answers!I2052,G2037&lt;Answers!I2053),"Outlier","Normal")</f>
        <v>Outlier</v>
      </c>
      <c r="M2037" s="18">
        <v>42</v>
      </c>
    </row>
    <row r="2038" spans="1:13" ht="20" customHeight="1" x14ac:dyDescent="0.35">
      <c r="A2038" s="17">
        <v>1370327</v>
      </c>
      <c r="B2038" s="18">
        <v>374</v>
      </c>
      <c r="C2038" s="23" t="s">
        <v>108</v>
      </c>
      <c r="D2038" s="27">
        <v>45278.050694444442</v>
      </c>
      <c r="E2038" s="18" t="s">
        <v>98</v>
      </c>
      <c r="F2038" s="18" t="s">
        <v>40</v>
      </c>
      <c r="G2038" s="18">
        <v>9133</v>
      </c>
      <c r="H2038" s="25">
        <f t="shared" si="124"/>
        <v>45278</v>
      </c>
      <c r="I2038" s="26">
        <f t="shared" si="125"/>
        <v>5.0694444442342501E-2</v>
      </c>
      <c r="J2038" s="18" t="str">
        <f t="shared" si="126"/>
        <v>December</v>
      </c>
      <c r="K2038" s="56" t="str">
        <f t="shared" si="127"/>
        <v>Monday</v>
      </c>
      <c r="L2038" s="18" t="str">
        <f>IF(OR(G2038&gt;Answers!I2053,G2038&lt;Answers!I2054),"Outlier","Normal")</f>
        <v>Outlier</v>
      </c>
      <c r="M2038" s="18">
        <v>71</v>
      </c>
    </row>
    <row r="2039" spans="1:13" ht="20" customHeight="1" x14ac:dyDescent="0.35">
      <c r="A2039" s="17">
        <v>1370775</v>
      </c>
      <c r="B2039" s="18">
        <v>462</v>
      </c>
      <c r="C2039" s="23" t="s">
        <v>99</v>
      </c>
      <c r="D2039" s="27">
        <v>45039.075694444444</v>
      </c>
      <c r="E2039" s="18" t="s">
        <v>98</v>
      </c>
      <c r="F2039" s="18" t="s">
        <v>69</v>
      </c>
      <c r="G2039" s="18">
        <v>1949</v>
      </c>
      <c r="H2039" s="25">
        <f t="shared" si="124"/>
        <v>45039</v>
      </c>
      <c r="I2039" s="26">
        <f t="shared" si="125"/>
        <v>7.5694444443797693E-2</v>
      </c>
      <c r="J2039" s="18" t="str">
        <f t="shared" si="126"/>
        <v>April</v>
      </c>
      <c r="K2039" s="56" t="str">
        <f t="shared" si="127"/>
        <v>Sunday</v>
      </c>
      <c r="L2039" s="18" t="str">
        <f>IF(OR(G2039&gt;Answers!I2054,G2039&lt;Answers!I2055),"Outlier","Normal")</f>
        <v>Outlier</v>
      </c>
      <c r="M2039" s="18">
        <v>80</v>
      </c>
    </row>
    <row r="2040" spans="1:13" ht="20" customHeight="1" x14ac:dyDescent="0.35">
      <c r="A2040" s="17">
        <v>1371197</v>
      </c>
      <c r="B2040" s="18">
        <v>1891</v>
      </c>
      <c r="C2040" s="23" t="s">
        <v>106</v>
      </c>
      <c r="D2040" s="27">
        <v>45013.008333333331</v>
      </c>
      <c r="E2040" s="18" t="s">
        <v>97</v>
      </c>
      <c r="F2040" s="18" t="s">
        <v>85</v>
      </c>
      <c r="G2040" s="18">
        <v>5430</v>
      </c>
      <c r="H2040" s="25">
        <f t="shared" si="124"/>
        <v>45013</v>
      </c>
      <c r="I2040" s="26">
        <f t="shared" si="125"/>
        <v>8.333333331393078E-3</v>
      </c>
      <c r="J2040" s="18" t="str">
        <f t="shared" si="126"/>
        <v>March</v>
      </c>
      <c r="K2040" s="56" t="str">
        <f t="shared" si="127"/>
        <v>Tuesday</v>
      </c>
      <c r="L2040" s="18" t="str">
        <f>IF(OR(G2040&gt;Answers!I2055,G2040&lt;Answers!I2056),"Outlier","Normal")</f>
        <v>Outlier</v>
      </c>
      <c r="M2040" s="18">
        <v>54</v>
      </c>
    </row>
    <row r="2041" spans="1:13" ht="20" customHeight="1" x14ac:dyDescent="0.35">
      <c r="A2041" s="17">
        <v>1371439</v>
      </c>
      <c r="B2041" s="18">
        <v>633</v>
      </c>
      <c r="C2041" s="23" t="s">
        <v>100</v>
      </c>
      <c r="D2041" s="27">
        <v>45217.004861111112</v>
      </c>
      <c r="E2041" s="18" t="s">
        <v>96</v>
      </c>
      <c r="F2041" s="18" t="s">
        <v>43</v>
      </c>
      <c r="G2041" s="18">
        <v>4266</v>
      </c>
      <c r="H2041" s="25">
        <f t="shared" si="124"/>
        <v>45217</v>
      </c>
      <c r="I2041" s="26">
        <f t="shared" si="125"/>
        <v>4.8611111124046147E-3</v>
      </c>
      <c r="J2041" s="18" t="str">
        <f t="shared" si="126"/>
        <v>October</v>
      </c>
      <c r="K2041" s="56" t="str">
        <f t="shared" si="127"/>
        <v>Wednesday</v>
      </c>
      <c r="L2041" s="18" t="str">
        <f>IF(OR(G2041&gt;Answers!I2056,G2041&lt;Answers!I2057),"Outlier","Normal")</f>
        <v>Outlier</v>
      </c>
      <c r="M2041" s="18">
        <v>88</v>
      </c>
    </row>
    <row r="2042" spans="1:13" ht="20" customHeight="1" x14ac:dyDescent="0.35">
      <c r="A2042" s="17">
        <v>1371917</v>
      </c>
      <c r="B2042" s="18">
        <v>1407</v>
      </c>
      <c r="C2042" s="23" t="s">
        <v>99</v>
      </c>
      <c r="D2042" s="27">
        <v>45132.03402777778</v>
      </c>
      <c r="E2042" s="18" t="s">
        <v>97</v>
      </c>
      <c r="F2042" s="18" t="s">
        <v>81</v>
      </c>
      <c r="G2042" s="18">
        <v>7060</v>
      </c>
      <c r="H2042" s="25">
        <f t="shared" si="124"/>
        <v>45132</v>
      </c>
      <c r="I2042" s="26">
        <f t="shared" si="125"/>
        <v>3.4027777779556345E-2</v>
      </c>
      <c r="J2042" s="18" t="str">
        <f t="shared" si="126"/>
        <v>July</v>
      </c>
      <c r="K2042" s="56" t="str">
        <f t="shared" si="127"/>
        <v>Tuesday</v>
      </c>
      <c r="L2042" s="18" t="str">
        <f>IF(OR(G2042&gt;Answers!I2057,G2042&lt;Answers!I2058),"Outlier","Normal")</f>
        <v>Outlier</v>
      </c>
      <c r="M2042" s="18">
        <v>37</v>
      </c>
    </row>
    <row r="2043" spans="1:13" ht="20" customHeight="1" x14ac:dyDescent="0.35">
      <c r="A2043" s="17">
        <v>1373309</v>
      </c>
      <c r="B2043" s="18">
        <v>718</v>
      </c>
      <c r="C2043" s="23" t="s">
        <v>103</v>
      </c>
      <c r="D2043" s="27">
        <v>45101.036805555559</v>
      </c>
      <c r="E2043" s="18" t="s">
        <v>96</v>
      </c>
      <c r="F2043" s="18" t="s">
        <v>88</v>
      </c>
      <c r="G2043" s="18">
        <v>2634</v>
      </c>
      <c r="H2043" s="25">
        <f t="shared" si="124"/>
        <v>45101</v>
      </c>
      <c r="I2043" s="26">
        <f t="shared" si="125"/>
        <v>3.680555555911269E-2</v>
      </c>
      <c r="J2043" s="18" t="str">
        <f t="shared" si="126"/>
        <v>June</v>
      </c>
      <c r="K2043" s="56" t="str">
        <f t="shared" si="127"/>
        <v>Saturday</v>
      </c>
      <c r="L2043" s="18" t="str">
        <f>IF(OR(G2043&gt;Answers!I2058,G2043&lt;Answers!I2059),"Outlier","Normal")</f>
        <v>Outlier</v>
      </c>
      <c r="M2043" s="18">
        <v>77</v>
      </c>
    </row>
    <row r="2044" spans="1:13" ht="20" customHeight="1" x14ac:dyDescent="0.35">
      <c r="A2044" s="17">
        <v>1373323</v>
      </c>
      <c r="B2044" s="18">
        <v>1893</v>
      </c>
      <c r="C2044" s="23" t="s">
        <v>101</v>
      </c>
      <c r="D2044" s="27">
        <v>44971.047222222223</v>
      </c>
      <c r="E2044" s="18" t="s">
        <v>97</v>
      </c>
      <c r="F2044" s="18" t="s">
        <v>43</v>
      </c>
      <c r="G2044" s="18">
        <v>8546</v>
      </c>
      <c r="H2044" s="25">
        <f t="shared" si="124"/>
        <v>44971</v>
      </c>
      <c r="I2044" s="26">
        <f t="shared" si="125"/>
        <v>4.7222222223354038E-2</v>
      </c>
      <c r="J2044" s="18" t="str">
        <f t="shared" si="126"/>
        <v>February</v>
      </c>
      <c r="K2044" s="56" t="str">
        <f t="shared" si="127"/>
        <v>Tuesday</v>
      </c>
      <c r="L2044" s="18" t="str">
        <f>IF(OR(G2044&gt;Answers!I2059,G2044&lt;Answers!I2060),"Outlier","Normal")</f>
        <v>Outlier</v>
      </c>
      <c r="M2044" s="18">
        <v>47</v>
      </c>
    </row>
    <row r="2045" spans="1:13" ht="20" customHeight="1" x14ac:dyDescent="0.35">
      <c r="A2045" s="17">
        <v>1373414</v>
      </c>
      <c r="B2045" s="18">
        <v>613</v>
      </c>
      <c r="C2045" s="23" t="s">
        <v>113</v>
      </c>
      <c r="D2045" s="27">
        <v>44970.990277777775</v>
      </c>
      <c r="E2045" s="18" t="s">
        <v>133</v>
      </c>
      <c r="F2045" s="18" t="s">
        <v>27</v>
      </c>
      <c r="G2045" s="18">
        <v>5539</v>
      </c>
      <c r="H2045" s="25">
        <f t="shared" si="124"/>
        <v>44970</v>
      </c>
      <c r="I2045" s="26">
        <f t="shared" si="125"/>
        <v>0.99027777777519077</v>
      </c>
      <c r="J2045" s="18" t="str">
        <f t="shared" si="126"/>
        <v>February</v>
      </c>
      <c r="K2045" s="56" t="str">
        <f t="shared" si="127"/>
        <v>Monday</v>
      </c>
      <c r="L2045" s="18" t="str">
        <f>IF(OR(G2045&gt;Answers!I2060,G2045&lt;Answers!I2061),"Outlier","Normal")</f>
        <v>Outlier</v>
      </c>
      <c r="M2045" s="18">
        <v>51</v>
      </c>
    </row>
    <row r="2046" spans="1:13" ht="20" customHeight="1" x14ac:dyDescent="0.35">
      <c r="A2046" s="17">
        <v>1374086</v>
      </c>
      <c r="B2046" s="18">
        <v>206</v>
      </c>
      <c r="C2046" s="23" t="s">
        <v>99</v>
      </c>
      <c r="D2046" s="27">
        <v>45179.987500000003</v>
      </c>
      <c r="E2046" s="18" t="s">
        <v>96</v>
      </c>
      <c r="F2046" s="18" t="s">
        <v>39</v>
      </c>
      <c r="G2046" s="18">
        <v>622</v>
      </c>
      <c r="H2046" s="25">
        <f t="shared" si="124"/>
        <v>45179</v>
      </c>
      <c r="I2046" s="26">
        <f t="shared" si="125"/>
        <v>0.98750000000291038</v>
      </c>
      <c r="J2046" s="18" t="str">
        <f t="shared" si="126"/>
        <v>September</v>
      </c>
      <c r="K2046" s="56" t="str">
        <f t="shared" si="127"/>
        <v>Sunday</v>
      </c>
      <c r="L2046" s="18" t="str">
        <f>IF(OR(G2046&gt;Answers!I2061,G2046&lt;Answers!I2062),"Outlier","Normal")</f>
        <v>Outlier</v>
      </c>
      <c r="M2046" s="18">
        <v>56</v>
      </c>
    </row>
    <row r="2047" spans="1:13" ht="20" customHeight="1" x14ac:dyDescent="0.35">
      <c r="A2047" s="17">
        <v>1376137</v>
      </c>
      <c r="B2047" s="18">
        <v>1472</v>
      </c>
      <c r="C2047" s="23" t="s">
        <v>99</v>
      </c>
      <c r="D2047" s="27">
        <v>45235.019444444442</v>
      </c>
      <c r="E2047" s="18" t="s">
        <v>133</v>
      </c>
      <c r="F2047" s="18" t="s">
        <v>24</v>
      </c>
      <c r="G2047" s="18">
        <v>7325</v>
      </c>
      <c r="H2047" s="25">
        <f t="shared" si="124"/>
        <v>45235</v>
      </c>
      <c r="I2047" s="26">
        <f t="shared" si="125"/>
        <v>1.9444444442342501E-2</v>
      </c>
      <c r="J2047" s="18" t="str">
        <f t="shared" si="126"/>
        <v>November</v>
      </c>
      <c r="K2047" s="56" t="str">
        <f t="shared" si="127"/>
        <v>Sunday</v>
      </c>
      <c r="L2047" s="18" t="str">
        <f>IF(OR(G2047&gt;Answers!I2062,G2047&lt;Answers!I2063),"Outlier","Normal")</f>
        <v>Outlier</v>
      </c>
      <c r="M2047" s="18">
        <v>83</v>
      </c>
    </row>
    <row r="2048" spans="1:13" ht="20" customHeight="1" x14ac:dyDescent="0.35">
      <c r="A2048" s="17">
        <v>1376176</v>
      </c>
      <c r="B2048" s="18">
        <v>1887</v>
      </c>
      <c r="C2048" s="23" t="s">
        <v>105</v>
      </c>
      <c r="D2048" s="27">
        <v>44974.990277777775</v>
      </c>
      <c r="E2048" s="18" t="s">
        <v>98</v>
      </c>
      <c r="F2048" s="18" t="s">
        <v>27</v>
      </c>
      <c r="G2048" s="18">
        <v>9141</v>
      </c>
      <c r="H2048" s="25">
        <f t="shared" si="124"/>
        <v>44974</v>
      </c>
      <c r="I2048" s="26">
        <f t="shared" si="125"/>
        <v>0.99027777777519077</v>
      </c>
      <c r="J2048" s="18" t="str">
        <f t="shared" si="126"/>
        <v>February</v>
      </c>
      <c r="K2048" s="56" t="str">
        <f t="shared" si="127"/>
        <v>Friday</v>
      </c>
      <c r="L2048" s="18" t="str">
        <f>IF(OR(G2048&gt;Answers!I2063,G2048&lt;Answers!I2064),"Outlier","Normal")</f>
        <v>Outlier</v>
      </c>
      <c r="M2048" s="18">
        <v>89</v>
      </c>
    </row>
    <row r="2049" spans="1:13" ht="20" customHeight="1" x14ac:dyDescent="0.35">
      <c r="A2049" s="17">
        <v>1376269</v>
      </c>
      <c r="B2049" s="18">
        <v>1006</v>
      </c>
      <c r="C2049" s="23" t="s">
        <v>101</v>
      </c>
      <c r="D2049" s="27">
        <v>45180.021527777775</v>
      </c>
      <c r="E2049" s="18" t="s">
        <v>98</v>
      </c>
      <c r="F2049" s="18" t="s">
        <v>31</v>
      </c>
      <c r="G2049" s="18">
        <v>1068</v>
      </c>
      <c r="H2049" s="25">
        <f t="shared" si="124"/>
        <v>45180</v>
      </c>
      <c r="I2049" s="26">
        <f t="shared" si="125"/>
        <v>2.1527777775190771E-2</v>
      </c>
      <c r="J2049" s="18" t="str">
        <f t="shared" si="126"/>
        <v>September</v>
      </c>
      <c r="K2049" s="56" t="str">
        <f t="shared" si="127"/>
        <v>Monday</v>
      </c>
      <c r="L2049" s="18" t="str">
        <f>IF(OR(G2049&gt;Answers!I2064,G2049&lt;Answers!I2065),"Outlier","Normal")</f>
        <v>Outlier</v>
      </c>
      <c r="M2049" s="18">
        <v>18</v>
      </c>
    </row>
    <row r="2050" spans="1:13" ht="20" customHeight="1" x14ac:dyDescent="0.35">
      <c r="A2050" s="17">
        <v>1376427</v>
      </c>
      <c r="B2050" s="18">
        <v>1430</v>
      </c>
      <c r="C2050" s="23" t="s">
        <v>99</v>
      </c>
      <c r="D2050" s="27">
        <v>45176.963194444441</v>
      </c>
      <c r="E2050" s="18" t="s">
        <v>96</v>
      </c>
      <c r="F2050" s="18" t="s">
        <v>78</v>
      </c>
      <c r="G2050" s="18">
        <v>9138</v>
      </c>
      <c r="H2050" s="25">
        <f t="shared" si="124"/>
        <v>45176</v>
      </c>
      <c r="I2050" s="26">
        <f t="shared" si="125"/>
        <v>0.96319444444088731</v>
      </c>
      <c r="J2050" s="18" t="str">
        <f t="shared" si="126"/>
        <v>September</v>
      </c>
      <c r="K2050" s="56" t="str">
        <f t="shared" si="127"/>
        <v>Thursday</v>
      </c>
      <c r="L2050" s="18" t="str">
        <f>IF(OR(G2050&gt;Answers!I2065,G2050&lt;Answers!I2066),"Outlier","Normal")</f>
        <v>Outlier</v>
      </c>
      <c r="M2050" s="18">
        <v>82</v>
      </c>
    </row>
    <row r="2051" spans="1:13" ht="20" customHeight="1" x14ac:dyDescent="0.35">
      <c r="A2051" s="17">
        <v>1376435</v>
      </c>
      <c r="B2051" s="18">
        <v>145</v>
      </c>
      <c r="C2051" s="23" t="s">
        <v>107</v>
      </c>
      <c r="D2051" s="27">
        <v>44991.986111111109</v>
      </c>
      <c r="E2051" s="18" t="s">
        <v>97</v>
      </c>
      <c r="F2051" s="18" t="s">
        <v>77</v>
      </c>
      <c r="G2051" s="18">
        <v>8109</v>
      </c>
      <c r="H2051" s="25">
        <f t="shared" ref="H2051:H2114" si="128">INT(D2051)</f>
        <v>44991</v>
      </c>
      <c r="I2051" s="26">
        <f t="shared" ref="I2051:I2114" si="129">MOD(D2051,1)</f>
        <v>0.98611111110949423</v>
      </c>
      <c r="J2051" s="18" t="str">
        <f t="shared" ref="J2051:J2114" si="130">TEXT(D2051,"mmmm")</f>
        <v>March</v>
      </c>
      <c r="K2051" s="56" t="str">
        <f t="shared" ref="K2051:K2114" si="131">TEXT(D2051,"dddd")</f>
        <v>Monday</v>
      </c>
      <c r="L2051" s="18" t="str">
        <f>IF(OR(G2051&gt;Answers!I2066,G2051&lt;Answers!I2067),"Outlier","Normal")</f>
        <v>Outlier</v>
      </c>
      <c r="M2051" s="18">
        <v>18</v>
      </c>
    </row>
    <row r="2052" spans="1:13" ht="20" customHeight="1" x14ac:dyDescent="0.35">
      <c r="A2052" s="17">
        <v>1379500</v>
      </c>
      <c r="B2052" s="18">
        <v>1128</v>
      </c>
      <c r="C2052" s="23" t="s">
        <v>100</v>
      </c>
      <c r="D2052" s="27">
        <v>45132.098611111112</v>
      </c>
      <c r="E2052" s="18" t="s">
        <v>133</v>
      </c>
      <c r="F2052" s="18" t="s">
        <v>32</v>
      </c>
      <c r="G2052" s="18">
        <v>4248</v>
      </c>
      <c r="H2052" s="25">
        <f t="shared" si="128"/>
        <v>45132</v>
      </c>
      <c r="I2052" s="26">
        <f t="shared" si="129"/>
        <v>9.8611111112404615E-2</v>
      </c>
      <c r="J2052" s="18" t="str">
        <f t="shared" si="130"/>
        <v>July</v>
      </c>
      <c r="K2052" s="56" t="str">
        <f t="shared" si="131"/>
        <v>Tuesday</v>
      </c>
      <c r="L2052" s="18" t="str">
        <f>IF(OR(G2052&gt;Answers!I2067,G2052&lt;Answers!I2068),"Outlier","Normal")</f>
        <v>Outlier</v>
      </c>
      <c r="M2052" s="18">
        <v>18</v>
      </c>
    </row>
    <row r="2053" spans="1:13" ht="20" customHeight="1" x14ac:dyDescent="0.35">
      <c r="A2053" s="17">
        <v>1380014</v>
      </c>
      <c r="B2053" s="18">
        <v>914</v>
      </c>
      <c r="C2053" s="23" t="s">
        <v>99</v>
      </c>
      <c r="D2053" s="27">
        <v>45274.039583333331</v>
      </c>
      <c r="E2053" s="18" t="s">
        <v>96</v>
      </c>
      <c r="F2053" s="18" t="s">
        <v>30</v>
      </c>
      <c r="G2053" s="18">
        <v>5389</v>
      </c>
      <c r="H2053" s="25">
        <f t="shared" si="128"/>
        <v>45274</v>
      </c>
      <c r="I2053" s="26">
        <f t="shared" si="129"/>
        <v>3.9583333331393078E-2</v>
      </c>
      <c r="J2053" s="18" t="str">
        <f t="shared" si="130"/>
        <v>December</v>
      </c>
      <c r="K2053" s="56" t="str">
        <f t="shared" si="131"/>
        <v>Thursday</v>
      </c>
      <c r="L2053" s="18" t="str">
        <f>IF(OR(G2053&gt;Answers!I2068,G2053&lt;Answers!I2069),"Outlier","Normal")</f>
        <v>Outlier</v>
      </c>
      <c r="M2053" s="18">
        <v>80</v>
      </c>
    </row>
    <row r="2054" spans="1:13" ht="20" customHeight="1" x14ac:dyDescent="0.35">
      <c r="A2054" s="17">
        <v>1383231</v>
      </c>
      <c r="B2054" s="18">
        <v>900</v>
      </c>
      <c r="C2054" s="23" t="s">
        <v>99</v>
      </c>
      <c r="D2054" s="27">
        <v>45134.992361111108</v>
      </c>
      <c r="E2054" s="18" t="s">
        <v>133</v>
      </c>
      <c r="F2054" s="18" t="s">
        <v>74</v>
      </c>
      <c r="G2054" s="18">
        <v>2730</v>
      </c>
      <c r="H2054" s="25">
        <f t="shared" si="128"/>
        <v>45134</v>
      </c>
      <c r="I2054" s="26">
        <f t="shared" si="129"/>
        <v>0.99236111110803904</v>
      </c>
      <c r="J2054" s="18" t="str">
        <f t="shared" si="130"/>
        <v>July</v>
      </c>
      <c r="K2054" s="56" t="str">
        <f t="shared" si="131"/>
        <v>Thursday</v>
      </c>
      <c r="L2054" s="18" t="str">
        <f>IF(OR(G2054&gt;Answers!I2069,G2054&lt;Answers!I2070),"Outlier","Normal")</f>
        <v>Outlier</v>
      </c>
      <c r="M2054" s="18">
        <v>54</v>
      </c>
    </row>
    <row r="2055" spans="1:13" ht="20" customHeight="1" x14ac:dyDescent="0.35">
      <c r="A2055" s="17">
        <v>1383522</v>
      </c>
      <c r="B2055" s="18">
        <v>1792</v>
      </c>
      <c r="C2055" s="23" t="s">
        <v>108</v>
      </c>
      <c r="D2055" s="27">
        <v>45020.038194444445</v>
      </c>
      <c r="E2055" s="18" t="s">
        <v>133</v>
      </c>
      <c r="F2055" s="18" t="s">
        <v>85</v>
      </c>
      <c r="G2055" s="18">
        <v>9147</v>
      </c>
      <c r="H2055" s="25">
        <f t="shared" si="128"/>
        <v>45020</v>
      </c>
      <c r="I2055" s="26">
        <f t="shared" si="129"/>
        <v>3.8194444445252884E-2</v>
      </c>
      <c r="J2055" s="18" t="str">
        <f t="shared" si="130"/>
        <v>April</v>
      </c>
      <c r="K2055" s="56" t="str">
        <f t="shared" si="131"/>
        <v>Tuesday</v>
      </c>
      <c r="L2055" s="18" t="str">
        <f>IF(OR(G2055&gt;Answers!I2070,G2055&lt;Answers!I2071),"Outlier","Normal")</f>
        <v>Outlier</v>
      </c>
      <c r="M2055" s="18">
        <v>59</v>
      </c>
    </row>
    <row r="2056" spans="1:13" ht="20" customHeight="1" x14ac:dyDescent="0.35">
      <c r="A2056" s="17">
        <v>1383688</v>
      </c>
      <c r="B2056" s="18">
        <v>271</v>
      </c>
      <c r="C2056" s="23" t="s">
        <v>99</v>
      </c>
      <c r="D2056" s="27">
        <v>44971.076388888891</v>
      </c>
      <c r="E2056" s="18" t="s">
        <v>96</v>
      </c>
      <c r="F2056" s="18" t="s">
        <v>51</v>
      </c>
      <c r="G2056" s="18">
        <v>240</v>
      </c>
      <c r="H2056" s="25">
        <f t="shared" si="128"/>
        <v>44971</v>
      </c>
      <c r="I2056" s="26">
        <f t="shared" si="129"/>
        <v>7.6388888890505768E-2</v>
      </c>
      <c r="J2056" s="18" t="str">
        <f t="shared" si="130"/>
        <v>February</v>
      </c>
      <c r="K2056" s="56" t="str">
        <f t="shared" si="131"/>
        <v>Tuesday</v>
      </c>
      <c r="L2056" s="18" t="str">
        <f>IF(OR(G2056&gt;Answers!I2071,G2056&lt;Answers!I2072),"Outlier","Normal")</f>
        <v>Outlier</v>
      </c>
      <c r="M2056" s="18">
        <v>68</v>
      </c>
    </row>
    <row r="2057" spans="1:13" ht="20" customHeight="1" x14ac:dyDescent="0.35">
      <c r="A2057" s="17">
        <v>1384019</v>
      </c>
      <c r="B2057" s="18">
        <v>1408</v>
      </c>
      <c r="C2057" s="23" t="s">
        <v>99</v>
      </c>
      <c r="D2057" s="27">
        <v>45251.074999999997</v>
      </c>
      <c r="E2057" s="18" t="s">
        <v>133</v>
      </c>
      <c r="F2057" s="18" t="s">
        <v>68</v>
      </c>
      <c r="G2057" s="18">
        <v>4853</v>
      </c>
      <c r="H2057" s="25">
        <f t="shared" si="128"/>
        <v>45251</v>
      </c>
      <c r="I2057" s="26">
        <f t="shared" si="129"/>
        <v>7.4999999997089617E-2</v>
      </c>
      <c r="J2057" s="18" t="str">
        <f t="shared" si="130"/>
        <v>November</v>
      </c>
      <c r="K2057" s="56" t="str">
        <f t="shared" si="131"/>
        <v>Tuesday</v>
      </c>
      <c r="L2057" s="18" t="str">
        <f>IF(OR(G2057&gt;Answers!I2072,G2057&lt;Answers!I2073),"Outlier","Normal")</f>
        <v>Outlier</v>
      </c>
      <c r="M2057" s="18">
        <v>68</v>
      </c>
    </row>
    <row r="2058" spans="1:13" ht="20" customHeight="1" x14ac:dyDescent="0.35">
      <c r="A2058" s="17">
        <v>1385078</v>
      </c>
      <c r="B2058" s="18">
        <v>146</v>
      </c>
      <c r="C2058" s="23" t="s">
        <v>103</v>
      </c>
      <c r="D2058" s="27">
        <v>45126.064583333333</v>
      </c>
      <c r="E2058" s="18" t="s">
        <v>97</v>
      </c>
      <c r="F2058" s="18" t="s">
        <v>79</v>
      </c>
      <c r="G2058" s="18">
        <v>1972</v>
      </c>
      <c r="H2058" s="25">
        <f t="shared" si="128"/>
        <v>45126</v>
      </c>
      <c r="I2058" s="26">
        <f t="shared" si="129"/>
        <v>6.4583333332848269E-2</v>
      </c>
      <c r="J2058" s="18" t="str">
        <f t="shared" si="130"/>
        <v>July</v>
      </c>
      <c r="K2058" s="56" t="str">
        <f t="shared" si="131"/>
        <v>Wednesday</v>
      </c>
      <c r="L2058" s="18" t="str">
        <f>IF(OR(G2058&gt;Answers!I2073,G2058&lt;Answers!I2074),"Outlier","Normal")</f>
        <v>Outlier</v>
      </c>
      <c r="M2058" s="18">
        <v>85</v>
      </c>
    </row>
    <row r="2059" spans="1:13" ht="20" customHeight="1" x14ac:dyDescent="0.35">
      <c r="A2059" s="17">
        <v>1385605</v>
      </c>
      <c r="B2059" s="18">
        <v>1850</v>
      </c>
      <c r="C2059" s="23" t="s">
        <v>109</v>
      </c>
      <c r="D2059" s="27">
        <v>45062.003472222219</v>
      </c>
      <c r="E2059" s="18" t="s">
        <v>98</v>
      </c>
      <c r="F2059" s="18" t="s">
        <v>76</v>
      </c>
      <c r="G2059" s="18">
        <v>6075</v>
      </c>
      <c r="H2059" s="25">
        <f t="shared" si="128"/>
        <v>45062</v>
      </c>
      <c r="I2059" s="26">
        <f t="shared" si="129"/>
        <v>3.4722222189884633E-3</v>
      </c>
      <c r="J2059" s="18" t="str">
        <f t="shared" si="130"/>
        <v>May</v>
      </c>
      <c r="K2059" s="56" t="str">
        <f t="shared" si="131"/>
        <v>Tuesday</v>
      </c>
      <c r="L2059" s="18" t="str">
        <f>IF(OR(G2059&gt;Answers!I2074,G2059&lt;Answers!I2075),"Outlier","Normal")</f>
        <v>Outlier</v>
      </c>
      <c r="M2059" s="18">
        <v>60</v>
      </c>
    </row>
    <row r="2060" spans="1:13" ht="20" customHeight="1" x14ac:dyDescent="0.35">
      <c r="A2060" s="17">
        <v>1385745</v>
      </c>
      <c r="B2060" s="18">
        <v>1686</v>
      </c>
      <c r="C2060" s="23" t="s">
        <v>100</v>
      </c>
      <c r="D2060" s="27">
        <v>44958.061111111114</v>
      </c>
      <c r="E2060" s="18" t="s">
        <v>96</v>
      </c>
      <c r="F2060" s="18" t="s">
        <v>27</v>
      </c>
      <c r="G2060" s="18">
        <v>5128</v>
      </c>
      <c r="H2060" s="25">
        <f t="shared" si="128"/>
        <v>44958</v>
      </c>
      <c r="I2060" s="26">
        <f t="shared" si="129"/>
        <v>6.1111111113859806E-2</v>
      </c>
      <c r="J2060" s="18" t="str">
        <f t="shared" si="130"/>
        <v>February</v>
      </c>
      <c r="K2060" s="56" t="str">
        <f t="shared" si="131"/>
        <v>Wednesday</v>
      </c>
      <c r="L2060" s="18" t="str">
        <f>IF(OR(G2060&gt;Answers!I2075,G2060&lt;Answers!I2076),"Outlier","Normal")</f>
        <v>Outlier</v>
      </c>
      <c r="M2060" s="18">
        <v>53</v>
      </c>
    </row>
    <row r="2061" spans="1:13" ht="20" customHeight="1" x14ac:dyDescent="0.35">
      <c r="A2061" s="17">
        <v>1386514</v>
      </c>
      <c r="B2061" s="18">
        <v>1892</v>
      </c>
      <c r="C2061" s="23" t="s">
        <v>99</v>
      </c>
      <c r="D2061" s="27">
        <v>45070.020138888889</v>
      </c>
      <c r="E2061" s="18" t="s">
        <v>98</v>
      </c>
      <c r="F2061" s="18" t="s">
        <v>43</v>
      </c>
      <c r="G2061" s="18">
        <v>2382</v>
      </c>
      <c r="H2061" s="25">
        <f t="shared" si="128"/>
        <v>45070</v>
      </c>
      <c r="I2061" s="26">
        <f t="shared" si="129"/>
        <v>2.0138888889050577E-2</v>
      </c>
      <c r="J2061" s="18" t="str">
        <f t="shared" si="130"/>
        <v>May</v>
      </c>
      <c r="K2061" s="56" t="str">
        <f t="shared" si="131"/>
        <v>Wednesday</v>
      </c>
      <c r="L2061" s="18" t="str">
        <f>IF(OR(G2061&gt;Answers!I2076,G2061&lt;Answers!I2077),"Outlier","Normal")</f>
        <v>Outlier</v>
      </c>
      <c r="M2061" s="18">
        <v>64</v>
      </c>
    </row>
    <row r="2062" spans="1:13" ht="20" customHeight="1" x14ac:dyDescent="0.35">
      <c r="A2062" s="17">
        <v>1386601</v>
      </c>
      <c r="B2062" s="18">
        <v>1276</v>
      </c>
      <c r="C2062" s="23" t="s">
        <v>100</v>
      </c>
      <c r="D2062" s="27">
        <v>45026.027777777781</v>
      </c>
      <c r="E2062" s="18" t="s">
        <v>97</v>
      </c>
      <c r="F2062" s="18" t="s">
        <v>43</v>
      </c>
      <c r="G2062" s="18">
        <v>4677</v>
      </c>
      <c r="H2062" s="25">
        <f t="shared" si="128"/>
        <v>45026</v>
      </c>
      <c r="I2062" s="26">
        <f t="shared" si="129"/>
        <v>2.7777777781011537E-2</v>
      </c>
      <c r="J2062" s="18" t="str">
        <f t="shared" si="130"/>
        <v>April</v>
      </c>
      <c r="K2062" s="56" t="str">
        <f t="shared" si="131"/>
        <v>Monday</v>
      </c>
      <c r="L2062" s="18" t="str">
        <f>IF(OR(G2062&gt;Answers!I2077,G2062&lt;Answers!I2078),"Outlier","Normal")</f>
        <v>Outlier</v>
      </c>
      <c r="M2062" s="18">
        <v>88</v>
      </c>
    </row>
    <row r="2063" spans="1:13" ht="20" customHeight="1" x14ac:dyDescent="0.35">
      <c r="A2063" s="17">
        <v>1387867</v>
      </c>
      <c r="B2063" s="18">
        <v>322</v>
      </c>
      <c r="C2063" s="23" t="s">
        <v>113</v>
      </c>
      <c r="D2063" s="27">
        <v>45068.05</v>
      </c>
      <c r="E2063" s="18" t="s">
        <v>98</v>
      </c>
      <c r="F2063" s="18" t="s">
        <v>4</v>
      </c>
      <c r="G2063" s="18">
        <v>7080</v>
      </c>
      <c r="H2063" s="25">
        <f t="shared" si="128"/>
        <v>45068</v>
      </c>
      <c r="I2063" s="26">
        <f t="shared" si="129"/>
        <v>5.0000000002910383E-2</v>
      </c>
      <c r="J2063" s="18" t="str">
        <f t="shared" si="130"/>
        <v>May</v>
      </c>
      <c r="K2063" s="56" t="str">
        <f t="shared" si="131"/>
        <v>Monday</v>
      </c>
      <c r="L2063" s="18" t="str">
        <f>IF(OR(G2063&gt;Answers!I2078,G2063&lt;Answers!I2079),"Outlier","Normal")</f>
        <v>Outlier</v>
      </c>
      <c r="M2063" s="18">
        <v>22</v>
      </c>
    </row>
    <row r="2064" spans="1:13" ht="20" customHeight="1" x14ac:dyDescent="0.35">
      <c r="A2064" s="17">
        <v>1389485</v>
      </c>
      <c r="B2064" s="18">
        <v>607</v>
      </c>
      <c r="C2064" s="23" t="s">
        <v>106</v>
      </c>
      <c r="D2064" s="27">
        <v>45236.022916666669</v>
      </c>
      <c r="E2064" s="18" t="s">
        <v>98</v>
      </c>
      <c r="F2064" s="18" t="s">
        <v>19</v>
      </c>
      <c r="G2064" s="18">
        <v>8449</v>
      </c>
      <c r="H2064" s="25">
        <f t="shared" si="128"/>
        <v>45236</v>
      </c>
      <c r="I2064" s="26">
        <f t="shared" si="129"/>
        <v>2.2916666668606922E-2</v>
      </c>
      <c r="J2064" s="18" t="str">
        <f t="shared" si="130"/>
        <v>November</v>
      </c>
      <c r="K2064" s="56" t="str">
        <f t="shared" si="131"/>
        <v>Monday</v>
      </c>
      <c r="L2064" s="18" t="str">
        <f>IF(OR(G2064&gt;Answers!I2079,G2064&lt;Answers!I2080),"Outlier","Normal")</f>
        <v>Outlier</v>
      </c>
      <c r="M2064" s="18">
        <v>41</v>
      </c>
    </row>
    <row r="2065" spans="1:13" ht="20" customHeight="1" x14ac:dyDescent="0.35">
      <c r="A2065" s="17">
        <v>1389680</v>
      </c>
      <c r="B2065" s="18">
        <v>888</v>
      </c>
      <c r="C2065" s="23" t="s">
        <v>108</v>
      </c>
      <c r="D2065" s="27">
        <v>44936.015277777777</v>
      </c>
      <c r="E2065" s="18" t="s">
        <v>133</v>
      </c>
      <c r="F2065" s="18" t="s">
        <v>82</v>
      </c>
      <c r="G2065" s="18">
        <v>9670</v>
      </c>
      <c r="H2065" s="25">
        <f t="shared" si="128"/>
        <v>44936</v>
      </c>
      <c r="I2065" s="26">
        <f t="shared" si="129"/>
        <v>1.5277777776645962E-2</v>
      </c>
      <c r="J2065" s="18" t="str">
        <f t="shared" si="130"/>
        <v>January</v>
      </c>
      <c r="K2065" s="56" t="str">
        <f t="shared" si="131"/>
        <v>Tuesday</v>
      </c>
      <c r="L2065" s="18" t="str">
        <f>IF(OR(G2065&gt;Answers!I2080,G2065&lt;Answers!I2081),"Outlier","Normal")</f>
        <v>Outlier</v>
      </c>
      <c r="M2065" s="18">
        <v>71</v>
      </c>
    </row>
    <row r="2066" spans="1:13" ht="20" customHeight="1" x14ac:dyDescent="0.35">
      <c r="A2066" s="17">
        <v>1391439</v>
      </c>
      <c r="B2066" s="18">
        <v>811</v>
      </c>
      <c r="C2066" s="23" t="s">
        <v>113</v>
      </c>
      <c r="D2066" s="27">
        <v>45246.940972222219</v>
      </c>
      <c r="E2066" s="18" t="s">
        <v>98</v>
      </c>
      <c r="F2066" s="18" t="s">
        <v>21</v>
      </c>
      <c r="G2066" s="18">
        <v>6152</v>
      </c>
      <c r="H2066" s="25">
        <f t="shared" si="128"/>
        <v>45246</v>
      </c>
      <c r="I2066" s="26">
        <f t="shared" si="129"/>
        <v>0.94097222221898846</v>
      </c>
      <c r="J2066" s="18" t="str">
        <f t="shared" si="130"/>
        <v>November</v>
      </c>
      <c r="K2066" s="56" t="str">
        <f t="shared" si="131"/>
        <v>Thursday</v>
      </c>
      <c r="L2066" s="18" t="str">
        <f>IF(OR(G2066&gt;Answers!I2081,G2066&lt;Answers!I2082),"Outlier","Normal")</f>
        <v>Outlier</v>
      </c>
      <c r="M2066" s="18">
        <v>32</v>
      </c>
    </row>
    <row r="2067" spans="1:13" ht="20" customHeight="1" x14ac:dyDescent="0.35">
      <c r="A2067" s="17">
        <v>1391623</v>
      </c>
      <c r="B2067" s="18">
        <v>606</v>
      </c>
      <c r="C2067" s="23" t="s">
        <v>99</v>
      </c>
      <c r="D2067" s="27">
        <v>45117.974999999999</v>
      </c>
      <c r="E2067" s="18" t="s">
        <v>98</v>
      </c>
      <c r="F2067" s="18" t="s">
        <v>66</v>
      </c>
      <c r="G2067" s="18">
        <v>6445</v>
      </c>
      <c r="H2067" s="25">
        <f t="shared" si="128"/>
        <v>45117</v>
      </c>
      <c r="I2067" s="26">
        <f t="shared" si="129"/>
        <v>0.97499999999854481</v>
      </c>
      <c r="J2067" s="18" t="str">
        <f t="shared" si="130"/>
        <v>July</v>
      </c>
      <c r="K2067" s="56" t="str">
        <f t="shared" si="131"/>
        <v>Monday</v>
      </c>
      <c r="L2067" s="18" t="str">
        <f>IF(OR(G2067&gt;Answers!I2082,G2067&lt;Answers!I2083),"Outlier","Normal")</f>
        <v>Outlier</v>
      </c>
      <c r="M2067" s="18">
        <v>18</v>
      </c>
    </row>
    <row r="2068" spans="1:13" ht="20" customHeight="1" x14ac:dyDescent="0.35">
      <c r="A2068" s="17">
        <v>1392838</v>
      </c>
      <c r="B2068" s="18">
        <v>1138</v>
      </c>
      <c r="C2068" s="23" t="s">
        <v>101</v>
      </c>
      <c r="D2068" s="27">
        <v>45137.979861111111</v>
      </c>
      <c r="E2068" s="18" t="s">
        <v>96</v>
      </c>
      <c r="F2068" s="18" t="s">
        <v>78</v>
      </c>
      <c r="G2068" s="18">
        <v>1617</v>
      </c>
      <c r="H2068" s="25">
        <f t="shared" si="128"/>
        <v>45137</v>
      </c>
      <c r="I2068" s="26">
        <f t="shared" si="129"/>
        <v>0.97986111111094942</v>
      </c>
      <c r="J2068" s="18" t="str">
        <f t="shared" si="130"/>
        <v>July</v>
      </c>
      <c r="K2068" s="56" t="str">
        <f t="shared" si="131"/>
        <v>Sunday</v>
      </c>
      <c r="L2068" s="18" t="str">
        <f>IF(OR(G2068&gt;Answers!I2083,G2068&lt;Answers!I2084),"Outlier","Normal")</f>
        <v>Outlier</v>
      </c>
      <c r="M2068" s="18">
        <v>83</v>
      </c>
    </row>
    <row r="2069" spans="1:13" ht="20" customHeight="1" x14ac:dyDescent="0.35">
      <c r="A2069" s="17">
        <v>1393397</v>
      </c>
      <c r="B2069" s="18">
        <v>73</v>
      </c>
      <c r="C2069" s="23" t="s">
        <v>109</v>
      </c>
      <c r="D2069" s="27">
        <v>45021.022222222222</v>
      </c>
      <c r="E2069" s="18" t="s">
        <v>96</v>
      </c>
      <c r="F2069" s="18" t="s">
        <v>5</v>
      </c>
      <c r="G2069" s="18">
        <v>7174</v>
      </c>
      <c r="H2069" s="25">
        <f t="shared" si="128"/>
        <v>45021</v>
      </c>
      <c r="I2069" s="26">
        <f t="shared" si="129"/>
        <v>2.2222222221898846E-2</v>
      </c>
      <c r="J2069" s="18" t="str">
        <f t="shared" si="130"/>
        <v>April</v>
      </c>
      <c r="K2069" s="56" t="str">
        <f t="shared" si="131"/>
        <v>Wednesday</v>
      </c>
      <c r="L2069" s="18" t="str">
        <f>IF(OR(G2069&gt;Answers!I2084,G2069&lt;Answers!I2085),"Outlier","Normal")</f>
        <v>Outlier</v>
      </c>
      <c r="M2069" s="18">
        <v>34</v>
      </c>
    </row>
    <row r="2070" spans="1:13" ht="20" customHeight="1" x14ac:dyDescent="0.35">
      <c r="A2070" s="17">
        <v>1393864</v>
      </c>
      <c r="B2070" s="18">
        <v>1794</v>
      </c>
      <c r="C2070" s="23" t="s">
        <v>101</v>
      </c>
      <c r="D2070" s="27">
        <v>45114.072916666664</v>
      </c>
      <c r="E2070" s="18" t="s">
        <v>97</v>
      </c>
      <c r="F2070" s="18" t="s">
        <v>43</v>
      </c>
      <c r="G2070" s="18">
        <v>3135</v>
      </c>
      <c r="H2070" s="25">
        <f t="shared" si="128"/>
        <v>45114</v>
      </c>
      <c r="I2070" s="26">
        <f t="shared" si="129"/>
        <v>7.2916666664241347E-2</v>
      </c>
      <c r="J2070" s="18" t="str">
        <f t="shared" si="130"/>
        <v>July</v>
      </c>
      <c r="K2070" s="56" t="str">
        <f t="shared" si="131"/>
        <v>Friday</v>
      </c>
      <c r="L2070" s="18" t="str">
        <f>IF(OR(G2070&gt;Answers!I2085,G2070&lt;Answers!I2086),"Outlier","Normal")</f>
        <v>Outlier</v>
      </c>
      <c r="M2070" s="18">
        <v>41</v>
      </c>
    </row>
    <row r="2071" spans="1:13" ht="20" customHeight="1" x14ac:dyDescent="0.35">
      <c r="A2071" s="17">
        <v>1395655</v>
      </c>
      <c r="B2071" s="18">
        <v>345</v>
      </c>
      <c r="C2071" s="23" t="s">
        <v>113</v>
      </c>
      <c r="D2071" s="27">
        <v>45150.02847222222</v>
      </c>
      <c r="E2071" s="18" t="s">
        <v>98</v>
      </c>
      <c r="F2071" s="18" t="s">
        <v>27</v>
      </c>
      <c r="G2071" s="18">
        <v>8180</v>
      </c>
      <c r="H2071" s="25">
        <f t="shared" si="128"/>
        <v>45150</v>
      </c>
      <c r="I2071" s="26">
        <f t="shared" si="129"/>
        <v>2.8472222220443655E-2</v>
      </c>
      <c r="J2071" s="18" t="str">
        <f t="shared" si="130"/>
        <v>August</v>
      </c>
      <c r="K2071" s="56" t="str">
        <f t="shared" si="131"/>
        <v>Saturday</v>
      </c>
      <c r="L2071" s="18" t="str">
        <f>IF(OR(G2071&gt;Answers!I2086,G2071&lt;Answers!I2087),"Outlier","Normal")</f>
        <v>Outlier</v>
      </c>
      <c r="M2071" s="18">
        <v>31</v>
      </c>
    </row>
    <row r="2072" spans="1:13" ht="20" customHeight="1" x14ac:dyDescent="0.35">
      <c r="A2072" s="17">
        <v>1395839</v>
      </c>
      <c r="B2072" s="18">
        <v>163</v>
      </c>
      <c r="C2072" s="23" t="s">
        <v>99</v>
      </c>
      <c r="D2072" s="27">
        <v>45070.011111111111</v>
      </c>
      <c r="E2072" s="18" t="s">
        <v>98</v>
      </c>
      <c r="F2072" s="18" t="s">
        <v>27</v>
      </c>
      <c r="G2072" s="18">
        <v>2045</v>
      </c>
      <c r="H2072" s="25">
        <f t="shared" si="128"/>
        <v>45070</v>
      </c>
      <c r="I2072" s="26">
        <f t="shared" si="129"/>
        <v>1.1111111110949423E-2</v>
      </c>
      <c r="J2072" s="18" t="str">
        <f t="shared" si="130"/>
        <v>May</v>
      </c>
      <c r="K2072" s="56" t="str">
        <f t="shared" si="131"/>
        <v>Wednesday</v>
      </c>
      <c r="L2072" s="18" t="str">
        <f>IF(OR(G2072&gt;Answers!I2087,G2072&lt;Answers!I2088),"Outlier","Normal")</f>
        <v>Outlier</v>
      </c>
      <c r="M2072" s="18">
        <v>81</v>
      </c>
    </row>
    <row r="2073" spans="1:13" ht="20" customHeight="1" x14ac:dyDescent="0.35">
      <c r="A2073" s="17">
        <v>1396020</v>
      </c>
      <c r="B2073" s="18">
        <v>1139</v>
      </c>
      <c r="C2073" s="23" t="s">
        <v>99</v>
      </c>
      <c r="D2073" s="27">
        <v>45282.981249999997</v>
      </c>
      <c r="E2073" s="18" t="s">
        <v>96</v>
      </c>
      <c r="F2073" s="18" t="s">
        <v>27</v>
      </c>
      <c r="G2073" s="18">
        <v>5055</v>
      </c>
      <c r="H2073" s="25">
        <f t="shared" si="128"/>
        <v>45282</v>
      </c>
      <c r="I2073" s="26">
        <f t="shared" si="129"/>
        <v>0.98124999999708962</v>
      </c>
      <c r="J2073" s="18" t="str">
        <f t="shared" si="130"/>
        <v>December</v>
      </c>
      <c r="K2073" s="56" t="str">
        <f t="shared" si="131"/>
        <v>Friday</v>
      </c>
      <c r="L2073" s="18" t="str">
        <f>IF(OR(G2073&gt;Answers!I2088,G2073&lt;Answers!I2089),"Outlier","Normal")</f>
        <v>Outlier</v>
      </c>
      <c r="M2073" s="18">
        <v>84</v>
      </c>
    </row>
    <row r="2074" spans="1:13" ht="20" customHeight="1" x14ac:dyDescent="0.35">
      <c r="A2074" s="17">
        <v>1396650</v>
      </c>
      <c r="B2074" s="18">
        <v>1751</v>
      </c>
      <c r="C2074" s="23" t="s">
        <v>99</v>
      </c>
      <c r="D2074" s="27">
        <v>45272.022916666669</v>
      </c>
      <c r="E2074" s="18" t="s">
        <v>97</v>
      </c>
      <c r="F2074" s="18" t="s">
        <v>21</v>
      </c>
      <c r="G2074" s="18">
        <v>9911</v>
      </c>
      <c r="H2074" s="25">
        <f t="shared" si="128"/>
        <v>45272</v>
      </c>
      <c r="I2074" s="26">
        <f t="shared" si="129"/>
        <v>2.2916666668606922E-2</v>
      </c>
      <c r="J2074" s="18" t="str">
        <f t="shared" si="130"/>
        <v>December</v>
      </c>
      <c r="K2074" s="56" t="str">
        <f t="shared" si="131"/>
        <v>Tuesday</v>
      </c>
      <c r="L2074" s="18" t="str">
        <f>IF(OR(G2074&gt;Answers!I2089,G2074&lt;Answers!I2090),"Outlier","Normal")</f>
        <v>Outlier</v>
      </c>
      <c r="M2074" s="18">
        <v>78</v>
      </c>
    </row>
    <row r="2075" spans="1:13" ht="20" customHeight="1" x14ac:dyDescent="0.35">
      <c r="A2075" s="17">
        <v>1398659</v>
      </c>
      <c r="B2075" s="18">
        <v>1366</v>
      </c>
      <c r="C2075" s="23" t="s">
        <v>99</v>
      </c>
      <c r="D2075" s="27">
        <v>45259.000694444447</v>
      </c>
      <c r="E2075" s="18" t="s">
        <v>97</v>
      </c>
      <c r="F2075" s="18" t="s">
        <v>12</v>
      </c>
      <c r="G2075" s="18">
        <v>1845</v>
      </c>
      <c r="H2075" s="25">
        <f t="shared" si="128"/>
        <v>45259</v>
      </c>
      <c r="I2075" s="26">
        <f t="shared" si="129"/>
        <v>6.944444467080757E-4</v>
      </c>
      <c r="J2075" s="18" t="str">
        <f t="shared" si="130"/>
        <v>November</v>
      </c>
      <c r="K2075" s="56" t="str">
        <f t="shared" si="131"/>
        <v>Wednesday</v>
      </c>
      <c r="L2075" s="18" t="str">
        <f>IF(OR(G2075&gt;Answers!I2090,G2075&lt;Answers!I2091),"Outlier","Normal")</f>
        <v>Outlier</v>
      </c>
      <c r="M2075" s="18">
        <v>44</v>
      </c>
    </row>
    <row r="2076" spans="1:13" ht="20" customHeight="1" x14ac:dyDescent="0.35">
      <c r="A2076" s="17">
        <v>1399773</v>
      </c>
      <c r="B2076" s="18">
        <v>1990</v>
      </c>
      <c r="C2076" s="23" t="s">
        <v>99</v>
      </c>
      <c r="D2076" s="27">
        <v>44929.00277777778</v>
      </c>
      <c r="E2076" s="18" t="s">
        <v>96</v>
      </c>
      <c r="F2076" s="18" t="s">
        <v>29</v>
      </c>
      <c r="G2076" s="18">
        <v>6970</v>
      </c>
      <c r="H2076" s="25">
        <f t="shared" si="128"/>
        <v>44929</v>
      </c>
      <c r="I2076" s="26">
        <f t="shared" si="129"/>
        <v>2.7777777795563452E-3</v>
      </c>
      <c r="J2076" s="18" t="str">
        <f t="shared" si="130"/>
        <v>January</v>
      </c>
      <c r="K2076" s="56" t="str">
        <f t="shared" si="131"/>
        <v>Tuesday</v>
      </c>
      <c r="L2076" s="18" t="str">
        <f>IF(OR(G2076&gt;Answers!I2091,G2076&lt;Answers!I2092),"Outlier","Normal")</f>
        <v>Outlier</v>
      </c>
      <c r="M2076" s="18">
        <v>89</v>
      </c>
    </row>
    <row r="2077" spans="1:13" ht="20" customHeight="1" x14ac:dyDescent="0.35">
      <c r="A2077" s="17">
        <v>1400564</v>
      </c>
      <c r="B2077" s="18">
        <v>768</v>
      </c>
      <c r="C2077" s="23" t="s">
        <v>99</v>
      </c>
      <c r="D2077" s="27">
        <v>45188.05972222222</v>
      </c>
      <c r="E2077" s="18" t="s">
        <v>97</v>
      </c>
      <c r="F2077" s="18" t="s">
        <v>24</v>
      </c>
      <c r="G2077" s="18">
        <v>5190</v>
      </c>
      <c r="H2077" s="25">
        <f t="shared" si="128"/>
        <v>45188</v>
      </c>
      <c r="I2077" s="26">
        <f t="shared" si="129"/>
        <v>5.9722222220443655E-2</v>
      </c>
      <c r="J2077" s="18" t="str">
        <f t="shared" si="130"/>
        <v>September</v>
      </c>
      <c r="K2077" s="56" t="str">
        <f t="shared" si="131"/>
        <v>Tuesday</v>
      </c>
      <c r="L2077" s="18" t="str">
        <f>IF(OR(G2077&gt;Answers!I2092,G2077&lt;Answers!I2093),"Outlier","Normal")</f>
        <v>Outlier</v>
      </c>
      <c r="M2077" s="18">
        <v>38</v>
      </c>
    </row>
    <row r="2078" spans="1:13" ht="20" customHeight="1" x14ac:dyDescent="0.35">
      <c r="A2078" s="17">
        <v>1400596</v>
      </c>
      <c r="B2078" s="18">
        <v>367</v>
      </c>
      <c r="C2078" s="23" t="s">
        <v>113</v>
      </c>
      <c r="D2078" s="27">
        <v>45159.963888888888</v>
      </c>
      <c r="E2078" s="18" t="s">
        <v>133</v>
      </c>
      <c r="F2078" s="18" t="s">
        <v>86</v>
      </c>
      <c r="G2078" s="18">
        <v>680</v>
      </c>
      <c r="H2078" s="25">
        <f t="shared" si="128"/>
        <v>45159</v>
      </c>
      <c r="I2078" s="26">
        <f t="shared" si="129"/>
        <v>0.96388888888759539</v>
      </c>
      <c r="J2078" s="18" t="str">
        <f t="shared" si="130"/>
        <v>August</v>
      </c>
      <c r="K2078" s="56" t="str">
        <f t="shared" si="131"/>
        <v>Monday</v>
      </c>
      <c r="L2078" s="18" t="str">
        <f>IF(OR(G2078&gt;Answers!I2093,G2078&lt;Answers!I2094),"Outlier","Normal")</f>
        <v>Outlier</v>
      </c>
      <c r="M2078" s="18">
        <v>23</v>
      </c>
    </row>
    <row r="2079" spans="1:13" ht="20" customHeight="1" x14ac:dyDescent="0.35">
      <c r="A2079" s="17">
        <v>1401727</v>
      </c>
      <c r="B2079" s="18">
        <v>637</v>
      </c>
      <c r="C2079" s="23" t="s">
        <v>99</v>
      </c>
      <c r="D2079" s="27">
        <v>45152.024305555555</v>
      </c>
      <c r="E2079" s="18" t="s">
        <v>96</v>
      </c>
      <c r="F2079" s="18" t="s">
        <v>31</v>
      </c>
      <c r="G2079" s="18">
        <v>4277</v>
      </c>
      <c r="H2079" s="25">
        <f t="shared" si="128"/>
        <v>45152</v>
      </c>
      <c r="I2079" s="26">
        <f t="shared" si="129"/>
        <v>2.4305555554747116E-2</v>
      </c>
      <c r="J2079" s="18" t="str">
        <f t="shared" si="130"/>
        <v>August</v>
      </c>
      <c r="K2079" s="56" t="str">
        <f t="shared" si="131"/>
        <v>Monday</v>
      </c>
      <c r="L2079" s="18" t="str">
        <f>IF(OR(G2079&gt;Answers!I2094,G2079&lt;Answers!I2095),"Outlier","Normal")</f>
        <v>Outlier</v>
      </c>
      <c r="M2079" s="18">
        <v>38</v>
      </c>
    </row>
    <row r="2080" spans="1:13" ht="20" customHeight="1" x14ac:dyDescent="0.35">
      <c r="A2080" s="17">
        <v>1404328</v>
      </c>
      <c r="B2080" s="18">
        <v>1469</v>
      </c>
      <c r="C2080" s="23" t="s">
        <v>107</v>
      </c>
      <c r="D2080" s="27">
        <v>44980.013888888891</v>
      </c>
      <c r="E2080" s="18" t="s">
        <v>97</v>
      </c>
      <c r="F2080" s="18" t="s">
        <v>90</v>
      </c>
      <c r="G2080" s="18">
        <v>4532</v>
      </c>
      <c r="H2080" s="25">
        <f t="shared" si="128"/>
        <v>44980</v>
      </c>
      <c r="I2080" s="26">
        <f t="shared" si="129"/>
        <v>1.3888888890505768E-2</v>
      </c>
      <c r="J2080" s="18" t="str">
        <f t="shared" si="130"/>
        <v>February</v>
      </c>
      <c r="K2080" s="56" t="str">
        <f t="shared" si="131"/>
        <v>Thursday</v>
      </c>
      <c r="L2080" s="18" t="str">
        <f>IF(OR(G2080&gt;Answers!I2095,G2080&lt;Answers!I2096),"Outlier","Normal")</f>
        <v>Outlier</v>
      </c>
      <c r="M2080" s="18">
        <v>38</v>
      </c>
    </row>
    <row r="2081" spans="1:13" ht="20" customHeight="1" x14ac:dyDescent="0.35">
      <c r="A2081" s="17">
        <v>1404963</v>
      </c>
      <c r="B2081" s="18">
        <v>69</v>
      </c>
      <c r="C2081" s="23" t="s">
        <v>99</v>
      </c>
      <c r="D2081" s="27">
        <v>45278.038194444445</v>
      </c>
      <c r="E2081" s="18" t="s">
        <v>98</v>
      </c>
      <c r="F2081" s="18" t="s">
        <v>33</v>
      </c>
      <c r="G2081" s="18">
        <v>1572</v>
      </c>
      <c r="H2081" s="25">
        <f t="shared" si="128"/>
        <v>45278</v>
      </c>
      <c r="I2081" s="26">
        <f t="shared" si="129"/>
        <v>3.8194444445252884E-2</v>
      </c>
      <c r="J2081" s="18" t="str">
        <f t="shared" si="130"/>
        <v>December</v>
      </c>
      <c r="K2081" s="56" t="str">
        <f t="shared" si="131"/>
        <v>Monday</v>
      </c>
      <c r="L2081" s="18" t="str">
        <f>IF(OR(G2081&gt;Answers!I2096,G2081&lt;Answers!I2097),"Outlier","Normal")</f>
        <v>Outlier</v>
      </c>
      <c r="M2081" s="18">
        <v>39</v>
      </c>
    </row>
    <row r="2082" spans="1:13" ht="20" customHeight="1" x14ac:dyDescent="0.35">
      <c r="A2082" s="17">
        <v>1405341</v>
      </c>
      <c r="B2082" s="18">
        <v>749</v>
      </c>
      <c r="C2082" s="23" t="s">
        <v>106</v>
      </c>
      <c r="D2082" s="27">
        <v>45115.061111111114</v>
      </c>
      <c r="E2082" s="18" t="s">
        <v>98</v>
      </c>
      <c r="F2082" s="18" t="s">
        <v>91</v>
      </c>
      <c r="G2082" s="18">
        <v>1177</v>
      </c>
      <c r="H2082" s="25">
        <f t="shared" si="128"/>
        <v>45115</v>
      </c>
      <c r="I2082" s="26">
        <f t="shared" si="129"/>
        <v>6.1111111113859806E-2</v>
      </c>
      <c r="J2082" s="18" t="str">
        <f t="shared" si="130"/>
        <v>July</v>
      </c>
      <c r="K2082" s="56" t="str">
        <f t="shared" si="131"/>
        <v>Saturday</v>
      </c>
      <c r="L2082" s="18" t="str">
        <f>IF(OR(G2082&gt;Answers!I2097,G2082&lt;Answers!I2098),"Outlier","Normal")</f>
        <v>Outlier</v>
      </c>
      <c r="M2082" s="18">
        <v>82</v>
      </c>
    </row>
    <row r="2083" spans="1:13" ht="20" customHeight="1" x14ac:dyDescent="0.35">
      <c r="A2083" s="17">
        <v>1405517</v>
      </c>
      <c r="B2083" s="18">
        <v>1790</v>
      </c>
      <c r="C2083" s="23" t="s">
        <v>99</v>
      </c>
      <c r="D2083" s="27">
        <v>45075.036805555559</v>
      </c>
      <c r="E2083" s="18" t="s">
        <v>133</v>
      </c>
      <c r="F2083" s="18" t="s">
        <v>35</v>
      </c>
      <c r="G2083" s="18">
        <v>8268</v>
      </c>
      <c r="H2083" s="25">
        <f t="shared" si="128"/>
        <v>45075</v>
      </c>
      <c r="I2083" s="26">
        <f t="shared" si="129"/>
        <v>3.680555555911269E-2</v>
      </c>
      <c r="J2083" s="18" t="str">
        <f t="shared" si="130"/>
        <v>May</v>
      </c>
      <c r="K2083" s="56" t="str">
        <f t="shared" si="131"/>
        <v>Monday</v>
      </c>
      <c r="L2083" s="18" t="str">
        <f>IF(OR(G2083&gt;Answers!I2098,G2083&lt;Answers!I2099),"Outlier","Normal")</f>
        <v>Outlier</v>
      </c>
      <c r="M2083" s="18">
        <v>85</v>
      </c>
    </row>
    <row r="2084" spans="1:13" ht="20" customHeight="1" x14ac:dyDescent="0.35">
      <c r="A2084" s="17">
        <v>1407976</v>
      </c>
      <c r="B2084" s="18">
        <v>569</v>
      </c>
      <c r="C2084" s="23" t="s">
        <v>99</v>
      </c>
      <c r="D2084" s="27">
        <v>45018.972916666666</v>
      </c>
      <c r="E2084" s="18" t="s">
        <v>96</v>
      </c>
      <c r="F2084" s="18" t="s">
        <v>36</v>
      </c>
      <c r="G2084" s="18">
        <v>8751</v>
      </c>
      <c r="H2084" s="25">
        <f t="shared" si="128"/>
        <v>45018</v>
      </c>
      <c r="I2084" s="26">
        <f t="shared" si="129"/>
        <v>0.97291666666569654</v>
      </c>
      <c r="J2084" s="18" t="str">
        <f t="shared" si="130"/>
        <v>April</v>
      </c>
      <c r="K2084" s="56" t="str">
        <f t="shared" si="131"/>
        <v>Sunday</v>
      </c>
      <c r="L2084" s="18" t="str">
        <f>IF(OR(G2084&gt;Answers!I2099,G2084&lt;Answers!I2100),"Outlier","Normal")</f>
        <v>Outlier</v>
      </c>
      <c r="M2084" s="18">
        <v>62</v>
      </c>
    </row>
    <row r="2085" spans="1:13" ht="20" customHeight="1" x14ac:dyDescent="0.35">
      <c r="A2085" s="17">
        <v>1409071</v>
      </c>
      <c r="B2085" s="18">
        <v>807</v>
      </c>
      <c r="C2085" s="23" t="s">
        <v>102</v>
      </c>
      <c r="D2085" s="27">
        <v>45041.968055555553</v>
      </c>
      <c r="E2085" s="18" t="s">
        <v>133</v>
      </c>
      <c r="F2085" s="18" t="s">
        <v>37</v>
      </c>
      <c r="G2085" s="18">
        <v>1067</v>
      </c>
      <c r="H2085" s="25">
        <f t="shared" si="128"/>
        <v>45041</v>
      </c>
      <c r="I2085" s="26">
        <f t="shared" si="129"/>
        <v>0.96805555555329192</v>
      </c>
      <c r="J2085" s="18" t="str">
        <f t="shared" si="130"/>
        <v>April</v>
      </c>
      <c r="K2085" s="56" t="str">
        <f t="shared" si="131"/>
        <v>Tuesday</v>
      </c>
      <c r="L2085" s="18" t="str">
        <f>IF(OR(G2085&gt;Answers!I2100,G2085&lt;Answers!I2101),"Outlier","Normal")</f>
        <v>Outlier</v>
      </c>
      <c r="M2085" s="18">
        <v>56</v>
      </c>
    </row>
    <row r="2086" spans="1:13" ht="20" customHeight="1" x14ac:dyDescent="0.35">
      <c r="A2086" s="17">
        <v>1409253</v>
      </c>
      <c r="B2086" s="18">
        <v>1099</v>
      </c>
      <c r="C2086" s="23" t="s">
        <v>100</v>
      </c>
      <c r="D2086" s="27">
        <v>45019.978472222225</v>
      </c>
      <c r="E2086" s="18" t="s">
        <v>133</v>
      </c>
      <c r="F2086" s="18" t="s">
        <v>27</v>
      </c>
      <c r="G2086" s="18">
        <v>136</v>
      </c>
      <c r="H2086" s="25">
        <f t="shared" si="128"/>
        <v>45019</v>
      </c>
      <c r="I2086" s="26">
        <f t="shared" si="129"/>
        <v>0.97847222222480923</v>
      </c>
      <c r="J2086" s="18" t="str">
        <f t="shared" si="130"/>
        <v>April</v>
      </c>
      <c r="K2086" s="56" t="str">
        <f t="shared" si="131"/>
        <v>Monday</v>
      </c>
      <c r="L2086" s="18" t="str">
        <f>IF(OR(G2086&gt;Answers!I2101,G2086&lt;Answers!I2102),"Outlier","Normal")</f>
        <v>Outlier</v>
      </c>
      <c r="M2086" s="18">
        <v>76</v>
      </c>
    </row>
    <row r="2087" spans="1:13" ht="20" customHeight="1" x14ac:dyDescent="0.35">
      <c r="A2087" s="17">
        <v>1409459</v>
      </c>
      <c r="B2087" s="18">
        <v>843</v>
      </c>
      <c r="C2087" s="23" t="s">
        <v>99</v>
      </c>
      <c r="D2087" s="27">
        <v>45067.015277777777</v>
      </c>
      <c r="E2087" s="18" t="s">
        <v>97</v>
      </c>
      <c r="F2087" s="18" t="s">
        <v>65</v>
      </c>
      <c r="G2087" s="18">
        <v>6955</v>
      </c>
      <c r="H2087" s="25">
        <f t="shared" si="128"/>
        <v>45067</v>
      </c>
      <c r="I2087" s="26">
        <f t="shared" si="129"/>
        <v>1.5277777776645962E-2</v>
      </c>
      <c r="J2087" s="18" t="str">
        <f t="shared" si="130"/>
        <v>May</v>
      </c>
      <c r="K2087" s="56" t="str">
        <f t="shared" si="131"/>
        <v>Sunday</v>
      </c>
      <c r="L2087" s="18" t="str">
        <f>IF(OR(G2087&gt;Answers!I2102,G2087&lt;Answers!I2103),"Outlier","Normal")</f>
        <v>Outlier</v>
      </c>
      <c r="M2087" s="18">
        <v>37</v>
      </c>
    </row>
    <row r="2088" spans="1:13" ht="20" customHeight="1" x14ac:dyDescent="0.35">
      <c r="A2088" s="17">
        <v>1409549</v>
      </c>
      <c r="B2088" s="18">
        <v>915</v>
      </c>
      <c r="C2088" s="23" t="s">
        <v>100</v>
      </c>
      <c r="D2088" s="27">
        <v>45129.002083333333</v>
      </c>
      <c r="E2088" s="18" t="s">
        <v>97</v>
      </c>
      <c r="F2088" s="18" t="s">
        <v>23</v>
      </c>
      <c r="G2088" s="18">
        <v>8235</v>
      </c>
      <c r="H2088" s="25">
        <f t="shared" si="128"/>
        <v>45129</v>
      </c>
      <c r="I2088" s="26">
        <f t="shared" si="129"/>
        <v>2.0833333328482695E-3</v>
      </c>
      <c r="J2088" s="18" t="str">
        <f t="shared" si="130"/>
        <v>July</v>
      </c>
      <c r="K2088" s="56" t="str">
        <f t="shared" si="131"/>
        <v>Saturday</v>
      </c>
      <c r="L2088" s="18" t="str">
        <f>IF(OR(G2088&gt;Answers!I2103,G2088&lt;Answers!I2104),"Outlier","Normal")</f>
        <v>Outlier</v>
      </c>
      <c r="M2088" s="18">
        <v>39</v>
      </c>
    </row>
    <row r="2089" spans="1:13" ht="20" customHeight="1" x14ac:dyDescent="0.35">
      <c r="A2089" s="17">
        <v>1409687</v>
      </c>
      <c r="B2089" s="18">
        <v>1475</v>
      </c>
      <c r="C2089" s="23" t="s">
        <v>105</v>
      </c>
      <c r="D2089" s="27">
        <v>45019.037499999999</v>
      </c>
      <c r="E2089" s="18" t="s">
        <v>133</v>
      </c>
      <c r="F2089" s="18" t="s">
        <v>40</v>
      </c>
      <c r="G2089" s="18">
        <v>3268</v>
      </c>
      <c r="H2089" s="25">
        <f t="shared" si="128"/>
        <v>45019</v>
      </c>
      <c r="I2089" s="26">
        <f t="shared" si="129"/>
        <v>3.7499999998544808E-2</v>
      </c>
      <c r="J2089" s="18" t="str">
        <f t="shared" si="130"/>
        <v>April</v>
      </c>
      <c r="K2089" s="56" t="str">
        <f t="shared" si="131"/>
        <v>Monday</v>
      </c>
      <c r="L2089" s="18" t="str">
        <f>IF(OR(G2089&gt;Answers!I2104,G2089&lt;Answers!I2105),"Outlier","Normal")</f>
        <v>Outlier</v>
      </c>
      <c r="M2089" s="18">
        <v>25</v>
      </c>
    </row>
    <row r="2090" spans="1:13" ht="20" customHeight="1" x14ac:dyDescent="0.35">
      <c r="A2090" s="17">
        <v>1411077</v>
      </c>
      <c r="B2090" s="18">
        <v>1545</v>
      </c>
      <c r="C2090" s="23" t="s">
        <v>103</v>
      </c>
      <c r="D2090" s="27">
        <v>45092.00277777778</v>
      </c>
      <c r="E2090" s="18" t="s">
        <v>133</v>
      </c>
      <c r="F2090" s="18" t="s">
        <v>95</v>
      </c>
      <c r="G2090" s="18">
        <v>6186</v>
      </c>
      <c r="H2090" s="25">
        <f t="shared" si="128"/>
        <v>45092</v>
      </c>
      <c r="I2090" s="26">
        <f t="shared" si="129"/>
        <v>2.7777777795563452E-3</v>
      </c>
      <c r="J2090" s="18" t="str">
        <f t="shared" si="130"/>
        <v>June</v>
      </c>
      <c r="K2090" s="56" t="str">
        <f t="shared" si="131"/>
        <v>Thursday</v>
      </c>
      <c r="L2090" s="18" t="str">
        <f>IF(OR(G2090&gt;Answers!I2105,G2090&lt;Answers!I2106),"Outlier","Normal")</f>
        <v>Outlier</v>
      </c>
      <c r="M2090" s="18">
        <v>30</v>
      </c>
    </row>
    <row r="2091" spans="1:13" ht="20" customHeight="1" x14ac:dyDescent="0.35">
      <c r="A2091" s="17">
        <v>1411455</v>
      </c>
      <c r="B2091" s="18">
        <v>1416</v>
      </c>
      <c r="C2091" s="23" t="s">
        <v>99</v>
      </c>
      <c r="D2091" s="27">
        <v>45010.982638888891</v>
      </c>
      <c r="E2091" s="18" t="s">
        <v>96</v>
      </c>
      <c r="F2091" s="18" t="s">
        <v>42</v>
      </c>
      <c r="G2091" s="18">
        <v>8932</v>
      </c>
      <c r="H2091" s="25">
        <f t="shared" si="128"/>
        <v>45010</v>
      </c>
      <c r="I2091" s="26">
        <f t="shared" si="129"/>
        <v>0.98263888889050577</v>
      </c>
      <c r="J2091" s="18" t="str">
        <f t="shared" si="130"/>
        <v>March</v>
      </c>
      <c r="K2091" s="56" t="str">
        <f t="shared" si="131"/>
        <v>Saturday</v>
      </c>
      <c r="L2091" s="18" t="str">
        <f>IF(OR(G2091&gt;Answers!I2106,G2091&lt;Answers!I2107),"Outlier","Normal")</f>
        <v>Outlier</v>
      </c>
      <c r="M2091" s="18">
        <v>84</v>
      </c>
    </row>
    <row r="2092" spans="1:13" ht="20" customHeight="1" x14ac:dyDescent="0.35">
      <c r="A2092" s="17">
        <v>1412551</v>
      </c>
      <c r="B2092" s="18">
        <v>610</v>
      </c>
      <c r="C2092" s="23" t="s">
        <v>100</v>
      </c>
      <c r="D2092" s="27">
        <v>45176.007638888892</v>
      </c>
      <c r="E2092" s="18" t="s">
        <v>96</v>
      </c>
      <c r="F2092" s="18" t="s">
        <v>43</v>
      </c>
      <c r="G2092" s="18">
        <v>425</v>
      </c>
      <c r="H2092" s="25">
        <f t="shared" si="128"/>
        <v>45176</v>
      </c>
      <c r="I2092" s="26">
        <f t="shared" si="129"/>
        <v>7.6388888919609599E-3</v>
      </c>
      <c r="J2092" s="18" t="str">
        <f t="shared" si="130"/>
        <v>September</v>
      </c>
      <c r="K2092" s="56" t="str">
        <f t="shared" si="131"/>
        <v>Thursday</v>
      </c>
      <c r="L2092" s="18" t="str">
        <f>IF(OR(G2092&gt;Answers!I2107,G2092&lt;Answers!I2108),"Outlier","Normal")</f>
        <v>Outlier</v>
      </c>
      <c r="M2092" s="18">
        <v>62</v>
      </c>
    </row>
    <row r="2093" spans="1:13" ht="20" customHeight="1" x14ac:dyDescent="0.35">
      <c r="A2093" s="17">
        <v>1414158</v>
      </c>
      <c r="B2093" s="18">
        <v>789</v>
      </c>
      <c r="C2093" s="23" t="s">
        <v>100</v>
      </c>
      <c r="D2093" s="27">
        <v>45005.045138888891</v>
      </c>
      <c r="E2093" s="18" t="s">
        <v>97</v>
      </c>
      <c r="F2093" s="18" t="s">
        <v>15</v>
      </c>
      <c r="G2093" s="18">
        <v>8686</v>
      </c>
      <c r="H2093" s="25">
        <f t="shared" si="128"/>
        <v>45005</v>
      </c>
      <c r="I2093" s="26">
        <f t="shared" si="129"/>
        <v>4.5138888890505768E-2</v>
      </c>
      <c r="J2093" s="18" t="str">
        <f t="shared" si="130"/>
        <v>March</v>
      </c>
      <c r="K2093" s="56" t="str">
        <f t="shared" si="131"/>
        <v>Monday</v>
      </c>
      <c r="L2093" s="18" t="str">
        <f>IF(OR(G2093&gt;Answers!I2108,G2093&lt;Answers!I2109),"Outlier","Normal")</f>
        <v>Outlier</v>
      </c>
      <c r="M2093" s="18">
        <v>62</v>
      </c>
    </row>
    <row r="2094" spans="1:13" ht="20" customHeight="1" x14ac:dyDescent="0.35">
      <c r="A2094" s="17">
        <v>1416529</v>
      </c>
      <c r="B2094" s="18">
        <v>1980</v>
      </c>
      <c r="C2094" s="23" t="s">
        <v>110</v>
      </c>
      <c r="D2094" s="27">
        <v>45104.004861111112</v>
      </c>
      <c r="E2094" s="18" t="s">
        <v>97</v>
      </c>
      <c r="F2094" s="18" t="s">
        <v>12</v>
      </c>
      <c r="G2094" s="18">
        <v>576</v>
      </c>
      <c r="H2094" s="25">
        <f t="shared" si="128"/>
        <v>45104</v>
      </c>
      <c r="I2094" s="26">
        <f t="shared" si="129"/>
        <v>4.8611111124046147E-3</v>
      </c>
      <c r="J2094" s="18" t="str">
        <f t="shared" si="130"/>
        <v>June</v>
      </c>
      <c r="K2094" s="56" t="str">
        <f t="shared" si="131"/>
        <v>Tuesday</v>
      </c>
      <c r="L2094" s="18" t="str">
        <f>IF(OR(G2094&gt;Answers!I2109,G2094&lt;Answers!I2110),"Outlier","Normal")</f>
        <v>Outlier</v>
      </c>
      <c r="M2094" s="18">
        <v>57</v>
      </c>
    </row>
    <row r="2095" spans="1:13" ht="20" customHeight="1" x14ac:dyDescent="0.35">
      <c r="A2095" s="17">
        <v>1417112</v>
      </c>
      <c r="B2095" s="18">
        <v>1938</v>
      </c>
      <c r="C2095" s="23" t="s">
        <v>99</v>
      </c>
      <c r="D2095" s="27">
        <v>45064.032638888886</v>
      </c>
      <c r="E2095" s="18" t="s">
        <v>133</v>
      </c>
      <c r="F2095" s="18" t="s">
        <v>29</v>
      </c>
      <c r="G2095" s="18">
        <v>2520</v>
      </c>
      <c r="H2095" s="25">
        <f t="shared" si="128"/>
        <v>45064</v>
      </c>
      <c r="I2095" s="26">
        <f t="shared" si="129"/>
        <v>3.2638888886140194E-2</v>
      </c>
      <c r="J2095" s="18" t="str">
        <f t="shared" si="130"/>
        <v>May</v>
      </c>
      <c r="K2095" s="56" t="str">
        <f t="shared" si="131"/>
        <v>Thursday</v>
      </c>
      <c r="L2095" s="18" t="str">
        <f>IF(OR(G2095&gt;Answers!I2110,G2095&lt;Answers!I2111),"Outlier","Normal")</f>
        <v>Outlier</v>
      </c>
      <c r="M2095" s="18">
        <v>70</v>
      </c>
    </row>
    <row r="2096" spans="1:13" ht="20" customHeight="1" x14ac:dyDescent="0.35">
      <c r="A2096" s="17">
        <v>1417673</v>
      </c>
      <c r="B2096" s="18">
        <v>1947</v>
      </c>
      <c r="C2096" s="23" t="s">
        <v>105</v>
      </c>
      <c r="D2096" s="27">
        <v>45049.069444444445</v>
      </c>
      <c r="E2096" s="18" t="s">
        <v>98</v>
      </c>
      <c r="F2096" s="18" t="s">
        <v>27</v>
      </c>
      <c r="G2096" s="18">
        <v>8765</v>
      </c>
      <c r="H2096" s="25">
        <f t="shared" si="128"/>
        <v>45049</v>
      </c>
      <c r="I2096" s="26">
        <f t="shared" si="129"/>
        <v>6.9444444445252884E-2</v>
      </c>
      <c r="J2096" s="18" t="str">
        <f t="shared" si="130"/>
        <v>May</v>
      </c>
      <c r="K2096" s="56" t="str">
        <f t="shared" si="131"/>
        <v>Wednesday</v>
      </c>
      <c r="L2096" s="18" t="str">
        <f>IF(OR(G2096&gt;Answers!I2111,G2096&lt;Answers!I2112),"Outlier","Normal")</f>
        <v>Outlier</v>
      </c>
      <c r="M2096" s="18">
        <v>33</v>
      </c>
    </row>
    <row r="2097" spans="1:13" ht="20" customHeight="1" x14ac:dyDescent="0.35">
      <c r="A2097" s="17">
        <v>1418125</v>
      </c>
      <c r="B2097" s="18">
        <v>1496</v>
      </c>
      <c r="C2097" s="23" t="s">
        <v>99</v>
      </c>
      <c r="D2097" s="27">
        <v>45150.031944444447</v>
      </c>
      <c r="E2097" s="18" t="s">
        <v>98</v>
      </c>
      <c r="F2097" s="18" t="s">
        <v>45</v>
      </c>
      <c r="G2097" s="18">
        <v>8586</v>
      </c>
      <c r="H2097" s="25">
        <f t="shared" si="128"/>
        <v>45150</v>
      </c>
      <c r="I2097" s="26">
        <f t="shared" si="129"/>
        <v>3.1944444446708076E-2</v>
      </c>
      <c r="J2097" s="18" t="str">
        <f t="shared" si="130"/>
        <v>August</v>
      </c>
      <c r="K2097" s="56" t="str">
        <f t="shared" si="131"/>
        <v>Saturday</v>
      </c>
      <c r="L2097" s="18" t="str">
        <f>IF(OR(G2097&gt;Answers!I2112,G2097&lt;Answers!I2113),"Outlier","Normal")</f>
        <v>Outlier</v>
      </c>
      <c r="M2097" s="18">
        <v>74</v>
      </c>
    </row>
    <row r="2098" spans="1:13" ht="20" customHeight="1" x14ac:dyDescent="0.35">
      <c r="A2098" s="17">
        <v>1420227</v>
      </c>
      <c r="B2098" s="18">
        <v>1540</v>
      </c>
      <c r="C2098" s="23" t="s">
        <v>101</v>
      </c>
      <c r="D2098" s="27">
        <v>45007.022222222222</v>
      </c>
      <c r="E2098" s="18" t="s">
        <v>98</v>
      </c>
      <c r="F2098" s="18" t="s">
        <v>43</v>
      </c>
      <c r="G2098" s="18">
        <v>615</v>
      </c>
      <c r="H2098" s="25">
        <f t="shared" si="128"/>
        <v>45007</v>
      </c>
      <c r="I2098" s="26">
        <f t="shared" si="129"/>
        <v>2.2222222221898846E-2</v>
      </c>
      <c r="J2098" s="18" t="str">
        <f t="shared" si="130"/>
        <v>March</v>
      </c>
      <c r="K2098" s="56" t="str">
        <f t="shared" si="131"/>
        <v>Wednesday</v>
      </c>
      <c r="L2098" s="18" t="str">
        <f>IF(OR(G2098&gt;Answers!I2113,G2098&lt;Answers!I2114),"Outlier","Normal")</f>
        <v>Outlier</v>
      </c>
      <c r="M2098" s="18">
        <v>58</v>
      </c>
    </row>
    <row r="2099" spans="1:13" ht="20" customHeight="1" x14ac:dyDescent="0.35">
      <c r="A2099" s="17">
        <v>1420448</v>
      </c>
      <c r="B2099" s="18">
        <v>1708</v>
      </c>
      <c r="C2099" s="23" t="s">
        <v>100</v>
      </c>
      <c r="D2099" s="27">
        <v>45025.984027777777</v>
      </c>
      <c r="E2099" s="18" t="s">
        <v>98</v>
      </c>
      <c r="F2099" s="18" t="s">
        <v>60</v>
      </c>
      <c r="G2099" s="18">
        <v>5060</v>
      </c>
      <c r="H2099" s="25">
        <f t="shared" si="128"/>
        <v>45025</v>
      </c>
      <c r="I2099" s="26">
        <f t="shared" si="129"/>
        <v>0.98402777777664596</v>
      </c>
      <c r="J2099" s="18" t="str">
        <f t="shared" si="130"/>
        <v>April</v>
      </c>
      <c r="K2099" s="56" t="str">
        <f t="shared" si="131"/>
        <v>Sunday</v>
      </c>
      <c r="L2099" s="18" t="str">
        <f>IF(OR(G2099&gt;Answers!I2114,G2099&lt;Answers!I2115),"Outlier","Normal")</f>
        <v>Outlier</v>
      </c>
      <c r="M2099" s="18">
        <v>87</v>
      </c>
    </row>
    <row r="2100" spans="1:13" ht="20" customHeight="1" x14ac:dyDescent="0.35">
      <c r="A2100" s="17">
        <v>1420854</v>
      </c>
      <c r="B2100" s="18">
        <v>1759</v>
      </c>
      <c r="C2100" s="23" t="s">
        <v>105</v>
      </c>
      <c r="D2100" s="27">
        <v>45205.977083333331</v>
      </c>
      <c r="E2100" s="18" t="s">
        <v>98</v>
      </c>
      <c r="F2100" s="18" t="s">
        <v>90</v>
      </c>
      <c r="G2100" s="18">
        <v>1964</v>
      </c>
      <c r="H2100" s="25">
        <f t="shared" si="128"/>
        <v>45205</v>
      </c>
      <c r="I2100" s="26">
        <f t="shared" si="129"/>
        <v>0.97708333333139308</v>
      </c>
      <c r="J2100" s="18" t="str">
        <f t="shared" si="130"/>
        <v>October</v>
      </c>
      <c r="K2100" s="56" t="str">
        <f t="shared" si="131"/>
        <v>Friday</v>
      </c>
      <c r="L2100" s="18" t="str">
        <f>IF(OR(G2100&gt;Answers!I2115,G2100&lt;Answers!I2116),"Outlier","Normal")</f>
        <v>Outlier</v>
      </c>
      <c r="M2100" s="18">
        <v>22</v>
      </c>
    </row>
    <row r="2101" spans="1:13" ht="20" customHeight="1" x14ac:dyDescent="0.35">
      <c r="A2101" s="17">
        <v>1421840</v>
      </c>
      <c r="B2101" s="18">
        <v>1128</v>
      </c>
      <c r="C2101" s="23" t="s">
        <v>100</v>
      </c>
      <c r="D2101" s="27">
        <v>45178.984722222223</v>
      </c>
      <c r="E2101" s="18" t="s">
        <v>97</v>
      </c>
      <c r="F2101" s="18" t="s">
        <v>14</v>
      </c>
      <c r="G2101" s="18">
        <v>1084</v>
      </c>
      <c r="H2101" s="25">
        <f t="shared" si="128"/>
        <v>45178</v>
      </c>
      <c r="I2101" s="26">
        <f t="shared" si="129"/>
        <v>0.98472222222335404</v>
      </c>
      <c r="J2101" s="18" t="str">
        <f t="shared" si="130"/>
        <v>September</v>
      </c>
      <c r="K2101" s="56" t="str">
        <f t="shared" si="131"/>
        <v>Saturday</v>
      </c>
      <c r="L2101" s="18" t="str">
        <f>IF(OR(G2101&gt;Answers!I2116,G2101&lt;Answers!I2117),"Outlier","Normal")</f>
        <v>Outlier</v>
      </c>
      <c r="M2101" s="18">
        <v>18</v>
      </c>
    </row>
    <row r="2102" spans="1:13" ht="20" customHeight="1" x14ac:dyDescent="0.35">
      <c r="A2102" s="17">
        <v>1422378</v>
      </c>
      <c r="B2102" s="18">
        <v>684</v>
      </c>
      <c r="C2102" s="23" t="s">
        <v>102</v>
      </c>
      <c r="D2102" s="27">
        <v>45236.007638888892</v>
      </c>
      <c r="E2102" s="18" t="s">
        <v>98</v>
      </c>
      <c r="F2102" s="18" t="s">
        <v>27</v>
      </c>
      <c r="G2102" s="18">
        <v>3274</v>
      </c>
      <c r="H2102" s="25">
        <f t="shared" si="128"/>
        <v>45236</v>
      </c>
      <c r="I2102" s="26">
        <f t="shared" si="129"/>
        <v>7.6388888919609599E-3</v>
      </c>
      <c r="J2102" s="18" t="str">
        <f t="shared" si="130"/>
        <v>November</v>
      </c>
      <c r="K2102" s="56" t="str">
        <f t="shared" si="131"/>
        <v>Monday</v>
      </c>
      <c r="L2102" s="18" t="str">
        <f>IF(OR(G2102&gt;Answers!I2117,G2102&lt;Answers!I2118),"Outlier","Normal")</f>
        <v>Outlier</v>
      </c>
      <c r="M2102" s="18">
        <v>88</v>
      </c>
    </row>
    <row r="2103" spans="1:13" ht="20" customHeight="1" x14ac:dyDescent="0.35">
      <c r="A2103" s="17">
        <v>1422755</v>
      </c>
      <c r="B2103" s="18">
        <v>830</v>
      </c>
      <c r="C2103" s="23" t="s">
        <v>100</v>
      </c>
      <c r="D2103" s="27">
        <v>45226.00277777778</v>
      </c>
      <c r="E2103" s="18" t="s">
        <v>97</v>
      </c>
      <c r="F2103" s="18" t="s">
        <v>7</v>
      </c>
      <c r="G2103" s="18">
        <v>7502</v>
      </c>
      <c r="H2103" s="25">
        <f t="shared" si="128"/>
        <v>45226</v>
      </c>
      <c r="I2103" s="26">
        <f t="shared" si="129"/>
        <v>2.7777777795563452E-3</v>
      </c>
      <c r="J2103" s="18" t="str">
        <f t="shared" si="130"/>
        <v>October</v>
      </c>
      <c r="K2103" s="56" t="str">
        <f t="shared" si="131"/>
        <v>Friday</v>
      </c>
      <c r="L2103" s="18" t="str">
        <f>IF(OR(G2103&gt;Answers!I2118,G2103&lt;Answers!I2119),"Outlier","Normal")</f>
        <v>Outlier</v>
      </c>
      <c r="M2103" s="18">
        <v>75</v>
      </c>
    </row>
    <row r="2104" spans="1:13" ht="20" customHeight="1" x14ac:dyDescent="0.35">
      <c r="A2104" s="17">
        <v>1423052</v>
      </c>
      <c r="B2104" s="18">
        <v>536</v>
      </c>
      <c r="C2104" s="23" t="s">
        <v>109</v>
      </c>
      <c r="D2104" s="27">
        <v>44953.040277777778</v>
      </c>
      <c r="E2104" s="18" t="s">
        <v>98</v>
      </c>
      <c r="F2104" s="18" t="s">
        <v>9</v>
      </c>
      <c r="G2104" s="18">
        <v>8357</v>
      </c>
      <c r="H2104" s="25">
        <f t="shared" si="128"/>
        <v>44953</v>
      </c>
      <c r="I2104" s="26">
        <f t="shared" si="129"/>
        <v>4.0277777778101154E-2</v>
      </c>
      <c r="J2104" s="18" t="str">
        <f t="shared" si="130"/>
        <v>January</v>
      </c>
      <c r="K2104" s="56" t="str">
        <f t="shared" si="131"/>
        <v>Friday</v>
      </c>
      <c r="L2104" s="18" t="str">
        <f>IF(OR(G2104&gt;Answers!I2119,G2104&lt;Answers!I2120),"Outlier","Normal")</f>
        <v>Outlier</v>
      </c>
      <c r="M2104" s="18">
        <v>69</v>
      </c>
    </row>
    <row r="2105" spans="1:13" ht="20" customHeight="1" x14ac:dyDescent="0.35">
      <c r="A2105" s="17">
        <v>1424219</v>
      </c>
      <c r="B2105" s="18">
        <v>1706</v>
      </c>
      <c r="C2105" s="23" t="s">
        <v>99</v>
      </c>
      <c r="D2105" s="27">
        <v>45139.006249999999</v>
      </c>
      <c r="E2105" s="18" t="s">
        <v>97</v>
      </c>
      <c r="F2105" s="18" t="s">
        <v>48</v>
      </c>
      <c r="G2105" s="18">
        <v>2522</v>
      </c>
      <c r="H2105" s="25">
        <f t="shared" si="128"/>
        <v>45139</v>
      </c>
      <c r="I2105" s="26">
        <f t="shared" si="129"/>
        <v>6.2499999985448085E-3</v>
      </c>
      <c r="J2105" s="18" t="str">
        <f t="shared" si="130"/>
        <v>August</v>
      </c>
      <c r="K2105" s="56" t="str">
        <f t="shared" si="131"/>
        <v>Tuesday</v>
      </c>
      <c r="L2105" s="18" t="str">
        <f>IF(OR(G2105&gt;Answers!I2120,G2105&lt;Answers!I2121),"Outlier","Normal")</f>
        <v>Outlier</v>
      </c>
      <c r="M2105" s="18">
        <v>47</v>
      </c>
    </row>
    <row r="2106" spans="1:13" ht="20" customHeight="1" x14ac:dyDescent="0.35">
      <c r="A2106" s="17">
        <v>1424531</v>
      </c>
      <c r="B2106" s="18">
        <v>1425</v>
      </c>
      <c r="C2106" s="23" t="s">
        <v>101</v>
      </c>
      <c r="D2106" s="27">
        <v>45024.957638888889</v>
      </c>
      <c r="E2106" s="18" t="s">
        <v>97</v>
      </c>
      <c r="F2106" s="18" t="s">
        <v>14</v>
      </c>
      <c r="G2106" s="18">
        <v>5390</v>
      </c>
      <c r="H2106" s="25">
        <f t="shared" si="128"/>
        <v>45024</v>
      </c>
      <c r="I2106" s="26">
        <f t="shared" si="129"/>
        <v>0.95763888888905058</v>
      </c>
      <c r="J2106" s="18" t="str">
        <f t="shared" si="130"/>
        <v>April</v>
      </c>
      <c r="K2106" s="56" t="str">
        <f t="shared" si="131"/>
        <v>Saturday</v>
      </c>
      <c r="L2106" s="18" t="str">
        <f>IF(OR(G2106&gt;Answers!I2121,G2106&lt;Answers!I2122),"Outlier","Normal")</f>
        <v>Outlier</v>
      </c>
      <c r="M2106" s="18">
        <v>79</v>
      </c>
    </row>
    <row r="2107" spans="1:13" ht="20" customHeight="1" x14ac:dyDescent="0.35">
      <c r="A2107" s="17">
        <v>1424927</v>
      </c>
      <c r="B2107" s="18">
        <v>176</v>
      </c>
      <c r="C2107" s="23" t="s">
        <v>100</v>
      </c>
      <c r="D2107" s="27">
        <v>45264.003472222219</v>
      </c>
      <c r="E2107" s="18" t="s">
        <v>98</v>
      </c>
      <c r="F2107" s="18" t="s">
        <v>61</v>
      </c>
      <c r="G2107" s="18">
        <v>9104</v>
      </c>
      <c r="H2107" s="25">
        <f t="shared" si="128"/>
        <v>45264</v>
      </c>
      <c r="I2107" s="26">
        <f t="shared" si="129"/>
        <v>3.4722222189884633E-3</v>
      </c>
      <c r="J2107" s="18" t="str">
        <f t="shared" si="130"/>
        <v>December</v>
      </c>
      <c r="K2107" s="56" t="str">
        <f t="shared" si="131"/>
        <v>Monday</v>
      </c>
      <c r="L2107" s="18" t="str">
        <f>IF(OR(G2107&gt;Answers!I2122,G2107&lt;Answers!I2123),"Outlier","Normal")</f>
        <v>Outlier</v>
      </c>
      <c r="M2107" s="18">
        <v>46</v>
      </c>
    </row>
    <row r="2108" spans="1:13" ht="20" customHeight="1" x14ac:dyDescent="0.35">
      <c r="A2108" s="17">
        <v>1425405</v>
      </c>
      <c r="B2108" s="18">
        <v>1220</v>
      </c>
      <c r="C2108" s="23" t="s">
        <v>99</v>
      </c>
      <c r="D2108" s="27">
        <v>45070.004861111112</v>
      </c>
      <c r="E2108" s="18" t="s">
        <v>133</v>
      </c>
      <c r="F2108" s="18" t="s">
        <v>65</v>
      </c>
      <c r="G2108" s="18">
        <v>6403</v>
      </c>
      <c r="H2108" s="25">
        <f t="shared" si="128"/>
        <v>45070</v>
      </c>
      <c r="I2108" s="26">
        <f t="shared" si="129"/>
        <v>4.8611111124046147E-3</v>
      </c>
      <c r="J2108" s="18" t="str">
        <f t="shared" si="130"/>
        <v>May</v>
      </c>
      <c r="K2108" s="56" t="str">
        <f t="shared" si="131"/>
        <v>Wednesday</v>
      </c>
      <c r="L2108" s="18" t="str">
        <f>IF(OR(G2108&gt;Answers!I2123,G2108&lt;Answers!I2124),"Outlier","Normal")</f>
        <v>Outlier</v>
      </c>
      <c r="M2108" s="18">
        <v>58</v>
      </c>
    </row>
    <row r="2109" spans="1:13" ht="20" customHeight="1" x14ac:dyDescent="0.35">
      <c r="A2109" s="17">
        <v>1426596</v>
      </c>
      <c r="B2109" s="18">
        <v>1768</v>
      </c>
      <c r="C2109" s="23" t="s">
        <v>99</v>
      </c>
      <c r="D2109" s="27">
        <v>45281.023611111108</v>
      </c>
      <c r="E2109" s="18" t="s">
        <v>97</v>
      </c>
      <c r="F2109" s="18" t="s">
        <v>17</v>
      </c>
      <c r="G2109" s="18">
        <v>3187</v>
      </c>
      <c r="H2109" s="25">
        <f t="shared" si="128"/>
        <v>45281</v>
      </c>
      <c r="I2109" s="26">
        <f t="shared" si="129"/>
        <v>2.361111110803904E-2</v>
      </c>
      <c r="J2109" s="18" t="str">
        <f t="shared" si="130"/>
        <v>December</v>
      </c>
      <c r="K2109" s="56" t="str">
        <f t="shared" si="131"/>
        <v>Thursday</v>
      </c>
      <c r="L2109" s="18" t="str">
        <f>IF(OR(G2109&gt;Answers!I2124,G2109&lt;Answers!I2125),"Outlier","Normal")</f>
        <v>Outlier</v>
      </c>
      <c r="M2109" s="18">
        <v>81</v>
      </c>
    </row>
    <row r="2110" spans="1:13" ht="20" customHeight="1" x14ac:dyDescent="0.35">
      <c r="A2110" s="17">
        <v>1427947</v>
      </c>
      <c r="B2110" s="18">
        <v>823</v>
      </c>
      <c r="C2110" s="23" t="s">
        <v>100</v>
      </c>
      <c r="D2110" s="27">
        <v>44951.091666666667</v>
      </c>
      <c r="E2110" s="18" t="s">
        <v>98</v>
      </c>
      <c r="F2110" s="18" t="s">
        <v>18</v>
      </c>
      <c r="G2110" s="18">
        <v>4859</v>
      </c>
      <c r="H2110" s="25">
        <f t="shared" si="128"/>
        <v>44951</v>
      </c>
      <c r="I2110" s="26">
        <f t="shared" si="129"/>
        <v>9.1666666667151731E-2</v>
      </c>
      <c r="J2110" s="18" t="str">
        <f t="shared" si="130"/>
        <v>January</v>
      </c>
      <c r="K2110" s="56" t="str">
        <f t="shared" si="131"/>
        <v>Wednesday</v>
      </c>
      <c r="L2110" s="18" t="str">
        <f>IF(OR(G2110&gt;Answers!I2125,G2110&lt;Answers!I2126),"Outlier","Normal")</f>
        <v>Outlier</v>
      </c>
      <c r="M2110" s="18">
        <v>63</v>
      </c>
    </row>
    <row r="2111" spans="1:13" ht="20" customHeight="1" x14ac:dyDescent="0.35">
      <c r="A2111" s="17">
        <v>1428296</v>
      </c>
      <c r="B2111" s="18">
        <v>80</v>
      </c>
      <c r="C2111" s="23" t="s">
        <v>99</v>
      </c>
      <c r="D2111" s="27">
        <v>45066.038194444445</v>
      </c>
      <c r="E2111" s="18" t="s">
        <v>97</v>
      </c>
      <c r="F2111" s="18" t="s">
        <v>89</v>
      </c>
      <c r="G2111" s="18">
        <v>1637</v>
      </c>
      <c r="H2111" s="25">
        <f t="shared" si="128"/>
        <v>45066</v>
      </c>
      <c r="I2111" s="26">
        <f t="shared" si="129"/>
        <v>3.8194444445252884E-2</v>
      </c>
      <c r="J2111" s="18" t="str">
        <f t="shared" si="130"/>
        <v>May</v>
      </c>
      <c r="K2111" s="56" t="str">
        <f t="shared" si="131"/>
        <v>Saturday</v>
      </c>
      <c r="L2111" s="18" t="str">
        <f>IF(OR(G2111&gt;Answers!I2126,G2111&lt;Answers!I2127),"Outlier","Normal")</f>
        <v>Outlier</v>
      </c>
      <c r="M2111" s="18">
        <v>37</v>
      </c>
    </row>
    <row r="2112" spans="1:13" ht="20" customHeight="1" x14ac:dyDescent="0.35">
      <c r="A2112" s="17">
        <v>1428328</v>
      </c>
      <c r="B2112" s="18">
        <v>1988</v>
      </c>
      <c r="C2112" s="23" t="s">
        <v>99</v>
      </c>
      <c r="D2112" s="27">
        <v>45044.057638888888</v>
      </c>
      <c r="E2112" s="18" t="s">
        <v>98</v>
      </c>
      <c r="F2112" s="18" t="s">
        <v>79</v>
      </c>
      <c r="G2112" s="18">
        <v>2435</v>
      </c>
      <c r="H2112" s="25">
        <f t="shared" si="128"/>
        <v>45044</v>
      </c>
      <c r="I2112" s="26">
        <f t="shared" si="129"/>
        <v>5.7638888887595385E-2</v>
      </c>
      <c r="J2112" s="18" t="str">
        <f t="shared" si="130"/>
        <v>April</v>
      </c>
      <c r="K2112" s="56" t="str">
        <f t="shared" si="131"/>
        <v>Friday</v>
      </c>
      <c r="L2112" s="18" t="str">
        <f>IF(OR(G2112&gt;Answers!I2127,G2112&lt;Answers!I2128),"Outlier","Normal")</f>
        <v>Outlier</v>
      </c>
      <c r="M2112" s="18">
        <v>66</v>
      </c>
    </row>
    <row r="2113" spans="1:13" ht="20" customHeight="1" x14ac:dyDescent="0.35">
      <c r="A2113" s="17">
        <v>1429209</v>
      </c>
      <c r="B2113" s="18">
        <v>701</v>
      </c>
      <c r="C2113" s="23" t="s">
        <v>113</v>
      </c>
      <c r="D2113" s="27">
        <v>45264.052777777775</v>
      </c>
      <c r="E2113" s="18" t="s">
        <v>133</v>
      </c>
      <c r="F2113" s="18" t="s">
        <v>51</v>
      </c>
      <c r="G2113" s="18">
        <v>1494</v>
      </c>
      <c r="H2113" s="25">
        <f t="shared" si="128"/>
        <v>45264</v>
      </c>
      <c r="I2113" s="26">
        <f t="shared" si="129"/>
        <v>5.2777777775190771E-2</v>
      </c>
      <c r="J2113" s="18" t="str">
        <f t="shared" si="130"/>
        <v>December</v>
      </c>
      <c r="K2113" s="56" t="str">
        <f t="shared" si="131"/>
        <v>Monday</v>
      </c>
      <c r="L2113" s="18" t="str">
        <f>IF(OR(G2113&gt;Answers!I2128,G2113&lt;Answers!I2129),"Outlier","Normal")</f>
        <v>Outlier</v>
      </c>
      <c r="M2113" s="18">
        <v>72</v>
      </c>
    </row>
    <row r="2114" spans="1:13" ht="20" customHeight="1" x14ac:dyDescent="0.35">
      <c r="A2114" s="17">
        <v>1432252</v>
      </c>
      <c r="B2114" s="18">
        <v>286</v>
      </c>
      <c r="C2114" s="23" t="s">
        <v>99</v>
      </c>
      <c r="D2114" s="27">
        <v>44930.030555555553</v>
      </c>
      <c r="E2114" s="18" t="s">
        <v>133</v>
      </c>
      <c r="F2114" s="18" t="s">
        <v>9</v>
      </c>
      <c r="G2114" s="18">
        <v>4443</v>
      </c>
      <c r="H2114" s="25">
        <f t="shared" si="128"/>
        <v>44930</v>
      </c>
      <c r="I2114" s="26">
        <f t="shared" si="129"/>
        <v>3.0555555553291924E-2</v>
      </c>
      <c r="J2114" s="18" t="str">
        <f t="shared" si="130"/>
        <v>January</v>
      </c>
      <c r="K2114" s="56" t="str">
        <f t="shared" si="131"/>
        <v>Wednesday</v>
      </c>
      <c r="L2114" s="18" t="str">
        <f>IF(OR(G2114&gt;Answers!I2129,G2114&lt;Answers!I2130),"Outlier","Normal")</f>
        <v>Outlier</v>
      </c>
      <c r="M2114" s="18">
        <v>79</v>
      </c>
    </row>
    <row r="2115" spans="1:13" ht="20" customHeight="1" x14ac:dyDescent="0.35">
      <c r="A2115" s="17">
        <v>1433358</v>
      </c>
      <c r="B2115" s="18">
        <v>125</v>
      </c>
      <c r="C2115" s="23" t="s">
        <v>105</v>
      </c>
      <c r="D2115" s="27">
        <v>45076.013888888891</v>
      </c>
      <c r="E2115" s="18" t="s">
        <v>96</v>
      </c>
      <c r="F2115" s="18" t="s">
        <v>90</v>
      </c>
      <c r="G2115" s="18">
        <v>7762</v>
      </c>
      <c r="H2115" s="25">
        <f t="shared" ref="H2115:H2178" si="132">INT(D2115)</f>
        <v>45076</v>
      </c>
      <c r="I2115" s="26">
        <f t="shared" ref="I2115:I2178" si="133">MOD(D2115,1)</f>
        <v>1.3888888890505768E-2</v>
      </c>
      <c r="J2115" s="18" t="str">
        <f t="shared" ref="J2115:J2178" si="134">TEXT(D2115,"mmmm")</f>
        <v>May</v>
      </c>
      <c r="K2115" s="56" t="str">
        <f t="shared" ref="K2115:K2178" si="135">TEXT(D2115,"dddd")</f>
        <v>Tuesday</v>
      </c>
      <c r="L2115" s="18" t="str">
        <f>IF(OR(G2115&gt;Answers!I2130,G2115&lt;Answers!I2131),"Outlier","Normal")</f>
        <v>Outlier</v>
      </c>
      <c r="M2115" s="18">
        <v>58</v>
      </c>
    </row>
    <row r="2116" spans="1:13" ht="20" customHeight="1" x14ac:dyDescent="0.35">
      <c r="A2116" s="17">
        <v>1436270</v>
      </c>
      <c r="B2116" s="18">
        <v>1052</v>
      </c>
      <c r="C2116" s="23" t="s">
        <v>109</v>
      </c>
      <c r="D2116" s="27">
        <v>45101.070138888892</v>
      </c>
      <c r="E2116" s="18" t="s">
        <v>97</v>
      </c>
      <c r="F2116" s="18" t="s">
        <v>57</v>
      </c>
      <c r="G2116" s="18">
        <v>1360</v>
      </c>
      <c r="H2116" s="25">
        <f t="shared" si="132"/>
        <v>45101</v>
      </c>
      <c r="I2116" s="26">
        <f t="shared" si="133"/>
        <v>7.013888889196096E-2</v>
      </c>
      <c r="J2116" s="18" t="str">
        <f t="shared" si="134"/>
        <v>June</v>
      </c>
      <c r="K2116" s="56" t="str">
        <f t="shared" si="135"/>
        <v>Saturday</v>
      </c>
      <c r="L2116" s="18" t="str">
        <f>IF(OR(G2116&gt;Answers!I2131,G2116&lt;Answers!I2132),"Outlier","Normal")</f>
        <v>Outlier</v>
      </c>
      <c r="M2116" s="18">
        <v>66</v>
      </c>
    </row>
    <row r="2117" spans="1:13" ht="20" customHeight="1" x14ac:dyDescent="0.35">
      <c r="A2117" s="17">
        <v>1437527</v>
      </c>
      <c r="B2117" s="18">
        <v>1495</v>
      </c>
      <c r="C2117" s="23" t="s">
        <v>108</v>
      </c>
      <c r="D2117" s="27">
        <v>44982.032638888886</v>
      </c>
      <c r="E2117" s="18" t="s">
        <v>98</v>
      </c>
      <c r="F2117" s="18" t="s">
        <v>92</v>
      </c>
      <c r="G2117" s="18">
        <v>2234</v>
      </c>
      <c r="H2117" s="25">
        <f t="shared" si="132"/>
        <v>44982</v>
      </c>
      <c r="I2117" s="26">
        <f t="shared" si="133"/>
        <v>3.2638888886140194E-2</v>
      </c>
      <c r="J2117" s="18" t="str">
        <f t="shared" si="134"/>
        <v>February</v>
      </c>
      <c r="K2117" s="56" t="str">
        <f t="shared" si="135"/>
        <v>Saturday</v>
      </c>
      <c r="L2117" s="18" t="str">
        <f>IF(OR(G2117&gt;Answers!I2132,G2117&lt;Answers!I2133),"Outlier","Normal")</f>
        <v>Outlier</v>
      </c>
      <c r="M2117" s="18">
        <v>34</v>
      </c>
    </row>
    <row r="2118" spans="1:13" ht="20" customHeight="1" x14ac:dyDescent="0.35">
      <c r="A2118" s="17">
        <v>1437873</v>
      </c>
      <c r="B2118" s="18">
        <v>493</v>
      </c>
      <c r="C2118" s="23" t="s">
        <v>99</v>
      </c>
      <c r="D2118" s="27">
        <v>45052.993750000001</v>
      </c>
      <c r="E2118" s="18" t="s">
        <v>98</v>
      </c>
      <c r="F2118" s="18" t="s">
        <v>24</v>
      </c>
      <c r="G2118" s="18">
        <v>5373</v>
      </c>
      <c r="H2118" s="25">
        <f t="shared" si="132"/>
        <v>45052</v>
      </c>
      <c r="I2118" s="26">
        <f t="shared" si="133"/>
        <v>0.99375000000145519</v>
      </c>
      <c r="J2118" s="18" t="str">
        <f t="shared" si="134"/>
        <v>May</v>
      </c>
      <c r="K2118" s="56" t="str">
        <f t="shared" si="135"/>
        <v>Saturday</v>
      </c>
      <c r="L2118" s="18" t="str">
        <f>IF(OR(G2118&gt;Answers!I2133,G2118&lt;Answers!I2134),"Outlier","Normal")</f>
        <v>Outlier</v>
      </c>
      <c r="M2118" s="18">
        <v>82</v>
      </c>
    </row>
    <row r="2119" spans="1:13" ht="20" customHeight="1" x14ac:dyDescent="0.35">
      <c r="A2119" s="17">
        <v>1438232</v>
      </c>
      <c r="B2119" s="18">
        <v>1388</v>
      </c>
      <c r="C2119" s="23" t="s">
        <v>106</v>
      </c>
      <c r="D2119" s="27">
        <v>45016.033333333333</v>
      </c>
      <c r="E2119" s="18" t="s">
        <v>133</v>
      </c>
      <c r="F2119" s="18" t="s">
        <v>18</v>
      </c>
      <c r="G2119" s="18">
        <v>8781</v>
      </c>
      <c r="H2119" s="25">
        <f t="shared" si="132"/>
        <v>45016</v>
      </c>
      <c r="I2119" s="26">
        <f t="shared" si="133"/>
        <v>3.3333333332848269E-2</v>
      </c>
      <c r="J2119" s="18" t="str">
        <f t="shared" si="134"/>
        <v>March</v>
      </c>
      <c r="K2119" s="56" t="str">
        <f t="shared" si="135"/>
        <v>Friday</v>
      </c>
      <c r="L2119" s="18" t="str">
        <f>IF(OR(G2119&gt;Answers!I2134,G2119&lt;Answers!I2135),"Outlier","Normal")</f>
        <v>Outlier</v>
      </c>
      <c r="M2119" s="18">
        <v>65</v>
      </c>
    </row>
    <row r="2120" spans="1:13" ht="20" customHeight="1" x14ac:dyDescent="0.35">
      <c r="A2120" s="17">
        <v>1438726</v>
      </c>
      <c r="B2120" s="18">
        <v>1037</v>
      </c>
      <c r="C2120" s="23" t="s">
        <v>113</v>
      </c>
      <c r="D2120" s="27">
        <v>45194.001388888886</v>
      </c>
      <c r="E2120" s="18" t="s">
        <v>133</v>
      </c>
      <c r="F2120" s="18" t="s">
        <v>27</v>
      </c>
      <c r="G2120" s="18">
        <v>2991</v>
      </c>
      <c r="H2120" s="25">
        <f t="shared" si="132"/>
        <v>45194</v>
      </c>
      <c r="I2120" s="26">
        <f t="shared" si="133"/>
        <v>1.3888888861401938E-3</v>
      </c>
      <c r="J2120" s="18" t="str">
        <f t="shared" si="134"/>
        <v>September</v>
      </c>
      <c r="K2120" s="56" t="str">
        <f t="shared" si="135"/>
        <v>Monday</v>
      </c>
      <c r="L2120" s="18" t="str">
        <f>IF(OR(G2120&gt;Answers!I2135,G2120&lt;Answers!I2136),"Outlier","Normal")</f>
        <v>Outlier</v>
      </c>
      <c r="M2120" s="18">
        <v>21</v>
      </c>
    </row>
    <row r="2121" spans="1:13" ht="20" customHeight="1" x14ac:dyDescent="0.35">
      <c r="A2121" s="17">
        <v>1438926</v>
      </c>
      <c r="B2121" s="18">
        <v>367</v>
      </c>
      <c r="C2121" s="23" t="s">
        <v>113</v>
      </c>
      <c r="D2121" s="27">
        <v>45042.943749999999</v>
      </c>
      <c r="E2121" s="18" t="s">
        <v>97</v>
      </c>
      <c r="F2121" s="18" t="s">
        <v>5</v>
      </c>
      <c r="G2121" s="18">
        <v>3956</v>
      </c>
      <c r="H2121" s="25">
        <f t="shared" si="132"/>
        <v>45042</v>
      </c>
      <c r="I2121" s="26">
        <f t="shared" si="133"/>
        <v>0.94374999999854481</v>
      </c>
      <c r="J2121" s="18" t="str">
        <f t="shared" si="134"/>
        <v>April</v>
      </c>
      <c r="K2121" s="56" t="str">
        <f t="shared" si="135"/>
        <v>Wednesday</v>
      </c>
      <c r="L2121" s="18" t="str">
        <f>IF(OR(G2121&gt;Answers!I2136,G2121&lt;Answers!I2137),"Outlier","Normal")</f>
        <v>Outlier</v>
      </c>
      <c r="M2121" s="18">
        <v>23</v>
      </c>
    </row>
    <row r="2122" spans="1:13" ht="20" customHeight="1" x14ac:dyDescent="0.35">
      <c r="A2122" s="17">
        <v>1439951</v>
      </c>
      <c r="B2122" s="18">
        <v>1852</v>
      </c>
      <c r="C2122" s="23" t="s">
        <v>107</v>
      </c>
      <c r="D2122" s="27">
        <v>45146.980555555558</v>
      </c>
      <c r="E2122" s="18" t="s">
        <v>133</v>
      </c>
      <c r="F2122" s="18" t="s">
        <v>16</v>
      </c>
      <c r="G2122" s="18">
        <v>1905</v>
      </c>
      <c r="H2122" s="25">
        <f t="shared" si="132"/>
        <v>45146</v>
      </c>
      <c r="I2122" s="26">
        <f t="shared" si="133"/>
        <v>0.9805555555576575</v>
      </c>
      <c r="J2122" s="18" t="str">
        <f t="shared" si="134"/>
        <v>August</v>
      </c>
      <c r="K2122" s="56" t="str">
        <f t="shared" si="135"/>
        <v>Tuesday</v>
      </c>
      <c r="L2122" s="18" t="str">
        <f>IF(OR(G2122&gt;Answers!I2137,G2122&lt;Answers!I2138),"Outlier","Normal")</f>
        <v>Outlier</v>
      </c>
      <c r="M2122" s="18">
        <v>87</v>
      </c>
    </row>
    <row r="2123" spans="1:13" ht="20" customHeight="1" x14ac:dyDescent="0.35">
      <c r="A2123" s="17">
        <v>1440438</v>
      </c>
      <c r="B2123" s="18">
        <v>531</v>
      </c>
      <c r="C2123" s="23" t="s">
        <v>99</v>
      </c>
      <c r="D2123" s="27">
        <v>44931.04791666667</v>
      </c>
      <c r="E2123" s="18" t="s">
        <v>98</v>
      </c>
      <c r="F2123" s="18" t="s">
        <v>74</v>
      </c>
      <c r="G2123" s="18">
        <v>1288</v>
      </c>
      <c r="H2123" s="25">
        <f t="shared" si="132"/>
        <v>44931</v>
      </c>
      <c r="I2123" s="26">
        <f t="shared" si="133"/>
        <v>4.7916666670062114E-2</v>
      </c>
      <c r="J2123" s="18" t="str">
        <f t="shared" si="134"/>
        <v>January</v>
      </c>
      <c r="K2123" s="56" t="str">
        <f t="shared" si="135"/>
        <v>Thursday</v>
      </c>
      <c r="L2123" s="18" t="str">
        <f>IF(OR(G2123&gt;Answers!I2138,G2123&lt;Answers!I2139),"Outlier","Normal")</f>
        <v>Outlier</v>
      </c>
      <c r="M2123" s="18">
        <v>43</v>
      </c>
    </row>
    <row r="2124" spans="1:13" ht="20" customHeight="1" x14ac:dyDescent="0.35">
      <c r="A2124" s="17">
        <v>1440486</v>
      </c>
      <c r="B2124" s="18">
        <v>898</v>
      </c>
      <c r="C2124" s="23" t="s">
        <v>99</v>
      </c>
      <c r="D2124" s="27">
        <v>45253.019444444442</v>
      </c>
      <c r="E2124" s="18" t="s">
        <v>98</v>
      </c>
      <c r="F2124" s="18" t="s">
        <v>70</v>
      </c>
      <c r="G2124" s="18">
        <v>7417</v>
      </c>
      <c r="H2124" s="25">
        <f t="shared" si="132"/>
        <v>45253</v>
      </c>
      <c r="I2124" s="26">
        <f t="shared" si="133"/>
        <v>1.9444444442342501E-2</v>
      </c>
      <c r="J2124" s="18" t="str">
        <f t="shared" si="134"/>
        <v>November</v>
      </c>
      <c r="K2124" s="56" t="str">
        <f t="shared" si="135"/>
        <v>Thursday</v>
      </c>
      <c r="L2124" s="18" t="str">
        <f>IF(OR(G2124&gt;Answers!I2139,G2124&lt;Answers!I2140),"Outlier","Normal")</f>
        <v>Outlier</v>
      </c>
      <c r="M2124" s="18">
        <v>64</v>
      </c>
    </row>
    <row r="2125" spans="1:13" ht="20" customHeight="1" x14ac:dyDescent="0.35">
      <c r="A2125" s="17">
        <v>1441153</v>
      </c>
      <c r="B2125" s="18">
        <v>1510</v>
      </c>
      <c r="C2125" s="23" t="s">
        <v>103</v>
      </c>
      <c r="D2125" s="27">
        <v>45213.027083333334</v>
      </c>
      <c r="E2125" s="18" t="s">
        <v>97</v>
      </c>
      <c r="F2125" s="18" t="s">
        <v>71</v>
      </c>
      <c r="G2125" s="18">
        <v>3392</v>
      </c>
      <c r="H2125" s="25">
        <f t="shared" si="132"/>
        <v>45213</v>
      </c>
      <c r="I2125" s="26">
        <f t="shared" si="133"/>
        <v>2.7083333334303461E-2</v>
      </c>
      <c r="J2125" s="18" t="str">
        <f t="shared" si="134"/>
        <v>October</v>
      </c>
      <c r="K2125" s="56" t="str">
        <f t="shared" si="135"/>
        <v>Saturday</v>
      </c>
      <c r="L2125" s="18" t="str">
        <f>IF(OR(G2125&gt;Answers!I2140,G2125&lt;Answers!I2141),"Outlier","Normal")</f>
        <v>Outlier</v>
      </c>
      <c r="M2125" s="18">
        <v>23</v>
      </c>
    </row>
    <row r="2126" spans="1:13" ht="20" customHeight="1" x14ac:dyDescent="0.35">
      <c r="A2126" s="17">
        <v>1441631</v>
      </c>
      <c r="B2126" s="18">
        <v>1359</v>
      </c>
      <c r="C2126" s="23" t="s">
        <v>99</v>
      </c>
      <c r="D2126" s="27">
        <v>45063.035416666666</v>
      </c>
      <c r="E2126" s="18" t="s">
        <v>98</v>
      </c>
      <c r="F2126" s="18" t="s">
        <v>43</v>
      </c>
      <c r="G2126" s="18">
        <v>6438</v>
      </c>
      <c r="H2126" s="25">
        <f t="shared" si="132"/>
        <v>45063</v>
      </c>
      <c r="I2126" s="26">
        <f t="shared" si="133"/>
        <v>3.5416666665696539E-2</v>
      </c>
      <c r="J2126" s="18" t="str">
        <f t="shared" si="134"/>
        <v>May</v>
      </c>
      <c r="K2126" s="56" t="str">
        <f t="shared" si="135"/>
        <v>Wednesday</v>
      </c>
      <c r="L2126" s="18" t="str">
        <f>IF(OR(G2126&gt;Answers!I2141,G2126&lt;Answers!I2142),"Outlier","Normal")</f>
        <v>Outlier</v>
      </c>
      <c r="M2126" s="18">
        <v>78</v>
      </c>
    </row>
    <row r="2127" spans="1:13" ht="20" customHeight="1" x14ac:dyDescent="0.35">
      <c r="A2127" s="17">
        <v>1441698</v>
      </c>
      <c r="B2127" s="18">
        <v>118</v>
      </c>
      <c r="C2127" s="23" t="s">
        <v>99</v>
      </c>
      <c r="D2127" s="27">
        <v>45052.994444444441</v>
      </c>
      <c r="E2127" s="18" t="s">
        <v>98</v>
      </c>
      <c r="F2127" s="18" t="s">
        <v>45</v>
      </c>
      <c r="G2127" s="18">
        <v>4154</v>
      </c>
      <c r="H2127" s="25">
        <f t="shared" si="132"/>
        <v>45052</v>
      </c>
      <c r="I2127" s="26">
        <f t="shared" si="133"/>
        <v>0.99444444444088731</v>
      </c>
      <c r="J2127" s="18" t="str">
        <f t="shared" si="134"/>
        <v>May</v>
      </c>
      <c r="K2127" s="56" t="str">
        <f t="shared" si="135"/>
        <v>Saturday</v>
      </c>
      <c r="L2127" s="18" t="str">
        <f>IF(OR(G2127&gt;Answers!I2142,G2127&lt;Answers!I2143),"Outlier","Normal")</f>
        <v>Outlier</v>
      </c>
      <c r="M2127" s="18">
        <v>25</v>
      </c>
    </row>
    <row r="2128" spans="1:13" ht="20" customHeight="1" x14ac:dyDescent="0.35">
      <c r="A2128" s="17">
        <v>1443406</v>
      </c>
      <c r="B2128" s="18">
        <v>1141</v>
      </c>
      <c r="C2128" s="23" t="s">
        <v>100</v>
      </c>
      <c r="D2128" s="27">
        <v>45131.054861111108</v>
      </c>
      <c r="E2128" s="18" t="s">
        <v>133</v>
      </c>
      <c r="F2128" s="18" t="s">
        <v>8</v>
      </c>
      <c r="G2128" s="18">
        <v>8328</v>
      </c>
      <c r="H2128" s="25">
        <f t="shared" si="132"/>
        <v>45131</v>
      </c>
      <c r="I2128" s="26">
        <f t="shared" si="133"/>
        <v>5.486111110803904E-2</v>
      </c>
      <c r="J2128" s="18" t="str">
        <f t="shared" si="134"/>
        <v>July</v>
      </c>
      <c r="K2128" s="56" t="str">
        <f t="shared" si="135"/>
        <v>Monday</v>
      </c>
      <c r="L2128" s="18" t="str">
        <f>IF(OR(G2128&gt;Answers!I2143,G2128&lt;Answers!I2144),"Outlier","Normal")</f>
        <v>Outlier</v>
      </c>
      <c r="M2128" s="18">
        <v>60</v>
      </c>
    </row>
    <row r="2129" spans="1:13" ht="20" customHeight="1" x14ac:dyDescent="0.35">
      <c r="A2129" s="17">
        <v>1443815</v>
      </c>
      <c r="B2129" s="18">
        <v>623</v>
      </c>
      <c r="C2129" s="23" t="s">
        <v>113</v>
      </c>
      <c r="D2129" s="27">
        <v>44952.998611111114</v>
      </c>
      <c r="E2129" s="18" t="s">
        <v>97</v>
      </c>
      <c r="F2129" s="18" t="s">
        <v>46</v>
      </c>
      <c r="G2129" s="18">
        <v>9333</v>
      </c>
      <c r="H2129" s="25">
        <f t="shared" si="132"/>
        <v>44952</v>
      </c>
      <c r="I2129" s="26">
        <f t="shared" si="133"/>
        <v>0.99861111111385981</v>
      </c>
      <c r="J2129" s="18" t="str">
        <f t="shared" si="134"/>
        <v>January</v>
      </c>
      <c r="K2129" s="56" t="str">
        <f t="shared" si="135"/>
        <v>Thursday</v>
      </c>
      <c r="L2129" s="18" t="str">
        <f>IF(OR(G2129&gt;Answers!I2144,G2129&lt;Answers!I2145),"Outlier","Normal")</f>
        <v>Outlier</v>
      </c>
      <c r="M2129" s="18">
        <v>80</v>
      </c>
    </row>
    <row r="2130" spans="1:13" ht="20" customHeight="1" x14ac:dyDescent="0.35">
      <c r="A2130" s="17">
        <v>1444534</v>
      </c>
      <c r="B2130" s="18">
        <v>1217</v>
      </c>
      <c r="C2130" s="23" t="s">
        <v>99</v>
      </c>
      <c r="D2130" s="27">
        <v>45274.027777777781</v>
      </c>
      <c r="E2130" s="18" t="s">
        <v>133</v>
      </c>
      <c r="F2130" s="18" t="s">
        <v>10</v>
      </c>
      <c r="G2130" s="18">
        <v>4597</v>
      </c>
      <c r="H2130" s="25">
        <f t="shared" si="132"/>
        <v>45274</v>
      </c>
      <c r="I2130" s="26">
        <f t="shared" si="133"/>
        <v>2.7777777781011537E-2</v>
      </c>
      <c r="J2130" s="18" t="str">
        <f t="shared" si="134"/>
        <v>December</v>
      </c>
      <c r="K2130" s="56" t="str">
        <f t="shared" si="135"/>
        <v>Thursday</v>
      </c>
      <c r="L2130" s="18" t="str">
        <f>IF(OR(G2130&gt;Answers!I2145,G2130&lt;Answers!I2146),"Outlier","Normal")</f>
        <v>Outlier</v>
      </c>
      <c r="M2130" s="18">
        <v>68</v>
      </c>
    </row>
    <row r="2131" spans="1:13" ht="20" customHeight="1" x14ac:dyDescent="0.35">
      <c r="A2131" s="17">
        <v>1444921</v>
      </c>
      <c r="B2131" s="18">
        <v>973</v>
      </c>
      <c r="C2131" s="23" t="s">
        <v>99</v>
      </c>
      <c r="D2131" s="27">
        <v>45186.009027777778</v>
      </c>
      <c r="E2131" s="18" t="s">
        <v>97</v>
      </c>
      <c r="F2131" s="18" t="s">
        <v>72</v>
      </c>
      <c r="G2131" s="18">
        <v>7329</v>
      </c>
      <c r="H2131" s="25">
        <f t="shared" si="132"/>
        <v>45186</v>
      </c>
      <c r="I2131" s="26">
        <f t="shared" si="133"/>
        <v>9.0277777781011537E-3</v>
      </c>
      <c r="J2131" s="18" t="str">
        <f t="shared" si="134"/>
        <v>September</v>
      </c>
      <c r="K2131" s="56" t="str">
        <f t="shared" si="135"/>
        <v>Sunday</v>
      </c>
      <c r="L2131" s="18" t="str">
        <f>IF(OR(G2131&gt;Answers!I2146,G2131&lt;Answers!I2147),"Outlier","Normal")</f>
        <v>Outlier</v>
      </c>
      <c r="M2131" s="18">
        <v>50</v>
      </c>
    </row>
    <row r="2132" spans="1:13" ht="20" customHeight="1" x14ac:dyDescent="0.35">
      <c r="A2132" s="17">
        <v>1445405</v>
      </c>
      <c r="B2132" s="18">
        <v>226</v>
      </c>
      <c r="C2132" s="23" t="s">
        <v>99</v>
      </c>
      <c r="D2132" s="27">
        <v>45042.047222222223</v>
      </c>
      <c r="E2132" s="18" t="s">
        <v>98</v>
      </c>
      <c r="F2132" s="18" t="s">
        <v>13</v>
      </c>
      <c r="G2132" s="18">
        <v>4037</v>
      </c>
      <c r="H2132" s="25">
        <f t="shared" si="132"/>
        <v>45042</v>
      </c>
      <c r="I2132" s="26">
        <f t="shared" si="133"/>
        <v>4.7222222223354038E-2</v>
      </c>
      <c r="J2132" s="18" t="str">
        <f t="shared" si="134"/>
        <v>April</v>
      </c>
      <c r="K2132" s="56" t="str">
        <f t="shared" si="135"/>
        <v>Wednesday</v>
      </c>
      <c r="L2132" s="18" t="str">
        <f>IF(OR(G2132&gt;Answers!I2147,G2132&lt;Answers!I2148),"Outlier","Normal")</f>
        <v>Outlier</v>
      </c>
      <c r="M2132" s="18">
        <v>31</v>
      </c>
    </row>
    <row r="2133" spans="1:13" ht="20" customHeight="1" x14ac:dyDescent="0.35">
      <c r="A2133" s="17">
        <v>1445568</v>
      </c>
      <c r="B2133" s="18">
        <v>550</v>
      </c>
      <c r="C2133" s="23" t="s">
        <v>99</v>
      </c>
      <c r="D2133" s="27">
        <v>45130.094444444447</v>
      </c>
      <c r="E2133" s="18" t="s">
        <v>97</v>
      </c>
      <c r="F2133" s="18" t="s">
        <v>73</v>
      </c>
      <c r="G2133" s="18">
        <v>3612</v>
      </c>
      <c r="H2133" s="25">
        <f t="shared" si="132"/>
        <v>45130</v>
      </c>
      <c r="I2133" s="26">
        <f t="shared" si="133"/>
        <v>9.4444444446708076E-2</v>
      </c>
      <c r="J2133" s="18" t="str">
        <f t="shared" si="134"/>
        <v>July</v>
      </c>
      <c r="K2133" s="56" t="str">
        <f t="shared" si="135"/>
        <v>Sunday</v>
      </c>
      <c r="L2133" s="18" t="str">
        <f>IF(OR(G2133&gt;Answers!I2148,G2133&lt;Answers!I2149),"Outlier","Normal")</f>
        <v>Outlier</v>
      </c>
      <c r="M2133" s="18">
        <v>31</v>
      </c>
    </row>
    <row r="2134" spans="1:13" ht="20" customHeight="1" x14ac:dyDescent="0.35">
      <c r="A2134" s="17">
        <v>1446428</v>
      </c>
      <c r="B2134" s="18">
        <v>1271</v>
      </c>
      <c r="C2134" s="23" t="s">
        <v>100</v>
      </c>
      <c r="D2134" s="27">
        <v>45291.981944444444</v>
      </c>
      <c r="E2134" s="18" t="s">
        <v>96</v>
      </c>
      <c r="F2134" s="18" t="s">
        <v>52</v>
      </c>
      <c r="G2134" s="18">
        <v>4354</v>
      </c>
      <c r="H2134" s="25">
        <f t="shared" si="132"/>
        <v>45291</v>
      </c>
      <c r="I2134" s="26">
        <f t="shared" si="133"/>
        <v>0.98194444444379769</v>
      </c>
      <c r="J2134" s="18" t="str">
        <f t="shared" si="134"/>
        <v>December</v>
      </c>
      <c r="K2134" s="56" t="str">
        <f t="shared" si="135"/>
        <v>Sunday</v>
      </c>
      <c r="L2134" s="18" t="str">
        <f>IF(OR(G2134&gt;Answers!I2149,G2134&lt;Answers!I2150),"Outlier","Normal")</f>
        <v>Outlier</v>
      </c>
      <c r="M2134" s="18">
        <v>43</v>
      </c>
    </row>
    <row r="2135" spans="1:13" ht="20" customHeight="1" x14ac:dyDescent="0.35">
      <c r="A2135" s="17">
        <v>1448149</v>
      </c>
      <c r="B2135" s="18">
        <v>340</v>
      </c>
      <c r="C2135" s="23" t="s">
        <v>100</v>
      </c>
      <c r="D2135" s="27">
        <v>45058.990972222222</v>
      </c>
      <c r="E2135" s="18" t="s">
        <v>133</v>
      </c>
      <c r="F2135" s="18" t="s">
        <v>13</v>
      </c>
      <c r="G2135" s="18">
        <v>8948</v>
      </c>
      <c r="H2135" s="25">
        <f t="shared" si="132"/>
        <v>45058</v>
      </c>
      <c r="I2135" s="26">
        <f t="shared" si="133"/>
        <v>0.99097222222189885</v>
      </c>
      <c r="J2135" s="18" t="str">
        <f t="shared" si="134"/>
        <v>May</v>
      </c>
      <c r="K2135" s="56" t="str">
        <f t="shared" si="135"/>
        <v>Friday</v>
      </c>
      <c r="L2135" s="18" t="str">
        <f>IF(OR(G2135&gt;Answers!I2150,G2135&lt;Answers!I2151),"Outlier","Normal")</f>
        <v>Outlier</v>
      </c>
      <c r="M2135" s="18">
        <v>68</v>
      </c>
    </row>
    <row r="2136" spans="1:13" ht="20" customHeight="1" x14ac:dyDescent="0.35">
      <c r="A2136" s="17">
        <v>1448694</v>
      </c>
      <c r="B2136" s="18">
        <v>75</v>
      </c>
      <c r="C2136" s="23" t="s">
        <v>101</v>
      </c>
      <c r="D2136" s="27">
        <v>45068.98541666667</v>
      </c>
      <c r="E2136" s="18" t="s">
        <v>97</v>
      </c>
      <c r="F2136" s="18" t="s">
        <v>62</v>
      </c>
      <c r="G2136" s="18">
        <v>1873</v>
      </c>
      <c r="H2136" s="25">
        <f t="shared" si="132"/>
        <v>45068</v>
      </c>
      <c r="I2136" s="26">
        <f t="shared" si="133"/>
        <v>0.98541666667006211</v>
      </c>
      <c r="J2136" s="18" t="str">
        <f t="shared" si="134"/>
        <v>May</v>
      </c>
      <c r="K2136" s="56" t="str">
        <f t="shared" si="135"/>
        <v>Monday</v>
      </c>
      <c r="L2136" s="18" t="str">
        <f>IF(OR(G2136&gt;Answers!I2151,G2136&lt;Answers!I2152),"Outlier","Normal")</f>
        <v>Outlier</v>
      </c>
      <c r="M2136" s="18">
        <v>36</v>
      </c>
    </row>
    <row r="2137" spans="1:13" ht="20" customHeight="1" x14ac:dyDescent="0.35">
      <c r="A2137" s="17">
        <v>1448727</v>
      </c>
      <c r="B2137" s="18">
        <v>1583</v>
      </c>
      <c r="C2137" s="23" t="s">
        <v>106</v>
      </c>
      <c r="D2137" s="27">
        <v>44951.078472222223</v>
      </c>
      <c r="E2137" s="18" t="s">
        <v>133</v>
      </c>
      <c r="F2137" s="18" t="s">
        <v>75</v>
      </c>
      <c r="G2137" s="18">
        <v>8355</v>
      </c>
      <c r="H2137" s="25">
        <f t="shared" si="132"/>
        <v>44951</v>
      </c>
      <c r="I2137" s="26">
        <f t="shared" si="133"/>
        <v>7.8472222223354038E-2</v>
      </c>
      <c r="J2137" s="18" t="str">
        <f t="shared" si="134"/>
        <v>January</v>
      </c>
      <c r="K2137" s="56" t="str">
        <f t="shared" si="135"/>
        <v>Wednesday</v>
      </c>
      <c r="L2137" s="18" t="str">
        <f>IF(OR(G2137&gt;Answers!I2152,G2137&lt;Answers!I2153),"Outlier","Normal")</f>
        <v>Outlier</v>
      </c>
      <c r="M2137" s="18">
        <v>73</v>
      </c>
    </row>
    <row r="2138" spans="1:13" ht="20" customHeight="1" x14ac:dyDescent="0.35">
      <c r="A2138" s="17">
        <v>1449298</v>
      </c>
      <c r="B2138" s="18">
        <v>1511</v>
      </c>
      <c r="C2138" s="23" t="s">
        <v>99</v>
      </c>
      <c r="D2138" s="27">
        <v>45103.061805555553</v>
      </c>
      <c r="E2138" s="18" t="s">
        <v>98</v>
      </c>
      <c r="F2138" s="18" t="s">
        <v>73</v>
      </c>
      <c r="G2138" s="18">
        <v>837</v>
      </c>
      <c r="H2138" s="25">
        <f t="shared" si="132"/>
        <v>45103</v>
      </c>
      <c r="I2138" s="26">
        <f t="shared" si="133"/>
        <v>6.1805555553291924E-2</v>
      </c>
      <c r="J2138" s="18" t="str">
        <f t="shared" si="134"/>
        <v>June</v>
      </c>
      <c r="K2138" s="56" t="str">
        <f t="shared" si="135"/>
        <v>Monday</v>
      </c>
      <c r="L2138" s="18" t="str">
        <f>IF(OR(G2138&gt;Answers!I2153,G2138&lt;Answers!I2154),"Outlier","Normal")</f>
        <v>Outlier</v>
      </c>
      <c r="M2138" s="18">
        <v>19</v>
      </c>
    </row>
    <row r="2139" spans="1:13" ht="20" customHeight="1" x14ac:dyDescent="0.35">
      <c r="A2139" s="17">
        <v>1449763</v>
      </c>
      <c r="B2139" s="18">
        <v>465</v>
      </c>
      <c r="C2139" s="23" t="s">
        <v>99</v>
      </c>
      <c r="D2139" s="27">
        <v>44997.046527777777</v>
      </c>
      <c r="E2139" s="18" t="s">
        <v>97</v>
      </c>
      <c r="F2139" s="18" t="s">
        <v>20</v>
      </c>
      <c r="G2139" s="18">
        <v>425</v>
      </c>
      <c r="H2139" s="25">
        <f t="shared" si="132"/>
        <v>44997</v>
      </c>
      <c r="I2139" s="26">
        <f t="shared" si="133"/>
        <v>4.6527777776645962E-2</v>
      </c>
      <c r="J2139" s="18" t="str">
        <f t="shared" si="134"/>
        <v>March</v>
      </c>
      <c r="K2139" s="56" t="str">
        <f t="shared" si="135"/>
        <v>Sunday</v>
      </c>
      <c r="L2139" s="18" t="str">
        <f>IF(OR(G2139&gt;Answers!I2154,G2139&lt;Answers!I2155),"Outlier","Normal")</f>
        <v>Outlier</v>
      </c>
      <c r="M2139" s="18">
        <v>49</v>
      </c>
    </row>
    <row r="2140" spans="1:13" ht="20" customHeight="1" x14ac:dyDescent="0.35">
      <c r="A2140" s="17">
        <v>1449820</v>
      </c>
      <c r="B2140" s="18">
        <v>1828</v>
      </c>
      <c r="C2140" s="23" t="s">
        <v>102</v>
      </c>
      <c r="D2140" s="27">
        <v>45259.986111111109</v>
      </c>
      <c r="E2140" s="18" t="s">
        <v>96</v>
      </c>
      <c r="F2140" s="18" t="s">
        <v>72</v>
      </c>
      <c r="G2140" s="18">
        <v>1844</v>
      </c>
      <c r="H2140" s="25">
        <f t="shared" si="132"/>
        <v>45259</v>
      </c>
      <c r="I2140" s="26">
        <f t="shared" si="133"/>
        <v>0.98611111110949423</v>
      </c>
      <c r="J2140" s="18" t="str">
        <f t="shared" si="134"/>
        <v>November</v>
      </c>
      <c r="K2140" s="56" t="str">
        <f t="shared" si="135"/>
        <v>Wednesday</v>
      </c>
      <c r="L2140" s="18" t="str">
        <f>IF(OR(G2140&gt;Answers!I2155,G2140&lt;Answers!I2156),"Outlier","Normal")</f>
        <v>Outlier</v>
      </c>
      <c r="M2140" s="18">
        <v>51</v>
      </c>
    </row>
    <row r="2141" spans="1:13" ht="20" customHeight="1" x14ac:dyDescent="0.35">
      <c r="A2141" s="17">
        <v>1449918</v>
      </c>
      <c r="B2141" s="18">
        <v>1881</v>
      </c>
      <c r="C2141" s="23" t="s">
        <v>100</v>
      </c>
      <c r="D2141" s="27">
        <v>45007.07708333333</v>
      </c>
      <c r="E2141" s="18" t="s">
        <v>98</v>
      </c>
      <c r="F2141" s="18" t="s">
        <v>83</v>
      </c>
      <c r="G2141" s="18">
        <v>8835</v>
      </c>
      <c r="H2141" s="25">
        <f t="shared" si="132"/>
        <v>45007</v>
      </c>
      <c r="I2141" s="26">
        <f t="shared" si="133"/>
        <v>7.7083333329937886E-2</v>
      </c>
      <c r="J2141" s="18" t="str">
        <f t="shared" si="134"/>
        <v>March</v>
      </c>
      <c r="K2141" s="56" t="str">
        <f t="shared" si="135"/>
        <v>Wednesday</v>
      </c>
      <c r="L2141" s="18" t="str">
        <f>IF(OR(G2141&gt;Answers!I2156,G2141&lt;Answers!I2157),"Outlier","Normal")</f>
        <v>Outlier</v>
      </c>
      <c r="M2141" s="18">
        <v>83</v>
      </c>
    </row>
    <row r="2142" spans="1:13" ht="20" customHeight="1" x14ac:dyDescent="0.35">
      <c r="A2142" s="17">
        <v>1452068</v>
      </c>
      <c r="B2142" s="18">
        <v>658</v>
      </c>
      <c r="C2142" s="23" t="s">
        <v>113</v>
      </c>
      <c r="D2142" s="27">
        <v>45199.05972222222</v>
      </c>
      <c r="E2142" s="18" t="s">
        <v>98</v>
      </c>
      <c r="F2142" s="18" t="s">
        <v>49</v>
      </c>
      <c r="G2142" s="18">
        <v>1299</v>
      </c>
      <c r="H2142" s="25">
        <f t="shared" si="132"/>
        <v>45199</v>
      </c>
      <c r="I2142" s="26">
        <f t="shared" si="133"/>
        <v>5.9722222220443655E-2</v>
      </c>
      <c r="J2142" s="18" t="str">
        <f t="shared" si="134"/>
        <v>September</v>
      </c>
      <c r="K2142" s="56" t="str">
        <f t="shared" si="135"/>
        <v>Saturday</v>
      </c>
      <c r="L2142" s="18" t="str">
        <f>IF(OR(G2142&gt;Answers!I2157,G2142&lt;Answers!I2158),"Outlier","Normal")</f>
        <v>Outlier</v>
      </c>
      <c r="M2142" s="18">
        <v>42</v>
      </c>
    </row>
    <row r="2143" spans="1:13" ht="20" customHeight="1" x14ac:dyDescent="0.35">
      <c r="A2143" s="17">
        <v>1452251</v>
      </c>
      <c r="B2143" s="18">
        <v>1276</v>
      </c>
      <c r="C2143" s="23" t="s">
        <v>100</v>
      </c>
      <c r="D2143" s="27">
        <v>45009.95416666667</v>
      </c>
      <c r="E2143" s="18" t="s">
        <v>96</v>
      </c>
      <c r="F2143" s="18" t="s">
        <v>5</v>
      </c>
      <c r="G2143" s="18">
        <v>9140</v>
      </c>
      <c r="H2143" s="25">
        <f t="shared" si="132"/>
        <v>45009</v>
      </c>
      <c r="I2143" s="26">
        <f t="shared" si="133"/>
        <v>0.95416666667006211</v>
      </c>
      <c r="J2143" s="18" t="str">
        <f t="shared" si="134"/>
        <v>March</v>
      </c>
      <c r="K2143" s="56" t="str">
        <f t="shared" si="135"/>
        <v>Friday</v>
      </c>
      <c r="L2143" s="18" t="str">
        <f>IF(OR(G2143&gt;Answers!I2158,G2143&lt;Answers!I2159),"Outlier","Normal")</f>
        <v>Outlier</v>
      </c>
      <c r="M2143" s="18">
        <v>88</v>
      </c>
    </row>
    <row r="2144" spans="1:13" ht="20" customHeight="1" x14ac:dyDescent="0.35">
      <c r="A2144" s="17">
        <v>1453632</v>
      </c>
      <c r="B2144" s="18">
        <v>26</v>
      </c>
      <c r="C2144" s="23" t="s">
        <v>100</v>
      </c>
      <c r="D2144" s="27">
        <v>45071.03402777778</v>
      </c>
      <c r="E2144" s="18" t="s">
        <v>97</v>
      </c>
      <c r="F2144" s="18" t="s">
        <v>27</v>
      </c>
      <c r="G2144" s="18">
        <v>1681</v>
      </c>
      <c r="H2144" s="25">
        <f t="shared" si="132"/>
        <v>45071</v>
      </c>
      <c r="I2144" s="26">
        <f t="shared" si="133"/>
        <v>3.4027777779556345E-2</v>
      </c>
      <c r="J2144" s="18" t="str">
        <f t="shared" si="134"/>
        <v>May</v>
      </c>
      <c r="K2144" s="56" t="str">
        <f t="shared" si="135"/>
        <v>Thursday</v>
      </c>
      <c r="L2144" s="18" t="str">
        <f>IF(OR(G2144&gt;Answers!I2159,G2144&lt;Answers!I2160),"Outlier","Normal")</f>
        <v>Outlier</v>
      </c>
      <c r="M2144" s="18">
        <v>27</v>
      </c>
    </row>
    <row r="2145" spans="1:13" ht="20" customHeight="1" x14ac:dyDescent="0.35">
      <c r="A2145" s="17">
        <v>1453804</v>
      </c>
      <c r="B2145" s="18">
        <v>727</v>
      </c>
      <c r="C2145" s="23" t="s">
        <v>100</v>
      </c>
      <c r="D2145" s="27">
        <v>44941.941666666666</v>
      </c>
      <c r="E2145" s="18" t="s">
        <v>97</v>
      </c>
      <c r="F2145" s="18" t="s">
        <v>77</v>
      </c>
      <c r="G2145" s="18">
        <v>9801</v>
      </c>
      <c r="H2145" s="25">
        <f t="shared" si="132"/>
        <v>44941</v>
      </c>
      <c r="I2145" s="26">
        <f t="shared" si="133"/>
        <v>0.94166666666569654</v>
      </c>
      <c r="J2145" s="18" t="str">
        <f t="shared" si="134"/>
        <v>January</v>
      </c>
      <c r="K2145" s="56" t="str">
        <f t="shared" si="135"/>
        <v>Sunday</v>
      </c>
      <c r="L2145" s="18" t="str">
        <f>IF(OR(G2145&gt;Answers!I2160,G2145&lt;Answers!I2161),"Outlier","Normal")</f>
        <v>Outlier</v>
      </c>
      <c r="M2145" s="18">
        <v>64</v>
      </c>
    </row>
    <row r="2146" spans="1:13" ht="20" customHeight="1" x14ac:dyDescent="0.35">
      <c r="A2146" s="17">
        <v>1454237</v>
      </c>
      <c r="B2146" s="18">
        <v>604</v>
      </c>
      <c r="C2146" s="23" t="s">
        <v>104</v>
      </c>
      <c r="D2146" s="27">
        <v>45250.027777777781</v>
      </c>
      <c r="E2146" s="18" t="s">
        <v>97</v>
      </c>
      <c r="F2146" s="18" t="s">
        <v>27</v>
      </c>
      <c r="G2146" s="18">
        <v>8617</v>
      </c>
      <c r="H2146" s="25">
        <f t="shared" si="132"/>
        <v>45250</v>
      </c>
      <c r="I2146" s="26">
        <f t="shared" si="133"/>
        <v>2.7777777781011537E-2</v>
      </c>
      <c r="J2146" s="18" t="str">
        <f t="shared" si="134"/>
        <v>November</v>
      </c>
      <c r="K2146" s="56" t="str">
        <f t="shared" si="135"/>
        <v>Monday</v>
      </c>
      <c r="L2146" s="18" t="str">
        <f>IF(OR(G2146&gt;Answers!I2161,G2146&lt;Answers!I2162),"Outlier","Normal")</f>
        <v>Outlier</v>
      </c>
      <c r="M2146" s="18">
        <v>85</v>
      </c>
    </row>
    <row r="2147" spans="1:13" ht="20" customHeight="1" x14ac:dyDescent="0.35">
      <c r="A2147" s="17">
        <v>1454722</v>
      </c>
      <c r="B2147" s="18">
        <v>557</v>
      </c>
      <c r="C2147" s="23" t="s">
        <v>109</v>
      </c>
      <c r="D2147" s="27">
        <v>45091.035416666666</v>
      </c>
      <c r="E2147" s="18" t="s">
        <v>96</v>
      </c>
      <c r="F2147" s="18" t="s">
        <v>43</v>
      </c>
      <c r="G2147" s="18">
        <v>7460</v>
      </c>
      <c r="H2147" s="25">
        <f t="shared" si="132"/>
        <v>45091</v>
      </c>
      <c r="I2147" s="26">
        <f t="shared" si="133"/>
        <v>3.5416666665696539E-2</v>
      </c>
      <c r="J2147" s="18" t="str">
        <f t="shared" si="134"/>
        <v>June</v>
      </c>
      <c r="K2147" s="56" t="str">
        <f t="shared" si="135"/>
        <v>Wednesday</v>
      </c>
      <c r="L2147" s="18" t="str">
        <f>IF(OR(G2147&gt;Answers!I2162,G2147&lt;Answers!I2163),"Outlier","Normal")</f>
        <v>Outlier</v>
      </c>
      <c r="M2147" s="18">
        <v>84</v>
      </c>
    </row>
    <row r="2148" spans="1:13" ht="20" customHeight="1" x14ac:dyDescent="0.35">
      <c r="A2148" s="17">
        <v>1454915</v>
      </c>
      <c r="B2148" s="18">
        <v>1109</v>
      </c>
      <c r="C2148" s="23" t="s">
        <v>113</v>
      </c>
      <c r="D2148" s="27">
        <v>45195.986111111109</v>
      </c>
      <c r="E2148" s="18" t="s">
        <v>133</v>
      </c>
      <c r="F2148" s="18" t="s">
        <v>21</v>
      </c>
      <c r="G2148" s="18">
        <v>5760</v>
      </c>
      <c r="H2148" s="25">
        <f t="shared" si="132"/>
        <v>45195</v>
      </c>
      <c r="I2148" s="26">
        <f t="shared" si="133"/>
        <v>0.98611111110949423</v>
      </c>
      <c r="J2148" s="18" t="str">
        <f t="shared" si="134"/>
        <v>September</v>
      </c>
      <c r="K2148" s="56" t="str">
        <f t="shared" si="135"/>
        <v>Tuesday</v>
      </c>
      <c r="L2148" s="18" t="str">
        <f>IF(OR(G2148&gt;Answers!I2163,G2148&lt;Answers!I2164),"Outlier","Normal")</f>
        <v>Outlier</v>
      </c>
      <c r="M2148" s="18">
        <v>86</v>
      </c>
    </row>
    <row r="2149" spans="1:13" ht="20" customHeight="1" x14ac:dyDescent="0.35">
      <c r="A2149" s="17">
        <v>1455334</v>
      </c>
      <c r="B2149" s="18">
        <v>1735</v>
      </c>
      <c r="C2149" s="23" t="s">
        <v>102</v>
      </c>
      <c r="D2149" s="27">
        <v>45266.006944444445</v>
      </c>
      <c r="E2149" s="18" t="s">
        <v>133</v>
      </c>
      <c r="F2149" s="18" t="s">
        <v>66</v>
      </c>
      <c r="G2149" s="18">
        <v>8911</v>
      </c>
      <c r="H2149" s="25">
        <f t="shared" si="132"/>
        <v>45266</v>
      </c>
      <c r="I2149" s="26">
        <f t="shared" si="133"/>
        <v>6.9444444452528842E-3</v>
      </c>
      <c r="J2149" s="18" t="str">
        <f t="shared" si="134"/>
        <v>December</v>
      </c>
      <c r="K2149" s="56" t="str">
        <f t="shared" si="135"/>
        <v>Wednesday</v>
      </c>
      <c r="L2149" s="18" t="str">
        <f>IF(OR(G2149&gt;Answers!I2164,G2149&lt;Answers!I2165),"Outlier","Normal")</f>
        <v>Outlier</v>
      </c>
      <c r="M2149" s="18">
        <v>76</v>
      </c>
    </row>
    <row r="2150" spans="1:13" ht="20" customHeight="1" x14ac:dyDescent="0.35">
      <c r="A2150" s="17">
        <v>1456673</v>
      </c>
      <c r="B2150" s="18">
        <v>275</v>
      </c>
      <c r="C2150" s="23" t="s">
        <v>107</v>
      </c>
      <c r="D2150" s="27">
        <v>45113.006944444445</v>
      </c>
      <c r="E2150" s="18" t="s">
        <v>96</v>
      </c>
      <c r="F2150" s="18" t="s">
        <v>29</v>
      </c>
      <c r="G2150" s="18">
        <v>4862</v>
      </c>
      <c r="H2150" s="25">
        <f t="shared" si="132"/>
        <v>45113</v>
      </c>
      <c r="I2150" s="26">
        <f t="shared" si="133"/>
        <v>6.9444444452528842E-3</v>
      </c>
      <c r="J2150" s="18" t="str">
        <f t="shared" si="134"/>
        <v>July</v>
      </c>
      <c r="K2150" s="56" t="str">
        <f t="shared" si="135"/>
        <v>Thursday</v>
      </c>
      <c r="L2150" s="18" t="str">
        <f>IF(OR(G2150&gt;Answers!I2165,G2150&lt;Answers!I2166),"Outlier","Normal")</f>
        <v>Outlier</v>
      </c>
      <c r="M2150" s="18">
        <v>42</v>
      </c>
    </row>
    <row r="2151" spans="1:13" ht="20" customHeight="1" x14ac:dyDescent="0.35">
      <c r="A2151" s="17">
        <v>1457155</v>
      </c>
      <c r="B2151" s="18">
        <v>418</v>
      </c>
      <c r="C2151" s="23" t="s">
        <v>106</v>
      </c>
      <c r="D2151" s="27">
        <v>45182.009027777778</v>
      </c>
      <c r="E2151" s="18" t="s">
        <v>98</v>
      </c>
      <c r="F2151" s="18" t="s">
        <v>9</v>
      </c>
      <c r="G2151" s="18">
        <v>2807</v>
      </c>
      <c r="H2151" s="25">
        <f t="shared" si="132"/>
        <v>45182</v>
      </c>
      <c r="I2151" s="26">
        <f t="shared" si="133"/>
        <v>9.0277777781011537E-3</v>
      </c>
      <c r="J2151" s="18" t="str">
        <f t="shared" si="134"/>
        <v>September</v>
      </c>
      <c r="K2151" s="56" t="str">
        <f t="shared" si="135"/>
        <v>Wednesday</v>
      </c>
      <c r="L2151" s="18" t="str">
        <f>IF(OR(G2151&gt;Answers!I2166,G2151&lt;Answers!I2167),"Outlier","Normal")</f>
        <v>Outlier</v>
      </c>
      <c r="M2151" s="18">
        <v>22</v>
      </c>
    </row>
    <row r="2152" spans="1:13" ht="20" customHeight="1" x14ac:dyDescent="0.35">
      <c r="A2152" s="17">
        <v>1459990</v>
      </c>
      <c r="B2152" s="18">
        <v>85</v>
      </c>
      <c r="C2152" s="23" t="s">
        <v>107</v>
      </c>
      <c r="D2152" s="27">
        <v>45098.979861111111</v>
      </c>
      <c r="E2152" s="18" t="s">
        <v>98</v>
      </c>
      <c r="F2152" s="18" t="s">
        <v>64</v>
      </c>
      <c r="G2152" s="18">
        <v>1384</v>
      </c>
      <c r="H2152" s="25">
        <f t="shared" si="132"/>
        <v>45098</v>
      </c>
      <c r="I2152" s="26">
        <f t="shared" si="133"/>
        <v>0.97986111111094942</v>
      </c>
      <c r="J2152" s="18" t="str">
        <f t="shared" si="134"/>
        <v>June</v>
      </c>
      <c r="K2152" s="56" t="str">
        <f t="shared" si="135"/>
        <v>Wednesday</v>
      </c>
      <c r="L2152" s="18" t="str">
        <f>IF(OR(G2152&gt;Answers!I2167,G2152&lt;Answers!I2168),"Outlier","Normal")</f>
        <v>Outlier</v>
      </c>
      <c r="M2152" s="18">
        <v>20</v>
      </c>
    </row>
    <row r="2153" spans="1:13" ht="20" customHeight="1" x14ac:dyDescent="0.35">
      <c r="A2153" s="17">
        <v>1460179</v>
      </c>
      <c r="B2153" s="18">
        <v>331</v>
      </c>
      <c r="C2153" s="23" t="s">
        <v>106</v>
      </c>
      <c r="D2153" s="27">
        <v>45110.05</v>
      </c>
      <c r="E2153" s="18" t="s">
        <v>97</v>
      </c>
      <c r="F2153" s="18" t="s">
        <v>67</v>
      </c>
      <c r="G2153" s="18">
        <v>7781</v>
      </c>
      <c r="H2153" s="25">
        <f t="shared" si="132"/>
        <v>45110</v>
      </c>
      <c r="I2153" s="26">
        <f t="shared" si="133"/>
        <v>5.0000000002910383E-2</v>
      </c>
      <c r="J2153" s="18" t="str">
        <f t="shared" si="134"/>
        <v>July</v>
      </c>
      <c r="K2153" s="56" t="str">
        <f t="shared" si="135"/>
        <v>Monday</v>
      </c>
      <c r="L2153" s="18" t="str">
        <f>IF(OR(G2153&gt;Answers!I2168,G2153&lt;Answers!I2169),"Outlier","Normal")</f>
        <v>Outlier</v>
      </c>
      <c r="M2153" s="18">
        <v>24</v>
      </c>
    </row>
    <row r="2154" spans="1:13" ht="20" customHeight="1" x14ac:dyDescent="0.35">
      <c r="A2154" s="17">
        <v>1460925</v>
      </c>
      <c r="B2154" s="18">
        <v>1141</v>
      </c>
      <c r="C2154" s="23" t="s">
        <v>100</v>
      </c>
      <c r="D2154" s="27">
        <v>44963.018750000003</v>
      </c>
      <c r="E2154" s="18" t="s">
        <v>97</v>
      </c>
      <c r="F2154" s="18" t="s">
        <v>53</v>
      </c>
      <c r="G2154" s="18">
        <v>2472</v>
      </c>
      <c r="H2154" s="25">
        <f t="shared" si="132"/>
        <v>44963</v>
      </c>
      <c r="I2154" s="26">
        <f t="shared" si="133"/>
        <v>1.8750000002910383E-2</v>
      </c>
      <c r="J2154" s="18" t="str">
        <f t="shared" si="134"/>
        <v>February</v>
      </c>
      <c r="K2154" s="56" t="str">
        <f t="shared" si="135"/>
        <v>Monday</v>
      </c>
      <c r="L2154" s="18" t="str">
        <f>IF(OR(G2154&gt;Answers!I2169,G2154&lt;Answers!I2170),"Outlier","Normal")</f>
        <v>Outlier</v>
      </c>
      <c r="M2154" s="18">
        <v>60</v>
      </c>
    </row>
    <row r="2155" spans="1:13" ht="20" customHeight="1" x14ac:dyDescent="0.35">
      <c r="A2155" s="17">
        <v>1461194</v>
      </c>
      <c r="B2155" s="18">
        <v>1262</v>
      </c>
      <c r="C2155" s="23" t="s">
        <v>99</v>
      </c>
      <c r="D2155" s="27">
        <v>45045.067361111112</v>
      </c>
      <c r="E2155" s="18" t="s">
        <v>97</v>
      </c>
      <c r="F2155" s="18" t="s">
        <v>85</v>
      </c>
      <c r="G2155" s="18">
        <v>9700</v>
      </c>
      <c r="H2155" s="25">
        <f t="shared" si="132"/>
        <v>45045</v>
      </c>
      <c r="I2155" s="26">
        <f t="shared" si="133"/>
        <v>6.7361111112404615E-2</v>
      </c>
      <c r="J2155" s="18" t="str">
        <f t="shared" si="134"/>
        <v>April</v>
      </c>
      <c r="K2155" s="56" t="str">
        <f t="shared" si="135"/>
        <v>Saturday</v>
      </c>
      <c r="L2155" s="18" t="str">
        <f>IF(OR(G2155&gt;Answers!I2170,G2155&lt;Answers!I2171),"Outlier","Normal")</f>
        <v>Outlier</v>
      </c>
      <c r="M2155" s="18">
        <v>41</v>
      </c>
    </row>
    <row r="2156" spans="1:13" ht="20" customHeight="1" x14ac:dyDescent="0.35">
      <c r="A2156" s="17">
        <v>1461613</v>
      </c>
      <c r="B2156" s="18">
        <v>1086</v>
      </c>
      <c r="C2156" s="23" t="s">
        <v>100</v>
      </c>
      <c r="D2156" s="27">
        <v>45226.97152777778</v>
      </c>
      <c r="E2156" s="18" t="s">
        <v>96</v>
      </c>
      <c r="F2156" s="18" t="s">
        <v>34</v>
      </c>
      <c r="G2156" s="18">
        <v>8282</v>
      </c>
      <c r="H2156" s="25">
        <f t="shared" si="132"/>
        <v>45226</v>
      </c>
      <c r="I2156" s="26">
        <f t="shared" si="133"/>
        <v>0.97152777777955635</v>
      </c>
      <c r="J2156" s="18" t="str">
        <f t="shared" si="134"/>
        <v>October</v>
      </c>
      <c r="K2156" s="56" t="str">
        <f t="shared" si="135"/>
        <v>Friday</v>
      </c>
      <c r="L2156" s="18" t="str">
        <f>IF(OR(G2156&gt;Answers!I2171,G2156&lt;Answers!I2172),"Outlier","Normal")</f>
        <v>Outlier</v>
      </c>
      <c r="M2156" s="18">
        <v>63</v>
      </c>
    </row>
    <row r="2157" spans="1:13" ht="20" customHeight="1" x14ac:dyDescent="0.35">
      <c r="A2157" s="17">
        <v>1461756</v>
      </c>
      <c r="B2157" s="18">
        <v>1743</v>
      </c>
      <c r="C2157" s="23" t="s">
        <v>99</v>
      </c>
      <c r="D2157" s="27">
        <v>45098.015972222223</v>
      </c>
      <c r="E2157" s="18" t="s">
        <v>98</v>
      </c>
      <c r="F2157" s="18" t="s">
        <v>68</v>
      </c>
      <c r="G2157" s="18">
        <v>3339</v>
      </c>
      <c r="H2157" s="25">
        <f t="shared" si="132"/>
        <v>45098</v>
      </c>
      <c r="I2157" s="26">
        <f t="shared" si="133"/>
        <v>1.5972222223354038E-2</v>
      </c>
      <c r="J2157" s="18" t="str">
        <f t="shared" si="134"/>
        <v>June</v>
      </c>
      <c r="K2157" s="56" t="str">
        <f t="shared" si="135"/>
        <v>Wednesday</v>
      </c>
      <c r="L2157" s="18" t="str">
        <f>IF(OR(G2157&gt;Answers!I2172,G2157&lt;Answers!I2173),"Outlier","Normal")</f>
        <v>Outlier</v>
      </c>
      <c r="M2157" s="18">
        <v>30</v>
      </c>
    </row>
    <row r="2158" spans="1:13" ht="20" customHeight="1" x14ac:dyDescent="0.35">
      <c r="A2158" s="17">
        <v>1461908</v>
      </c>
      <c r="B2158" s="18">
        <v>311</v>
      </c>
      <c r="C2158" s="23" t="s">
        <v>101</v>
      </c>
      <c r="D2158" s="27">
        <v>45113.956250000003</v>
      </c>
      <c r="E2158" s="18" t="s">
        <v>96</v>
      </c>
      <c r="F2158" s="18" t="s">
        <v>69</v>
      </c>
      <c r="G2158" s="18">
        <v>6698</v>
      </c>
      <c r="H2158" s="25">
        <f t="shared" si="132"/>
        <v>45113</v>
      </c>
      <c r="I2158" s="26">
        <f t="shared" si="133"/>
        <v>0.95625000000291038</v>
      </c>
      <c r="J2158" s="18" t="str">
        <f t="shared" si="134"/>
        <v>July</v>
      </c>
      <c r="K2158" s="56" t="str">
        <f t="shared" si="135"/>
        <v>Thursday</v>
      </c>
      <c r="L2158" s="18" t="str">
        <f>IF(OR(G2158&gt;Answers!I2173,G2158&lt;Answers!I2174),"Outlier","Normal")</f>
        <v>Outlier</v>
      </c>
      <c r="M2158" s="18">
        <v>45</v>
      </c>
    </row>
    <row r="2159" spans="1:13" ht="20" customHeight="1" x14ac:dyDescent="0.35">
      <c r="A2159" s="17">
        <v>1462009</v>
      </c>
      <c r="B2159" s="18">
        <v>1803</v>
      </c>
      <c r="C2159" s="23" t="s">
        <v>105</v>
      </c>
      <c r="D2159" s="27">
        <v>44928.024305555555</v>
      </c>
      <c r="E2159" s="18" t="s">
        <v>133</v>
      </c>
      <c r="F2159" s="18" t="s">
        <v>43</v>
      </c>
      <c r="G2159" s="18">
        <v>5184</v>
      </c>
      <c r="H2159" s="25">
        <f t="shared" si="132"/>
        <v>44928</v>
      </c>
      <c r="I2159" s="26">
        <f t="shared" si="133"/>
        <v>2.4305555554747116E-2</v>
      </c>
      <c r="J2159" s="18" t="str">
        <f t="shared" si="134"/>
        <v>January</v>
      </c>
      <c r="K2159" s="56" t="str">
        <f t="shared" si="135"/>
        <v>Monday</v>
      </c>
      <c r="L2159" s="18" t="str">
        <f>IF(OR(G2159&gt;Answers!I2174,G2159&lt;Answers!I2175),"Outlier","Normal")</f>
        <v>Outlier</v>
      </c>
      <c r="M2159" s="18">
        <v>59</v>
      </c>
    </row>
    <row r="2160" spans="1:13" ht="20" customHeight="1" x14ac:dyDescent="0.35">
      <c r="A2160" s="17">
        <v>1462495</v>
      </c>
      <c r="B2160" s="18">
        <v>243</v>
      </c>
      <c r="C2160" s="23" t="s">
        <v>99</v>
      </c>
      <c r="D2160" s="27">
        <v>45227.03125</v>
      </c>
      <c r="E2160" s="18" t="s">
        <v>98</v>
      </c>
      <c r="F2160" s="18" t="s">
        <v>38</v>
      </c>
      <c r="G2160" s="18">
        <v>2850</v>
      </c>
      <c r="H2160" s="25">
        <f t="shared" si="132"/>
        <v>45227</v>
      </c>
      <c r="I2160" s="26">
        <f t="shared" si="133"/>
        <v>3.125E-2</v>
      </c>
      <c r="J2160" s="18" t="str">
        <f t="shared" si="134"/>
        <v>October</v>
      </c>
      <c r="K2160" s="56" t="str">
        <f t="shared" si="135"/>
        <v>Saturday</v>
      </c>
      <c r="L2160" s="18" t="str">
        <f>IF(OR(G2160&gt;Answers!I2175,G2160&lt;Answers!I2176),"Outlier","Normal")</f>
        <v>Outlier</v>
      </c>
      <c r="M2160" s="18">
        <v>18</v>
      </c>
    </row>
    <row r="2161" spans="1:13" ht="20" customHeight="1" x14ac:dyDescent="0.35">
      <c r="A2161" s="17">
        <v>1465193</v>
      </c>
      <c r="B2161" s="18">
        <v>87</v>
      </c>
      <c r="C2161" s="23" t="s">
        <v>113</v>
      </c>
      <c r="D2161" s="27">
        <v>45041.020833333336</v>
      </c>
      <c r="E2161" s="18" t="s">
        <v>98</v>
      </c>
      <c r="F2161" s="18" t="s">
        <v>69</v>
      </c>
      <c r="G2161" s="18">
        <v>7107</v>
      </c>
      <c r="H2161" s="25">
        <f t="shared" si="132"/>
        <v>45041</v>
      </c>
      <c r="I2161" s="26">
        <f t="shared" si="133"/>
        <v>2.0833333335758653E-2</v>
      </c>
      <c r="J2161" s="18" t="str">
        <f t="shared" si="134"/>
        <v>April</v>
      </c>
      <c r="K2161" s="56" t="str">
        <f t="shared" si="135"/>
        <v>Tuesday</v>
      </c>
      <c r="L2161" s="18" t="str">
        <f>IF(OR(G2161&gt;Answers!I2176,G2161&lt;Answers!I2177),"Outlier","Normal")</f>
        <v>Outlier</v>
      </c>
      <c r="M2161" s="18">
        <v>62</v>
      </c>
    </row>
    <row r="2162" spans="1:13" ht="20" customHeight="1" x14ac:dyDescent="0.35">
      <c r="A2162" s="17">
        <v>1465254</v>
      </c>
      <c r="B2162" s="18">
        <v>1992</v>
      </c>
      <c r="C2162" s="23" t="s">
        <v>108</v>
      </c>
      <c r="D2162" s="27">
        <v>45170.029861111114</v>
      </c>
      <c r="E2162" s="18" t="s">
        <v>98</v>
      </c>
      <c r="F2162" s="18" t="s">
        <v>24</v>
      </c>
      <c r="G2162" s="18">
        <v>5514</v>
      </c>
      <c r="H2162" s="25">
        <f t="shared" si="132"/>
        <v>45170</v>
      </c>
      <c r="I2162" s="26">
        <f t="shared" si="133"/>
        <v>2.9861111113859806E-2</v>
      </c>
      <c r="J2162" s="18" t="str">
        <f t="shared" si="134"/>
        <v>September</v>
      </c>
      <c r="K2162" s="56" t="str">
        <f t="shared" si="135"/>
        <v>Friday</v>
      </c>
      <c r="L2162" s="18" t="str">
        <f>IF(OR(G2162&gt;Answers!I2177,G2162&lt;Answers!I2178),"Outlier","Normal")</f>
        <v>Outlier</v>
      </c>
      <c r="M2162" s="18">
        <v>66</v>
      </c>
    </row>
    <row r="2163" spans="1:13" ht="20" customHeight="1" x14ac:dyDescent="0.35">
      <c r="A2163" s="17">
        <v>1466316</v>
      </c>
      <c r="B2163" s="18">
        <v>122</v>
      </c>
      <c r="C2163" s="23" t="s">
        <v>105</v>
      </c>
      <c r="D2163" s="27">
        <v>44933.07708333333</v>
      </c>
      <c r="E2163" s="18" t="s">
        <v>133</v>
      </c>
      <c r="F2163" s="18" t="s">
        <v>22</v>
      </c>
      <c r="G2163" s="18">
        <v>1672</v>
      </c>
      <c r="H2163" s="25">
        <f t="shared" si="132"/>
        <v>44933</v>
      </c>
      <c r="I2163" s="26">
        <f t="shared" si="133"/>
        <v>7.7083333329937886E-2</v>
      </c>
      <c r="J2163" s="18" t="str">
        <f t="shared" si="134"/>
        <v>January</v>
      </c>
      <c r="K2163" s="56" t="str">
        <f t="shared" si="135"/>
        <v>Saturday</v>
      </c>
      <c r="L2163" s="18" t="str">
        <f>IF(OR(G2163&gt;Answers!I2178,G2163&lt;Answers!I2179),"Outlier","Normal")</f>
        <v>Outlier</v>
      </c>
      <c r="M2163" s="18">
        <v>41</v>
      </c>
    </row>
    <row r="2164" spans="1:13" ht="20" customHeight="1" x14ac:dyDescent="0.35">
      <c r="A2164" s="17">
        <v>1466372</v>
      </c>
      <c r="B2164" s="18">
        <v>1073</v>
      </c>
      <c r="C2164" s="23" t="s">
        <v>105</v>
      </c>
      <c r="D2164" s="27">
        <v>45246.957638888889</v>
      </c>
      <c r="E2164" s="18" t="s">
        <v>98</v>
      </c>
      <c r="F2164" s="18" t="s">
        <v>41</v>
      </c>
      <c r="G2164" s="18">
        <v>8940</v>
      </c>
      <c r="H2164" s="25">
        <f t="shared" si="132"/>
        <v>45246</v>
      </c>
      <c r="I2164" s="26">
        <f t="shared" si="133"/>
        <v>0.95763888888905058</v>
      </c>
      <c r="J2164" s="18" t="str">
        <f t="shared" si="134"/>
        <v>November</v>
      </c>
      <c r="K2164" s="56" t="str">
        <f t="shared" si="135"/>
        <v>Thursday</v>
      </c>
      <c r="L2164" s="18" t="str">
        <f>IF(OR(G2164&gt;Answers!I2179,G2164&lt;Answers!I2180),"Outlier","Normal")</f>
        <v>Outlier</v>
      </c>
      <c r="M2164" s="18">
        <v>60</v>
      </c>
    </row>
    <row r="2165" spans="1:13" ht="20" customHeight="1" x14ac:dyDescent="0.35">
      <c r="A2165" s="17">
        <v>1466718</v>
      </c>
      <c r="B2165" s="18">
        <v>453</v>
      </c>
      <c r="C2165" s="23" t="s">
        <v>100</v>
      </c>
      <c r="D2165" s="27">
        <v>45072.000694444447</v>
      </c>
      <c r="E2165" s="18" t="s">
        <v>98</v>
      </c>
      <c r="F2165" s="18" t="s">
        <v>19</v>
      </c>
      <c r="G2165" s="18">
        <v>9174</v>
      </c>
      <c r="H2165" s="25">
        <f t="shared" si="132"/>
        <v>45072</v>
      </c>
      <c r="I2165" s="26">
        <f t="shared" si="133"/>
        <v>6.944444467080757E-4</v>
      </c>
      <c r="J2165" s="18" t="str">
        <f t="shared" si="134"/>
        <v>May</v>
      </c>
      <c r="K2165" s="56" t="str">
        <f t="shared" si="135"/>
        <v>Friday</v>
      </c>
      <c r="L2165" s="18" t="str">
        <f>IF(OR(G2165&gt;Answers!I2180,G2165&lt;Answers!I2181),"Outlier","Normal")</f>
        <v>Outlier</v>
      </c>
      <c r="M2165" s="18">
        <v>52</v>
      </c>
    </row>
    <row r="2166" spans="1:13" ht="20" customHeight="1" x14ac:dyDescent="0.35">
      <c r="A2166" s="17">
        <v>1467283</v>
      </c>
      <c r="B2166" s="18">
        <v>113</v>
      </c>
      <c r="C2166" s="23" t="s">
        <v>99</v>
      </c>
      <c r="D2166" s="27">
        <v>45142.101388888892</v>
      </c>
      <c r="E2166" s="18" t="s">
        <v>98</v>
      </c>
      <c r="F2166" s="18" t="s">
        <v>35</v>
      </c>
      <c r="G2166" s="18">
        <v>722</v>
      </c>
      <c r="H2166" s="25">
        <f t="shared" si="132"/>
        <v>45142</v>
      </c>
      <c r="I2166" s="26">
        <f t="shared" si="133"/>
        <v>0.10138888889196096</v>
      </c>
      <c r="J2166" s="18" t="str">
        <f t="shared" si="134"/>
        <v>August</v>
      </c>
      <c r="K2166" s="56" t="str">
        <f t="shared" si="135"/>
        <v>Friday</v>
      </c>
      <c r="L2166" s="18" t="str">
        <f>IF(OR(G2166&gt;Answers!I2181,G2166&lt;Answers!I2182),"Outlier","Normal")</f>
        <v>Outlier</v>
      </c>
      <c r="M2166" s="18">
        <v>72</v>
      </c>
    </row>
    <row r="2167" spans="1:13" ht="20" customHeight="1" x14ac:dyDescent="0.35">
      <c r="A2167" s="17">
        <v>1469052</v>
      </c>
      <c r="B2167" s="18">
        <v>376</v>
      </c>
      <c r="C2167" s="23" t="s">
        <v>113</v>
      </c>
      <c r="D2167" s="27">
        <v>45092.978472222225</v>
      </c>
      <c r="E2167" s="18" t="s">
        <v>97</v>
      </c>
      <c r="F2167" s="18" t="s">
        <v>15</v>
      </c>
      <c r="G2167" s="18">
        <v>4580</v>
      </c>
      <c r="H2167" s="25">
        <f t="shared" si="132"/>
        <v>45092</v>
      </c>
      <c r="I2167" s="26">
        <f t="shared" si="133"/>
        <v>0.97847222222480923</v>
      </c>
      <c r="J2167" s="18" t="str">
        <f t="shared" si="134"/>
        <v>June</v>
      </c>
      <c r="K2167" s="56" t="str">
        <f t="shared" si="135"/>
        <v>Thursday</v>
      </c>
      <c r="L2167" s="18" t="str">
        <f>IF(OR(G2167&gt;Answers!I2182,G2167&lt;Answers!I2183),"Outlier","Normal")</f>
        <v>Outlier</v>
      </c>
      <c r="M2167" s="18">
        <v>89</v>
      </c>
    </row>
    <row r="2168" spans="1:13" ht="20" customHeight="1" x14ac:dyDescent="0.35">
      <c r="A2168" s="17">
        <v>1469471</v>
      </c>
      <c r="B2168" s="18">
        <v>736</v>
      </c>
      <c r="C2168" s="23" t="s">
        <v>99</v>
      </c>
      <c r="D2168" s="27">
        <v>45043.006944444445</v>
      </c>
      <c r="E2168" s="18" t="s">
        <v>97</v>
      </c>
      <c r="F2168" s="18" t="s">
        <v>43</v>
      </c>
      <c r="G2168" s="18">
        <v>4917</v>
      </c>
      <c r="H2168" s="25">
        <f t="shared" si="132"/>
        <v>45043</v>
      </c>
      <c r="I2168" s="26">
        <f t="shared" si="133"/>
        <v>6.9444444452528842E-3</v>
      </c>
      <c r="J2168" s="18" t="str">
        <f t="shared" si="134"/>
        <v>April</v>
      </c>
      <c r="K2168" s="56" t="str">
        <f t="shared" si="135"/>
        <v>Thursday</v>
      </c>
      <c r="L2168" s="18" t="str">
        <f>IF(OR(G2168&gt;Answers!I2183,G2168&lt;Answers!I2184),"Outlier","Normal")</f>
        <v>Outlier</v>
      </c>
      <c r="M2168" s="18">
        <v>50</v>
      </c>
    </row>
    <row r="2169" spans="1:13" ht="20" customHeight="1" x14ac:dyDescent="0.35">
      <c r="A2169" s="17">
        <v>1470933</v>
      </c>
      <c r="B2169" s="18">
        <v>1285</v>
      </c>
      <c r="C2169" s="23" t="s">
        <v>105</v>
      </c>
      <c r="D2169" s="27">
        <v>45140.038194444445</v>
      </c>
      <c r="E2169" s="18" t="s">
        <v>96</v>
      </c>
      <c r="F2169" s="18" t="s">
        <v>29</v>
      </c>
      <c r="G2169" s="18">
        <v>5249</v>
      </c>
      <c r="H2169" s="25">
        <f t="shared" si="132"/>
        <v>45140</v>
      </c>
      <c r="I2169" s="26">
        <f t="shared" si="133"/>
        <v>3.8194444445252884E-2</v>
      </c>
      <c r="J2169" s="18" t="str">
        <f t="shared" si="134"/>
        <v>August</v>
      </c>
      <c r="K2169" s="56" t="str">
        <f t="shared" si="135"/>
        <v>Wednesday</v>
      </c>
      <c r="L2169" s="18" t="str">
        <f>IF(OR(G2169&gt;Answers!I2184,G2169&lt;Answers!I2185),"Outlier","Normal")</f>
        <v>Outlier</v>
      </c>
      <c r="M2169" s="18">
        <v>56</v>
      </c>
    </row>
    <row r="2170" spans="1:13" ht="20" customHeight="1" x14ac:dyDescent="0.35">
      <c r="A2170" s="17">
        <v>1471380</v>
      </c>
      <c r="B2170" s="18">
        <v>139</v>
      </c>
      <c r="C2170" s="23" t="s">
        <v>99</v>
      </c>
      <c r="D2170" s="27">
        <v>45166.959722222222</v>
      </c>
      <c r="E2170" s="18" t="s">
        <v>96</v>
      </c>
      <c r="F2170" s="18" t="s">
        <v>27</v>
      </c>
      <c r="G2170" s="18">
        <v>2139</v>
      </c>
      <c r="H2170" s="25">
        <f t="shared" si="132"/>
        <v>45166</v>
      </c>
      <c r="I2170" s="26">
        <f t="shared" si="133"/>
        <v>0.95972222222189885</v>
      </c>
      <c r="J2170" s="18" t="str">
        <f t="shared" si="134"/>
        <v>August</v>
      </c>
      <c r="K2170" s="56" t="str">
        <f t="shared" si="135"/>
        <v>Monday</v>
      </c>
      <c r="L2170" s="18" t="str">
        <f>IF(OR(G2170&gt;Answers!I2185,G2170&lt;Answers!I2186),"Outlier","Normal")</f>
        <v>Outlier</v>
      </c>
      <c r="M2170" s="18">
        <v>75</v>
      </c>
    </row>
    <row r="2171" spans="1:13" ht="20" customHeight="1" x14ac:dyDescent="0.35">
      <c r="A2171" s="17">
        <v>1471535</v>
      </c>
      <c r="B2171" s="18">
        <v>668</v>
      </c>
      <c r="C2171" s="23" t="s">
        <v>100</v>
      </c>
      <c r="D2171" s="27">
        <v>45284.963194444441</v>
      </c>
      <c r="E2171" s="18" t="s">
        <v>97</v>
      </c>
      <c r="F2171" s="18" t="s">
        <v>43</v>
      </c>
      <c r="G2171" s="18">
        <v>6311</v>
      </c>
      <c r="H2171" s="25">
        <f t="shared" si="132"/>
        <v>45284</v>
      </c>
      <c r="I2171" s="26">
        <f t="shared" si="133"/>
        <v>0.96319444444088731</v>
      </c>
      <c r="J2171" s="18" t="str">
        <f t="shared" si="134"/>
        <v>December</v>
      </c>
      <c r="K2171" s="56" t="str">
        <f t="shared" si="135"/>
        <v>Sunday</v>
      </c>
      <c r="L2171" s="18" t="str">
        <f>IF(OR(G2171&gt;Answers!I2186,G2171&lt;Answers!I2187),"Outlier","Normal")</f>
        <v>Outlier</v>
      </c>
      <c r="M2171" s="18">
        <v>90</v>
      </c>
    </row>
    <row r="2172" spans="1:13" ht="20" customHeight="1" x14ac:dyDescent="0.35">
      <c r="A2172" s="17">
        <v>1472021</v>
      </c>
      <c r="B2172" s="18">
        <v>1564</v>
      </c>
      <c r="C2172" s="23" t="s">
        <v>106</v>
      </c>
      <c r="D2172" s="27">
        <v>45282.01666666667</v>
      </c>
      <c r="E2172" s="18" t="s">
        <v>97</v>
      </c>
      <c r="F2172" s="18" t="s">
        <v>43</v>
      </c>
      <c r="G2172" s="18">
        <v>7609</v>
      </c>
      <c r="H2172" s="25">
        <f t="shared" si="132"/>
        <v>45282</v>
      </c>
      <c r="I2172" s="26">
        <f t="shared" si="133"/>
        <v>1.6666666670062114E-2</v>
      </c>
      <c r="J2172" s="18" t="str">
        <f t="shared" si="134"/>
        <v>December</v>
      </c>
      <c r="K2172" s="56" t="str">
        <f t="shared" si="135"/>
        <v>Friday</v>
      </c>
      <c r="L2172" s="18" t="str">
        <f>IF(OR(G2172&gt;Answers!I2187,G2172&lt;Answers!I2188),"Outlier","Normal")</f>
        <v>Outlier</v>
      </c>
      <c r="M2172" s="18">
        <v>89</v>
      </c>
    </row>
    <row r="2173" spans="1:13" ht="20" customHeight="1" x14ac:dyDescent="0.35">
      <c r="A2173" s="17">
        <v>1472256</v>
      </c>
      <c r="B2173" s="18">
        <v>196</v>
      </c>
      <c r="C2173" s="23" t="s">
        <v>99</v>
      </c>
      <c r="D2173" s="27">
        <v>45274.006249999999</v>
      </c>
      <c r="E2173" s="18" t="s">
        <v>97</v>
      </c>
      <c r="F2173" s="18" t="s">
        <v>47</v>
      </c>
      <c r="G2173" s="18">
        <v>2311</v>
      </c>
      <c r="H2173" s="25">
        <f t="shared" si="132"/>
        <v>45274</v>
      </c>
      <c r="I2173" s="26">
        <f t="shared" si="133"/>
        <v>6.2499999985448085E-3</v>
      </c>
      <c r="J2173" s="18" t="str">
        <f t="shared" si="134"/>
        <v>December</v>
      </c>
      <c r="K2173" s="56" t="str">
        <f t="shared" si="135"/>
        <v>Thursday</v>
      </c>
      <c r="L2173" s="18" t="str">
        <f>IF(OR(G2173&gt;Answers!I2188,G2173&lt;Answers!I2189),"Outlier","Normal")</f>
        <v>Outlier</v>
      </c>
      <c r="M2173" s="18">
        <v>77</v>
      </c>
    </row>
    <row r="2174" spans="1:13" ht="20" customHeight="1" x14ac:dyDescent="0.35">
      <c r="A2174" s="17">
        <v>1472426</v>
      </c>
      <c r="B2174" s="18">
        <v>338</v>
      </c>
      <c r="C2174" s="23" t="s">
        <v>113</v>
      </c>
      <c r="D2174" s="27">
        <v>45185.997916666667</v>
      </c>
      <c r="E2174" s="18" t="s">
        <v>96</v>
      </c>
      <c r="F2174" s="18" t="s">
        <v>18</v>
      </c>
      <c r="G2174" s="18">
        <v>2068</v>
      </c>
      <c r="H2174" s="25">
        <f t="shared" si="132"/>
        <v>45185</v>
      </c>
      <c r="I2174" s="26">
        <f t="shared" si="133"/>
        <v>0.99791666666715173</v>
      </c>
      <c r="J2174" s="18" t="str">
        <f t="shared" si="134"/>
        <v>September</v>
      </c>
      <c r="K2174" s="56" t="str">
        <f t="shared" si="135"/>
        <v>Saturday</v>
      </c>
      <c r="L2174" s="18" t="str">
        <f>IF(OR(G2174&gt;Answers!I2189,G2174&lt;Answers!I2190),"Outlier","Normal")</f>
        <v>Outlier</v>
      </c>
      <c r="M2174" s="18">
        <v>51</v>
      </c>
    </row>
    <row r="2175" spans="1:13" ht="20" customHeight="1" x14ac:dyDescent="0.35">
      <c r="A2175" s="17">
        <v>1472446</v>
      </c>
      <c r="B2175" s="18">
        <v>1614</v>
      </c>
      <c r="C2175" s="23" t="s">
        <v>99</v>
      </c>
      <c r="D2175" s="27">
        <v>45233.074999999997</v>
      </c>
      <c r="E2175" s="18" t="s">
        <v>133</v>
      </c>
      <c r="F2175" s="18" t="s">
        <v>4</v>
      </c>
      <c r="G2175" s="18">
        <v>7570</v>
      </c>
      <c r="H2175" s="25">
        <f t="shared" si="132"/>
        <v>45233</v>
      </c>
      <c r="I2175" s="26">
        <f t="shared" si="133"/>
        <v>7.4999999997089617E-2</v>
      </c>
      <c r="J2175" s="18" t="str">
        <f t="shared" si="134"/>
        <v>November</v>
      </c>
      <c r="K2175" s="56" t="str">
        <f t="shared" si="135"/>
        <v>Friday</v>
      </c>
      <c r="L2175" s="18" t="str">
        <f>IF(OR(G2175&gt;Answers!I2190,G2175&lt;Answers!I2191),"Outlier","Normal")</f>
        <v>Outlier</v>
      </c>
      <c r="M2175" s="18">
        <v>37</v>
      </c>
    </row>
    <row r="2176" spans="1:13" ht="20" customHeight="1" x14ac:dyDescent="0.35">
      <c r="A2176" s="17">
        <v>1473392</v>
      </c>
      <c r="B2176" s="18">
        <v>1230</v>
      </c>
      <c r="C2176" s="23" t="s">
        <v>105</v>
      </c>
      <c r="D2176" s="27">
        <v>45183.070833333331</v>
      </c>
      <c r="E2176" s="18" t="s">
        <v>133</v>
      </c>
      <c r="F2176" s="18" t="s">
        <v>14</v>
      </c>
      <c r="G2176" s="18">
        <v>4758</v>
      </c>
      <c r="H2176" s="25">
        <f t="shared" si="132"/>
        <v>45183</v>
      </c>
      <c r="I2176" s="26">
        <f t="shared" si="133"/>
        <v>7.0833333331393078E-2</v>
      </c>
      <c r="J2176" s="18" t="str">
        <f t="shared" si="134"/>
        <v>September</v>
      </c>
      <c r="K2176" s="56" t="str">
        <f t="shared" si="135"/>
        <v>Thursday</v>
      </c>
      <c r="L2176" s="18" t="str">
        <f>IF(OR(G2176&gt;Answers!I2191,G2176&lt;Answers!I2192),"Outlier","Normal")</f>
        <v>Outlier</v>
      </c>
      <c r="M2176" s="18">
        <v>80</v>
      </c>
    </row>
    <row r="2177" spans="1:13" ht="20" customHeight="1" x14ac:dyDescent="0.35">
      <c r="A2177" s="17">
        <v>1474092</v>
      </c>
      <c r="B2177" s="18">
        <v>1710</v>
      </c>
      <c r="C2177" s="23" t="s">
        <v>105</v>
      </c>
      <c r="D2177" s="27">
        <v>45079.993750000001</v>
      </c>
      <c r="E2177" s="18" t="s">
        <v>98</v>
      </c>
      <c r="F2177" s="18" t="s">
        <v>27</v>
      </c>
      <c r="G2177" s="18">
        <v>7733</v>
      </c>
      <c r="H2177" s="25">
        <f t="shared" si="132"/>
        <v>45079</v>
      </c>
      <c r="I2177" s="26">
        <f t="shared" si="133"/>
        <v>0.99375000000145519</v>
      </c>
      <c r="J2177" s="18" t="str">
        <f t="shared" si="134"/>
        <v>June</v>
      </c>
      <c r="K2177" s="56" t="str">
        <f t="shared" si="135"/>
        <v>Friday</v>
      </c>
      <c r="L2177" s="18" t="str">
        <f>IF(OR(G2177&gt;Answers!I2192,G2177&lt;Answers!I2193),"Outlier","Normal")</f>
        <v>Outlier</v>
      </c>
      <c r="M2177" s="18">
        <v>84</v>
      </c>
    </row>
    <row r="2178" spans="1:13" ht="20" customHeight="1" x14ac:dyDescent="0.35">
      <c r="A2178" s="17">
        <v>1474156</v>
      </c>
      <c r="B2178" s="18">
        <v>1822</v>
      </c>
      <c r="C2178" s="23" t="s">
        <v>99</v>
      </c>
      <c r="D2178" s="27">
        <v>45076.994444444441</v>
      </c>
      <c r="E2178" s="18" t="s">
        <v>96</v>
      </c>
      <c r="F2178" s="18" t="s">
        <v>7</v>
      </c>
      <c r="G2178" s="18">
        <v>597</v>
      </c>
      <c r="H2178" s="25">
        <f t="shared" si="132"/>
        <v>45076</v>
      </c>
      <c r="I2178" s="26">
        <f t="shared" si="133"/>
        <v>0.99444444444088731</v>
      </c>
      <c r="J2178" s="18" t="str">
        <f t="shared" si="134"/>
        <v>May</v>
      </c>
      <c r="K2178" s="56" t="str">
        <f t="shared" si="135"/>
        <v>Tuesday</v>
      </c>
      <c r="L2178" s="18" t="str">
        <f>IF(OR(G2178&gt;Answers!I2193,G2178&lt;Answers!I2194),"Outlier","Normal")</f>
        <v>Outlier</v>
      </c>
      <c r="M2178" s="18">
        <v>56</v>
      </c>
    </row>
    <row r="2179" spans="1:13" ht="20" customHeight="1" x14ac:dyDescent="0.35">
      <c r="A2179" s="17">
        <v>1474744</v>
      </c>
      <c r="B2179" s="18">
        <v>1900</v>
      </c>
      <c r="C2179" s="23" t="s">
        <v>106</v>
      </c>
      <c r="D2179" s="27">
        <v>45038.040277777778</v>
      </c>
      <c r="E2179" s="18" t="s">
        <v>98</v>
      </c>
      <c r="F2179" s="18" t="s">
        <v>9</v>
      </c>
      <c r="G2179" s="18">
        <v>9529</v>
      </c>
      <c r="H2179" s="25">
        <f t="shared" ref="H2179:H2242" si="136">INT(D2179)</f>
        <v>45038</v>
      </c>
      <c r="I2179" s="26">
        <f t="shared" ref="I2179:I2242" si="137">MOD(D2179,1)</f>
        <v>4.0277777778101154E-2</v>
      </c>
      <c r="J2179" s="18" t="str">
        <f t="shared" ref="J2179:J2242" si="138">TEXT(D2179,"mmmm")</f>
        <v>April</v>
      </c>
      <c r="K2179" s="56" t="str">
        <f t="shared" ref="K2179:K2242" si="139">TEXT(D2179,"dddd")</f>
        <v>Saturday</v>
      </c>
      <c r="L2179" s="18" t="str">
        <f>IF(OR(G2179&gt;Answers!I2194,G2179&lt;Answers!I2195),"Outlier","Normal")</f>
        <v>Outlier</v>
      </c>
      <c r="M2179" s="18">
        <v>28</v>
      </c>
    </row>
    <row r="2180" spans="1:13" ht="20" customHeight="1" x14ac:dyDescent="0.35">
      <c r="A2180" s="17">
        <v>1474867</v>
      </c>
      <c r="B2180" s="18">
        <v>1837</v>
      </c>
      <c r="C2180" s="23" t="s">
        <v>110</v>
      </c>
      <c r="D2180" s="27">
        <v>45268.007638888892</v>
      </c>
      <c r="E2180" s="18" t="s">
        <v>96</v>
      </c>
      <c r="F2180" s="18" t="s">
        <v>11</v>
      </c>
      <c r="G2180" s="18">
        <v>6262</v>
      </c>
      <c r="H2180" s="25">
        <f t="shared" si="136"/>
        <v>45268</v>
      </c>
      <c r="I2180" s="26">
        <f t="shared" si="137"/>
        <v>7.6388888919609599E-3</v>
      </c>
      <c r="J2180" s="18" t="str">
        <f t="shared" si="138"/>
        <v>December</v>
      </c>
      <c r="K2180" s="56" t="str">
        <f t="shared" si="139"/>
        <v>Friday</v>
      </c>
      <c r="L2180" s="18" t="str">
        <f>IF(OR(G2180&gt;Answers!I2195,G2180&lt;Answers!I2196),"Outlier","Normal")</f>
        <v>Outlier</v>
      </c>
      <c r="M2180" s="18">
        <v>87</v>
      </c>
    </row>
    <row r="2181" spans="1:13" ht="20" customHeight="1" x14ac:dyDescent="0.35">
      <c r="A2181" s="17">
        <v>1475178</v>
      </c>
      <c r="B2181" s="18">
        <v>466</v>
      </c>
      <c r="C2181" s="23" t="s">
        <v>107</v>
      </c>
      <c r="D2181" s="27">
        <v>45028.006944444445</v>
      </c>
      <c r="E2181" s="18" t="s">
        <v>133</v>
      </c>
      <c r="F2181" s="18" t="s">
        <v>48</v>
      </c>
      <c r="G2181" s="18">
        <v>1408</v>
      </c>
      <c r="H2181" s="25">
        <f t="shared" si="136"/>
        <v>45028</v>
      </c>
      <c r="I2181" s="26">
        <f t="shared" si="137"/>
        <v>6.9444444452528842E-3</v>
      </c>
      <c r="J2181" s="18" t="str">
        <f t="shared" si="138"/>
        <v>April</v>
      </c>
      <c r="K2181" s="56" t="str">
        <f t="shared" si="139"/>
        <v>Wednesday</v>
      </c>
      <c r="L2181" s="18" t="str">
        <f>IF(OR(G2181&gt;Answers!I2196,G2181&lt;Answers!I2197),"Outlier","Normal")</f>
        <v>Outlier</v>
      </c>
      <c r="M2181" s="18">
        <v>32</v>
      </c>
    </row>
    <row r="2182" spans="1:13" ht="20" customHeight="1" x14ac:dyDescent="0.35">
      <c r="A2182" s="17">
        <v>1475354</v>
      </c>
      <c r="B2182" s="18">
        <v>1633</v>
      </c>
      <c r="C2182" s="23" t="s">
        <v>101</v>
      </c>
      <c r="D2182" s="27">
        <v>45208.018750000003</v>
      </c>
      <c r="E2182" s="18" t="s">
        <v>96</v>
      </c>
      <c r="F2182" s="18" t="s">
        <v>14</v>
      </c>
      <c r="G2182" s="18">
        <v>7693</v>
      </c>
      <c r="H2182" s="25">
        <f t="shared" si="136"/>
        <v>45208</v>
      </c>
      <c r="I2182" s="26">
        <f t="shared" si="137"/>
        <v>1.8750000002910383E-2</v>
      </c>
      <c r="J2182" s="18" t="str">
        <f t="shared" si="138"/>
        <v>October</v>
      </c>
      <c r="K2182" s="56" t="str">
        <f t="shared" si="139"/>
        <v>Monday</v>
      </c>
      <c r="L2182" s="18" t="str">
        <f>IF(OR(G2182&gt;Answers!I2197,G2182&lt;Answers!I2198),"Outlier","Normal")</f>
        <v>Outlier</v>
      </c>
      <c r="M2182" s="18">
        <v>64</v>
      </c>
    </row>
    <row r="2183" spans="1:13" ht="20" customHeight="1" x14ac:dyDescent="0.35">
      <c r="A2183" s="17">
        <v>1477405</v>
      </c>
      <c r="B2183" s="18">
        <v>1342</v>
      </c>
      <c r="C2183" s="23" t="s">
        <v>99</v>
      </c>
      <c r="D2183" s="27">
        <v>45203.063888888886</v>
      </c>
      <c r="E2183" s="18" t="s">
        <v>133</v>
      </c>
      <c r="F2183" s="18" t="s">
        <v>61</v>
      </c>
      <c r="G2183" s="18">
        <v>6068</v>
      </c>
      <c r="H2183" s="25">
        <f t="shared" si="136"/>
        <v>45203</v>
      </c>
      <c r="I2183" s="26">
        <f t="shared" si="137"/>
        <v>6.3888888886140194E-2</v>
      </c>
      <c r="J2183" s="18" t="str">
        <f t="shared" si="138"/>
        <v>October</v>
      </c>
      <c r="K2183" s="56" t="str">
        <f t="shared" si="139"/>
        <v>Wednesday</v>
      </c>
      <c r="L2183" s="18" t="str">
        <f>IF(OR(G2183&gt;Answers!I2198,G2183&lt;Answers!I2199),"Outlier","Normal")</f>
        <v>Outlier</v>
      </c>
      <c r="M2183" s="18">
        <v>24</v>
      </c>
    </row>
    <row r="2184" spans="1:13" ht="20" customHeight="1" x14ac:dyDescent="0.35">
      <c r="A2184" s="17">
        <v>1477894</v>
      </c>
      <c r="B2184" s="18">
        <v>1834</v>
      </c>
      <c r="C2184" s="23" t="s">
        <v>101</v>
      </c>
      <c r="D2184" s="27">
        <v>44948.981249999997</v>
      </c>
      <c r="E2184" s="18" t="s">
        <v>98</v>
      </c>
      <c r="F2184" s="18" t="s">
        <v>65</v>
      </c>
      <c r="G2184" s="18">
        <v>9471</v>
      </c>
      <c r="H2184" s="25">
        <f t="shared" si="136"/>
        <v>44948</v>
      </c>
      <c r="I2184" s="26">
        <f t="shared" si="137"/>
        <v>0.98124999999708962</v>
      </c>
      <c r="J2184" s="18" t="str">
        <f t="shared" si="138"/>
        <v>January</v>
      </c>
      <c r="K2184" s="56" t="str">
        <f t="shared" si="139"/>
        <v>Sunday</v>
      </c>
      <c r="L2184" s="18" t="str">
        <f>IF(OR(G2184&gt;Answers!I2199,G2184&lt;Answers!I2200),"Outlier","Normal")</f>
        <v>Outlier</v>
      </c>
      <c r="M2184" s="18">
        <v>60</v>
      </c>
    </row>
    <row r="2185" spans="1:13" ht="20" customHeight="1" x14ac:dyDescent="0.35">
      <c r="A2185" s="17">
        <v>1478839</v>
      </c>
      <c r="B2185" s="18">
        <v>896</v>
      </c>
      <c r="C2185" s="23" t="s">
        <v>101</v>
      </c>
      <c r="D2185" s="27">
        <v>44964.071527777778</v>
      </c>
      <c r="E2185" s="18" t="s">
        <v>98</v>
      </c>
      <c r="F2185" s="18" t="s">
        <v>17</v>
      </c>
      <c r="G2185" s="18">
        <v>6444</v>
      </c>
      <c r="H2185" s="25">
        <f t="shared" si="136"/>
        <v>44964</v>
      </c>
      <c r="I2185" s="26">
        <f t="shared" si="137"/>
        <v>7.1527777778101154E-2</v>
      </c>
      <c r="J2185" s="18" t="str">
        <f t="shared" si="138"/>
        <v>February</v>
      </c>
      <c r="K2185" s="56" t="str">
        <f t="shared" si="139"/>
        <v>Tuesday</v>
      </c>
      <c r="L2185" s="18" t="str">
        <f>IF(OR(G2185&gt;Answers!I2200,G2185&lt;Answers!I2201),"Outlier","Normal")</f>
        <v>Outlier</v>
      </c>
      <c r="M2185" s="18">
        <v>79</v>
      </c>
    </row>
    <row r="2186" spans="1:13" ht="20" customHeight="1" x14ac:dyDescent="0.35">
      <c r="A2186" s="17">
        <v>1479085</v>
      </c>
      <c r="B2186" s="18">
        <v>510</v>
      </c>
      <c r="C2186" s="23" t="s">
        <v>99</v>
      </c>
      <c r="D2186" s="27">
        <v>45251.945138888892</v>
      </c>
      <c r="E2186" s="18" t="s">
        <v>96</v>
      </c>
      <c r="F2186" s="18" t="s">
        <v>18</v>
      </c>
      <c r="G2186" s="18">
        <v>6503</v>
      </c>
      <c r="H2186" s="25">
        <f t="shared" si="136"/>
        <v>45251</v>
      </c>
      <c r="I2186" s="26">
        <f t="shared" si="137"/>
        <v>0.94513888889196096</v>
      </c>
      <c r="J2186" s="18" t="str">
        <f t="shared" si="138"/>
        <v>November</v>
      </c>
      <c r="K2186" s="56" t="str">
        <f t="shared" si="139"/>
        <v>Tuesday</v>
      </c>
      <c r="L2186" s="18" t="str">
        <f>IF(OR(G2186&gt;Answers!I2201,G2186&lt;Answers!I2202),"Outlier","Normal")</f>
        <v>Outlier</v>
      </c>
      <c r="M2186" s="18">
        <v>39</v>
      </c>
    </row>
    <row r="2187" spans="1:13" ht="20" customHeight="1" x14ac:dyDescent="0.35">
      <c r="A2187" s="17">
        <v>1479736</v>
      </c>
      <c r="B2187" s="18">
        <v>1363</v>
      </c>
      <c r="C2187" s="23" t="s">
        <v>100</v>
      </c>
      <c r="D2187" s="27">
        <v>45206.030555555553</v>
      </c>
      <c r="E2187" s="18" t="s">
        <v>96</v>
      </c>
      <c r="F2187" s="18" t="s">
        <v>19</v>
      </c>
      <c r="G2187" s="18">
        <v>2193</v>
      </c>
      <c r="H2187" s="25">
        <f t="shared" si="136"/>
        <v>45206</v>
      </c>
      <c r="I2187" s="26">
        <f t="shared" si="137"/>
        <v>3.0555555553291924E-2</v>
      </c>
      <c r="J2187" s="18" t="str">
        <f t="shared" si="138"/>
        <v>October</v>
      </c>
      <c r="K2187" s="56" t="str">
        <f t="shared" si="139"/>
        <v>Saturday</v>
      </c>
      <c r="L2187" s="18" t="str">
        <f>IF(OR(G2187&gt;Answers!I2202,G2187&lt;Answers!I2203),"Outlier","Normal")</f>
        <v>Outlier</v>
      </c>
      <c r="M2187" s="18">
        <v>81</v>
      </c>
    </row>
    <row r="2188" spans="1:13" ht="20" customHeight="1" x14ac:dyDescent="0.35">
      <c r="A2188" s="17">
        <v>1479812</v>
      </c>
      <c r="B2188" s="18">
        <v>340</v>
      </c>
      <c r="C2188" s="23" t="s">
        <v>100</v>
      </c>
      <c r="D2188" s="27">
        <v>45090.036805555559</v>
      </c>
      <c r="E2188" s="18" t="s">
        <v>133</v>
      </c>
      <c r="F2188" s="18" t="s">
        <v>79</v>
      </c>
      <c r="G2188" s="18">
        <v>7134</v>
      </c>
      <c r="H2188" s="25">
        <f t="shared" si="136"/>
        <v>45090</v>
      </c>
      <c r="I2188" s="26">
        <f t="shared" si="137"/>
        <v>3.680555555911269E-2</v>
      </c>
      <c r="J2188" s="18" t="str">
        <f t="shared" si="138"/>
        <v>June</v>
      </c>
      <c r="K2188" s="56" t="str">
        <f t="shared" si="139"/>
        <v>Tuesday</v>
      </c>
      <c r="L2188" s="18" t="str">
        <f>IF(OR(G2188&gt;Answers!I2203,G2188&lt;Answers!I2204),"Outlier","Normal")</f>
        <v>Outlier</v>
      </c>
      <c r="M2188" s="18">
        <v>68</v>
      </c>
    </row>
    <row r="2189" spans="1:13" ht="20" customHeight="1" x14ac:dyDescent="0.35">
      <c r="A2189" s="17">
        <v>1480087</v>
      </c>
      <c r="B2189" s="18">
        <v>26</v>
      </c>
      <c r="C2189" s="23" t="s">
        <v>100</v>
      </c>
      <c r="D2189" s="27">
        <v>45115.997916666667</v>
      </c>
      <c r="E2189" s="18" t="s">
        <v>98</v>
      </c>
      <c r="F2189" s="18" t="s">
        <v>51</v>
      </c>
      <c r="G2189" s="18">
        <v>9335</v>
      </c>
      <c r="H2189" s="25">
        <f t="shared" si="136"/>
        <v>45115</v>
      </c>
      <c r="I2189" s="26">
        <f t="shared" si="137"/>
        <v>0.99791666666715173</v>
      </c>
      <c r="J2189" s="18" t="str">
        <f t="shared" si="138"/>
        <v>July</v>
      </c>
      <c r="K2189" s="56" t="str">
        <f t="shared" si="139"/>
        <v>Saturday</v>
      </c>
      <c r="L2189" s="18" t="str">
        <f>IF(OR(G2189&gt;Answers!I2204,G2189&lt;Answers!I2205),"Outlier","Normal")</f>
        <v>Outlier</v>
      </c>
      <c r="M2189" s="18">
        <v>27</v>
      </c>
    </row>
    <row r="2190" spans="1:13" ht="20" customHeight="1" x14ac:dyDescent="0.35">
      <c r="A2190" s="17">
        <v>1480394</v>
      </c>
      <c r="B2190" s="18">
        <v>1003</v>
      </c>
      <c r="C2190" s="23" t="s">
        <v>99</v>
      </c>
      <c r="D2190" s="27">
        <v>45081.025000000001</v>
      </c>
      <c r="E2190" s="18" t="s">
        <v>98</v>
      </c>
      <c r="F2190" s="18" t="s">
        <v>22</v>
      </c>
      <c r="G2190" s="18">
        <v>2616</v>
      </c>
      <c r="H2190" s="25">
        <f t="shared" si="136"/>
        <v>45081</v>
      </c>
      <c r="I2190" s="26">
        <f t="shared" si="137"/>
        <v>2.5000000001455192E-2</v>
      </c>
      <c r="J2190" s="18" t="str">
        <f t="shared" si="138"/>
        <v>June</v>
      </c>
      <c r="K2190" s="56" t="str">
        <f t="shared" si="139"/>
        <v>Sunday</v>
      </c>
      <c r="L2190" s="18" t="str">
        <f>IF(OR(G2190&gt;Answers!I2205,G2190&lt;Answers!I2206),"Outlier","Normal")</f>
        <v>Outlier</v>
      </c>
      <c r="M2190" s="18">
        <v>64</v>
      </c>
    </row>
    <row r="2191" spans="1:13" ht="20" customHeight="1" x14ac:dyDescent="0.35">
      <c r="A2191" s="17">
        <v>1480900</v>
      </c>
      <c r="B2191" s="18">
        <v>866</v>
      </c>
      <c r="C2191" s="23" t="s">
        <v>106</v>
      </c>
      <c r="D2191" s="27">
        <v>44928.008333333331</v>
      </c>
      <c r="E2191" s="18" t="s">
        <v>97</v>
      </c>
      <c r="F2191" s="18" t="s">
        <v>4</v>
      </c>
      <c r="G2191" s="18">
        <v>2284</v>
      </c>
      <c r="H2191" s="25">
        <f t="shared" si="136"/>
        <v>44928</v>
      </c>
      <c r="I2191" s="26">
        <f t="shared" si="137"/>
        <v>8.333333331393078E-3</v>
      </c>
      <c r="J2191" s="18" t="str">
        <f t="shared" si="138"/>
        <v>January</v>
      </c>
      <c r="K2191" s="56" t="str">
        <f t="shared" si="139"/>
        <v>Monday</v>
      </c>
      <c r="L2191" s="18" t="str">
        <f>IF(OR(G2191&gt;Answers!I2206,G2191&lt;Answers!I2207),"Outlier","Normal")</f>
        <v>Outlier</v>
      </c>
      <c r="M2191" s="18">
        <v>66</v>
      </c>
    </row>
    <row r="2192" spans="1:13" ht="20" customHeight="1" x14ac:dyDescent="0.35">
      <c r="A2192" s="17">
        <v>1480961</v>
      </c>
      <c r="B2192" s="18">
        <v>550</v>
      </c>
      <c r="C2192" s="23" t="s">
        <v>99</v>
      </c>
      <c r="D2192" s="27">
        <v>44942.044444444444</v>
      </c>
      <c r="E2192" s="18" t="s">
        <v>98</v>
      </c>
      <c r="F2192" s="18" t="s">
        <v>57</v>
      </c>
      <c r="G2192" s="18">
        <v>8407</v>
      </c>
      <c r="H2192" s="25">
        <f t="shared" si="136"/>
        <v>44942</v>
      </c>
      <c r="I2192" s="26">
        <f t="shared" si="137"/>
        <v>4.4444444443797693E-2</v>
      </c>
      <c r="J2192" s="18" t="str">
        <f t="shared" si="138"/>
        <v>January</v>
      </c>
      <c r="K2192" s="56" t="str">
        <f t="shared" si="139"/>
        <v>Monday</v>
      </c>
      <c r="L2192" s="18" t="str">
        <f>IF(OR(G2192&gt;Answers!I2207,G2192&lt;Answers!I2208),"Outlier","Normal")</f>
        <v>Outlier</v>
      </c>
      <c r="M2192" s="18">
        <v>31</v>
      </c>
    </row>
    <row r="2193" spans="1:13" ht="20" customHeight="1" x14ac:dyDescent="0.35">
      <c r="A2193" s="17">
        <v>1481396</v>
      </c>
      <c r="B2193" s="18">
        <v>619</v>
      </c>
      <c r="C2193" s="23" t="s">
        <v>99</v>
      </c>
      <c r="D2193" s="27">
        <v>45253.049305555556</v>
      </c>
      <c r="E2193" s="18" t="s">
        <v>97</v>
      </c>
      <c r="F2193" s="18" t="s">
        <v>92</v>
      </c>
      <c r="G2193" s="18">
        <v>3557</v>
      </c>
      <c r="H2193" s="25">
        <f t="shared" si="136"/>
        <v>45253</v>
      </c>
      <c r="I2193" s="26">
        <f t="shared" si="137"/>
        <v>4.9305555556202307E-2</v>
      </c>
      <c r="J2193" s="18" t="str">
        <f t="shared" si="138"/>
        <v>November</v>
      </c>
      <c r="K2193" s="56" t="str">
        <f t="shared" si="139"/>
        <v>Thursday</v>
      </c>
      <c r="L2193" s="18" t="str">
        <f>IF(OR(G2193&gt;Answers!I2208,G2193&lt;Answers!I2209),"Outlier","Normal")</f>
        <v>Outlier</v>
      </c>
      <c r="M2193" s="18">
        <v>38</v>
      </c>
    </row>
    <row r="2194" spans="1:13" ht="20" customHeight="1" x14ac:dyDescent="0.35">
      <c r="A2194" s="17">
        <v>1482389</v>
      </c>
      <c r="B2194" s="18">
        <v>1928</v>
      </c>
      <c r="C2194" s="23" t="s">
        <v>101</v>
      </c>
      <c r="D2194" s="27">
        <v>45216.010416666664</v>
      </c>
      <c r="E2194" s="18" t="s">
        <v>133</v>
      </c>
      <c r="F2194" s="18" t="s">
        <v>77</v>
      </c>
      <c r="G2194" s="18">
        <v>32</v>
      </c>
      <c r="H2194" s="25">
        <f t="shared" si="136"/>
        <v>45216</v>
      </c>
      <c r="I2194" s="26">
        <f t="shared" si="137"/>
        <v>1.0416666664241347E-2</v>
      </c>
      <c r="J2194" s="18" t="str">
        <f t="shared" si="138"/>
        <v>October</v>
      </c>
      <c r="K2194" s="56" t="str">
        <f t="shared" si="139"/>
        <v>Tuesday</v>
      </c>
      <c r="L2194" s="18" t="str">
        <f>IF(OR(G2194&gt;Answers!I2209,G2194&lt;Answers!I2210),"Outlier","Normal")</f>
        <v>Outlier</v>
      </c>
      <c r="M2194" s="18">
        <v>62</v>
      </c>
    </row>
    <row r="2195" spans="1:13" ht="20" customHeight="1" x14ac:dyDescent="0.35">
      <c r="A2195" s="17">
        <v>1483729</v>
      </c>
      <c r="B2195" s="18">
        <v>1668</v>
      </c>
      <c r="C2195" s="23" t="s">
        <v>99</v>
      </c>
      <c r="D2195" s="27">
        <v>45183.990972222222</v>
      </c>
      <c r="E2195" s="18" t="s">
        <v>133</v>
      </c>
      <c r="F2195" s="18" t="s">
        <v>18</v>
      </c>
      <c r="G2195" s="18">
        <v>1625</v>
      </c>
      <c r="H2195" s="25">
        <f t="shared" si="136"/>
        <v>45183</v>
      </c>
      <c r="I2195" s="26">
        <f t="shared" si="137"/>
        <v>0.99097222222189885</v>
      </c>
      <c r="J2195" s="18" t="str">
        <f t="shared" si="138"/>
        <v>September</v>
      </c>
      <c r="K2195" s="56" t="str">
        <f t="shared" si="139"/>
        <v>Thursday</v>
      </c>
      <c r="L2195" s="18" t="str">
        <f>IF(OR(G2195&gt;Answers!I2210,G2195&lt;Answers!I2211),"Outlier","Normal")</f>
        <v>Outlier</v>
      </c>
      <c r="M2195" s="18">
        <v>68</v>
      </c>
    </row>
    <row r="2196" spans="1:13" ht="20" customHeight="1" x14ac:dyDescent="0.35">
      <c r="A2196" s="17">
        <v>1483901</v>
      </c>
      <c r="B2196" s="18">
        <v>1708</v>
      </c>
      <c r="C2196" s="23" t="s">
        <v>100</v>
      </c>
      <c r="D2196" s="27">
        <v>45115.034722222219</v>
      </c>
      <c r="E2196" s="18" t="s">
        <v>133</v>
      </c>
      <c r="F2196" s="18" t="s">
        <v>30</v>
      </c>
      <c r="G2196" s="18">
        <v>9214</v>
      </c>
      <c r="H2196" s="25">
        <f t="shared" si="136"/>
        <v>45115</v>
      </c>
      <c r="I2196" s="26">
        <f t="shared" si="137"/>
        <v>3.4722222218988463E-2</v>
      </c>
      <c r="J2196" s="18" t="str">
        <f t="shared" si="138"/>
        <v>July</v>
      </c>
      <c r="K2196" s="56" t="str">
        <f t="shared" si="139"/>
        <v>Saturday</v>
      </c>
      <c r="L2196" s="18" t="str">
        <f>IF(OR(G2196&gt;Answers!I2211,G2196&lt;Answers!I2212),"Outlier","Normal")</f>
        <v>Outlier</v>
      </c>
      <c r="M2196" s="18">
        <v>87</v>
      </c>
    </row>
    <row r="2197" spans="1:13" ht="20" customHeight="1" x14ac:dyDescent="0.35">
      <c r="A2197" s="17">
        <v>1483931</v>
      </c>
      <c r="B2197" s="18">
        <v>1980</v>
      </c>
      <c r="C2197" s="23" t="s">
        <v>110</v>
      </c>
      <c r="D2197" s="27">
        <v>45031.058333333334</v>
      </c>
      <c r="E2197" s="18" t="s">
        <v>98</v>
      </c>
      <c r="F2197" s="18" t="s">
        <v>16</v>
      </c>
      <c r="G2197" s="18">
        <v>4382</v>
      </c>
      <c r="H2197" s="25">
        <f t="shared" si="136"/>
        <v>45031</v>
      </c>
      <c r="I2197" s="26">
        <f t="shared" si="137"/>
        <v>5.8333333334303461E-2</v>
      </c>
      <c r="J2197" s="18" t="str">
        <f t="shared" si="138"/>
        <v>April</v>
      </c>
      <c r="K2197" s="56" t="str">
        <f t="shared" si="139"/>
        <v>Saturday</v>
      </c>
      <c r="L2197" s="18" t="str">
        <f>IF(OR(G2197&gt;Answers!I2212,G2197&lt;Answers!I2213),"Outlier","Normal")</f>
        <v>Outlier</v>
      </c>
      <c r="M2197" s="18">
        <v>57</v>
      </c>
    </row>
    <row r="2198" spans="1:13" ht="20" customHeight="1" x14ac:dyDescent="0.35">
      <c r="A2198" s="17">
        <v>1485067</v>
      </c>
      <c r="B2198" s="18">
        <v>1608</v>
      </c>
      <c r="C2198" s="23" t="s">
        <v>99</v>
      </c>
      <c r="D2198" s="27">
        <v>44963.006249999999</v>
      </c>
      <c r="E2198" s="18" t="s">
        <v>133</v>
      </c>
      <c r="F2198" s="18" t="s">
        <v>74</v>
      </c>
      <c r="G2198" s="18">
        <v>3382</v>
      </c>
      <c r="H2198" s="25">
        <f t="shared" si="136"/>
        <v>44963</v>
      </c>
      <c r="I2198" s="26">
        <f t="shared" si="137"/>
        <v>6.2499999985448085E-3</v>
      </c>
      <c r="J2198" s="18" t="str">
        <f t="shared" si="138"/>
        <v>February</v>
      </c>
      <c r="K2198" s="56" t="str">
        <f t="shared" si="139"/>
        <v>Monday</v>
      </c>
      <c r="L2198" s="18" t="str">
        <f>IF(OR(G2198&gt;Answers!I2213,G2198&lt;Answers!I2214),"Outlier","Normal")</f>
        <v>Outlier</v>
      </c>
      <c r="M2198" s="18">
        <v>43</v>
      </c>
    </row>
    <row r="2199" spans="1:13" ht="20" customHeight="1" x14ac:dyDescent="0.35">
      <c r="A2199" s="17">
        <v>1485425</v>
      </c>
      <c r="B2199" s="18">
        <v>980</v>
      </c>
      <c r="C2199" s="23" t="s">
        <v>99</v>
      </c>
      <c r="D2199" s="27">
        <v>45125.954861111109</v>
      </c>
      <c r="E2199" s="18" t="s">
        <v>97</v>
      </c>
      <c r="F2199" s="18" t="s">
        <v>70</v>
      </c>
      <c r="G2199" s="18">
        <v>9648</v>
      </c>
      <c r="H2199" s="25">
        <f t="shared" si="136"/>
        <v>45125</v>
      </c>
      <c r="I2199" s="26">
        <f t="shared" si="137"/>
        <v>0.95486111110949423</v>
      </c>
      <c r="J2199" s="18" t="str">
        <f t="shared" si="138"/>
        <v>July</v>
      </c>
      <c r="K2199" s="56" t="str">
        <f t="shared" si="139"/>
        <v>Tuesday</v>
      </c>
      <c r="L2199" s="18" t="str">
        <f>IF(OR(G2199&gt;Answers!I2214,G2199&lt;Answers!I2215),"Outlier","Normal")</f>
        <v>Outlier</v>
      </c>
      <c r="M2199" s="18">
        <v>31</v>
      </c>
    </row>
    <row r="2200" spans="1:13" ht="20" customHeight="1" x14ac:dyDescent="0.35">
      <c r="A2200" s="17">
        <v>1485939</v>
      </c>
      <c r="B2200" s="18">
        <v>899</v>
      </c>
      <c r="C2200" s="23" t="s">
        <v>99</v>
      </c>
      <c r="D2200" s="27">
        <v>44980</v>
      </c>
      <c r="E2200" s="18" t="s">
        <v>133</v>
      </c>
      <c r="F2200" s="18" t="s">
        <v>71</v>
      </c>
      <c r="G2200" s="18">
        <v>902</v>
      </c>
      <c r="H2200" s="25">
        <f t="shared" si="136"/>
        <v>44980</v>
      </c>
      <c r="I2200" s="26">
        <f t="shared" si="137"/>
        <v>0</v>
      </c>
      <c r="J2200" s="18" t="str">
        <f t="shared" si="138"/>
        <v>February</v>
      </c>
      <c r="K2200" s="56" t="str">
        <f t="shared" si="139"/>
        <v>Thursday</v>
      </c>
      <c r="L2200" s="18" t="str">
        <f>IF(OR(G2200&gt;Answers!I2215,G2200&lt;Answers!I2216),"Outlier","Normal")</f>
        <v>Outlier</v>
      </c>
      <c r="M2200" s="18">
        <v>75</v>
      </c>
    </row>
    <row r="2201" spans="1:13" ht="20" customHeight="1" x14ac:dyDescent="0.35">
      <c r="A2201" s="17">
        <v>1486000</v>
      </c>
      <c r="B2201" s="18">
        <v>545</v>
      </c>
      <c r="C2201" s="23" t="s">
        <v>99</v>
      </c>
      <c r="D2201" s="27">
        <v>45283.048611111109</v>
      </c>
      <c r="E2201" s="18" t="s">
        <v>98</v>
      </c>
      <c r="F2201" s="18" t="s">
        <v>43</v>
      </c>
      <c r="G2201" s="18">
        <v>2377</v>
      </c>
      <c r="H2201" s="25">
        <f t="shared" si="136"/>
        <v>45283</v>
      </c>
      <c r="I2201" s="26">
        <f t="shared" si="137"/>
        <v>4.8611111109494232E-2</v>
      </c>
      <c r="J2201" s="18" t="str">
        <f t="shared" si="138"/>
        <v>December</v>
      </c>
      <c r="K2201" s="56" t="str">
        <f t="shared" si="139"/>
        <v>Saturday</v>
      </c>
      <c r="L2201" s="18" t="str">
        <f>IF(OR(G2201&gt;Answers!I2216,G2201&lt;Answers!I2217),"Outlier","Normal")</f>
        <v>Outlier</v>
      </c>
      <c r="M2201" s="18">
        <v>76</v>
      </c>
    </row>
    <row r="2202" spans="1:13" ht="20" customHeight="1" x14ac:dyDescent="0.35">
      <c r="A2202" s="17">
        <v>1486426</v>
      </c>
      <c r="B2202" s="18">
        <v>1244</v>
      </c>
      <c r="C2202" s="23" t="s">
        <v>105</v>
      </c>
      <c r="D2202" s="27">
        <v>45229.984722222223</v>
      </c>
      <c r="E2202" s="18" t="s">
        <v>97</v>
      </c>
      <c r="F2202" s="18" t="s">
        <v>7</v>
      </c>
      <c r="G2202" s="18">
        <v>8227</v>
      </c>
      <c r="H2202" s="25">
        <f t="shared" si="136"/>
        <v>45229</v>
      </c>
      <c r="I2202" s="26">
        <f t="shared" si="137"/>
        <v>0.98472222222335404</v>
      </c>
      <c r="J2202" s="18" t="str">
        <f t="shared" si="138"/>
        <v>October</v>
      </c>
      <c r="K2202" s="56" t="str">
        <f t="shared" si="139"/>
        <v>Monday</v>
      </c>
      <c r="L2202" s="18" t="str">
        <f>IF(OR(G2202&gt;Answers!I2217,G2202&lt;Answers!I2218),"Outlier","Normal")</f>
        <v>Outlier</v>
      </c>
      <c r="M2202" s="18">
        <v>20</v>
      </c>
    </row>
    <row r="2203" spans="1:13" ht="20" customHeight="1" x14ac:dyDescent="0.35">
      <c r="A2203" s="17">
        <v>1487293</v>
      </c>
      <c r="B2203" s="18">
        <v>1157</v>
      </c>
      <c r="C2203" s="23" t="s">
        <v>106</v>
      </c>
      <c r="D2203" s="27">
        <v>44952.052083333336</v>
      </c>
      <c r="E2203" s="18" t="s">
        <v>133</v>
      </c>
      <c r="F2203" s="18" t="s">
        <v>8</v>
      </c>
      <c r="G2203" s="18">
        <v>2092</v>
      </c>
      <c r="H2203" s="25">
        <f t="shared" si="136"/>
        <v>44952</v>
      </c>
      <c r="I2203" s="26">
        <f t="shared" si="137"/>
        <v>5.2083333335758653E-2</v>
      </c>
      <c r="J2203" s="18" t="str">
        <f t="shared" si="138"/>
        <v>January</v>
      </c>
      <c r="K2203" s="56" t="str">
        <f t="shared" si="139"/>
        <v>Thursday</v>
      </c>
      <c r="L2203" s="18" t="str">
        <f>IF(OR(G2203&gt;Answers!I2218,G2203&lt;Answers!I2219),"Outlier","Normal")</f>
        <v>Outlier</v>
      </c>
      <c r="M2203" s="18">
        <v>70</v>
      </c>
    </row>
    <row r="2204" spans="1:13" ht="20" customHeight="1" x14ac:dyDescent="0.35">
      <c r="A2204" s="17">
        <v>1487429</v>
      </c>
      <c r="B2204" s="18">
        <v>1983</v>
      </c>
      <c r="C2204" s="23" t="s">
        <v>105</v>
      </c>
      <c r="D2204" s="27">
        <v>44990.979861111111</v>
      </c>
      <c r="E2204" s="18" t="s">
        <v>133</v>
      </c>
      <c r="F2204" s="18" t="s">
        <v>46</v>
      </c>
      <c r="G2204" s="18">
        <v>5465</v>
      </c>
      <c r="H2204" s="25">
        <f t="shared" si="136"/>
        <v>44990</v>
      </c>
      <c r="I2204" s="26">
        <f t="shared" si="137"/>
        <v>0.97986111111094942</v>
      </c>
      <c r="J2204" s="18" t="str">
        <f t="shared" si="138"/>
        <v>March</v>
      </c>
      <c r="K2204" s="56" t="str">
        <f t="shared" si="139"/>
        <v>Sunday</v>
      </c>
      <c r="L2204" s="18" t="str">
        <f>IF(OR(G2204&gt;Answers!I2219,G2204&lt;Answers!I2220),"Outlier","Normal")</f>
        <v>Outlier</v>
      </c>
      <c r="M2204" s="18">
        <v>35</v>
      </c>
    </row>
    <row r="2205" spans="1:13" ht="20" customHeight="1" x14ac:dyDescent="0.35">
      <c r="A2205" s="17">
        <v>1488818</v>
      </c>
      <c r="B2205" s="18">
        <v>827</v>
      </c>
      <c r="C2205" s="23" t="s">
        <v>106</v>
      </c>
      <c r="D2205" s="27">
        <v>45052.03402777778</v>
      </c>
      <c r="E2205" s="18" t="s">
        <v>96</v>
      </c>
      <c r="F2205" s="18" t="s">
        <v>10</v>
      </c>
      <c r="G2205" s="18">
        <v>8763</v>
      </c>
      <c r="H2205" s="25">
        <f t="shared" si="136"/>
        <v>45052</v>
      </c>
      <c r="I2205" s="26">
        <f t="shared" si="137"/>
        <v>3.4027777779556345E-2</v>
      </c>
      <c r="J2205" s="18" t="str">
        <f t="shared" si="138"/>
        <v>May</v>
      </c>
      <c r="K2205" s="56" t="str">
        <f t="shared" si="139"/>
        <v>Saturday</v>
      </c>
      <c r="L2205" s="18" t="str">
        <f>IF(OR(G2205&gt;Answers!I2220,G2205&lt;Answers!I2221),"Outlier","Normal")</f>
        <v>Outlier</v>
      </c>
      <c r="M2205" s="18">
        <v>40</v>
      </c>
    </row>
    <row r="2206" spans="1:13" ht="20" customHeight="1" x14ac:dyDescent="0.35">
      <c r="A2206" s="17">
        <v>1488979</v>
      </c>
      <c r="B2206" s="18">
        <v>1787</v>
      </c>
      <c r="C2206" s="23" t="s">
        <v>100</v>
      </c>
      <c r="D2206" s="27">
        <v>45156.056250000001</v>
      </c>
      <c r="E2206" s="18" t="s">
        <v>97</v>
      </c>
      <c r="F2206" s="18" t="s">
        <v>27</v>
      </c>
      <c r="G2206" s="18">
        <v>8980</v>
      </c>
      <c r="H2206" s="25">
        <f t="shared" si="136"/>
        <v>45156</v>
      </c>
      <c r="I2206" s="26">
        <f t="shared" si="137"/>
        <v>5.6250000001455192E-2</v>
      </c>
      <c r="J2206" s="18" t="str">
        <f t="shared" si="138"/>
        <v>August</v>
      </c>
      <c r="K2206" s="56" t="str">
        <f t="shared" si="139"/>
        <v>Friday</v>
      </c>
      <c r="L2206" s="18" t="str">
        <f>IF(OR(G2206&gt;Answers!I2221,G2206&lt;Answers!I2222),"Outlier","Normal")</f>
        <v>Outlier</v>
      </c>
      <c r="M2206" s="18">
        <v>48</v>
      </c>
    </row>
    <row r="2207" spans="1:13" ht="20" customHeight="1" x14ac:dyDescent="0.35">
      <c r="A2207" s="17">
        <v>1489446</v>
      </c>
      <c r="B2207" s="18">
        <v>1158</v>
      </c>
      <c r="C2207" s="23" t="s">
        <v>103</v>
      </c>
      <c r="D2207" s="27">
        <v>45225.083333333336</v>
      </c>
      <c r="E2207" s="18" t="s">
        <v>98</v>
      </c>
      <c r="F2207" s="18" t="s">
        <v>13</v>
      </c>
      <c r="G2207" s="18">
        <v>4889</v>
      </c>
      <c r="H2207" s="25">
        <f t="shared" si="136"/>
        <v>45225</v>
      </c>
      <c r="I2207" s="26">
        <f t="shared" si="137"/>
        <v>8.3333333335758653E-2</v>
      </c>
      <c r="J2207" s="18" t="str">
        <f t="shared" si="138"/>
        <v>October</v>
      </c>
      <c r="K2207" s="56" t="str">
        <f t="shared" si="139"/>
        <v>Thursday</v>
      </c>
      <c r="L2207" s="18" t="str">
        <f>IF(OR(G2207&gt;Answers!I2222,G2207&lt;Answers!I2223),"Outlier","Normal")</f>
        <v>Outlier</v>
      </c>
      <c r="M2207" s="18">
        <v>59</v>
      </c>
    </row>
    <row r="2208" spans="1:13" ht="20" customHeight="1" x14ac:dyDescent="0.35">
      <c r="A2208" s="17">
        <v>1489846</v>
      </c>
      <c r="B2208" s="18">
        <v>1501</v>
      </c>
      <c r="C2208" s="23" t="s">
        <v>99</v>
      </c>
      <c r="D2208" s="27">
        <v>45077.073611111111</v>
      </c>
      <c r="E2208" s="18" t="s">
        <v>97</v>
      </c>
      <c r="F2208" s="18" t="s">
        <v>10</v>
      </c>
      <c r="G2208" s="18">
        <v>1094</v>
      </c>
      <c r="H2208" s="25">
        <f t="shared" si="136"/>
        <v>45077</v>
      </c>
      <c r="I2208" s="26">
        <f t="shared" si="137"/>
        <v>7.3611111110949423E-2</v>
      </c>
      <c r="J2208" s="18" t="str">
        <f t="shared" si="138"/>
        <v>May</v>
      </c>
      <c r="K2208" s="56" t="str">
        <f t="shared" si="139"/>
        <v>Wednesday</v>
      </c>
      <c r="L2208" s="18" t="str">
        <f>IF(OR(G2208&gt;Answers!I2223,G2208&lt;Answers!I2224),"Outlier","Normal")</f>
        <v>Outlier</v>
      </c>
      <c r="M2208" s="18">
        <v>51</v>
      </c>
    </row>
    <row r="2209" spans="1:13" ht="20" customHeight="1" x14ac:dyDescent="0.35">
      <c r="A2209" s="17">
        <v>1490112</v>
      </c>
      <c r="B2209" s="18">
        <v>348</v>
      </c>
      <c r="C2209" s="23" t="s">
        <v>100</v>
      </c>
      <c r="D2209" s="27">
        <v>45164.043749999997</v>
      </c>
      <c r="E2209" s="18" t="s">
        <v>96</v>
      </c>
      <c r="F2209" s="18" t="s">
        <v>15</v>
      </c>
      <c r="G2209" s="18">
        <v>7429</v>
      </c>
      <c r="H2209" s="25">
        <f t="shared" si="136"/>
        <v>45164</v>
      </c>
      <c r="I2209" s="26">
        <f t="shared" si="137"/>
        <v>4.3749999997089617E-2</v>
      </c>
      <c r="J2209" s="18" t="str">
        <f t="shared" si="138"/>
        <v>August</v>
      </c>
      <c r="K2209" s="56" t="str">
        <f t="shared" si="139"/>
        <v>Saturday</v>
      </c>
      <c r="L2209" s="18" t="str">
        <f>IF(OR(G2209&gt;Answers!I2224,G2209&lt;Answers!I2225),"Outlier","Normal")</f>
        <v>Outlier</v>
      </c>
      <c r="M2209" s="18">
        <v>61</v>
      </c>
    </row>
    <row r="2210" spans="1:13" ht="20" customHeight="1" x14ac:dyDescent="0.35">
      <c r="A2210" s="17">
        <v>1490458</v>
      </c>
      <c r="B2210" s="18">
        <v>1820</v>
      </c>
      <c r="C2210" s="23" t="s">
        <v>99</v>
      </c>
      <c r="D2210" s="27">
        <v>45020.054861111108</v>
      </c>
      <c r="E2210" s="18" t="s">
        <v>133</v>
      </c>
      <c r="F2210" s="18" t="s">
        <v>13</v>
      </c>
      <c r="G2210" s="18">
        <v>3873</v>
      </c>
      <c r="H2210" s="25">
        <f t="shared" si="136"/>
        <v>45020</v>
      </c>
      <c r="I2210" s="26">
        <f t="shared" si="137"/>
        <v>5.486111110803904E-2</v>
      </c>
      <c r="J2210" s="18" t="str">
        <f t="shared" si="138"/>
        <v>April</v>
      </c>
      <c r="K2210" s="56" t="str">
        <f t="shared" si="139"/>
        <v>Tuesday</v>
      </c>
      <c r="L2210" s="18" t="str">
        <f>IF(OR(G2210&gt;Answers!I2225,G2210&lt;Answers!I2226),"Outlier","Normal")</f>
        <v>Outlier</v>
      </c>
      <c r="M2210" s="18">
        <v>71</v>
      </c>
    </row>
    <row r="2211" spans="1:13" ht="20" customHeight="1" x14ac:dyDescent="0.35">
      <c r="A2211" s="17">
        <v>1490598</v>
      </c>
      <c r="B2211" s="18">
        <v>1613</v>
      </c>
      <c r="C2211" s="23" t="s">
        <v>99</v>
      </c>
      <c r="D2211" s="27">
        <v>45184.009027777778</v>
      </c>
      <c r="E2211" s="18" t="s">
        <v>98</v>
      </c>
      <c r="F2211" s="18" t="s">
        <v>62</v>
      </c>
      <c r="G2211" s="18">
        <v>2270</v>
      </c>
      <c r="H2211" s="25">
        <f t="shared" si="136"/>
        <v>45184</v>
      </c>
      <c r="I2211" s="26">
        <f t="shared" si="137"/>
        <v>9.0277777781011537E-3</v>
      </c>
      <c r="J2211" s="18" t="str">
        <f t="shared" si="138"/>
        <v>September</v>
      </c>
      <c r="K2211" s="56" t="str">
        <f t="shared" si="139"/>
        <v>Friday</v>
      </c>
      <c r="L2211" s="18" t="str">
        <f>IF(OR(G2211&gt;Answers!I2226,G2211&lt;Answers!I2227),"Outlier","Normal")</f>
        <v>Outlier</v>
      </c>
      <c r="M2211" s="18">
        <v>71</v>
      </c>
    </row>
    <row r="2212" spans="1:13" ht="20" customHeight="1" x14ac:dyDescent="0.35">
      <c r="A2212" s="17">
        <v>1491354</v>
      </c>
      <c r="B2212" s="18">
        <v>1812</v>
      </c>
      <c r="C2212" s="23" t="s">
        <v>105</v>
      </c>
      <c r="D2212" s="27">
        <v>45225.088194444441</v>
      </c>
      <c r="E2212" s="18" t="s">
        <v>97</v>
      </c>
      <c r="F2212" s="18" t="s">
        <v>75</v>
      </c>
      <c r="G2212" s="18">
        <v>86</v>
      </c>
      <c r="H2212" s="25">
        <f t="shared" si="136"/>
        <v>45225</v>
      </c>
      <c r="I2212" s="26">
        <f t="shared" si="137"/>
        <v>8.819444444088731E-2</v>
      </c>
      <c r="J2212" s="18" t="str">
        <f t="shared" si="138"/>
        <v>October</v>
      </c>
      <c r="K2212" s="56" t="str">
        <f t="shared" si="139"/>
        <v>Thursday</v>
      </c>
      <c r="L2212" s="18" t="str">
        <f>IF(OR(G2212&gt;Answers!I2227,G2212&lt;Answers!I2228),"Outlier","Normal")</f>
        <v>Outlier</v>
      </c>
      <c r="M2212" s="18">
        <v>49</v>
      </c>
    </row>
    <row r="2213" spans="1:13" ht="20" customHeight="1" x14ac:dyDescent="0.35">
      <c r="A2213" s="17">
        <v>1491897</v>
      </c>
      <c r="B2213" s="18">
        <v>1955</v>
      </c>
      <c r="C2213" s="23" t="s">
        <v>105</v>
      </c>
      <c r="D2213" s="27">
        <v>45205.073611111111</v>
      </c>
      <c r="E2213" s="18" t="s">
        <v>133</v>
      </c>
      <c r="F2213" s="18" t="s">
        <v>19</v>
      </c>
      <c r="G2213" s="18">
        <v>9703</v>
      </c>
      <c r="H2213" s="25">
        <f t="shared" si="136"/>
        <v>45205</v>
      </c>
      <c r="I2213" s="26">
        <f t="shared" si="137"/>
        <v>7.3611111110949423E-2</v>
      </c>
      <c r="J2213" s="18" t="str">
        <f t="shared" si="138"/>
        <v>October</v>
      </c>
      <c r="K2213" s="56" t="str">
        <f t="shared" si="139"/>
        <v>Friday</v>
      </c>
      <c r="L2213" s="18" t="str">
        <f>IF(OR(G2213&gt;Answers!I2228,G2213&lt;Answers!I2229),"Outlier","Normal")</f>
        <v>Outlier</v>
      </c>
      <c r="M2213" s="18">
        <v>68</v>
      </c>
    </row>
    <row r="2214" spans="1:13" ht="20" customHeight="1" x14ac:dyDescent="0.35">
      <c r="A2214" s="17">
        <v>1492578</v>
      </c>
      <c r="B2214" s="18">
        <v>1234</v>
      </c>
      <c r="C2214" s="23" t="s">
        <v>99</v>
      </c>
      <c r="D2214" s="27">
        <v>45164.015277777777</v>
      </c>
      <c r="E2214" s="18" t="s">
        <v>133</v>
      </c>
      <c r="F2214" s="18" t="s">
        <v>20</v>
      </c>
      <c r="G2214" s="18">
        <v>3400</v>
      </c>
      <c r="H2214" s="25">
        <f t="shared" si="136"/>
        <v>45164</v>
      </c>
      <c r="I2214" s="26">
        <f t="shared" si="137"/>
        <v>1.5277777776645962E-2</v>
      </c>
      <c r="J2214" s="18" t="str">
        <f t="shared" si="138"/>
        <v>August</v>
      </c>
      <c r="K2214" s="56" t="str">
        <f t="shared" si="139"/>
        <v>Saturday</v>
      </c>
      <c r="L2214" s="18" t="str">
        <f>IF(OR(G2214&gt;Answers!I2229,G2214&lt;Answers!I2230),"Outlier","Normal")</f>
        <v>Outlier</v>
      </c>
      <c r="M2214" s="18">
        <v>89</v>
      </c>
    </row>
    <row r="2215" spans="1:13" ht="20" customHeight="1" x14ac:dyDescent="0.35">
      <c r="A2215" s="17">
        <v>1493135</v>
      </c>
      <c r="B2215" s="18">
        <v>378</v>
      </c>
      <c r="C2215" s="23" t="s">
        <v>110</v>
      </c>
      <c r="D2215" s="27">
        <v>45146.972222222219</v>
      </c>
      <c r="E2215" s="18" t="s">
        <v>133</v>
      </c>
      <c r="F2215" s="18" t="s">
        <v>72</v>
      </c>
      <c r="G2215" s="18">
        <v>8000</v>
      </c>
      <c r="H2215" s="25">
        <f t="shared" si="136"/>
        <v>45146</v>
      </c>
      <c r="I2215" s="26">
        <f t="shared" si="137"/>
        <v>0.97222222221898846</v>
      </c>
      <c r="J2215" s="18" t="str">
        <f t="shared" si="138"/>
        <v>August</v>
      </c>
      <c r="K2215" s="56" t="str">
        <f t="shared" si="139"/>
        <v>Tuesday</v>
      </c>
      <c r="L2215" s="18" t="str">
        <f>IF(OR(G2215&gt;Answers!I2230,G2215&lt;Answers!I2231),"Outlier","Normal")</f>
        <v>Outlier</v>
      </c>
      <c r="M2215" s="18">
        <v>69</v>
      </c>
    </row>
    <row r="2216" spans="1:13" ht="20" customHeight="1" x14ac:dyDescent="0.35">
      <c r="A2216" s="17">
        <v>1494087</v>
      </c>
      <c r="B2216" s="18">
        <v>118</v>
      </c>
      <c r="C2216" s="23" t="s">
        <v>99</v>
      </c>
      <c r="D2216" s="27">
        <v>45039.067361111112</v>
      </c>
      <c r="E2216" s="18" t="s">
        <v>98</v>
      </c>
      <c r="F2216" s="18" t="s">
        <v>83</v>
      </c>
      <c r="G2216" s="18">
        <v>6162</v>
      </c>
      <c r="H2216" s="25">
        <f t="shared" si="136"/>
        <v>45039</v>
      </c>
      <c r="I2216" s="26">
        <f t="shared" si="137"/>
        <v>6.7361111112404615E-2</v>
      </c>
      <c r="J2216" s="18" t="str">
        <f t="shared" si="138"/>
        <v>April</v>
      </c>
      <c r="K2216" s="56" t="str">
        <f t="shared" si="139"/>
        <v>Sunday</v>
      </c>
      <c r="L2216" s="18" t="str">
        <f>IF(OR(G2216&gt;Answers!I2231,G2216&lt;Answers!I2232),"Outlier","Normal")</f>
        <v>Outlier</v>
      </c>
      <c r="M2216" s="18">
        <v>25</v>
      </c>
    </row>
    <row r="2217" spans="1:13" ht="20" customHeight="1" x14ac:dyDescent="0.35">
      <c r="A2217" s="17">
        <v>1494182</v>
      </c>
      <c r="B2217" s="18">
        <v>1512</v>
      </c>
      <c r="C2217" s="23" t="s">
        <v>108</v>
      </c>
      <c r="D2217" s="27">
        <v>45254.98541666667</v>
      </c>
      <c r="E2217" s="18" t="s">
        <v>97</v>
      </c>
      <c r="F2217" s="18" t="s">
        <v>49</v>
      </c>
      <c r="G2217" s="18">
        <v>775</v>
      </c>
      <c r="H2217" s="25">
        <f t="shared" si="136"/>
        <v>45254</v>
      </c>
      <c r="I2217" s="26">
        <f t="shared" si="137"/>
        <v>0.98541666667006211</v>
      </c>
      <c r="J2217" s="18" t="str">
        <f t="shared" si="138"/>
        <v>November</v>
      </c>
      <c r="K2217" s="56" t="str">
        <f t="shared" si="139"/>
        <v>Friday</v>
      </c>
      <c r="L2217" s="18" t="str">
        <f>IF(OR(G2217&gt;Answers!I2232,G2217&lt;Answers!I2233),"Outlier","Normal")</f>
        <v>Outlier</v>
      </c>
      <c r="M2217" s="18">
        <v>28</v>
      </c>
    </row>
    <row r="2218" spans="1:13" ht="20" customHeight="1" x14ac:dyDescent="0.35">
      <c r="A2218" s="17">
        <v>1494501</v>
      </c>
      <c r="B2218" s="18">
        <v>1519</v>
      </c>
      <c r="C2218" s="23" t="s">
        <v>105</v>
      </c>
      <c r="D2218" s="27">
        <v>45198.978472222225</v>
      </c>
      <c r="E2218" s="18" t="s">
        <v>96</v>
      </c>
      <c r="F2218" s="18" t="s">
        <v>5</v>
      </c>
      <c r="G2218" s="18">
        <v>5248</v>
      </c>
      <c r="H2218" s="25">
        <f t="shared" si="136"/>
        <v>45198</v>
      </c>
      <c r="I2218" s="26">
        <f t="shared" si="137"/>
        <v>0.97847222222480923</v>
      </c>
      <c r="J2218" s="18" t="str">
        <f t="shared" si="138"/>
        <v>September</v>
      </c>
      <c r="K2218" s="56" t="str">
        <f t="shared" si="139"/>
        <v>Friday</v>
      </c>
      <c r="L2218" s="18" t="str">
        <f>IF(OR(G2218&gt;Answers!I2233,G2218&lt;Answers!I2234),"Outlier","Normal")</f>
        <v>Outlier</v>
      </c>
      <c r="M2218" s="18">
        <v>20</v>
      </c>
    </row>
    <row r="2219" spans="1:13" ht="20" customHeight="1" x14ac:dyDescent="0.35">
      <c r="A2219" s="17">
        <v>1494544</v>
      </c>
      <c r="B2219" s="18">
        <v>651</v>
      </c>
      <c r="C2219" s="23" t="s">
        <v>99</v>
      </c>
      <c r="D2219" s="27">
        <v>45097.082638888889</v>
      </c>
      <c r="E2219" s="18" t="s">
        <v>97</v>
      </c>
      <c r="F2219" s="18" t="s">
        <v>27</v>
      </c>
      <c r="G2219" s="18">
        <v>1370</v>
      </c>
      <c r="H2219" s="25">
        <f t="shared" si="136"/>
        <v>45097</v>
      </c>
      <c r="I2219" s="26">
        <f t="shared" si="137"/>
        <v>8.2638888889050577E-2</v>
      </c>
      <c r="J2219" s="18" t="str">
        <f t="shared" si="138"/>
        <v>June</v>
      </c>
      <c r="K2219" s="56" t="str">
        <f t="shared" si="139"/>
        <v>Tuesday</v>
      </c>
      <c r="L2219" s="18" t="str">
        <f>IF(OR(G2219&gt;Answers!I2234,G2219&lt;Answers!I2235),"Outlier","Normal")</f>
        <v>Outlier</v>
      </c>
      <c r="M2219" s="18">
        <v>61</v>
      </c>
    </row>
    <row r="2220" spans="1:13" ht="20" customHeight="1" x14ac:dyDescent="0.35">
      <c r="A2220" s="17">
        <v>1495611</v>
      </c>
      <c r="B2220" s="18">
        <v>1863</v>
      </c>
      <c r="C2220" s="23" t="s">
        <v>105</v>
      </c>
      <c r="D2220" s="27">
        <v>45218.974999999999</v>
      </c>
      <c r="E2220" s="18" t="s">
        <v>97</v>
      </c>
      <c r="F2220" s="18" t="s">
        <v>71</v>
      </c>
      <c r="G2220" s="18">
        <v>3590</v>
      </c>
      <c r="H2220" s="25">
        <f t="shared" si="136"/>
        <v>45218</v>
      </c>
      <c r="I2220" s="26">
        <f t="shared" si="137"/>
        <v>0.97499999999854481</v>
      </c>
      <c r="J2220" s="18" t="str">
        <f t="shared" si="138"/>
        <v>October</v>
      </c>
      <c r="K2220" s="56" t="str">
        <f t="shared" si="139"/>
        <v>Thursday</v>
      </c>
      <c r="L2220" s="18" t="str">
        <f>IF(OR(G2220&gt;Answers!I2235,G2220&lt;Answers!I2236),"Outlier","Normal")</f>
        <v>Outlier</v>
      </c>
      <c r="M2220" s="18">
        <v>21</v>
      </c>
    </row>
    <row r="2221" spans="1:13" ht="20" customHeight="1" x14ac:dyDescent="0.35">
      <c r="A2221" s="17">
        <v>1496982</v>
      </c>
      <c r="B2221" s="18">
        <v>616</v>
      </c>
      <c r="C2221" s="23" t="s">
        <v>100</v>
      </c>
      <c r="D2221" s="27">
        <v>45109.043749999997</v>
      </c>
      <c r="E2221" s="18" t="s">
        <v>98</v>
      </c>
      <c r="F2221" s="18" t="s">
        <v>27</v>
      </c>
      <c r="G2221" s="18">
        <v>4824</v>
      </c>
      <c r="H2221" s="25">
        <f t="shared" si="136"/>
        <v>45109</v>
      </c>
      <c r="I2221" s="26">
        <f t="shared" si="137"/>
        <v>4.3749999997089617E-2</v>
      </c>
      <c r="J2221" s="18" t="str">
        <f t="shared" si="138"/>
        <v>July</v>
      </c>
      <c r="K2221" s="56" t="str">
        <f t="shared" si="139"/>
        <v>Sunday</v>
      </c>
      <c r="L2221" s="18" t="str">
        <f>IF(OR(G2221&gt;Answers!I2236,G2221&lt;Answers!I2237),"Outlier","Normal")</f>
        <v>Outlier</v>
      </c>
      <c r="M2221" s="18">
        <v>40</v>
      </c>
    </row>
    <row r="2222" spans="1:13" ht="20" customHeight="1" x14ac:dyDescent="0.35">
      <c r="A2222" s="17">
        <v>1497326</v>
      </c>
      <c r="B2222" s="18">
        <v>1050</v>
      </c>
      <c r="C2222" s="23" t="s">
        <v>100</v>
      </c>
      <c r="D2222" s="27">
        <v>45259.061805555553</v>
      </c>
      <c r="E2222" s="18" t="s">
        <v>98</v>
      </c>
      <c r="F2222" s="18" t="s">
        <v>43</v>
      </c>
      <c r="G2222" s="18">
        <v>1670</v>
      </c>
      <c r="H2222" s="25">
        <f t="shared" si="136"/>
        <v>45259</v>
      </c>
      <c r="I2222" s="26">
        <f t="shared" si="137"/>
        <v>6.1805555553291924E-2</v>
      </c>
      <c r="J2222" s="18" t="str">
        <f t="shared" si="138"/>
        <v>November</v>
      </c>
      <c r="K2222" s="56" t="str">
        <f t="shared" si="139"/>
        <v>Wednesday</v>
      </c>
      <c r="L2222" s="18" t="str">
        <f>IF(OR(G2222&gt;Answers!I2237,G2222&lt;Answers!I2238),"Outlier","Normal")</f>
        <v>Outlier</v>
      </c>
      <c r="M2222" s="18">
        <v>31</v>
      </c>
    </row>
    <row r="2223" spans="1:13" ht="20" customHeight="1" x14ac:dyDescent="0.35">
      <c r="A2223" s="17">
        <v>1498622</v>
      </c>
      <c r="B2223" s="18">
        <v>1094</v>
      </c>
      <c r="C2223" s="23" t="s">
        <v>113</v>
      </c>
      <c r="D2223" s="27">
        <v>45191.007638888892</v>
      </c>
      <c r="E2223" s="18" t="s">
        <v>97</v>
      </c>
      <c r="F2223" s="18" t="s">
        <v>26</v>
      </c>
      <c r="G2223" s="18">
        <v>6659</v>
      </c>
      <c r="H2223" s="25">
        <f t="shared" si="136"/>
        <v>45191</v>
      </c>
      <c r="I2223" s="26">
        <f t="shared" si="137"/>
        <v>7.6388888919609599E-3</v>
      </c>
      <c r="J2223" s="18" t="str">
        <f t="shared" si="138"/>
        <v>September</v>
      </c>
      <c r="K2223" s="56" t="str">
        <f t="shared" si="139"/>
        <v>Friday</v>
      </c>
      <c r="L2223" s="18" t="str">
        <f>IF(OR(G2223&gt;Answers!I2238,G2223&lt;Answers!I2239),"Outlier","Normal")</f>
        <v>Outlier</v>
      </c>
      <c r="M2223" s="18">
        <v>66</v>
      </c>
    </row>
    <row r="2224" spans="1:13" ht="20" customHeight="1" x14ac:dyDescent="0.35">
      <c r="A2224" s="17">
        <v>1499914</v>
      </c>
      <c r="B2224" s="18">
        <v>684</v>
      </c>
      <c r="C2224" s="23" t="s">
        <v>102</v>
      </c>
      <c r="D2224" s="27">
        <v>44964.945138888892</v>
      </c>
      <c r="E2224" s="18" t="s">
        <v>133</v>
      </c>
      <c r="F2224" s="18" t="s">
        <v>27</v>
      </c>
      <c r="G2224" s="18">
        <v>7716</v>
      </c>
      <c r="H2224" s="25">
        <f t="shared" si="136"/>
        <v>44964</v>
      </c>
      <c r="I2224" s="26">
        <f t="shared" si="137"/>
        <v>0.94513888889196096</v>
      </c>
      <c r="J2224" s="18" t="str">
        <f t="shared" si="138"/>
        <v>February</v>
      </c>
      <c r="K2224" s="56" t="str">
        <f t="shared" si="139"/>
        <v>Tuesday</v>
      </c>
      <c r="L2224" s="18" t="str">
        <f>IF(OR(G2224&gt;Answers!I2239,G2224&lt;Answers!I2240),"Outlier","Normal")</f>
        <v>Outlier</v>
      </c>
      <c r="M2224" s="18">
        <v>88</v>
      </c>
    </row>
    <row r="2225" spans="1:13" ht="20" customHeight="1" x14ac:dyDescent="0.35">
      <c r="A2225" s="17">
        <v>1500165</v>
      </c>
      <c r="B2225" s="18">
        <v>979</v>
      </c>
      <c r="C2225" s="23" t="s">
        <v>101</v>
      </c>
      <c r="D2225" s="27">
        <v>45061.972916666666</v>
      </c>
      <c r="E2225" s="18" t="s">
        <v>133</v>
      </c>
      <c r="F2225" s="18" t="s">
        <v>66</v>
      </c>
      <c r="G2225" s="18">
        <v>3867</v>
      </c>
      <c r="H2225" s="25">
        <f t="shared" si="136"/>
        <v>45061</v>
      </c>
      <c r="I2225" s="26">
        <f t="shared" si="137"/>
        <v>0.97291666666569654</v>
      </c>
      <c r="J2225" s="18" t="str">
        <f t="shared" si="138"/>
        <v>May</v>
      </c>
      <c r="K2225" s="56" t="str">
        <f t="shared" si="139"/>
        <v>Monday</v>
      </c>
      <c r="L2225" s="18" t="str">
        <f>IF(OR(G2225&gt;Answers!I2240,G2225&lt;Answers!I2241),"Outlier","Normal")</f>
        <v>Outlier</v>
      </c>
      <c r="M2225" s="18">
        <v>47</v>
      </c>
    </row>
    <row r="2226" spans="1:13" ht="20" customHeight="1" x14ac:dyDescent="0.35">
      <c r="A2226" s="17">
        <v>1500373</v>
      </c>
      <c r="B2226" s="18">
        <v>746</v>
      </c>
      <c r="C2226" s="23" t="s">
        <v>99</v>
      </c>
      <c r="D2226" s="27">
        <v>45035.951388888891</v>
      </c>
      <c r="E2226" s="18" t="s">
        <v>133</v>
      </c>
      <c r="F2226" s="18" t="s">
        <v>78</v>
      </c>
      <c r="G2226" s="18">
        <v>1017</v>
      </c>
      <c r="H2226" s="25">
        <f t="shared" si="136"/>
        <v>45035</v>
      </c>
      <c r="I2226" s="26">
        <f t="shared" si="137"/>
        <v>0.95138888889050577</v>
      </c>
      <c r="J2226" s="18" t="str">
        <f t="shared" si="138"/>
        <v>April</v>
      </c>
      <c r="K2226" s="56" t="str">
        <f t="shared" si="139"/>
        <v>Wednesday</v>
      </c>
      <c r="L2226" s="18" t="str">
        <f>IF(OR(G2226&gt;Answers!I2241,G2226&lt;Answers!I2242),"Outlier","Normal")</f>
        <v>Outlier</v>
      </c>
      <c r="M2226" s="18">
        <v>75</v>
      </c>
    </row>
    <row r="2227" spans="1:13" ht="20" customHeight="1" x14ac:dyDescent="0.35">
      <c r="A2227" s="17">
        <v>1500639</v>
      </c>
      <c r="B2227" s="18">
        <v>298</v>
      </c>
      <c r="C2227" s="23" t="s">
        <v>105</v>
      </c>
      <c r="D2227" s="27">
        <v>45099.038194444445</v>
      </c>
      <c r="E2227" s="18" t="s">
        <v>98</v>
      </c>
      <c r="F2227" s="18" t="s">
        <v>77</v>
      </c>
      <c r="G2227" s="18">
        <v>611</v>
      </c>
      <c r="H2227" s="25">
        <f t="shared" si="136"/>
        <v>45099</v>
      </c>
      <c r="I2227" s="26">
        <f t="shared" si="137"/>
        <v>3.8194444445252884E-2</v>
      </c>
      <c r="J2227" s="18" t="str">
        <f t="shared" si="138"/>
        <v>June</v>
      </c>
      <c r="K2227" s="56" t="str">
        <f t="shared" si="139"/>
        <v>Thursday</v>
      </c>
      <c r="L2227" s="18" t="str">
        <f>IF(OR(G2227&gt;Answers!I2242,G2227&lt;Answers!I2243),"Outlier","Normal")</f>
        <v>Outlier</v>
      </c>
      <c r="M2227" s="18">
        <v>34</v>
      </c>
    </row>
    <row r="2228" spans="1:13" ht="20" customHeight="1" x14ac:dyDescent="0.35">
      <c r="A2228" s="17">
        <v>1501027</v>
      </c>
      <c r="B2228" s="18">
        <v>1645</v>
      </c>
      <c r="C2228" s="23" t="s">
        <v>101</v>
      </c>
      <c r="D2228" s="27">
        <v>45113.018750000003</v>
      </c>
      <c r="E2228" s="18" t="s">
        <v>133</v>
      </c>
      <c r="F2228" s="18" t="s">
        <v>64</v>
      </c>
      <c r="G2228" s="18">
        <v>7105</v>
      </c>
      <c r="H2228" s="25">
        <f t="shared" si="136"/>
        <v>45113</v>
      </c>
      <c r="I2228" s="26">
        <f t="shared" si="137"/>
        <v>1.8750000002910383E-2</v>
      </c>
      <c r="J2228" s="18" t="str">
        <f t="shared" si="138"/>
        <v>July</v>
      </c>
      <c r="K2228" s="56" t="str">
        <f t="shared" si="139"/>
        <v>Thursday</v>
      </c>
      <c r="L2228" s="18" t="str">
        <f>IF(OR(G2228&gt;Answers!I2243,G2228&lt;Answers!I2244),"Outlier","Normal")</f>
        <v>Outlier</v>
      </c>
      <c r="M2228" s="18">
        <v>86</v>
      </c>
    </row>
    <row r="2229" spans="1:13" ht="20" customHeight="1" x14ac:dyDescent="0.35">
      <c r="A2229" s="17">
        <v>1502119</v>
      </c>
      <c r="B2229" s="18">
        <v>214</v>
      </c>
      <c r="C2229" s="23" t="s">
        <v>99</v>
      </c>
      <c r="D2229" s="27">
        <v>45192.977777777778</v>
      </c>
      <c r="E2229" s="18" t="s">
        <v>97</v>
      </c>
      <c r="F2229" s="18" t="s">
        <v>30</v>
      </c>
      <c r="G2229" s="18">
        <v>8968</v>
      </c>
      <c r="H2229" s="25">
        <f t="shared" si="136"/>
        <v>45192</v>
      </c>
      <c r="I2229" s="26">
        <f t="shared" si="137"/>
        <v>0.97777777777810115</v>
      </c>
      <c r="J2229" s="18" t="str">
        <f t="shared" si="138"/>
        <v>September</v>
      </c>
      <c r="K2229" s="56" t="str">
        <f t="shared" si="139"/>
        <v>Saturday</v>
      </c>
      <c r="L2229" s="18" t="str">
        <f>IF(OR(G2229&gt;Answers!I2244,G2229&lt;Answers!I2245),"Outlier","Normal")</f>
        <v>Outlier</v>
      </c>
      <c r="M2229" s="18">
        <v>18</v>
      </c>
    </row>
    <row r="2230" spans="1:13" ht="20" customHeight="1" x14ac:dyDescent="0.35">
      <c r="A2230" s="17">
        <v>1502209</v>
      </c>
      <c r="B2230" s="18">
        <v>1512</v>
      </c>
      <c r="C2230" s="23" t="s">
        <v>108</v>
      </c>
      <c r="D2230" s="27">
        <v>44984.98333333333</v>
      </c>
      <c r="E2230" s="18" t="s">
        <v>98</v>
      </c>
      <c r="F2230" s="18" t="s">
        <v>53</v>
      </c>
      <c r="G2230" s="18">
        <v>9349</v>
      </c>
      <c r="H2230" s="25">
        <f t="shared" si="136"/>
        <v>44984</v>
      </c>
      <c r="I2230" s="26">
        <f t="shared" si="137"/>
        <v>0.98333333332993789</v>
      </c>
      <c r="J2230" s="18" t="str">
        <f t="shared" si="138"/>
        <v>February</v>
      </c>
      <c r="K2230" s="56" t="str">
        <f t="shared" si="139"/>
        <v>Monday</v>
      </c>
      <c r="L2230" s="18" t="str">
        <f>IF(OR(G2230&gt;Answers!I2245,G2230&lt;Answers!I2246),"Outlier","Normal")</f>
        <v>Outlier</v>
      </c>
      <c r="M2230" s="18">
        <v>28</v>
      </c>
    </row>
    <row r="2231" spans="1:13" ht="20" customHeight="1" x14ac:dyDescent="0.35">
      <c r="A2231" s="17">
        <v>1503185</v>
      </c>
      <c r="B2231" s="18">
        <v>738</v>
      </c>
      <c r="C2231" s="23" t="s">
        <v>100</v>
      </c>
      <c r="D2231" s="27">
        <v>45140.023611111108</v>
      </c>
      <c r="E2231" s="18" t="s">
        <v>133</v>
      </c>
      <c r="F2231" s="18" t="s">
        <v>85</v>
      </c>
      <c r="G2231" s="18">
        <v>7706</v>
      </c>
      <c r="H2231" s="25">
        <f t="shared" si="136"/>
        <v>45140</v>
      </c>
      <c r="I2231" s="26">
        <f t="shared" si="137"/>
        <v>2.361111110803904E-2</v>
      </c>
      <c r="J2231" s="18" t="str">
        <f t="shared" si="138"/>
        <v>August</v>
      </c>
      <c r="K2231" s="56" t="str">
        <f t="shared" si="139"/>
        <v>Wednesday</v>
      </c>
      <c r="L2231" s="18" t="str">
        <f>IF(OR(G2231&gt;Answers!I2246,G2231&lt;Answers!I2247),"Outlier","Normal")</f>
        <v>Outlier</v>
      </c>
      <c r="M2231" s="18">
        <v>25</v>
      </c>
    </row>
    <row r="2232" spans="1:13" ht="20" customHeight="1" x14ac:dyDescent="0.35">
      <c r="A2232" s="17">
        <v>1503619</v>
      </c>
      <c r="B2232" s="18">
        <v>621</v>
      </c>
      <c r="C2232" s="23" t="s">
        <v>99</v>
      </c>
      <c r="D2232" s="27">
        <v>44943.037499999999</v>
      </c>
      <c r="E2232" s="18" t="s">
        <v>96</v>
      </c>
      <c r="F2232" s="18" t="s">
        <v>51</v>
      </c>
      <c r="G2232" s="18">
        <v>4436</v>
      </c>
      <c r="H2232" s="25">
        <f t="shared" si="136"/>
        <v>44943</v>
      </c>
      <c r="I2232" s="26">
        <f t="shared" si="137"/>
        <v>3.7499999998544808E-2</v>
      </c>
      <c r="J2232" s="18" t="str">
        <f t="shared" si="138"/>
        <v>January</v>
      </c>
      <c r="K2232" s="56" t="str">
        <f t="shared" si="139"/>
        <v>Tuesday</v>
      </c>
      <c r="L2232" s="18" t="str">
        <f>IF(OR(G2232&gt;Answers!I2247,G2232&lt;Answers!I2248),"Outlier","Normal")</f>
        <v>Outlier</v>
      </c>
      <c r="M2232" s="18">
        <v>50</v>
      </c>
    </row>
    <row r="2233" spans="1:13" ht="20" customHeight="1" x14ac:dyDescent="0.35">
      <c r="A2233" s="17">
        <v>1503941</v>
      </c>
      <c r="B2233" s="18">
        <v>1910</v>
      </c>
      <c r="C2233" s="23" t="s">
        <v>100</v>
      </c>
      <c r="D2233" s="27">
        <v>45244.083333333336</v>
      </c>
      <c r="E2233" s="18" t="s">
        <v>133</v>
      </c>
      <c r="F2233" s="18" t="s">
        <v>68</v>
      </c>
      <c r="G2233" s="18">
        <v>4898</v>
      </c>
      <c r="H2233" s="25">
        <f t="shared" si="136"/>
        <v>45244</v>
      </c>
      <c r="I2233" s="26">
        <f t="shared" si="137"/>
        <v>8.3333333335758653E-2</v>
      </c>
      <c r="J2233" s="18" t="str">
        <f t="shared" si="138"/>
        <v>November</v>
      </c>
      <c r="K2233" s="56" t="str">
        <f t="shared" si="139"/>
        <v>Tuesday</v>
      </c>
      <c r="L2233" s="18" t="str">
        <f>IF(OR(G2233&gt;Answers!I2248,G2233&lt;Answers!I2249),"Outlier","Normal")</f>
        <v>Outlier</v>
      </c>
      <c r="M2233" s="18">
        <v>51</v>
      </c>
    </row>
    <row r="2234" spans="1:13" ht="20" customHeight="1" x14ac:dyDescent="0.35">
      <c r="A2234" s="17">
        <v>1506022</v>
      </c>
      <c r="B2234" s="18">
        <v>949</v>
      </c>
      <c r="C2234" s="23" t="s">
        <v>103</v>
      </c>
      <c r="D2234" s="27">
        <v>44932.020138888889</v>
      </c>
      <c r="E2234" s="18" t="s">
        <v>133</v>
      </c>
      <c r="F2234" s="18" t="s">
        <v>86</v>
      </c>
      <c r="G2234" s="18">
        <v>8624</v>
      </c>
      <c r="H2234" s="25">
        <f t="shared" si="136"/>
        <v>44932</v>
      </c>
      <c r="I2234" s="26">
        <f t="shared" si="137"/>
        <v>2.0138888889050577E-2</v>
      </c>
      <c r="J2234" s="18" t="str">
        <f t="shared" si="138"/>
        <v>January</v>
      </c>
      <c r="K2234" s="56" t="str">
        <f t="shared" si="139"/>
        <v>Friday</v>
      </c>
      <c r="L2234" s="18" t="str">
        <f>IF(OR(G2234&gt;Answers!I2249,G2234&lt;Answers!I2250),"Outlier","Normal")</f>
        <v>Outlier</v>
      </c>
      <c r="M2234" s="18">
        <v>71</v>
      </c>
    </row>
    <row r="2235" spans="1:13" ht="20" customHeight="1" x14ac:dyDescent="0.35">
      <c r="A2235" s="17">
        <v>1506385</v>
      </c>
      <c r="B2235" s="18">
        <v>294</v>
      </c>
      <c r="C2235" s="23" t="s">
        <v>100</v>
      </c>
      <c r="D2235" s="27">
        <v>45268.96875</v>
      </c>
      <c r="E2235" s="18" t="s">
        <v>96</v>
      </c>
      <c r="F2235" s="18" t="s">
        <v>43</v>
      </c>
      <c r="G2235" s="18">
        <v>5490</v>
      </c>
      <c r="H2235" s="25">
        <f t="shared" si="136"/>
        <v>45268</v>
      </c>
      <c r="I2235" s="26">
        <f t="shared" si="137"/>
        <v>0.96875</v>
      </c>
      <c r="J2235" s="18" t="str">
        <f t="shared" si="138"/>
        <v>December</v>
      </c>
      <c r="K2235" s="56" t="str">
        <f t="shared" si="139"/>
        <v>Friday</v>
      </c>
      <c r="L2235" s="18" t="str">
        <f>IF(OR(G2235&gt;Answers!I2250,G2235&lt;Answers!I2251),"Outlier","Normal")</f>
        <v>Outlier</v>
      </c>
      <c r="M2235" s="18">
        <v>30</v>
      </c>
    </row>
    <row r="2236" spans="1:13" ht="20" customHeight="1" x14ac:dyDescent="0.35">
      <c r="A2236" s="17">
        <v>1507608</v>
      </c>
      <c r="B2236" s="18">
        <v>1886</v>
      </c>
      <c r="C2236" s="23" t="s">
        <v>101</v>
      </c>
      <c r="D2236" s="27">
        <v>45077.044444444444</v>
      </c>
      <c r="E2236" s="18" t="s">
        <v>133</v>
      </c>
      <c r="F2236" s="18" t="s">
        <v>27</v>
      </c>
      <c r="G2236" s="18">
        <v>8078</v>
      </c>
      <c r="H2236" s="25">
        <f t="shared" si="136"/>
        <v>45077</v>
      </c>
      <c r="I2236" s="26">
        <f t="shared" si="137"/>
        <v>4.4444444443797693E-2</v>
      </c>
      <c r="J2236" s="18" t="str">
        <f t="shared" si="138"/>
        <v>May</v>
      </c>
      <c r="K2236" s="56" t="str">
        <f t="shared" si="139"/>
        <v>Wednesday</v>
      </c>
      <c r="L2236" s="18" t="str">
        <f>IF(OR(G2236&gt;Answers!I2251,G2236&lt;Answers!I2252),"Outlier","Normal")</f>
        <v>Outlier</v>
      </c>
      <c r="M2236" s="18">
        <v>28</v>
      </c>
    </row>
    <row r="2237" spans="1:13" ht="20" customHeight="1" x14ac:dyDescent="0.35">
      <c r="A2237" s="17">
        <v>1508121</v>
      </c>
      <c r="B2237" s="18">
        <v>1786</v>
      </c>
      <c r="C2237" s="23" t="s">
        <v>106</v>
      </c>
      <c r="D2237" s="27">
        <v>45038.040277777778</v>
      </c>
      <c r="E2237" s="18" t="s">
        <v>133</v>
      </c>
      <c r="F2237" s="18" t="s">
        <v>69</v>
      </c>
      <c r="G2237" s="18">
        <v>4650</v>
      </c>
      <c r="H2237" s="25">
        <f t="shared" si="136"/>
        <v>45038</v>
      </c>
      <c r="I2237" s="26">
        <f t="shared" si="137"/>
        <v>4.0277777778101154E-2</v>
      </c>
      <c r="J2237" s="18" t="str">
        <f t="shared" si="138"/>
        <v>April</v>
      </c>
      <c r="K2237" s="56" t="str">
        <f t="shared" si="139"/>
        <v>Saturday</v>
      </c>
      <c r="L2237" s="18" t="str">
        <f>IF(OR(G2237&gt;Answers!I2252,G2237&lt;Answers!I2253),"Outlier","Normal")</f>
        <v>Outlier</v>
      </c>
      <c r="M2237" s="18">
        <v>78</v>
      </c>
    </row>
    <row r="2238" spans="1:13" ht="20" customHeight="1" x14ac:dyDescent="0.35">
      <c r="A2238" s="17">
        <v>1508428</v>
      </c>
      <c r="B2238" s="18">
        <v>1815</v>
      </c>
      <c r="C2238" s="23" t="s">
        <v>104</v>
      </c>
      <c r="D2238" s="27">
        <v>45015.033333333333</v>
      </c>
      <c r="E2238" s="18" t="s">
        <v>96</v>
      </c>
      <c r="F2238" s="18" t="s">
        <v>43</v>
      </c>
      <c r="G2238" s="18">
        <v>5995</v>
      </c>
      <c r="H2238" s="25">
        <f t="shared" si="136"/>
        <v>45015</v>
      </c>
      <c r="I2238" s="26">
        <f t="shared" si="137"/>
        <v>3.3333333332848269E-2</v>
      </c>
      <c r="J2238" s="18" t="str">
        <f t="shared" si="138"/>
        <v>March</v>
      </c>
      <c r="K2238" s="56" t="str">
        <f t="shared" si="139"/>
        <v>Thursday</v>
      </c>
      <c r="L2238" s="18" t="str">
        <f>IF(OR(G2238&gt;Answers!I2253,G2238&lt;Answers!I2254),"Outlier","Normal")</f>
        <v>Outlier</v>
      </c>
      <c r="M2238" s="18">
        <v>43</v>
      </c>
    </row>
    <row r="2239" spans="1:13" ht="20" customHeight="1" x14ac:dyDescent="0.35">
      <c r="A2239" s="17">
        <v>1508568</v>
      </c>
      <c r="B2239" s="18">
        <v>979</v>
      </c>
      <c r="C2239" s="23" t="s">
        <v>101</v>
      </c>
      <c r="D2239" s="27">
        <v>45284.03402777778</v>
      </c>
      <c r="E2239" s="18" t="s">
        <v>96</v>
      </c>
      <c r="F2239" s="18" t="s">
        <v>22</v>
      </c>
      <c r="G2239" s="18">
        <v>3218</v>
      </c>
      <c r="H2239" s="25">
        <f t="shared" si="136"/>
        <v>45284</v>
      </c>
      <c r="I2239" s="26">
        <f t="shared" si="137"/>
        <v>3.4027777779556345E-2</v>
      </c>
      <c r="J2239" s="18" t="str">
        <f t="shared" si="138"/>
        <v>December</v>
      </c>
      <c r="K2239" s="56" t="str">
        <f t="shared" si="139"/>
        <v>Sunday</v>
      </c>
      <c r="L2239" s="18" t="str">
        <f>IF(OR(G2239&gt;Answers!I2254,G2239&lt;Answers!I2255),"Outlier","Normal")</f>
        <v>Outlier</v>
      </c>
      <c r="M2239" s="18">
        <v>47</v>
      </c>
    </row>
    <row r="2240" spans="1:13" ht="20" customHeight="1" x14ac:dyDescent="0.35">
      <c r="A2240" s="17">
        <v>1508707</v>
      </c>
      <c r="B2240" s="18">
        <v>376</v>
      </c>
      <c r="C2240" s="23" t="s">
        <v>113</v>
      </c>
      <c r="D2240" s="27">
        <v>44964.973611111112</v>
      </c>
      <c r="E2240" s="18" t="s">
        <v>97</v>
      </c>
      <c r="F2240" s="18" t="s">
        <v>4</v>
      </c>
      <c r="G2240" s="18">
        <v>8491</v>
      </c>
      <c r="H2240" s="25">
        <f t="shared" si="136"/>
        <v>44964</v>
      </c>
      <c r="I2240" s="26">
        <f t="shared" si="137"/>
        <v>0.97361111111240461</v>
      </c>
      <c r="J2240" s="18" t="str">
        <f t="shared" si="138"/>
        <v>February</v>
      </c>
      <c r="K2240" s="56" t="str">
        <f t="shared" si="139"/>
        <v>Tuesday</v>
      </c>
      <c r="L2240" s="18" t="str">
        <f>IF(OR(G2240&gt;Answers!I2255,G2240&lt;Answers!I2256),"Outlier","Normal")</f>
        <v>Outlier</v>
      </c>
      <c r="M2240" s="18">
        <v>89</v>
      </c>
    </row>
    <row r="2241" spans="1:13" ht="20" customHeight="1" x14ac:dyDescent="0.35">
      <c r="A2241" s="17">
        <v>1508738</v>
      </c>
      <c r="B2241" s="18">
        <v>1408</v>
      </c>
      <c r="C2241" s="23" t="s">
        <v>99</v>
      </c>
      <c r="D2241" s="27">
        <v>45164.034722222219</v>
      </c>
      <c r="E2241" s="18" t="s">
        <v>96</v>
      </c>
      <c r="F2241" s="18" t="s">
        <v>19</v>
      </c>
      <c r="G2241" s="18">
        <v>8503</v>
      </c>
      <c r="H2241" s="25">
        <f t="shared" si="136"/>
        <v>45164</v>
      </c>
      <c r="I2241" s="26">
        <f t="shared" si="137"/>
        <v>3.4722222218988463E-2</v>
      </c>
      <c r="J2241" s="18" t="str">
        <f t="shared" si="138"/>
        <v>August</v>
      </c>
      <c r="K2241" s="56" t="str">
        <f t="shared" si="139"/>
        <v>Saturday</v>
      </c>
      <c r="L2241" s="18" t="str">
        <f>IF(OR(G2241&gt;Answers!I2256,G2241&lt;Answers!I2257),"Outlier","Normal")</f>
        <v>Outlier</v>
      </c>
      <c r="M2241" s="18">
        <v>68</v>
      </c>
    </row>
    <row r="2242" spans="1:13" ht="20" customHeight="1" x14ac:dyDescent="0.35">
      <c r="A2242" s="17">
        <v>1509554</v>
      </c>
      <c r="B2242" s="18">
        <v>610</v>
      </c>
      <c r="C2242" s="23" t="s">
        <v>100</v>
      </c>
      <c r="D2242" s="27">
        <v>45032.023611111108</v>
      </c>
      <c r="E2242" s="18" t="s">
        <v>97</v>
      </c>
      <c r="F2242" s="18" t="s">
        <v>35</v>
      </c>
      <c r="G2242" s="18">
        <v>4098</v>
      </c>
      <c r="H2242" s="25">
        <f t="shared" si="136"/>
        <v>45032</v>
      </c>
      <c r="I2242" s="26">
        <f t="shared" si="137"/>
        <v>2.361111110803904E-2</v>
      </c>
      <c r="J2242" s="18" t="str">
        <f t="shared" si="138"/>
        <v>April</v>
      </c>
      <c r="K2242" s="56" t="str">
        <f t="shared" si="139"/>
        <v>Sunday</v>
      </c>
      <c r="L2242" s="18" t="str">
        <f>IF(OR(G2242&gt;Answers!I2257,G2242&lt;Answers!I2258),"Outlier","Normal")</f>
        <v>Outlier</v>
      </c>
      <c r="M2242" s="18">
        <v>62</v>
      </c>
    </row>
    <row r="2243" spans="1:13" ht="20" customHeight="1" x14ac:dyDescent="0.35">
      <c r="A2243" s="17">
        <v>1509587</v>
      </c>
      <c r="B2243" s="18">
        <v>822</v>
      </c>
      <c r="C2243" s="23" t="s">
        <v>99</v>
      </c>
      <c r="D2243" s="27">
        <v>45268.011111111111</v>
      </c>
      <c r="E2243" s="18" t="s">
        <v>133</v>
      </c>
      <c r="F2243" s="18" t="s">
        <v>21</v>
      </c>
      <c r="G2243" s="18">
        <v>43</v>
      </c>
      <c r="H2243" s="25">
        <f t="shared" ref="H2243:H2306" si="140">INT(D2243)</f>
        <v>45268</v>
      </c>
      <c r="I2243" s="26">
        <f t="shared" ref="I2243:I2306" si="141">MOD(D2243,1)</f>
        <v>1.1111111110949423E-2</v>
      </c>
      <c r="J2243" s="18" t="str">
        <f t="shared" ref="J2243:J2306" si="142">TEXT(D2243,"mmmm")</f>
        <v>December</v>
      </c>
      <c r="K2243" s="56" t="str">
        <f t="shared" ref="K2243:K2306" si="143">TEXT(D2243,"dddd")</f>
        <v>Friday</v>
      </c>
      <c r="L2243" s="18" t="str">
        <f>IF(OR(G2243&gt;Answers!I2258,G2243&lt;Answers!I2259),"Outlier","Normal")</f>
        <v>Outlier</v>
      </c>
      <c r="M2243" s="18">
        <v>18</v>
      </c>
    </row>
    <row r="2244" spans="1:13" ht="20" customHeight="1" x14ac:dyDescent="0.35">
      <c r="A2244" s="17">
        <v>1509701</v>
      </c>
      <c r="B2244" s="18">
        <v>1109</v>
      </c>
      <c r="C2244" s="23" t="s">
        <v>113</v>
      </c>
      <c r="D2244" s="27">
        <v>45226.024305555555</v>
      </c>
      <c r="E2244" s="18" t="s">
        <v>96</v>
      </c>
      <c r="F2244" s="18" t="s">
        <v>43</v>
      </c>
      <c r="G2244" s="18">
        <v>1460</v>
      </c>
      <c r="H2244" s="25">
        <f t="shared" si="140"/>
        <v>45226</v>
      </c>
      <c r="I2244" s="26">
        <f t="shared" si="141"/>
        <v>2.4305555554747116E-2</v>
      </c>
      <c r="J2244" s="18" t="str">
        <f t="shared" si="142"/>
        <v>October</v>
      </c>
      <c r="K2244" s="56" t="str">
        <f t="shared" si="143"/>
        <v>Friday</v>
      </c>
      <c r="L2244" s="18" t="str">
        <f>IF(OR(G2244&gt;Answers!I2259,G2244&lt;Answers!I2260),"Outlier","Normal")</f>
        <v>Outlier</v>
      </c>
      <c r="M2244" s="18">
        <v>86</v>
      </c>
    </row>
    <row r="2245" spans="1:13" ht="20" customHeight="1" x14ac:dyDescent="0.35">
      <c r="A2245" s="17">
        <v>1512442</v>
      </c>
      <c r="B2245" s="18">
        <v>1243</v>
      </c>
      <c r="C2245" s="23" t="s">
        <v>105</v>
      </c>
      <c r="D2245" s="27">
        <v>45095.024305555555</v>
      </c>
      <c r="E2245" s="18" t="s">
        <v>97</v>
      </c>
      <c r="F2245" s="18" t="s">
        <v>78</v>
      </c>
      <c r="G2245" s="18">
        <v>7379</v>
      </c>
      <c r="H2245" s="25">
        <f t="shared" si="140"/>
        <v>45095</v>
      </c>
      <c r="I2245" s="26">
        <f t="shared" si="141"/>
        <v>2.4305555554747116E-2</v>
      </c>
      <c r="J2245" s="18" t="str">
        <f t="shared" si="142"/>
        <v>June</v>
      </c>
      <c r="K2245" s="56" t="str">
        <f t="shared" si="143"/>
        <v>Sunday</v>
      </c>
      <c r="L2245" s="18" t="str">
        <f>IF(OR(G2245&gt;Answers!I2260,G2245&lt;Answers!I2261),"Outlier","Normal")</f>
        <v>Outlier</v>
      </c>
      <c r="M2245" s="18">
        <v>24</v>
      </c>
    </row>
    <row r="2246" spans="1:13" ht="20" customHeight="1" x14ac:dyDescent="0.35">
      <c r="A2246" s="17">
        <v>1512481</v>
      </c>
      <c r="B2246" s="18">
        <v>1560</v>
      </c>
      <c r="C2246" s="23" t="s">
        <v>106</v>
      </c>
      <c r="D2246" s="27">
        <v>44963.037499999999</v>
      </c>
      <c r="E2246" s="18" t="s">
        <v>96</v>
      </c>
      <c r="F2246" s="18" t="s">
        <v>5</v>
      </c>
      <c r="G2246" s="18">
        <v>1363</v>
      </c>
      <c r="H2246" s="25">
        <f t="shared" si="140"/>
        <v>44963</v>
      </c>
      <c r="I2246" s="26">
        <f t="shared" si="141"/>
        <v>3.7499999998544808E-2</v>
      </c>
      <c r="J2246" s="18" t="str">
        <f t="shared" si="142"/>
        <v>February</v>
      </c>
      <c r="K2246" s="56" t="str">
        <f t="shared" si="143"/>
        <v>Monday</v>
      </c>
      <c r="L2246" s="18" t="str">
        <f>IF(OR(G2246&gt;Answers!I2261,G2246&lt;Answers!I2262),"Outlier","Normal")</f>
        <v>Outlier</v>
      </c>
      <c r="M2246" s="18">
        <v>36</v>
      </c>
    </row>
    <row r="2247" spans="1:13" ht="20" customHeight="1" x14ac:dyDescent="0.35">
      <c r="A2247" s="17">
        <v>1513008</v>
      </c>
      <c r="B2247" s="18">
        <v>1980</v>
      </c>
      <c r="C2247" s="23" t="s">
        <v>110</v>
      </c>
      <c r="D2247" s="27">
        <v>45133.039583333331</v>
      </c>
      <c r="E2247" s="18" t="s">
        <v>97</v>
      </c>
      <c r="F2247" s="18" t="s">
        <v>43</v>
      </c>
      <c r="G2247" s="18">
        <v>4837</v>
      </c>
      <c r="H2247" s="25">
        <f t="shared" si="140"/>
        <v>45133</v>
      </c>
      <c r="I2247" s="26">
        <f t="shared" si="141"/>
        <v>3.9583333331393078E-2</v>
      </c>
      <c r="J2247" s="18" t="str">
        <f t="shared" si="142"/>
        <v>July</v>
      </c>
      <c r="K2247" s="56" t="str">
        <f t="shared" si="143"/>
        <v>Wednesday</v>
      </c>
      <c r="L2247" s="18" t="str">
        <f>IF(OR(G2247&gt;Answers!I2262,G2247&lt;Answers!I2263),"Outlier","Normal")</f>
        <v>Outlier</v>
      </c>
      <c r="M2247" s="18">
        <v>57</v>
      </c>
    </row>
    <row r="2248" spans="1:13" ht="20" customHeight="1" x14ac:dyDescent="0.35">
      <c r="A2248" s="17">
        <v>1513475</v>
      </c>
      <c r="B2248" s="18">
        <v>375</v>
      </c>
      <c r="C2248" s="23" t="s">
        <v>101</v>
      </c>
      <c r="D2248" s="27">
        <v>45079.034722222219</v>
      </c>
      <c r="E2248" s="18" t="s">
        <v>97</v>
      </c>
      <c r="F2248" s="18" t="s">
        <v>27</v>
      </c>
      <c r="G2248" s="18">
        <v>7352</v>
      </c>
      <c r="H2248" s="25">
        <f t="shared" si="140"/>
        <v>45079</v>
      </c>
      <c r="I2248" s="26">
        <f t="shared" si="141"/>
        <v>3.4722222218988463E-2</v>
      </c>
      <c r="J2248" s="18" t="str">
        <f t="shared" si="142"/>
        <v>June</v>
      </c>
      <c r="K2248" s="56" t="str">
        <f t="shared" si="143"/>
        <v>Friday</v>
      </c>
      <c r="L2248" s="18" t="str">
        <f>IF(OR(G2248&gt;Answers!I2263,G2248&lt;Answers!I2264),"Outlier","Normal")</f>
        <v>Outlier</v>
      </c>
      <c r="M2248" s="18">
        <v>45</v>
      </c>
    </row>
    <row r="2249" spans="1:13" ht="20" customHeight="1" x14ac:dyDescent="0.35">
      <c r="A2249" s="17">
        <v>1513796</v>
      </c>
      <c r="B2249" s="18">
        <v>218</v>
      </c>
      <c r="C2249" s="23" t="s">
        <v>100</v>
      </c>
      <c r="D2249" s="27">
        <v>45100.99722222222</v>
      </c>
      <c r="E2249" s="18" t="s">
        <v>96</v>
      </c>
      <c r="F2249" s="18" t="s">
        <v>27</v>
      </c>
      <c r="G2249" s="18">
        <v>520</v>
      </c>
      <c r="H2249" s="25">
        <f t="shared" si="140"/>
        <v>45100</v>
      </c>
      <c r="I2249" s="26">
        <f t="shared" si="141"/>
        <v>0.99722222222044365</v>
      </c>
      <c r="J2249" s="18" t="str">
        <f t="shared" si="142"/>
        <v>June</v>
      </c>
      <c r="K2249" s="56" t="str">
        <f t="shared" si="143"/>
        <v>Friday</v>
      </c>
      <c r="L2249" s="18" t="str">
        <f>IF(OR(G2249&gt;Answers!I2264,G2249&lt;Answers!I2265),"Outlier","Normal")</f>
        <v>Outlier</v>
      </c>
      <c r="M2249" s="18">
        <v>34</v>
      </c>
    </row>
    <row r="2250" spans="1:13" ht="20" customHeight="1" x14ac:dyDescent="0.35">
      <c r="A2250" s="17">
        <v>1513980</v>
      </c>
      <c r="B2250" s="18">
        <v>1164</v>
      </c>
      <c r="C2250" s="23" t="s">
        <v>99</v>
      </c>
      <c r="D2250" s="27">
        <v>44971.987500000003</v>
      </c>
      <c r="E2250" s="18" t="s">
        <v>98</v>
      </c>
      <c r="F2250" s="18" t="s">
        <v>27</v>
      </c>
      <c r="G2250" s="18">
        <v>5236</v>
      </c>
      <c r="H2250" s="25">
        <f t="shared" si="140"/>
        <v>44971</v>
      </c>
      <c r="I2250" s="26">
        <f t="shared" si="141"/>
        <v>0.98750000000291038</v>
      </c>
      <c r="J2250" s="18" t="str">
        <f t="shared" si="142"/>
        <v>February</v>
      </c>
      <c r="K2250" s="56" t="str">
        <f t="shared" si="143"/>
        <v>Tuesday</v>
      </c>
      <c r="L2250" s="18" t="str">
        <f>IF(OR(G2250&gt;Answers!I2265,G2250&lt;Answers!I2266),"Outlier","Normal")</f>
        <v>Outlier</v>
      </c>
      <c r="M2250" s="18">
        <v>63</v>
      </c>
    </row>
    <row r="2251" spans="1:13" ht="20" customHeight="1" x14ac:dyDescent="0.35">
      <c r="A2251" s="17">
        <v>1514182</v>
      </c>
      <c r="B2251" s="18">
        <v>992</v>
      </c>
      <c r="C2251" s="23" t="s">
        <v>99</v>
      </c>
      <c r="D2251" s="27">
        <v>44940.012499999997</v>
      </c>
      <c r="E2251" s="18" t="s">
        <v>97</v>
      </c>
      <c r="F2251" s="18" t="s">
        <v>18</v>
      </c>
      <c r="G2251" s="18">
        <v>4187</v>
      </c>
      <c r="H2251" s="25">
        <f t="shared" si="140"/>
        <v>44940</v>
      </c>
      <c r="I2251" s="26">
        <f t="shared" si="141"/>
        <v>1.2499999997089617E-2</v>
      </c>
      <c r="J2251" s="18" t="str">
        <f t="shared" si="142"/>
        <v>January</v>
      </c>
      <c r="K2251" s="56" t="str">
        <f t="shared" si="143"/>
        <v>Saturday</v>
      </c>
      <c r="L2251" s="18" t="str">
        <f>IF(OR(G2251&gt;Answers!I2266,G2251&lt;Answers!I2267),"Outlier","Normal")</f>
        <v>Outlier</v>
      </c>
      <c r="M2251" s="18">
        <v>51</v>
      </c>
    </row>
    <row r="2252" spans="1:13" ht="20" customHeight="1" x14ac:dyDescent="0.35">
      <c r="A2252" s="17">
        <v>1515579</v>
      </c>
      <c r="B2252" s="18">
        <v>982</v>
      </c>
      <c r="C2252" s="23" t="s">
        <v>99</v>
      </c>
      <c r="D2252" s="27">
        <v>45052.035416666666</v>
      </c>
      <c r="E2252" s="18" t="s">
        <v>97</v>
      </c>
      <c r="F2252" s="18" t="s">
        <v>27</v>
      </c>
      <c r="G2252" s="18">
        <v>811</v>
      </c>
      <c r="H2252" s="25">
        <f t="shared" si="140"/>
        <v>45052</v>
      </c>
      <c r="I2252" s="26">
        <f t="shared" si="141"/>
        <v>3.5416666665696539E-2</v>
      </c>
      <c r="J2252" s="18" t="str">
        <f t="shared" si="142"/>
        <v>May</v>
      </c>
      <c r="K2252" s="56" t="str">
        <f t="shared" si="143"/>
        <v>Saturday</v>
      </c>
      <c r="L2252" s="18" t="str">
        <f>IF(OR(G2252&gt;Answers!I2267,G2252&lt;Answers!I2268),"Outlier","Normal")</f>
        <v>Outlier</v>
      </c>
      <c r="M2252" s="18">
        <v>35</v>
      </c>
    </row>
    <row r="2253" spans="1:13" ht="20" customHeight="1" x14ac:dyDescent="0.35">
      <c r="A2253" s="17">
        <v>1516849</v>
      </c>
      <c r="B2253" s="18">
        <v>108</v>
      </c>
      <c r="C2253" s="23" t="s">
        <v>105</v>
      </c>
      <c r="D2253" s="27">
        <v>45080.015277777777</v>
      </c>
      <c r="E2253" s="18" t="s">
        <v>97</v>
      </c>
      <c r="F2253" s="18" t="s">
        <v>94</v>
      </c>
      <c r="G2253" s="18">
        <v>5536</v>
      </c>
      <c r="H2253" s="25">
        <f t="shared" si="140"/>
        <v>45080</v>
      </c>
      <c r="I2253" s="26">
        <f t="shared" si="141"/>
        <v>1.5277777776645962E-2</v>
      </c>
      <c r="J2253" s="18" t="str">
        <f t="shared" si="142"/>
        <v>June</v>
      </c>
      <c r="K2253" s="56" t="str">
        <f t="shared" si="143"/>
        <v>Saturday</v>
      </c>
      <c r="L2253" s="18" t="str">
        <f>IF(OR(G2253&gt;Answers!I2268,G2253&lt;Answers!I2269),"Outlier","Normal")</f>
        <v>Outlier</v>
      </c>
      <c r="M2253" s="18">
        <v>63</v>
      </c>
    </row>
    <row r="2254" spans="1:13" ht="20" customHeight="1" x14ac:dyDescent="0.35">
      <c r="A2254" s="17">
        <v>1516974</v>
      </c>
      <c r="B2254" s="18">
        <v>136</v>
      </c>
      <c r="C2254" s="23" t="s">
        <v>99</v>
      </c>
      <c r="D2254" s="27">
        <v>45057.038194444445</v>
      </c>
      <c r="E2254" s="18" t="s">
        <v>96</v>
      </c>
      <c r="F2254" s="18" t="s">
        <v>78</v>
      </c>
      <c r="G2254" s="18">
        <v>1042</v>
      </c>
      <c r="H2254" s="25">
        <f t="shared" si="140"/>
        <v>45057</v>
      </c>
      <c r="I2254" s="26">
        <f t="shared" si="141"/>
        <v>3.8194444445252884E-2</v>
      </c>
      <c r="J2254" s="18" t="str">
        <f t="shared" si="142"/>
        <v>May</v>
      </c>
      <c r="K2254" s="56" t="str">
        <f t="shared" si="143"/>
        <v>Thursday</v>
      </c>
      <c r="L2254" s="18" t="str">
        <f>IF(OR(G2254&gt;Answers!I2269,G2254&lt;Answers!I2270),"Outlier","Normal")</f>
        <v>Outlier</v>
      </c>
      <c r="M2254" s="18">
        <v>36</v>
      </c>
    </row>
    <row r="2255" spans="1:13" ht="20" customHeight="1" x14ac:dyDescent="0.35">
      <c r="A2255" s="17">
        <v>1519463</v>
      </c>
      <c r="B2255" s="18">
        <v>266</v>
      </c>
      <c r="C2255" s="23" t="s">
        <v>99</v>
      </c>
      <c r="D2255" s="27">
        <v>44936.977777777778</v>
      </c>
      <c r="E2255" s="18" t="s">
        <v>133</v>
      </c>
      <c r="F2255" s="18" t="s">
        <v>43</v>
      </c>
      <c r="G2255" s="18">
        <v>5361</v>
      </c>
      <c r="H2255" s="25">
        <f t="shared" si="140"/>
        <v>44936</v>
      </c>
      <c r="I2255" s="26">
        <f t="shared" si="141"/>
        <v>0.97777777777810115</v>
      </c>
      <c r="J2255" s="18" t="str">
        <f t="shared" si="142"/>
        <v>January</v>
      </c>
      <c r="K2255" s="56" t="str">
        <f t="shared" si="143"/>
        <v>Tuesday</v>
      </c>
      <c r="L2255" s="18" t="str">
        <f>IF(OR(G2255&gt;Answers!I2270,G2255&lt;Answers!I2271),"Outlier","Normal")</f>
        <v>Outlier</v>
      </c>
      <c r="M2255" s="18">
        <v>37</v>
      </c>
    </row>
    <row r="2256" spans="1:13" ht="20" customHeight="1" x14ac:dyDescent="0.35">
      <c r="A2256" s="17">
        <v>1520253</v>
      </c>
      <c r="B2256" s="18">
        <v>1775</v>
      </c>
      <c r="C2256" s="23" t="s">
        <v>99</v>
      </c>
      <c r="D2256" s="27">
        <v>45192.994444444441</v>
      </c>
      <c r="E2256" s="18" t="s">
        <v>98</v>
      </c>
      <c r="F2256" s="18" t="s">
        <v>32</v>
      </c>
      <c r="G2256" s="18">
        <v>429</v>
      </c>
      <c r="H2256" s="25">
        <f t="shared" si="140"/>
        <v>45192</v>
      </c>
      <c r="I2256" s="26">
        <f t="shared" si="141"/>
        <v>0.99444444444088731</v>
      </c>
      <c r="J2256" s="18" t="str">
        <f t="shared" si="142"/>
        <v>September</v>
      </c>
      <c r="K2256" s="56" t="str">
        <f t="shared" si="143"/>
        <v>Saturday</v>
      </c>
      <c r="L2256" s="18" t="str">
        <f>IF(OR(G2256&gt;Answers!I2271,G2256&lt;Answers!I2272),"Outlier","Normal")</f>
        <v>Outlier</v>
      </c>
      <c r="M2256" s="18">
        <v>42</v>
      </c>
    </row>
    <row r="2257" spans="1:13" ht="20" customHeight="1" x14ac:dyDescent="0.35">
      <c r="A2257" s="17">
        <v>1521124</v>
      </c>
      <c r="B2257" s="18">
        <v>1828</v>
      </c>
      <c r="C2257" s="23" t="s">
        <v>102</v>
      </c>
      <c r="D2257" s="27">
        <v>45013.078472222223</v>
      </c>
      <c r="E2257" s="18" t="s">
        <v>133</v>
      </c>
      <c r="F2257" s="18" t="s">
        <v>30</v>
      </c>
      <c r="G2257" s="18">
        <v>8408</v>
      </c>
      <c r="H2257" s="25">
        <f t="shared" si="140"/>
        <v>45013</v>
      </c>
      <c r="I2257" s="26">
        <f t="shared" si="141"/>
        <v>7.8472222223354038E-2</v>
      </c>
      <c r="J2257" s="18" t="str">
        <f t="shared" si="142"/>
        <v>March</v>
      </c>
      <c r="K2257" s="56" t="str">
        <f t="shared" si="143"/>
        <v>Tuesday</v>
      </c>
      <c r="L2257" s="18" t="str">
        <f>IF(OR(G2257&gt;Answers!I2272,G2257&lt;Answers!I2273),"Outlier","Normal")</f>
        <v>Outlier</v>
      </c>
      <c r="M2257" s="18">
        <v>51</v>
      </c>
    </row>
    <row r="2258" spans="1:13" ht="20" customHeight="1" x14ac:dyDescent="0.35">
      <c r="A2258" s="17">
        <v>1521957</v>
      </c>
      <c r="B2258" s="18">
        <v>347</v>
      </c>
      <c r="C2258" s="23" t="s">
        <v>108</v>
      </c>
      <c r="D2258" s="27">
        <v>45236.970833333333</v>
      </c>
      <c r="E2258" s="18" t="s">
        <v>96</v>
      </c>
      <c r="F2258" s="18" t="s">
        <v>74</v>
      </c>
      <c r="G2258" s="18">
        <v>2198</v>
      </c>
      <c r="H2258" s="25">
        <f t="shared" si="140"/>
        <v>45236</v>
      </c>
      <c r="I2258" s="26">
        <f t="shared" si="141"/>
        <v>0.97083333333284827</v>
      </c>
      <c r="J2258" s="18" t="str">
        <f t="shared" si="142"/>
        <v>November</v>
      </c>
      <c r="K2258" s="56" t="str">
        <f t="shared" si="143"/>
        <v>Monday</v>
      </c>
      <c r="L2258" s="18" t="str">
        <f>IF(OR(G2258&gt;Answers!I2273,G2258&lt;Answers!I2274),"Outlier","Normal")</f>
        <v>Outlier</v>
      </c>
      <c r="M2258" s="18">
        <v>59</v>
      </c>
    </row>
    <row r="2259" spans="1:13" ht="20" customHeight="1" x14ac:dyDescent="0.35">
      <c r="A2259" s="17">
        <v>1522932</v>
      </c>
      <c r="B2259" s="18">
        <v>1737</v>
      </c>
      <c r="C2259" s="23" t="s">
        <v>106</v>
      </c>
      <c r="D2259" s="27">
        <v>45238.030555555553</v>
      </c>
      <c r="E2259" s="18" t="s">
        <v>97</v>
      </c>
      <c r="F2259" s="18" t="s">
        <v>85</v>
      </c>
      <c r="G2259" s="18">
        <v>2633</v>
      </c>
      <c r="H2259" s="25">
        <f t="shared" si="140"/>
        <v>45238</v>
      </c>
      <c r="I2259" s="26">
        <f t="shared" si="141"/>
        <v>3.0555555553291924E-2</v>
      </c>
      <c r="J2259" s="18" t="str">
        <f t="shared" si="142"/>
        <v>November</v>
      </c>
      <c r="K2259" s="56" t="str">
        <f t="shared" si="143"/>
        <v>Wednesday</v>
      </c>
      <c r="L2259" s="18" t="str">
        <f>IF(OR(G2259&gt;Answers!I2274,G2259&lt;Answers!I2275),"Outlier","Normal")</f>
        <v>Outlier</v>
      </c>
      <c r="M2259" s="18">
        <v>60</v>
      </c>
    </row>
    <row r="2260" spans="1:13" ht="20" customHeight="1" x14ac:dyDescent="0.35">
      <c r="A2260" s="17">
        <v>1524093</v>
      </c>
      <c r="B2260" s="18">
        <v>104</v>
      </c>
      <c r="C2260" s="23" t="s">
        <v>101</v>
      </c>
      <c r="D2260" s="27">
        <v>45216.972222222219</v>
      </c>
      <c r="E2260" s="18" t="s">
        <v>98</v>
      </c>
      <c r="F2260" s="18" t="s">
        <v>51</v>
      </c>
      <c r="G2260" s="18">
        <v>6754</v>
      </c>
      <c r="H2260" s="25">
        <f t="shared" si="140"/>
        <v>45216</v>
      </c>
      <c r="I2260" s="26">
        <f t="shared" si="141"/>
        <v>0.97222222221898846</v>
      </c>
      <c r="J2260" s="18" t="str">
        <f t="shared" si="142"/>
        <v>October</v>
      </c>
      <c r="K2260" s="56" t="str">
        <f t="shared" si="143"/>
        <v>Tuesday</v>
      </c>
      <c r="L2260" s="18" t="str">
        <f>IF(OR(G2260&gt;Answers!I2275,G2260&lt;Answers!I2276),"Outlier","Normal")</f>
        <v>Outlier</v>
      </c>
      <c r="M2260" s="18">
        <v>46</v>
      </c>
    </row>
    <row r="2261" spans="1:13" ht="20" customHeight="1" x14ac:dyDescent="0.35">
      <c r="A2261" s="17">
        <v>1524999</v>
      </c>
      <c r="B2261" s="18">
        <v>333</v>
      </c>
      <c r="C2261" s="23" t="s">
        <v>109</v>
      </c>
      <c r="D2261" s="27">
        <v>44943.975694444445</v>
      </c>
      <c r="E2261" s="18" t="s">
        <v>96</v>
      </c>
      <c r="F2261" s="18" t="s">
        <v>68</v>
      </c>
      <c r="G2261" s="18">
        <v>1766</v>
      </c>
      <c r="H2261" s="25">
        <f t="shared" si="140"/>
        <v>44943</v>
      </c>
      <c r="I2261" s="26">
        <f t="shared" si="141"/>
        <v>0.97569444444525288</v>
      </c>
      <c r="J2261" s="18" t="str">
        <f t="shared" si="142"/>
        <v>January</v>
      </c>
      <c r="K2261" s="56" t="str">
        <f t="shared" si="143"/>
        <v>Tuesday</v>
      </c>
      <c r="L2261" s="18" t="str">
        <f>IF(OR(G2261&gt;Answers!I2276,G2261&lt;Answers!I2277),"Outlier","Normal")</f>
        <v>Outlier</v>
      </c>
      <c r="M2261" s="18">
        <v>43</v>
      </c>
    </row>
    <row r="2262" spans="1:13" ht="20" customHeight="1" x14ac:dyDescent="0.35">
      <c r="A2262" s="17">
        <v>1525718</v>
      </c>
      <c r="B2262" s="18">
        <v>255</v>
      </c>
      <c r="C2262" s="23" t="s">
        <v>107</v>
      </c>
      <c r="D2262" s="27">
        <v>45161.056944444441</v>
      </c>
      <c r="E2262" s="18" t="s">
        <v>133</v>
      </c>
      <c r="F2262" s="18" t="s">
        <v>79</v>
      </c>
      <c r="G2262" s="18">
        <v>1434</v>
      </c>
      <c r="H2262" s="25">
        <f t="shared" si="140"/>
        <v>45161</v>
      </c>
      <c r="I2262" s="26">
        <f t="shared" si="141"/>
        <v>5.694444444088731E-2</v>
      </c>
      <c r="J2262" s="18" t="str">
        <f t="shared" si="142"/>
        <v>August</v>
      </c>
      <c r="K2262" s="56" t="str">
        <f t="shared" si="143"/>
        <v>Wednesday</v>
      </c>
      <c r="L2262" s="18" t="str">
        <f>IF(OR(G2262&gt;Answers!I2277,G2262&lt;Answers!I2278),"Outlier","Normal")</f>
        <v>Outlier</v>
      </c>
      <c r="M2262" s="18">
        <v>62</v>
      </c>
    </row>
    <row r="2263" spans="1:13" ht="20" customHeight="1" x14ac:dyDescent="0.35">
      <c r="A2263" s="17">
        <v>1526107</v>
      </c>
      <c r="B2263" s="18">
        <v>1781</v>
      </c>
      <c r="C2263" s="23" t="s">
        <v>108</v>
      </c>
      <c r="D2263" s="27">
        <v>45051.941666666666</v>
      </c>
      <c r="E2263" s="18" t="s">
        <v>98</v>
      </c>
      <c r="F2263" s="18" t="s">
        <v>76</v>
      </c>
      <c r="G2263" s="18">
        <v>399</v>
      </c>
      <c r="H2263" s="25">
        <f t="shared" si="140"/>
        <v>45051</v>
      </c>
      <c r="I2263" s="26">
        <f t="shared" si="141"/>
        <v>0.94166666666569654</v>
      </c>
      <c r="J2263" s="18" t="str">
        <f t="shared" si="142"/>
        <v>May</v>
      </c>
      <c r="K2263" s="56" t="str">
        <f t="shared" si="143"/>
        <v>Friday</v>
      </c>
      <c r="L2263" s="18" t="str">
        <f>IF(OR(G2263&gt;Answers!I2278,G2263&lt;Answers!I2279),"Outlier","Normal")</f>
        <v>Outlier</v>
      </c>
      <c r="M2263" s="18">
        <v>29</v>
      </c>
    </row>
    <row r="2264" spans="1:13" ht="20" customHeight="1" x14ac:dyDescent="0.35">
      <c r="A2264" s="17">
        <v>1526749</v>
      </c>
      <c r="B2264" s="18">
        <v>1926</v>
      </c>
      <c r="C2264" s="23" t="s">
        <v>105</v>
      </c>
      <c r="D2264" s="27">
        <v>45151.027777777781</v>
      </c>
      <c r="E2264" s="18" t="s">
        <v>97</v>
      </c>
      <c r="F2264" s="18" t="s">
        <v>77</v>
      </c>
      <c r="G2264" s="18">
        <v>7714</v>
      </c>
      <c r="H2264" s="25">
        <f t="shared" si="140"/>
        <v>45151</v>
      </c>
      <c r="I2264" s="26">
        <f t="shared" si="141"/>
        <v>2.7777777781011537E-2</v>
      </c>
      <c r="J2264" s="18" t="str">
        <f t="shared" si="142"/>
        <v>August</v>
      </c>
      <c r="K2264" s="56" t="str">
        <f t="shared" si="143"/>
        <v>Sunday</v>
      </c>
      <c r="L2264" s="18" t="str">
        <f>IF(OR(G2264&gt;Answers!I2279,G2264&lt;Answers!I2280),"Outlier","Normal")</f>
        <v>Outlier</v>
      </c>
      <c r="M2264" s="18">
        <v>24</v>
      </c>
    </row>
    <row r="2265" spans="1:13" ht="20" customHeight="1" x14ac:dyDescent="0.35">
      <c r="A2265" s="17">
        <v>1527612</v>
      </c>
      <c r="B2265" s="18">
        <v>1654</v>
      </c>
      <c r="C2265" s="23" t="s">
        <v>99</v>
      </c>
      <c r="D2265" s="27">
        <v>45216.940972222219</v>
      </c>
      <c r="E2265" s="18" t="s">
        <v>96</v>
      </c>
      <c r="F2265" s="18" t="s">
        <v>22</v>
      </c>
      <c r="G2265" s="18">
        <v>1813</v>
      </c>
      <c r="H2265" s="25">
        <f t="shared" si="140"/>
        <v>45216</v>
      </c>
      <c r="I2265" s="26">
        <f t="shared" si="141"/>
        <v>0.94097222221898846</v>
      </c>
      <c r="J2265" s="18" t="str">
        <f t="shared" si="142"/>
        <v>October</v>
      </c>
      <c r="K2265" s="56" t="str">
        <f t="shared" si="143"/>
        <v>Tuesday</v>
      </c>
      <c r="L2265" s="18" t="str">
        <f>IF(OR(G2265&gt;Answers!I2280,G2265&lt;Answers!I2281),"Outlier","Normal")</f>
        <v>Outlier</v>
      </c>
      <c r="M2265" s="18">
        <v>56</v>
      </c>
    </row>
    <row r="2266" spans="1:13" ht="20" customHeight="1" x14ac:dyDescent="0.35">
      <c r="A2266" s="17">
        <v>1528079</v>
      </c>
      <c r="B2266" s="18">
        <v>150</v>
      </c>
      <c r="C2266" s="23" t="s">
        <v>99</v>
      </c>
      <c r="D2266" s="27">
        <v>45273.003472222219</v>
      </c>
      <c r="E2266" s="18" t="s">
        <v>96</v>
      </c>
      <c r="F2266" s="18" t="s">
        <v>43</v>
      </c>
      <c r="G2266" s="18">
        <v>8608</v>
      </c>
      <c r="H2266" s="25">
        <f t="shared" si="140"/>
        <v>45273</v>
      </c>
      <c r="I2266" s="26">
        <f t="shared" si="141"/>
        <v>3.4722222189884633E-3</v>
      </c>
      <c r="J2266" s="18" t="str">
        <f t="shared" si="142"/>
        <v>December</v>
      </c>
      <c r="K2266" s="56" t="str">
        <f t="shared" si="143"/>
        <v>Wednesday</v>
      </c>
      <c r="L2266" s="18" t="str">
        <f>IF(OR(G2266&gt;Answers!I2281,G2266&lt;Answers!I2282),"Outlier","Normal")</f>
        <v>Outlier</v>
      </c>
      <c r="M2266" s="18">
        <v>31</v>
      </c>
    </row>
    <row r="2267" spans="1:13" ht="20" customHeight="1" x14ac:dyDescent="0.35">
      <c r="A2267" s="17">
        <v>1528540</v>
      </c>
      <c r="B2267" s="18">
        <v>913</v>
      </c>
      <c r="C2267" s="23" t="s">
        <v>99</v>
      </c>
      <c r="D2267" s="27">
        <v>44960.07916666667</v>
      </c>
      <c r="E2267" s="18" t="s">
        <v>133</v>
      </c>
      <c r="F2267" s="18" t="s">
        <v>4</v>
      </c>
      <c r="G2267" s="18">
        <v>9004</v>
      </c>
      <c r="H2267" s="25">
        <f t="shared" si="140"/>
        <v>44960</v>
      </c>
      <c r="I2267" s="26">
        <f t="shared" si="141"/>
        <v>7.9166666670062114E-2</v>
      </c>
      <c r="J2267" s="18" t="str">
        <f t="shared" si="142"/>
        <v>February</v>
      </c>
      <c r="K2267" s="56" t="str">
        <f t="shared" si="143"/>
        <v>Friday</v>
      </c>
      <c r="L2267" s="18" t="str">
        <f>IF(OR(G2267&gt;Answers!I2282,G2267&lt;Answers!I2283),"Outlier","Normal")</f>
        <v>Outlier</v>
      </c>
      <c r="M2267" s="18">
        <v>28</v>
      </c>
    </row>
    <row r="2268" spans="1:13" ht="20" customHeight="1" x14ac:dyDescent="0.35">
      <c r="A2268" s="17">
        <v>1529840</v>
      </c>
      <c r="B2268" s="18">
        <v>1794</v>
      </c>
      <c r="C2268" s="23" t="s">
        <v>101</v>
      </c>
      <c r="D2268" s="27">
        <v>44988.022916666669</v>
      </c>
      <c r="E2268" s="18" t="s">
        <v>133</v>
      </c>
      <c r="F2268" s="18" t="s">
        <v>81</v>
      </c>
      <c r="G2268" s="18">
        <v>1054</v>
      </c>
      <c r="H2268" s="25">
        <f t="shared" si="140"/>
        <v>44988</v>
      </c>
      <c r="I2268" s="26">
        <f t="shared" si="141"/>
        <v>2.2916666668606922E-2</v>
      </c>
      <c r="J2268" s="18" t="str">
        <f t="shared" si="142"/>
        <v>March</v>
      </c>
      <c r="K2268" s="56" t="str">
        <f t="shared" si="143"/>
        <v>Friday</v>
      </c>
      <c r="L2268" s="18" t="str">
        <f>IF(OR(G2268&gt;Answers!I2283,G2268&lt;Answers!I2284),"Outlier","Normal")</f>
        <v>Outlier</v>
      </c>
      <c r="M2268" s="18">
        <v>41</v>
      </c>
    </row>
    <row r="2269" spans="1:13" ht="20" customHeight="1" x14ac:dyDescent="0.35">
      <c r="A2269" s="17">
        <v>1530454</v>
      </c>
      <c r="B2269" s="18">
        <v>499</v>
      </c>
      <c r="C2269" s="23" t="s">
        <v>101</v>
      </c>
      <c r="D2269" s="27">
        <v>45043.959027777775</v>
      </c>
      <c r="E2269" s="18" t="s">
        <v>98</v>
      </c>
      <c r="F2269" s="18" t="s">
        <v>82</v>
      </c>
      <c r="G2269" s="18">
        <v>7456</v>
      </c>
      <c r="H2269" s="25">
        <f t="shared" si="140"/>
        <v>45043</v>
      </c>
      <c r="I2269" s="26">
        <f t="shared" si="141"/>
        <v>0.95902777777519077</v>
      </c>
      <c r="J2269" s="18" t="str">
        <f t="shared" si="142"/>
        <v>April</v>
      </c>
      <c r="K2269" s="56" t="str">
        <f t="shared" si="143"/>
        <v>Thursday</v>
      </c>
      <c r="L2269" s="18" t="str">
        <f>IF(OR(G2269&gt;Answers!I2284,G2269&lt;Answers!I2285),"Outlier","Normal")</f>
        <v>Outlier</v>
      </c>
      <c r="M2269" s="18">
        <v>89</v>
      </c>
    </row>
    <row r="2270" spans="1:13" ht="20" customHeight="1" x14ac:dyDescent="0.35">
      <c r="A2270" s="17">
        <v>1532546</v>
      </c>
      <c r="B2270" s="18">
        <v>1032</v>
      </c>
      <c r="C2270" s="23" t="s">
        <v>100</v>
      </c>
      <c r="D2270" s="27">
        <v>45245.024305555555</v>
      </c>
      <c r="E2270" s="18" t="s">
        <v>97</v>
      </c>
      <c r="F2270" s="18" t="s">
        <v>21</v>
      </c>
      <c r="G2270" s="18">
        <v>5274</v>
      </c>
      <c r="H2270" s="25">
        <f t="shared" si="140"/>
        <v>45245</v>
      </c>
      <c r="I2270" s="26">
        <f t="shared" si="141"/>
        <v>2.4305555554747116E-2</v>
      </c>
      <c r="J2270" s="18" t="str">
        <f t="shared" si="142"/>
        <v>November</v>
      </c>
      <c r="K2270" s="56" t="str">
        <f t="shared" si="143"/>
        <v>Wednesday</v>
      </c>
      <c r="L2270" s="18" t="str">
        <f>IF(OR(G2270&gt;Answers!I2285,G2270&lt;Answers!I2286),"Outlier","Normal")</f>
        <v>Outlier</v>
      </c>
      <c r="M2270" s="18">
        <v>21</v>
      </c>
    </row>
    <row r="2271" spans="1:13" ht="20" customHeight="1" x14ac:dyDescent="0.35">
      <c r="A2271" s="17">
        <v>1532610</v>
      </c>
      <c r="B2271" s="18">
        <v>1871</v>
      </c>
      <c r="C2271" s="23" t="s">
        <v>107</v>
      </c>
      <c r="D2271" s="27">
        <v>45159.002083333333</v>
      </c>
      <c r="E2271" s="18" t="s">
        <v>133</v>
      </c>
      <c r="F2271" s="18" t="s">
        <v>66</v>
      </c>
      <c r="G2271" s="18">
        <v>8644</v>
      </c>
      <c r="H2271" s="25">
        <f t="shared" si="140"/>
        <v>45159</v>
      </c>
      <c r="I2271" s="26">
        <f t="shared" si="141"/>
        <v>2.0833333328482695E-3</v>
      </c>
      <c r="J2271" s="18" t="str">
        <f t="shared" si="142"/>
        <v>August</v>
      </c>
      <c r="K2271" s="56" t="str">
        <f t="shared" si="143"/>
        <v>Monday</v>
      </c>
      <c r="L2271" s="18" t="str">
        <f>IF(OR(G2271&gt;Answers!I2286,G2271&lt;Answers!I2287),"Outlier","Normal")</f>
        <v>Outlier</v>
      </c>
      <c r="M2271" s="18">
        <v>49</v>
      </c>
    </row>
    <row r="2272" spans="1:13" ht="20" customHeight="1" x14ac:dyDescent="0.35">
      <c r="A2272" s="17">
        <v>1534392</v>
      </c>
      <c r="B2272" s="18">
        <v>112</v>
      </c>
      <c r="C2272" s="23" t="s">
        <v>99</v>
      </c>
      <c r="D2272" s="27">
        <v>44952.959722222222</v>
      </c>
      <c r="E2272" s="18" t="s">
        <v>98</v>
      </c>
      <c r="F2272" s="18" t="s">
        <v>27</v>
      </c>
      <c r="G2272" s="18">
        <v>2347</v>
      </c>
      <c r="H2272" s="25">
        <f t="shared" si="140"/>
        <v>44952</v>
      </c>
      <c r="I2272" s="26">
        <f t="shared" si="141"/>
        <v>0.95972222222189885</v>
      </c>
      <c r="J2272" s="18" t="str">
        <f t="shared" si="142"/>
        <v>January</v>
      </c>
      <c r="K2272" s="56" t="str">
        <f t="shared" si="143"/>
        <v>Thursday</v>
      </c>
      <c r="L2272" s="18" t="str">
        <f>IF(OR(G2272&gt;Answers!I2287,G2272&lt;Answers!I2288),"Outlier","Normal")</f>
        <v>Outlier</v>
      </c>
      <c r="M2272" s="18">
        <v>70</v>
      </c>
    </row>
    <row r="2273" spans="1:13" ht="20" customHeight="1" x14ac:dyDescent="0.35">
      <c r="A2273" s="17">
        <v>1535140</v>
      </c>
      <c r="B2273" s="18">
        <v>548</v>
      </c>
      <c r="C2273" s="23" t="s">
        <v>99</v>
      </c>
      <c r="D2273" s="27">
        <v>45071.040277777778</v>
      </c>
      <c r="E2273" s="18" t="s">
        <v>96</v>
      </c>
      <c r="F2273" s="18" t="s">
        <v>5</v>
      </c>
      <c r="G2273" s="18">
        <v>5570</v>
      </c>
      <c r="H2273" s="25">
        <f t="shared" si="140"/>
        <v>45071</v>
      </c>
      <c r="I2273" s="26">
        <f t="shared" si="141"/>
        <v>4.0277777778101154E-2</v>
      </c>
      <c r="J2273" s="18" t="str">
        <f t="shared" si="142"/>
        <v>May</v>
      </c>
      <c r="K2273" s="56" t="str">
        <f t="shared" si="143"/>
        <v>Thursday</v>
      </c>
      <c r="L2273" s="18" t="str">
        <f>IF(OR(G2273&gt;Answers!I2288,G2273&lt;Answers!I2289),"Outlier","Normal")</f>
        <v>Outlier</v>
      </c>
      <c r="M2273" s="18">
        <v>48</v>
      </c>
    </row>
    <row r="2274" spans="1:13" ht="20" customHeight="1" x14ac:dyDescent="0.35">
      <c r="A2274" s="17">
        <v>1536418</v>
      </c>
      <c r="B2274" s="18">
        <v>760</v>
      </c>
      <c r="C2274" s="23" t="s">
        <v>113</v>
      </c>
      <c r="D2274" s="27">
        <v>45083.944444444445</v>
      </c>
      <c r="E2274" s="18" t="s">
        <v>98</v>
      </c>
      <c r="F2274" s="18" t="s">
        <v>43</v>
      </c>
      <c r="G2274" s="18">
        <v>5883</v>
      </c>
      <c r="H2274" s="25">
        <f t="shared" si="140"/>
        <v>45083</v>
      </c>
      <c r="I2274" s="26">
        <f t="shared" si="141"/>
        <v>0.94444444444525288</v>
      </c>
      <c r="J2274" s="18" t="str">
        <f t="shared" si="142"/>
        <v>June</v>
      </c>
      <c r="K2274" s="56" t="str">
        <f t="shared" si="143"/>
        <v>Tuesday</v>
      </c>
      <c r="L2274" s="18" t="str">
        <f>IF(OR(G2274&gt;Answers!I2289,G2274&lt;Answers!I2290),"Outlier","Normal")</f>
        <v>Outlier</v>
      </c>
      <c r="M2274" s="18">
        <v>22</v>
      </c>
    </row>
    <row r="2275" spans="1:13" ht="20" customHeight="1" x14ac:dyDescent="0.35">
      <c r="A2275" s="17">
        <v>1536698</v>
      </c>
      <c r="B2275" s="18">
        <v>127</v>
      </c>
      <c r="C2275" s="23" t="s">
        <v>108</v>
      </c>
      <c r="D2275" s="27">
        <v>45240.088194444441</v>
      </c>
      <c r="E2275" s="18" t="s">
        <v>133</v>
      </c>
      <c r="F2275" s="18" t="s">
        <v>27</v>
      </c>
      <c r="G2275" s="18">
        <v>2350</v>
      </c>
      <c r="H2275" s="25">
        <f t="shared" si="140"/>
        <v>45240</v>
      </c>
      <c r="I2275" s="26">
        <f t="shared" si="141"/>
        <v>8.819444444088731E-2</v>
      </c>
      <c r="J2275" s="18" t="str">
        <f t="shared" si="142"/>
        <v>November</v>
      </c>
      <c r="K2275" s="56" t="str">
        <f t="shared" si="143"/>
        <v>Friday</v>
      </c>
      <c r="L2275" s="18" t="str">
        <f>IF(OR(G2275&gt;Answers!I2290,G2275&lt;Answers!I2291),"Outlier","Normal")</f>
        <v>Outlier</v>
      </c>
      <c r="M2275" s="18">
        <v>57</v>
      </c>
    </row>
    <row r="2276" spans="1:13" ht="20" customHeight="1" x14ac:dyDescent="0.35">
      <c r="A2276" s="17">
        <v>1536890</v>
      </c>
      <c r="B2276" s="18">
        <v>1364</v>
      </c>
      <c r="C2276" s="23" t="s">
        <v>100</v>
      </c>
      <c r="D2276" s="27">
        <v>45154.056944444441</v>
      </c>
      <c r="E2276" s="18" t="s">
        <v>97</v>
      </c>
      <c r="F2276" s="18" t="s">
        <v>27</v>
      </c>
      <c r="G2276" s="18">
        <v>7711</v>
      </c>
      <c r="H2276" s="25">
        <f t="shared" si="140"/>
        <v>45154</v>
      </c>
      <c r="I2276" s="26">
        <f t="shared" si="141"/>
        <v>5.694444444088731E-2</v>
      </c>
      <c r="J2276" s="18" t="str">
        <f t="shared" si="142"/>
        <v>August</v>
      </c>
      <c r="K2276" s="56" t="str">
        <f t="shared" si="143"/>
        <v>Wednesday</v>
      </c>
      <c r="L2276" s="18" t="str">
        <f>IF(OR(G2276&gt;Answers!I2291,G2276&lt;Answers!I2292),"Outlier","Normal")</f>
        <v>Outlier</v>
      </c>
      <c r="M2276" s="18">
        <v>82</v>
      </c>
    </row>
    <row r="2277" spans="1:13" ht="20" customHeight="1" x14ac:dyDescent="0.35">
      <c r="A2277" s="17">
        <v>1536982</v>
      </c>
      <c r="B2277" s="18">
        <v>742</v>
      </c>
      <c r="C2277" s="23" t="s">
        <v>99</v>
      </c>
      <c r="D2277" s="27">
        <v>45018.008333333331</v>
      </c>
      <c r="E2277" s="18" t="s">
        <v>96</v>
      </c>
      <c r="F2277" s="18" t="s">
        <v>17</v>
      </c>
      <c r="G2277" s="18">
        <v>5486</v>
      </c>
      <c r="H2277" s="25">
        <f t="shared" si="140"/>
        <v>45018</v>
      </c>
      <c r="I2277" s="26">
        <f t="shared" si="141"/>
        <v>8.333333331393078E-3</v>
      </c>
      <c r="J2277" s="18" t="str">
        <f t="shared" si="142"/>
        <v>April</v>
      </c>
      <c r="K2277" s="56" t="str">
        <f t="shared" si="143"/>
        <v>Sunday</v>
      </c>
      <c r="L2277" s="18" t="str">
        <f>IF(OR(G2277&gt;Answers!I2292,G2277&lt;Answers!I2293),"Outlier","Normal")</f>
        <v>Outlier</v>
      </c>
      <c r="M2277" s="18">
        <v>63</v>
      </c>
    </row>
    <row r="2278" spans="1:13" ht="20" customHeight="1" x14ac:dyDescent="0.35">
      <c r="A2278" s="17">
        <v>1538322</v>
      </c>
      <c r="B2278" s="18">
        <v>1752</v>
      </c>
      <c r="C2278" s="23" t="s">
        <v>101</v>
      </c>
      <c r="D2278" s="27">
        <v>45219.988888888889</v>
      </c>
      <c r="E2278" s="18" t="s">
        <v>98</v>
      </c>
      <c r="F2278" s="18" t="s">
        <v>21</v>
      </c>
      <c r="G2278" s="18">
        <v>6645</v>
      </c>
      <c r="H2278" s="25">
        <f t="shared" si="140"/>
        <v>45219</v>
      </c>
      <c r="I2278" s="26">
        <f t="shared" si="141"/>
        <v>0.98888888888905058</v>
      </c>
      <c r="J2278" s="18" t="str">
        <f t="shared" si="142"/>
        <v>October</v>
      </c>
      <c r="K2278" s="56" t="str">
        <f t="shared" si="143"/>
        <v>Friday</v>
      </c>
      <c r="L2278" s="18" t="str">
        <f>IF(OR(G2278&gt;Answers!I2293,G2278&lt;Answers!I2294),"Outlier","Normal")</f>
        <v>Outlier</v>
      </c>
      <c r="M2278" s="18">
        <v>50</v>
      </c>
    </row>
    <row r="2279" spans="1:13" ht="20" customHeight="1" x14ac:dyDescent="0.35">
      <c r="A2279" s="17">
        <v>1538360</v>
      </c>
      <c r="B2279" s="18">
        <v>1824</v>
      </c>
      <c r="C2279" s="23" t="s">
        <v>99</v>
      </c>
      <c r="D2279" s="27">
        <v>44960.959027777775</v>
      </c>
      <c r="E2279" s="18" t="s">
        <v>133</v>
      </c>
      <c r="F2279" s="18" t="s">
        <v>43</v>
      </c>
      <c r="G2279" s="18">
        <v>4448</v>
      </c>
      <c r="H2279" s="25">
        <f t="shared" si="140"/>
        <v>44960</v>
      </c>
      <c r="I2279" s="26">
        <f t="shared" si="141"/>
        <v>0.95902777777519077</v>
      </c>
      <c r="J2279" s="18" t="str">
        <f t="shared" si="142"/>
        <v>February</v>
      </c>
      <c r="K2279" s="56" t="str">
        <f t="shared" si="143"/>
        <v>Friday</v>
      </c>
      <c r="L2279" s="18" t="str">
        <f>IF(OR(G2279&gt;Answers!I2294,G2279&lt;Answers!I2295),"Outlier","Normal")</f>
        <v>Outlier</v>
      </c>
      <c r="M2279" s="18">
        <v>35</v>
      </c>
    </row>
    <row r="2280" spans="1:13" ht="20" customHeight="1" x14ac:dyDescent="0.35">
      <c r="A2280" s="17">
        <v>1541893</v>
      </c>
      <c r="B2280" s="18">
        <v>1860</v>
      </c>
      <c r="C2280" s="23" t="s">
        <v>105</v>
      </c>
      <c r="D2280" s="27">
        <v>44956.986111111109</v>
      </c>
      <c r="E2280" s="18" t="s">
        <v>98</v>
      </c>
      <c r="F2280" s="18" t="s">
        <v>29</v>
      </c>
      <c r="G2280" s="18">
        <v>1027</v>
      </c>
      <c r="H2280" s="25">
        <f t="shared" si="140"/>
        <v>44956</v>
      </c>
      <c r="I2280" s="26">
        <f t="shared" si="141"/>
        <v>0.98611111110949423</v>
      </c>
      <c r="J2280" s="18" t="str">
        <f t="shared" si="142"/>
        <v>January</v>
      </c>
      <c r="K2280" s="56" t="str">
        <f t="shared" si="143"/>
        <v>Monday</v>
      </c>
      <c r="L2280" s="18" t="str">
        <f>IF(OR(G2280&gt;Answers!I2295,G2280&lt;Answers!I2296),"Outlier","Normal")</f>
        <v>Outlier</v>
      </c>
      <c r="M2280" s="18">
        <v>61</v>
      </c>
    </row>
    <row r="2281" spans="1:13" ht="20" customHeight="1" x14ac:dyDescent="0.35">
      <c r="A2281" s="17">
        <v>1542275</v>
      </c>
      <c r="B2281" s="18">
        <v>1647</v>
      </c>
      <c r="C2281" s="23" t="s">
        <v>99</v>
      </c>
      <c r="D2281" s="27">
        <v>45165.071527777778</v>
      </c>
      <c r="E2281" s="18" t="s">
        <v>133</v>
      </c>
      <c r="F2281" s="18" t="s">
        <v>9</v>
      </c>
      <c r="G2281" s="18">
        <v>8992</v>
      </c>
      <c r="H2281" s="25">
        <f t="shared" si="140"/>
        <v>45165</v>
      </c>
      <c r="I2281" s="26">
        <f t="shared" si="141"/>
        <v>7.1527777778101154E-2</v>
      </c>
      <c r="J2281" s="18" t="str">
        <f t="shared" si="142"/>
        <v>August</v>
      </c>
      <c r="K2281" s="56" t="str">
        <f t="shared" si="143"/>
        <v>Sunday</v>
      </c>
      <c r="L2281" s="18" t="str">
        <f>IF(OR(G2281&gt;Answers!I2296,G2281&lt;Answers!I2297),"Outlier","Normal")</f>
        <v>Outlier</v>
      </c>
      <c r="M2281" s="18">
        <v>22</v>
      </c>
    </row>
    <row r="2282" spans="1:13" ht="20" customHeight="1" x14ac:dyDescent="0.35">
      <c r="A2282" s="17">
        <v>1542373</v>
      </c>
      <c r="B2282" s="18">
        <v>1267</v>
      </c>
      <c r="C2282" s="23" t="s">
        <v>107</v>
      </c>
      <c r="D2282" s="27">
        <v>45059.027777777781</v>
      </c>
      <c r="E2282" s="18" t="s">
        <v>133</v>
      </c>
      <c r="F2282" s="18" t="s">
        <v>30</v>
      </c>
      <c r="G2282" s="18">
        <v>3468</v>
      </c>
      <c r="H2282" s="25">
        <f t="shared" si="140"/>
        <v>45059</v>
      </c>
      <c r="I2282" s="26">
        <f t="shared" si="141"/>
        <v>2.7777777781011537E-2</v>
      </c>
      <c r="J2282" s="18" t="str">
        <f t="shared" si="142"/>
        <v>May</v>
      </c>
      <c r="K2282" s="56" t="str">
        <f t="shared" si="143"/>
        <v>Saturday</v>
      </c>
      <c r="L2282" s="18" t="str">
        <f>IF(OR(G2282&gt;Answers!I2297,G2282&lt;Answers!I2298),"Outlier","Normal")</f>
        <v>Outlier</v>
      </c>
      <c r="M2282" s="18">
        <v>62</v>
      </c>
    </row>
    <row r="2283" spans="1:13" ht="20" customHeight="1" x14ac:dyDescent="0.35">
      <c r="A2283" s="17">
        <v>1543099</v>
      </c>
      <c r="B2283" s="18">
        <v>1489</v>
      </c>
      <c r="C2283" s="23" t="s">
        <v>105</v>
      </c>
      <c r="D2283" s="27">
        <v>44974.947222222225</v>
      </c>
      <c r="E2283" s="18" t="s">
        <v>133</v>
      </c>
      <c r="F2283" s="18" t="s">
        <v>67</v>
      </c>
      <c r="G2283" s="18">
        <v>5530</v>
      </c>
      <c r="H2283" s="25">
        <f t="shared" si="140"/>
        <v>44974</v>
      </c>
      <c r="I2283" s="26">
        <f t="shared" si="141"/>
        <v>0.94722222222480923</v>
      </c>
      <c r="J2283" s="18" t="str">
        <f t="shared" si="142"/>
        <v>February</v>
      </c>
      <c r="K2283" s="56" t="str">
        <f t="shared" si="143"/>
        <v>Friday</v>
      </c>
      <c r="L2283" s="18" t="str">
        <f>IF(OR(G2283&gt;Answers!I2298,G2283&lt;Answers!I2299),"Outlier","Normal")</f>
        <v>Outlier</v>
      </c>
      <c r="M2283" s="18">
        <v>46</v>
      </c>
    </row>
    <row r="2284" spans="1:13" ht="20" customHeight="1" x14ac:dyDescent="0.35">
      <c r="A2284" s="17">
        <v>1543135</v>
      </c>
      <c r="B2284" s="18">
        <v>647</v>
      </c>
      <c r="C2284" s="23" t="s">
        <v>101</v>
      </c>
      <c r="D2284" s="27">
        <v>45084.044444444444</v>
      </c>
      <c r="E2284" s="18" t="s">
        <v>97</v>
      </c>
      <c r="F2284" s="18" t="s">
        <v>53</v>
      </c>
      <c r="G2284" s="18">
        <v>9026</v>
      </c>
      <c r="H2284" s="25">
        <f t="shared" si="140"/>
        <v>45084</v>
      </c>
      <c r="I2284" s="26">
        <f t="shared" si="141"/>
        <v>4.4444444443797693E-2</v>
      </c>
      <c r="J2284" s="18" t="str">
        <f t="shared" si="142"/>
        <v>June</v>
      </c>
      <c r="K2284" s="56" t="str">
        <f t="shared" si="143"/>
        <v>Wednesday</v>
      </c>
      <c r="L2284" s="18" t="str">
        <f>IF(OR(G2284&gt;Answers!I2299,G2284&lt;Answers!I2300),"Outlier","Normal")</f>
        <v>Outlier</v>
      </c>
      <c r="M2284" s="18">
        <v>76</v>
      </c>
    </row>
    <row r="2285" spans="1:13" ht="20" customHeight="1" x14ac:dyDescent="0.35">
      <c r="A2285" s="17">
        <v>1543232</v>
      </c>
      <c r="B2285" s="18">
        <v>871</v>
      </c>
      <c r="C2285" s="23" t="s">
        <v>107</v>
      </c>
      <c r="D2285" s="27">
        <v>45103.017361111109</v>
      </c>
      <c r="E2285" s="18" t="s">
        <v>98</v>
      </c>
      <c r="F2285" s="18" t="s">
        <v>33</v>
      </c>
      <c r="G2285" s="18">
        <v>2237</v>
      </c>
      <c r="H2285" s="25">
        <f t="shared" si="140"/>
        <v>45103</v>
      </c>
      <c r="I2285" s="26">
        <f t="shared" si="141"/>
        <v>1.7361111109494232E-2</v>
      </c>
      <c r="J2285" s="18" t="str">
        <f t="shared" si="142"/>
        <v>June</v>
      </c>
      <c r="K2285" s="56" t="str">
        <f t="shared" si="143"/>
        <v>Monday</v>
      </c>
      <c r="L2285" s="18" t="str">
        <f>IF(OR(G2285&gt;Answers!I2300,G2285&lt;Answers!I2301),"Outlier","Normal")</f>
        <v>Outlier</v>
      </c>
      <c r="M2285" s="18">
        <v>76</v>
      </c>
    </row>
    <row r="2286" spans="1:13" ht="20" customHeight="1" x14ac:dyDescent="0.35">
      <c r="A2286" s="17">
        <v>1543526</v>
      </c>
      <c r="B2286" s="18">
        <v>1554</v>
      </c>
      <c r="C2286" s="23" t="s">
        <v>109</v>
      </c>
      <c r="D2286" s="27">
        <v>45101.005555555559</v>
      </c>
      <c r="E2286" s="18" t="s">
        <v>98</v>
      </c>
      <c r="F2286" s="18" t="s">
        <v>34</v>
      </c>
      <c r="G2286" s="18">
        <v>9175</v>
      </c>
      <c r="H2286" s="25">
        <f t="shared" si="140"/>
        <v>45101</v>
      </c>
      <c r="I2286" s="26">
        <f t="shared" si="141"/>
        <v>5.5555555591126904E-3</v>
      </c>
      <c r="J2286" s="18" t="str">
        <f t="shared" si="142"/>
        <v>June</v>
      </c>
      <c r="K2286" s="56" t="str">
        <f t="shared" si="143"/>
        <v>Saturday</v>
      </c>
      <c r="L2286" s="18" t="str">
        <f>IF(OR(G2286&gt;Answers!I2301,G2286&lt;Answers!I2302),"Outlier","Normal")</f>
        <v>Outlier</v>
      </c>
      <c r="M2286" s="18">
        <v>52</v>
      </c>
    </row>
    <row r="2287" spans="1:13" ht="20" customHeight="1" x14ac:dyDescent="0.35">
      <c r="A2287" s="17">
        <v>1544633</v>
      </c>
      <c r="B2287" s="18">
        <v>714</v>
      </c>
      <c r="C2287" s="23" t="s">
        <v>99</v>
      </c>
      <c r="D2287" s="27">
        <v>45157.04791666667</v>
      </c>
      <c r="E2287" s="18" t="s">
        <v>96</v>
      </c>
      <c r="F2287" s="18" t="s">
        <v>35</v>
      </c>
      <c r="G2287" s="18">
        <v>347</v>
      </c>
      <c r="H2287" s="25">
        <f t="shared" si="140"/>
        <v>45157</v>
      </c>
      <c r="I2287" s="26">
        <f t="shared" si="141"/>
        <v>4.7916666670062114E-2</v>
      </c>
      <c r="J2287" s="18" t="str">
        <f t="shared" si="142"/>
        <v>August</v>
      </c>
      <c r="K2287" s="56" t="str">
        <f t="shared" si="143"/>
        <v>Saturday</v>
      </c>
      <c r="L2287" s="18" t="str">
        <f>IF(OR(G2287&gt;Answers!I2302,G2287&lt;Answers!I2303),"Outlier","Normal")</f>
        <v>Outlier</v>
      </c>
      <c r="M2287" s="18">
        <v>25</v>
      </c>
    </row>
    <row r="2288" spans="1:13" ht="20" customHeight="1" x14ac:dyDescent="0.35">
      <c r="A2288" s="17">
        <v>1545246</v>
      </c>
      <c r="B2288" s="18">
        <v>1069</v>
      </c>
      <c r="C2288" s="23" t="s">
        <v>101</v>
      </c>
      <c r="D2288" s="27">
        <v>44984.050694444442</v>
      </c>
      <c r="E2288" s="18" t="s">
        <v>98</v>
      </c>
      <c r="F2288" s="18" t="s">
        <v>69</v>
      </c>
      <c r="G2288" s="18">
        <v>5132</v>
      </c>
      <c r="H2288" s="25">
        <f t="shared" si="140"/>
        <v>44984</v>
      </c>
      <c r="I2288" s="26">
        <f t="shared" si="141"/>
        <v>5.0694444442342501E-2</v>
      </c>
      <c r="J2288" s="18" t="str">
        <f t="shared" si="142"/>
        <v>February</v>
      </c>
      <c r="K2288" s="56" t="str">
        <f t="shared" si="143"/>
        <v>Monday</v>
      </c>
      <c r="L2288" s="18" t="str">
        <f>IF(OR(G2288&gt;Answers!I2303,G2288&lt;Answers!I2304),"Outlier","Normal")</f>
        <v>Outlier</v>
      </c>
      <c r="M2288" s="18">
        <v>80</v>
      </c>
    </row>
    <row r="2289" spans="1:13" ht="20" customHeight="1" x14ac:dyDescent="0.35">
      <c r="A2289" s="17">
        <v>1546512</v>
      </c>
      <c r="B2289" s="18">
        <v>33</v>
      </c>
      <c r="C2289" s="23" t="s">
        <v>105</v>
      </c>
      <c r="D2289" s="27">
        <v>45284.038888888892</v>
      </c>
      <c r="E2289" s="18" t="s">
        <v>98</v>
      </c>
      <c r="F2289" s="18" t="s">
        <v>43</v>
      </c>
      <c r="G2289" s="18">
        <v>9521</v>
      </c>
      <c r="H2289" s="25">
        <f t="shared" si="140"/>
        <v>45284</v>
      </c>
      <c r="I2289" s="26">
        <f t="shared" si="141"/>
        <v>3.888888889196096E-2</v>
      </c>
      <c r="J2289" s="18" t="str">
        <f t="shared" si="142"/>
        <v>December</v>
      </c>
      <c r="K2289" s="56" t="str">
        <f t="shared" si="143"/>
        <v>Sunday</v>
      </c>
      <c r="L2289" s="18" t="str">
        <f>IF(OR(G2289&gt;Answers!I2304,G2289&lt;Answers!I2305),"Outlier","Normal")</f>
        <v>Outlier</v>
      </c>
      <c r="M2289" s="18">
        <v>53</v>
      </c>
    </row>
    <row r="2290" spans="1:13" ht="20" customHeight="1" x14ac:dyDescent="0.35">
      <c r="A2290" s="17">
        <v>1546802</v>
      </c>
      <c r="B2290" s="18">
        <v>1394</v>
      </c>
      <c r="C2290" s="23" t="s">
        <v>99</v>
      </c>
      <c r="D2290" s="27">
        <v>45170.018055555556</v>
      </c>
      <c r="E2290" s="18" t="s">
        <v>98</v>
      </c>
      <c r="F2290" s="18" t="s">
        <v>38</v>
      </c>
      <c r="G2290" s="18">
        <v>8149</v>
      </c>
      <c r="H2290" s="25">
        <f t="shared" si="140"/>
        <v>45170</v>
      </c>
      <c r="I2290" s="26">
        <f t="shared" si="141"/>
        <v>1.8055555556202307E-2</v>
      </c>
      <c r="J2290" s="18" t="str">
        <f t="shared" si="142"/>
        <v>September</v>
      </c>
      <c r="K2290" s="56" t="str">
        <f t="shared" si="143"/>
        <v>Friday</v>
      </c>
      <c r="L2290" s="18" t="str">
        <f>IF(OR(G2290&gt;Answers!I2305,G2290&lt;Answers!I2306),"Outlier","Normal")</f>
        <v>Outlier</v>
      </c>
      <c r="M2290" s="18">
        <v>58</v>
      </c>
    </row>
    <row r="2291" spans="1:13" ht="20" customHeight="1" x14ac:dyDescent="0.35">
      <c r="A2291" s="17">
        <v>1547057</v>
      </c>
      <c r="B2291" s="18">
        <v>18</v>
      </c>
      <c r="C2291" s="23" t="s">
        <v>99</v>
      </c>
      <c r="D2291" s="27">
        <v>45060.030555555553</v>
      </c>
      <c r="E2291" s="18" t="s">
        <v>96</v>
      </c>
      <c r="F2291" s="18" t="s">
        <v>39</v>
      </c>
      <c r="G2291" s="18">
        <v>9727</v>
      </c>
      <c r="H2291" s="25">
        <f t="shared" si="140"/>
        <v>45060</v>
      </c>
      <c r="I2291" s="26">
        <f t="shared" si="141"/>
        <v>3.0555555553291924E-2</v>
      </c>
      <c r="J2291" s="18" t="str">
        <f t="shared" si="142"/>
        <v>May</v>
      </c>
      <c r="K2291" s="56" t="str">
        <f t="shared" si="143"/>
        <v>Sunday</v>
      </c>
      <c r="L2291" s="18" t="str">
        <f>IF(OR(G2291&gt;Answers!I2306,G2291&lt;Answers!I2307),"Outlier","Normal")</f>
        <v>Outlier</v>
      </c>
      <c r="M2291" s="18">
        <v>85</v>
      </c>
    </row>
    <row r="2292" spans="1:13" ht="20" customHeight="1" x14ac:dyDescent="0.35">
      <c r="A2292" s="17">
        <v>1548032</v>
      </c>
      <c r="B2292" s="18">
        <v>1733</v>
      </c>
      <c r="C2292" s="23" t="s">
        <v>107</v>
      </c>
      <c r="D2292" s="27">
        <v>45216.057638888888</v>
      </c>
      <c r="E2292" s="18" t="s">
        <v>133</v>
      </c>
      <c r="F2292" s="18" t="s">
        <v>24</v>
      </c>
      <c r="G2292" s="18">
        <v>3053</v>
      </c>
      <c r="H2292" s="25">
        <f t="shared" si="140"/>
        <v>45216</v>
      </c>
      <c r="I2292" s="26">
        <f t="shared" si="141"/>
        <v>5.7638888887595385E-2</v>
      </c>
      <c r="J2292" s="18" t="str">
        <f t="shared" si="142"/>
        <v>October</v>
      </c>
      <c r="K2292" s="56" t="str">
        <f t="shared" si="143"/>
        <v>Tuesday</v>
      </c>
      <c r="L2292" s="18" t="str">
        <f>IF(OR(G2292&gt;Answers!I2307,G2292&lt;Answers!I2308),"Outlier","Normal")</f>
        <v>Outlier</v>
      </c>
      <c r="M2292" s="18">
        <v>32</v>
      </c>
    </row>
    <row r="2293" spans="1:13" ht="20" customHeight="1" x14ac:dyDescent="0.35">
      <c r="A2293" s="17">
        <v>1548655</v>
      </c>
      <c r="B2293" s="18">
        <v>327</v>
      </c>
      <c r="C2293" s="23" t="s">
        <v>113</v>
      </c>
      <c r="D2293" s="27">
        <v>45159.031944444447</v>
      </c>
      <c r="E2293" s="18" t="s">
        <v>98</v>
      </c>
      <c r="F2293" s="18" t="s">
        <v>22</v>
      </c>
      <c r="G2293" s="18">
        <v>8582</v>
      </c>
      <c r="H2293" s="25">
        <f t="shared" si="140"/>
        <v>45159</v>
      </c>
      <c r="I2293" s="26">
        <f t="shared" si="141"/>
        <v>3.1944444446708076E-2</v>
      </c>
      <c r="J2293" s="18" t="str">
        <f t="shared" si="142"/>
        <v>August</v>
      </c>
      <c r="K2293" s="56" t="str">
        <f t="shared" si="143"/>
        <v>Monday</v>
      </c>
      <c r="L2293" s="18" t="str">
        <f>IF(OR(G2293&gt;Answers!I2308,G2293&lt;Answers!I2309),"Outlier","Normal")</f>
        <v>Outlier</v>
      </c>
      <c r="M2293" s="18">
        <v>32</v>
      </c>
    </row>
    <row r="2294" spans="1:13" ht="20" customHeight="1" x14ac:dyDescent="0.35">
      <c r="A2294" s="17">
        <v>1548735</v>
      </c>
      <c r="B2294" s="18">
        <v>90</v>
      </c>
      <c r="C2294" s="23" t="s">
        <v>99</v>
      </c>
      <c r="D2294" s="27">
        <v>45140.972222222219</v>
      </c>
      <c r="E2294" s="18" t="s">
        <v>133</v>
      </c>
      <c r="F2294" s="18" t="s">
        <v>41</v>
      </c>
      <c r="G2294" s="18">
        <v>1069</v>
      </c>
      <c r="H2294" s="25">
        <f t="shared" si="140"/>
        <v>45140</v>
      </c>
      <c r="I2294" s="26">
        <f t="shared" si="141"/>
        <v>0.97222222221898846</v>
      </c>
      <c r="J2294" s="18" t="str">
        <f t="shared" si="142"/>
        <v>August</v>
      </c>
      <c r="K2294" s="56" t="str">
        <f t="shared" si="143"/>
        <v>Wednesday</v>
      </c>
      <c r="L2294" s="18" t="str">
        <f>IF(OR(G2294&gt;Answers!I2309,G2294&lt;Answers!I2310),"Outlier","Normal")</f>
        <v>Outlier</v>
      </c>
      <c r="M2294" s="18">
        <v>48</v>
      </c>
    </row>
    <row r="2295" spans="1:13" ht="20" customHeight="1" x14ac:dyDescent="0.35">
      <c r="A2295" s="17">
        <v>1549353</v>
      </c>
      <c r="B2295" s="18">
        <v>1603</v>
      </c>
      <c r="C2295" s="23" t="s">
        <v>99</v>
      </c>
      <c r="D2295" s="27">
        <v>45182.058333333334</v>
      </c>
      <c r="E2295" s="18" t="s">
        <v>98</v>
      </c>
      <c r="F2295" s="18" t="s">
        <v>42</v>
      </c>
      <c r="G2295" s="18">
        <v>2101</v>
      </c>
      <c r="H2295" s="25">
        <f t="shared" si="140"/>
        <v>45182</v>
      </c>
      <c r="I2295" s="26">
        <f t="shared" si="141"/>
        <v>5.8333333334303461E-2</v>
      </c>
      <c r="J2295" s="18" t="str">
        <f t="shared" si="142"/>
        <v>September</v>
      </c>
      <c r="K2295" s="56" t="str">
        <f t="shared" si="143"/>
        <v>Wednesday</v>
      </c>
      <c r="L2295" s="18" t="str">
        <f>IF(OR(G2295&gt;Answers!I2310,G2295&lt;Answers!I2311),"Outlier","Normal")</f>
        <v>Outlier</v>
      </c>
      <c r="M2295" s="18">
        <v>73</v>
      </c>
    </row>
    <row r="2296" spans="1:13" ht="20" customHeight="1" x14ac:dyDescent="0.35">
      <c r="A2296" s="17">
        <v>1550005</v>
      </c>
      <c r="B2296" s="18">
        <v>1984</v>
      </c>
      <c r="C2296" s="23" t="s">
        <v>101</v>
      </c>
      <c r="D2296" s="27">
        <v>45002.038194444445</v>
      </c>
      <c r="E2296" s="18" t="s">
        <v>98</v>
      </c>
      <c r="F2296" s="18" t="s">
        <v>35</v>
      </c>
      <c r="G2296" s="18">
        <v>2075</v>
      </c>
      <c r="H2296" s="25">
        <f t="shared" si="140"/>
        <v>45002</v>
      </c>
      <c r="I2296" s="26">
        <f t="shared" si="141"/>
        <v>3.8194444445252884E-2</v>
      </c>
      <c r="J2296" s="18" t="str">
        <f t="shared" si="142"/>
        <v>March</v>
      </c>
      <c r="K2296" s="56" t="str">
        <f t="shared" si="143"/>
        <v>Friday</v>
      </c>
      <c r="L2296" s="18" t="str">
        <f>IF(OR(G2296&gt;Answers!I2311,G2296&lt;Answers!I2312),"Outlier","Normal")</f>
        <v>Outlier</v>
      </c>
      <c r="M2296" s="18">
        <v>45</v>
      </c>
    </row>
    <row r="2297" spans="1:13" ht="20" customHeight="1" x14ac:dyDescent="0.35">
      <c r="A2297" s="17">
        <v>1550154</v>
      </c>
      <c r="B2297" s="18">
        <v>1589</v>
      </c>
      <c r="C2297" s="23" t="s">
        <v>99</v>
      </c>
      <c r="D2297" s="27">
        <v>45060.072916666664</v>
      </c>
      <c r="E2297" s="18" t="s">
        <v>98</v>
      </c>
      <c r="F2297" s="18" t="s">
        <v>15</v>
      </c>
      <c r="G2297" s="18">
        <v>3729</v>
      </c>
      <c r="H2297" s="25">
        <f t="shared" si="140"/>
        <v>45060</v>
      </c>
      <c r="I2297" s="26">
        <f t="shared" si="141"/>
        <v>7.2916666664241347E-2</v>
      </c>
      <c r="J2297" s="18" t="str">
        <f t="shared" si="142"/>
        <v>May</v>
      </c>
      <c r="K2297" s="56" t="str">
        <f t="shared" si="143"/>
        <v>Sunday</v>
      </c>
      <c r="L2297" s="18" t="str">
        <f>IF(OR(G2297&gt;Answers!I2312,G2297&lt;Answers!I2313),"Outlier","Normal")</f>
        <v>Outlier</v>
      </c>
      <c r="M2297" s="18">
        <v>20</v>
      </c>
    </row>
    <row r="2298" spans="1:13" ht="20" customHeight="1" x14ac:dyDescent="0.35">
      <c r="A2298" s="17">
        <v>1550175</v>
      </c>
      <c r="B2298" s="18">
        <v>308</v>
      </c>
      <c r="C2298" s="23" t="s">
        <v>105</v>
      </c>
      <c r="D2298" s="27">
        <v>44988.98541666667</v>
      </c>
      <c r="E2298" s="18" t="s">
        <v>98</v>
      </c>
      <c r="F2298" s="18" t="s">
        <v>12</v>
      </c>
      <c r="G2298" s="18">
        <v>6486</v>
      </c>
      <c r="H2298" s="25">
        <f t="shared" si="140"/>
        <v>44988</v>
      </c>
      <c r="I2298" s="26">
        <f t="shared" si="141"/>
        <v>0.98541666667006211</v>
      </c>
      <c r="J2298" s="18" t="str">
        <f t="shared" si="142"/>
        <v>March</v>
      </c>
      <c r="K2298" s="56" t="str">
        <f t="shared" si="143"/>
        <v>Friday</v>
      </c>
      <c r="L2298" s="18" t="str">
        <f>IF(OR(G2298&gt;Answers!I2313,G2298&lt;Answers!I2314),"Outlier","Normal")</f>
        <v>Outlier</v>
      </c>
      <c r="M2298" s="18">
        <v>40</v>
      </c>
    </row>
    <row r="2299" spans="1:13" ht="20" customHeight="1" x14ac:dyDescent="0.35">
      <c r="A2299" s="17">
        <v>1551349</v>
      </c>
      <c r="B2299" s="18">
        <v>694</v>
      </c>
      <c r="C2299" s="23" t="s">
        <v>102</v>
      </c>
      <c r="D2299" s="27">
        <v>45227.050694444442</v>
      </c>
      <c r="E2299" s="18" t="s">
        <v>97</v>
      </c>
      <c r="F2299" s="18" t="s">
        <v>29</v>
      </c>
      <c r="G2299" s="18">
        <v>9059</v>
      </c>
      <c r="H2299" s="25">
        <f t="shared" si="140"/>
        <v>45227</v>
      </c>
      <c r="I2299" s="26">
        <f t="shared" si="141"/>
        <v>5.0694444442342501E-2</v>
      </c>
      <c r="J2299" s="18" t="str">
        <f t="shared" si="142"/>
        <v>October</v>
      </c>
      <c r="K2299" s="56" t="str">
        <f t="shared" si="143"/>
        <v>Saturday</v>
      </c>
      <c r="L2299" s="18" t="str">
        <f>IF(OR(G2299&gt;Answers!I2314,G2299&lt;Answers!I2315),"Outlier","Normal")</f>
        <v>Outlier</v>
      </c>
      <c r="M2299" s="18">
        <v>36</v>
      </c>
    </row>
    <row r="2300" spans="1:13" ht="20" customHeight="1" x14ac:dyDescent="0.35">
      <c r="A2300" s="17">
        <v>1551563</v>
      </c>
      <c r="B2300" s="18">
        <v>394</v>
      </c>
      <c r="C2300" s="23" t="s">
        <v>113</v>
      </c>
      <c r="D2300" s="27">
        <v>45267.068749999999</v>
      </c>
      <c r="E2300" s="18" t="s">
        <v>133</v>
      </c>
      <c r="F2300" s="18" t="s">
        <v>27</v>
      </c>
      <c r="G2300" s="18">
        <v>932</v>
      </c>
      <c r="H2300" s="25">
        <f t="shared" si="140"/>
        <v>45267</v>
      </c>
      <c r="I2300" s="26">
        <f t="shared" si="141"/>
        <v>6.8749999998544808E-2</v>
      </c>
      <c r="J2300" s="18" t="str">
        <f t="shared" si="142"/>
        <v>December</v>
      </c>
      <c r="K2300" s="56" t="str">
        <f t="shared" si="143"/>
        <v>Thursday</v>
      </c>
      <c r="L2300" s="18" t="str">
        <f>IF(OR(G2300&gt;Answers!I2315,G2300&lt;Answers!I2316),"Outlier","Normal")</f>
        <v>Outlier</v>
      </c>
      <c r="M2300" s="18">
        <v>65</v>
      </c>
    </row>
    <row r="2301" spans="1:13" ht="20" customHeight="1" x14ac:dyDescent="0.35">
      <c r="A2301" s="17">
        <v>1552540</v>
      </c>
      <c r="B2301" s="18">
        <v>1457</v>
      </c>
      <c r="C2301" s="23" t="s">
        <v>101</v>
      </c>
      <c r="D2301" s="27">
        <v>45161.991666666669</v>
      </c>
      <c r="E2301" s="18" t="s">
        <v>96</v>
      </c>
      <c r="F2301" s="18" t="s">
        <v>46</v>
      </c>
      <c r="G2301" s="18">
        <v>9266</v>
      </c>
      <c r="H2301" s="25">
        <f t="shared" si="140"/>
        <v>45161</v>
      </c>
      <c r="I2301" s="26">
        <f t="shared" si="141"/>
        <v>0.99166666666860692</v>
      </c>
      <c r="J2301" s="18" t="str">
        <f t="shared" si="142"/>
        <v>August</v>
      </c>
      <c r="K2301" s="56" t="str">
        <f t="shared" si="143"/>
        <v>Wednesday</v>
      </c>
      <c r="L2301" s="18" t="str">
        <f>IF(OR(G2301&gt;Answers!I2316,G2301&lt;Answers!I2317),"Outlier","Normal")</f>
        <v>Outlier</v>
      </c>
      <c r="M2301" s="18">
        <v>49</v>
      </c>
    </row>
    <row r="2302" spans="1:13" ht="20" customHeight="1" x14ac:dyDescent="0.35">
      <c r="A2302" s="17">
        <v>1553612</v>
      </c>
      <c r="B2302" s="18">
        <v>1628</v>
      </c>
      <c r="C2302" s="23" t="s">
        <v>99</v>
      </c>
      <c r="D2302" s="27">
        <v>45055.011111111111</v>
      </c>
      <c r="E2302" s="18" t="s">
        <v>98</v>
      </c>
      <c r="F2302" s="18" t="s">
        <v>43</v>
      </c>
      <c r="G2302" s="18">
        <v>6089</v>
      </c>
      <c r="H2302" s="25">
        <f t="shared" si="140"/>
        <v>45055</v>
      </c>
      <c r="I2302" s="26">
        <f t="shared" si="141"/>
        <v>1.1111111110949423E-2</v>
      </c>
      <c r="J2302" s="18" t="str">
        <f t="shared" si="142"/>
        <v>May</v>
      </c>
      <c r="K2302" s="56" t="str">
        <f t="shared" si="143"/>
        <v>Tuesday</v>
      </c>
      <c r="L2302" s="18" t="str">
        <f>IF(OR(G2302&gt;Answers!I2317,G2302&lt;Answers!I2318),"Outlier","Normal")</f>
        <v>Outlier</v>
      </c>
      <c r="M2302" s="18">
        <v>79</v>
      </c>
    </row>
    <row r="2303" spans="1:13" ht="20" customHeight="1" x14ac:dyDescent="0.35">
      <c r="A2303" s="17">
        <v>1553858</v>
      </c>
      <c r="B2303" s="18">
        <v>699</v>
      </c>
      <c r="C2303" s="23" t="s">
        <v>99</v>
      </c>
      <c r="D2303" s="27">
        <v>45169.052777777775</v>
      </c>
      <c r="E2303" s="18" t="s">
        <v>97</v>
      </c>
      <c r="F2303" s="18" t="s">
        <v>47</v>
      </c>
      <c r="G2303" s="18">
        <v>7598</v>
      </c>
      <c r="H2303" s="25">
        <f t="shared" si="140"/>
        <v>45169</v>
      </c>
      <c r="I2303" s="26">
        <f t="shared" si="141"/>
        <v>5.2777777775190771E-2</v>
      </c>
      <c r="J2303" s="18" t="str">
        <f t="shared" si="142"/>
        <v>August</v>
      </c>
      <c r="K2303" s="56" t="str">
        <f t="shared" si="143"/>
        <v>Thursday</v>
      </c>
      <c r="L2303" s="18" t="str">
        <f>IF(OR(G2303&gt;Answers!I2318,G2303&lt;Answers!I2319),"Outlier","Normal")</f>
        <v>Outlier</v>
      </c>
      <c r="M2303" s="18">
        <v>68</v>
      </c>
    </row>
    <row r="2304" spans="1:13" ht="20" customHeight="1" x14ac:dyDescent="0.35">
      <c r="A2304" s="17">
        <v>1555572</v>
      </c>
      <c r="B2304" s="18">
        <v>1665</v>
      </c>
      <c r="C2304" s="23" t="s">
        <v>110</v>
      </c>
      <c r="D2304" s="27">
        <v>45006.043749999997</v>
      </c>
      <c r="E2304" s="18" t="s">
        <v>97</v>
      </c>
      <c r="F2304" s="18" t="s">
        <v>27</v>
      </c>
      <c r="G2304" s="18">
        <v>1259</v>
      </c>
      <c r="H2304" s="25">
        <f t="shared" si="140"/>
        <v>45006</v>
      </c>
      <c r="I2304" s="26">
        <f t="shared" si="141"/>
        <v>4.3749999997089617E-2</v>
      </c>
      <c r="J2304" s="18" t="str">
        <f t="shared" si="142"/>
        <v>March</v>
      </c>
      <c r="K2304" s="56" t="str">
        <f t="shared" si="143"/>
        <v>Tuesday</v>
      </c>
      <c r="L2304" s="18" t="str">
        <f>IF(OR(G2304&gt;Answers!I2319,G2304&lt;Answers!I2320),"Outlier","Normal")</f>
        <v>Outlier</v>
      </c>
      <c r="M2304" s="18">
        <v>19</v>
      </c>
    </row>
    <row r="2305" spans="1:13" ht="20" customHeight="1" x14ac:dyDescent="0.35">
      <c r="A2305" s="17">
        <v>1556551</v>
      </c>
      <c r="B2305" s="18">
        <v>556</v>
      </c>
      <c r="C2305" s="23" t="s">
        <v>100</v>
      </c>
      <c r="D2305" s="27">
        <v>45027.024305555555</v>
      </c>
      <c r="E2305" s="18" t="s">
        <v>97</v>
      </c>
      <c r="F2305" s="18" t="s">
        <v>90</v>
      </c>
      <c r="G2305" s="18">
        <v>4482</v>
      </c>
      <c r="H2305" s="25">
        <f t="shared" si="140"/>
        <v>45027</v>
      </c>
      <c r="I2305" s="26">
        <f t="shared" si="141"/>
        <v>2.4305555554747116E-2</v>
      </c>
      <c r="J2305" s="18" t="str">
        <f t="shared" si="142"/>
        <v>April</v>
      </c>
      <c r="K2305" s="56" t="str">
        <f t="shared" si="143"/>
        <v>Tuesday</v>
      </c>
      <c r="L2305" s="18" t="str">
        <f>IF(OR(G2305&gt;Answers!I2320,G2305&lt;Answers!I2321),"Outlier","Normal")</f>
        <v>Outlier</v>
      </c>
      <c r="M2305" s="18">
        <v>72</v>
      </c>
    </row>
    <row r="2306" spans="1:13" ht="20" customHeight="1" x14ac:dyDescent="0.35">
      <c r="A2306" s="17">
        <v>1557337</v>
      </c>
      <c r="B2306" s="18">
        <v>508</v>
      </c>
      <c r="C2306" s="23" t="s">
        <v>110</v>
      </c>
      <c r="D2306" s="27">
        <v>44957.03402777778</v>
      </c>
      <c r="E2306" s="18" t="s">
        <v>97</v>
      </c>
      <c r="F2306" s="18" t="s">
        <v>14</v>
      </c>
      <c r="G2306" s="18">
        <v>4679</v>
      </c>
      <c r="H2306" s="25">
        <f t="shared" si="140"/>
        <v>44957</v>
      </c>
      <c r="I2306" s="26">
        <f t="shared" si="141"/>
        <v>3.4027777779556345E-2</v>
      </c>
      <c r="J2306" s="18" t="str">
        <f t="shared" si="142"/>
        <v>January</v>
      </c>
      <c r="K2306" s="56" t="str">
        <f t="shared" si="143"/>
        <v>Tuesday</v>
      </c>
      <c r="L2306" s="18" t="str">
        <f>IF(OR(G2306&gt;Answers!I2321,G2306&lt;Answers!I2322),"Outlier","Normal")</f>
        <v>Outlier</v>
      </c>
      <c r="M2306" s="18">
        <v>65</v>
      </c>
    </row>
    <row r="2307" spans="1:13" ht="20" customHeight="1" x14ac:dyDescent="0.35">
      <c r="A2307" s="17">
        <v>1558722</v>
      </c>
      <c r="B2307" s="18">
        <v>623</v>
      </c>
      <c r="C2307" s="23" t="s">
        <v>113</v>
      </c>
      <c r="D2307" s="27">
        <v>45134.067361111112</v>
      </c>
      <c r="E2307" s="18" t="s">
        <v>98</v>
      </c>
      <c r="F2307" s="18" t="s">
        <v>27</v>
      </c>
      <c r="G2307" s="18">
        <v>1232</v>
      </c>
      <c r="H2307" s="25">
        <f t="shared" ref="H2307:H2370" si="144">INT(D2307)</f>
        <v>45134</v>
      </c>
      <c r="I2307" s="26">
        <f t="shared" ref="I2307:I2370" si="145">MOD(D2307,1)</f>
        <v>6.7361111112404615E-2</v>
      </c>
      <c r="J2307" s="18" t="str">
        <f t="shared" ref="J2307:J2370" si="146">TEXT(D2307,"mmmm")</f>
        <v>July</v>
      </c>
      <c r="K2307" s="56" t="str">
        <f t="shared" ref="K2307:K2370" si="147">TEXT(D2307,"dddd")</f>
        <v>Thursday</v>
      </c>
      <c r="L2307" s="18" t="str">
        <f>IF(OR(G2307&gt;Answers!I2322,G2307&lt;Answers!I2323),"Outlier","Normal")</f>
        <v>Outlier</v>
      </c>
      <c r="M2307" s="18">
        <v>80</v>
      </c>
    </row>
    <row r="2308" spans="1:13" ht="20" customHeight="1" x14ac:dyDescent="0.35">
      <c r="A2308" s="17">
        <v>1558773</v>
      </c>
      <c r="B2308" s="18">
        <v>1230</v>
      </c>
      <c r="C2308" s="23" t="s">
        <v>105</v>
      </c>
      <c r="D2308" s="27">
        <v>45143.039583333331</v>
      </c>
      <c r="E2308" s="18" t="s">
        <v>98</v>
      </c>
      <c r="F2308" s="18" t="s">
        <v>94</v>
      </c>
      <c r="G2308" s="18">
        <v>5890</v>
      </c>
      <c r="H2308" s="25">
        <f t="shared" si="144"/>
        <v>45143</v>
      </c>
      <c r="I2308" s="26">
        <f t="shared" si="145"/>
        <v>3.9583333331393078E-2</v>
      </c>
      <c r="J2308" s="18" t="str">
        <f t="shared" si="146"/>
        <v>August</v>
      </c>
      <c r="K2308" s="56" t="str">
        <f t="shared" si="147"/>
        <v>Saturday</v>
      </c>
      <c r="L2308" s="18" t="str">
        <f>IF(OR(G2308&gt;Answers!I2323,G2308&lt;Answers!I2324),"Outlier","Normal")</f>
        <v>Outlier</v>
      </c>
      <c r="M2308" s="18">
        <v>80</v>
      </c>
    </row>
    <row r="2309" spans="1:13" ht="20" customHeight="1" x14ac:dyDescent="0.35">
      <c r="A2309" s="17">
        <v>1558851</v>
      </c>
      <c r="B2309" s="18">
        <v>431</v>
      </c>
      <c r="C2309" s="23" t="s">
        <v>113</v>
      </c>
      <c r="D2309" s="27">
        <v>45288.974305555559</v>
      </c>
      <c r="E2309" s="18" t="s">
        <v>98</v>
      </c>
      <c r="F2309" s="18" t="s">
        <v>9</v>
      </c>
      <c r="G2309" s="18">
        <v>3075</v>
      </c>
      <c r="H2309" s="25">
        <f t="shared" si="144"/>
        <v>45288</v>
      </c>
      <c r="I2309" s="26">
        <f t="shared" si="145"/>
        <v>0.97430555555911269</v>
      </c>
      <c r="J2309" s="18" t="str">
        <f t="shared" si="146"/>
        <v>December</v>
      </c>
      <c r="K2309" s="56" t="str">
        <f t="shared" si="147"/>
        <v>Thursday</v>
      </c>
      <c r="L2309" s="18" t="str">
        <f>IF(OR(G2309&gt;Answers!I2324,G2309&lt;Answers!I2325),"Outlier","Normal")</f>
        <v>Outlier</v>
      </c>
      <c r="M2309" s="18">
        <v>34</v>
      </c>
    </row>
    <row r="2310" spans="1:13" ht="20" customHeight="1" x14ac:dyDescent="0.35">
      <c r="A2310" s="17">
        <v>1558891</v>
      </c>
      <c r="B2310" s="18">
        <v>1358</v>
      </c>
      <c r="C2310" s="23" t="s">
        <v>101</v>
      </c>
      <c r="D2310" s="27">
        <v>44948.019444444442</v>
      </c>
      <c r="E2310" s="18" t="s">
        <v>96</v>
      </c>
      <c r="F2310" s="18" t="s">
        <v>48</v>
      </c>
      <c r="G2310" s="18">
        <v>9227</v>
      </c>
      <c r="H2310" s="25">
        <f t="shared" si="144"/>
        <v>44948</v>
      </c>
      <c r="I2310" s="26">
        <f t="shared" si="145"/>
        <v>1.9444444442342501E-2</v>
      </c>
      <c r="J2310" s="18" t="str">
        <f t="shared" si="146"/>
        <v>January</v>
      </c>
      <c r="K2310" s="56" t="str">
        <f t="shared" si="147"/>
        <v>Sunday</v>
      </c>
      <c r="L2310" s="18" t="str">
        <f>IF(OR(G2310&gt;Answers!I2325,G2310&lt;Answers!I2326),"Outlier","Normal")</f>
        <v>Outlier</v>
      </c>
      <c r="M2310" s="18">
        <v>60</v>
      </c>
    </row>
    <row r="2311" spans="1:13" ht="20" customHeight="1" x14ac:dyDescent="0.35">
      <c r="A2311" s="17">
        <v>1560730</v>
      </c>
      <c r="B2311" s="18">
        <v>1689</v>
      </c>
      <c r="C2311" s="23" t="s">
        <v>101</v>
      </c>
      <c r="D2311" s="27">
        <v>45106.023611111108</v>
      </c>
      <c r="E2311" s="18" t="s">
        <v>133</v>
      </c>
      <c r="F2311" s="18" t="s">
        <v>14</v>
      </c>
      <c r="G2311" s="18">
        <v>9570</v>
      </c>
      <c r="H2311" s="25">
        <f t="shared" si="144"/>
        <v>45106</v>
      </c>
      <c r="I2311" s="26">
        <f t="shared" si="145"/>
        <v>2.361111110803904E-2</v>
      </c>
      <c r="J2311" s="18" t="str">
        <f t="shared" si="146"/>
        <v>June</v>
      </c>
      <c r="K2311" s="56" t="str">
        <f t="shared" si="147"/>
        <v>Thursday</v>
      </c>
      <c r="L2311" s="18" t="str">
        <f>IF(OR(G2311&gt;Answers!I2326,G2311&lt;Answers!I2327),"Outlier","Normal")</f>
        <v>Outlier</v>
      </c>
      <c r="M2311" s="18">
        <v>50</v>
      </c>
    </row>
    <row r="2312" spans="1:13" ht="20" customHeight="1" x14ac:dyDescent="0.35">
      <c r="A2312" s="17">
        <v>1561328</v>
      </c>
      <c r="B2312" s="18">
        <v>1031</v>
      </c>
      <c r="C2312" s="23" t="s">
        <v>101</v>
      </c>
      <c r="D2312" s="27">
        <v>45229.992361111108</v>
      </c>
      <c r="E2312" s="18" t="s">
        <v>133</v>
      </c>
      <c r="F2312" s="18" t="s">
        <v>61</v>
      </c>
      <c r="G2312" s="18">
        <v>2619</v>
      </c>
      <c r="H2312" s="25">
        <f t="shared" si="144"/>
        <v>45229</v>
      </c>
      <c r="I2312" s="26">
        <f t="shared" si="145"/>
        <v>0.99236111110803904</v>
      </c>
      <c r="J2312" s="18" t="str">
        <f t="shared" si="146"/>
        <v>October</v>
      </c>
      <c r="K2312" s="56" t="str">
        <f t="shared" si="147"/>
        <v>Monday</v>
      </c>
      <c r="L2312" s="18" t="str">
        <f>IF(OR(G2312&gt;Answers!I2327,G2312&lt;Answers!I2328),"Outlier","Normal")</f>
        <v>Outlier</v>
      </c>
      <c r="M2312" s="18">
        <v>40</v>
      </c>
    </row>
    <row r="2313" spans="1:13" ht="20" customHeight="1" x14ac:dyDescent="0.35">
      <c r="A2313" s="17">
        <v>1561588</v>
      </c>
      <c r="B2313" s="18">
        <v>237</v>
      </c>
      <c r="C2313" s="23" t="s">
        <v>100</v>
      </c>
      <c r="D2313" s="27">
        <v>45162.970833333333</v>
      </c>
      <c r="E2313" s="18" t="s">
        <v>96</v>
      </c>
      <c r="F2313" s="18" t="s">
        <v>65</v>
      </c>
      <c r="G2313" s="18">
        <v>7424</v>
      </c>
      <c r="H2313" s="25">
        <f t="shared" si="144"/>
        <v>45162</v>
      </c>
      <c r="I2313" s="26">
        <f t="shared" si="145"/>
        <v>0.97083333333284827</v>
      </c>
      <c r="J2313" s="18" t="str">
        <f t="shared" si="146"/>
        <v>August</v>
      </c>
      <c r="K2313" s="56" t="str">
        <f t="shared" si="147"/>
        <v>Thursday</v>
      </c>
      <c r="L2313" s="18" t="str">
        <f>IF(OR(G2313&gt;Answers!I2328,G2313&lt;Answers!I2329),"Outlier","Normal")</f>
        <v>Outlier</v>
      </c>
      <c r="M2313" s="18">
        <v>57</v>
      </c>
    </row>
    <row r="2314" spans="1:13" ht="20" customHeight="1" x14ac:dyDescent="0.35">
      <c r="A2314" s="17">
        <v>1562667</v>
      </c>
      <c r="B2314" s="18">
        <v>984</v>
      </c>
      <c r="C2314" s="23" t="s">
        <v>100</v>
      </c>
      <c r="D2314" s="27">
        <v>45113.986805555556</v>
      </c>
      <c r="E2314" s="18" t="s">
        <v>96</v>
      </c>
      <c r="F2314" s="18" t="s">
        <v>27</v>
      </c>
      <c r="G2314" s="18">
        <v>424</v>
      </c>
      <c r="H2314" s="25">
        <f t="shared" si="144"/>
        <v>45113</v>
      </c>
      <c r="I2314" s="26">
        <f t="shared" si="145"/>
        <v>0.98680555555620231</v>
      </c>
      <c r="J2314" s="18" t="str">
        <f t="shared" si="146"/>
        <v>July</v>
      </c>
      <c r="K2314" s="56" t="str">
        <f t="shared" si="147"/>
        <v>Thursday</v>
      </c>
      <c r="L2314" s="18" t="str">
        <f>IF(OR(G2314&gt;Answers!I2329,G2314&lt;Answers!I2330),"Outlier","Normal")</f>
        <v>Outlier</v>
      </c>
      <c r="M2314" s="18">
        <v>33</v>
      </c>
    </row>
    <row r="2315" spans="1:13" ht="20" customHeight="1" x14ac:dyDescent="0.35">
      <c r="A2315" s="17">
        <v>1562703</v>
      </c>
      <c r="B2315" s="18">
        <v>347</v>
      </c>
      <c r="C2315" s="23" t="s">
        <v>108</v>
      </c>
      <c r="D2315" s="27">
        <v>45183.017361111109</v>
      </c>
      <c r="E2315" s="18" t="s">
        <v>133</v>
      </c>
      <c r="F2315" s="18" t="s">
        <v>18</v>
      </c>
      <c r="G2315" s="18">
        <v>1845</v>
      </c>
      <c r="H2315" s="25">
        <f t="shared" si="144"/>
        <v>45183</v>
      </c>
      <c r="I2315" s="26">
        <f t="shared" si="145"/>
        <v>1.7361111109494232E-2</v>
      </c>
      <c r="J2315" s="18" t="str">
        <f t="shared" si="146"/>
        <v>September</v>
      </c>
      <c r="K2315" s="56" t="str">
        <f t="shared" si="147"/>
        <v>Thursday</v>
      </c>
      <c r="L2315" s="18" t="str">
        <f>IF(OR(G2315&gt;Answers!I2330,G2315&lt;Answers!I2331),"Outlier","Normal")</f>
        <v>Outlier</v>
      </c>
      <c r="M2315" s="18">
        <v>59</v>
      </c>
    </row>
    <row r="2316" spans="1:13" ht="20" customHeight="1" x14ac:dyDescent="0.35">
      <c r="A2316" s="17">
        <v>1562821</v>
      </c>
      <c r="B2316" s="18">
        <v>917</v>
      </c>
      <c r="C2316" s="23" t="s">
        <v>103</v>
      </c>
      <c r="D2316" s="27">
        <v>45090.007638888892</v>
      </c>
      <c r="E2316" s="18" t="s">
        <v>133</v>
      </c>
      <c r="F2316" s="18" t="s">
        <v>89</v>
      </c>
      <c r="G2316" s="18">
        <v>5545</v>
      </c>
      <c r="H2316" s="25">
        <f t="shared" si="144"/>
        <v>45090</v>
      </c>
      <c r="I2316" s="26">
        <f t="shared" si="145"/>
        <v>7.6388888919609599E-3</v>
      </c>
      <c r="J2316" s="18" t="str">
        <f t="shared" si="146"/>
        <v>June</v>
      </c>
      <c r="K2316" s="56" t="str">
        <f t="shared" si="147"/>
        <v>Tuesday</v>
      </c>
      <c r="L2316" s="18" t="str">
        <f>IF(OR(G2316&gt;Answers!I2331,G2316&lt;Answers!I2332),"Outlier","Normal")</f>
        <v>Outlier</v>
      </c>
      <c r="M2316" s="18">
        <v>41</v>
      </c>
    </row>
    <row r="2317" spans="1:13" ht="20" customHeight="1" x14ac:dyDescent="0.35">
      <c r="A2317" s="17">
        <v>1563544</v>
      </c>
      <c r="B2317" s="18">
        <v>1905</v>
      </c>
      <c r="C2317" s="23" t="s">
        <v>105</v>
      </c>
      <c r="D2317" s="27">
        <v>45242.051388888889</v>
      </c>
      <c r="E2317" s="18" t="s">
        <v>98</v>
      </c>
      <c r="F2317" s="18" t="s">
        <v>79</v>
      </c>
      <c r="G2317" s="18">
        <v>4596</v>
      </c>
      <c r="H2317" s="25">
        <f t="shared" si="144"/>
        <v>45242</v>
      </c>
      <c r="I2317" s="26">
        <f t="shared" si="145"/>
        <v>5.1388888889050577E-2</v>
      </c>
      <c r="J2317" s="18" t="str">
        <f t="shared" si="146"/>
        <v>November</v>
      </c>
      <c r="K2317" s="56" t="str">
        <f t="shared" si="147"/>
        <v>Sunday</v>
      </c>
      <c r="L2317" s="18" t="str">
        <f>IF(OR(G2317&gt;Answers!I2332,G2317&lt;Answers!I2333),"Outlier","Normal")</f>
        <v>Outlier</v>
      </c>
      <c r="M2317" s="18">
        <v>48</v>
      </c>
    </row>
    <row r="2318" spans="1:13" ht="20" customHeight="1" x14ac:dyDescent="0.35">
      <c r="A2318" s="17">
        <v>1563696</v>
      </c>
      <c r="B2318" s="18">
        <v>1079</v>
      </c>
      <c r="C2318" s="23" t="s">
        <v>113</v>
      </c>
      <c r="D2318" s="27">
        <v>45033.98541666667</v>
      </c>
      <c r="E2318" s="18" t="s">
        <v>98</v>
      </c>
      <c r="F2318" s="18" t="s">
        <v>51</v>
      </c>
      <c r="G2318" s="18">
        <v>2297</v>
      </c>
      <c r="H2318" s="25">
        <f t="shared" si="144"/>
        <v>45033</v>
      </c>
      <c r="I2318" s="26">
        <f t="shared" si="145"/>
        <v>0.98541666667006211</v>
      </c>
      <c r="J2318" s="18" t="str">
        <f t="shared" si="146"/>
        <v>April</v>
      </c>
      <c r="K2318" s="56" t="str">
        <f t="shared" si="147"/>
        <v>Monday</v>
      </c>
      <c r="L2318" s="18" t="str">
        <f>IF(OR(G2318&gt;Answers!I2333,G2318&lt;Answers!I2334),"Outlier","Normal")</f>
        <v>Outlier</v>
      </c>
      <c r="M2318" s="18">
        <v>29</v>
      </c>
    </row>
    <row r="2319" spans="1:13" ht="20" customHeight="1" x14ac:dyDescent="0.35">
      <c r="A2319" s="17">
        <v>1564030</v>
      </c>
      <c r="B2319" s="18">
        <v>1844</v>
      </c>
      <c r="C2319" s="23" t="s">
        <v>106</v>
      </c>
      <c r="D2319" s="27">
        <v>45290</v>
      </c>
      <c r="E2319" s="18" t="s">
        <v>96</v>
      </c>
      <c r="F2319" s="18" t="s">
        <v>63</v>
      </c>
      <c r="G2319" s="18">
        <v>9452</v>
      </c>
      <c r="H2319" s="25">
        <f t="shared" si="144"/>
        <v>45290</v>
      </c>
      <c r="I2319" s="26">
        <f t="shared" si="145"/>
        <v>0</v>
      </c>
      <c r="J2319" s="18" t="str">
        <f t="shared" si="146"/>
        <v>December</v>
      </c>
      <c r="K2319" s="56" t="str">
        <f t="shared" si="147"/>
        <v>Saturday</v>
      </c>
      <c r="L2319" s="18" t="str">
        <f>IF(OR(G2319&gt;Answers!I2334,G2319&lt;Answers!I2335),"Outlier","Normal")</f>
        <v>Outlier</v>
      </c>
      <c r="M2319" s="18">
        <v>88</v>
      </c>
    </row>
    <row r="2320" spans="1:13" ht="20" customHeight="1" x14ac:dyDescent="0.35">
      <c r="A2320" s="17">
        <v>1564843</v>
      </c>
      <c r="B2320" s="18">
        <v>1271</v>
      </c>
      <c r="C2320" s="23" t="s">
        <v>100</v>
      </c>
      <c r="D2320" s="27">
        <v>44973.078472222223</v>
      </c>
      <c r="E2320" s="18" t="s">
        <v>96</v>
      </c>
      <c r="F2320" s="18" t="s">
        <v>90</v>
      </c>
      <c r="G2320" s="18">
        <v>2114</v>
      </c>
      <c r="H2320" s="25">
        <f t="shared" si="144"/>
        <v>44973</v>
      </c>
      <c r="I2320" s="26">
        <f t="shared" si="145"/>
        <v>7.8472222223354038E-2</v>
      </c>
      <c r="J2320" s="18" t="str">
        <f t="shared" si="146"/>
        <v>February</v>
      </c>
      <c r="K2320" s="56" t="str">
        <f t="shared" si="147"/>
        <v>Thursday</v>
      </c>
      <c r="L2320" s="18" t="str">
        <f>IF(OR(G2320&gt;Answers!I2335,G2320&lt;Answers!I2336),"Outlier","Normal")</f>
        <v>Outlier</v>
      </c>
      <c r="M2320" s="18">
        <v>43</v>
      </c>
    </row>
    <row r="2321" spans="1:13" ht="20" customHeight="1" x14ac:dyDescent="0.35">
      <c r="A2321" s="17">
        <v>1564926</v>
      </c>
      <c r="B2321" s="18">
        <v>1519</v>
      </c>
      <c r="C2321" s="23" t="s">
        <v>105</v>
      </c>
      <c r="D2321" s="27">
        <v>45039.951388888891</v>
      </c>
      <c r="E2321" s="18" t="s">
        <v>97</v>
      </c>
      <c r="F2321" s="18" t="s">
        <v>57</v>
      </c>
      <c r="G2321" s="18">
        <v>6988</v>
      </c>
      <c r="H2321" s="25">
        <f t="shared" si="144"/>
        <v>45039</v>
      </c>
      <c r="I2321" s="26">
        <f t="shared" si="145"/>
        <v>0.95138888889050577</v>
      </c>
      <c r="J2321" s="18" t="str">
        <f t="shared" si="146"/>
        <v>April</v>
      </c>
      <c r="K2321" s="56" t="str">
        <f t="shared" si="147"/>
        <v>Sunday</v>
      </c>
      <c r="L2321" s="18" t="str">
        <f>IF(OR(G2321&gt;Answers!I2336,G2321&lt;Answers!I2337),"Outlier","Normal")</f>
        <v>Outlier</v>
      </c>
      <c r="M2321" s="18">
        <v>20</v>
      </c>
    </row>
    <row r="2322" spans="1:13" ht="20" customHeight="1" x14ac:dyDescent="0.35">
      <c r="A2322" s="17">
        <v>1565544</v>
      </c>
      <c r="B2322" s="18">
        <v>1432</v>
      </c>
      <c r="C2322" s="23" t="s">
        <v>99</v>
      </c>
      <c r="D2322" s="27">
        <v>44936.036805555559</v>
      </c>
      <c r="E2322" s="18" t="s">
        <v>133</v>
      </c>
      <c r="F2322" s="18" t="s">
        <v>92</v>
      </c>
      <c r="G2322" s="18">
        <v>1232</v>
      </c>
      <c r="H2322" s="25">
        <f t="shared" si="144"/>
        <v>44936</v>
      </c>
      <c r="I2322" s="26">
        <f t="shared" si="145"/>
        <v>3.680555555911269E-2</v>
      </c>
      <c r="J2322" s="18" t="str">
        <f t="shared" si="146"/>
        <v>January</v>
      </c>
      <c r="K2322" s="56" t="str">
        <f t="shared" si="147"/>
        <v>Tuesday</v>
      </c>
      <c r="L2322" s="18" t="str">
        <f>IF(OR(G2322&gt;Answers!I2337,G2322&lt;Answers!I2338),"Outlier","Normal")</f>
        <v>Outlier</v>
      </c>
      <c r="M2322" s="18">
        <v>30</v>
      </c>
    </row>
    <row r="2323" spans="1:13" ht="20" customHeight="1" x14ac:dyDescent="0.35">
      <c r="A2323" s="17">
        <v>1566865</v>
      </c>
      <c r="B2323" s="18">
        <v>1937</v>
      </c>
      <c r="C2323" s="23" t="s">
        <v>104</v>
      </c>
      <c r="D2323" s="27">
        <v>45257.061111111114</v>
      </c>
      <c r="E2323" s="18" t="s">
        <v>96</v>
      </c>
      <c r="F2323" s="18" t="s">
        <v>24</v>
      </c>
      <c r="G2323" s="18">
        <v>1543</v>
      </c>
      <c r="H2323" s="25">
        <f t="shared" si="144"/>
        <v>45257</v>
      </c>
      <c r="I2323" s="26">
        <f t="shared" si="145"/>
        <v>6.1111111113859806E-2</v>
      </c>
      <c r="J2323" s="18" t="str">
        <f t="shared" si="146"/>
        <v>November</v>
      </c>
      <c r="K2323" s="56" t="str">
        <f t="shared" si="147"/>
        <v>Monday</v>
      </c>
      <c r="L2323" s="18" t="str">
        <f>IF(OR(G2323&gt;Answers!I2338,G2323&lt;Answers!I2339),"Outlier","Normal")</f>
        <v>Outlier</v>
      </c>
      <c r="M2323" s="18">
        <v>27</v>
      </c>
    </row>
    <row r="2324" spans="1:13" ht="20" customHeight="1" x14ac:dyDescent="0.35">
      <c r="A2324" s="17">
        <v>1567251</v>
      </c>
      <c r="B2324" s="18">
        <v>1808</v>
      </c>
      <c r="C2324" s="23" t="s">
        <v>107</v>
      </c>
      <c r="D2324" s="27">
        <v>45135.081944444442</v>
      </c>
      <c r="E2324" s="18" t="s">
        <v>133</v>
      </c>
      <c r="F2324" s="18" t="s">
        <v>18</v>
      </c>
      <c r="G2324" s="18">
        <v>5439</v>
      </c>
      <c r="H2324" s="25">
        <f t="shared" si="144"/>
        <v>45135</v>
      </c>
      <c r="I2324" s="26">
        <f t="shared" si="145"/>
        <v>8.1944444442342501E-2</v>
      </c>
      <c r="J2324" s="18" t="str">
        <f t="shared" si="146"/>
        <v>July</v>
      </c>
      <c r="K2324" s="56" t="str">
        <f t="shared" si="147"/>
        <v>Friday</v>
      </c>
      <c r="L2324" s="18" t="str">
        <f>IF(OR(G2324&gt;Answers!I2339,G2324&lt;Answers!I2340),"Outlier","Normal")</f>
        <v>Outlier</v>
      </c>
      <c r="M2324" s="18">
        <v>28</v>
      </c>
    </row>
    <row r="2325" spans="1:13" ht="20" customHeight="1" x14ac:dyDescent="0.35">
      <c r="A2325" s="17">
        <v>1567280</v>
      </c>
      <c r="B2325" s="18">
        <v>634</v>
      </c>
      <c r="C2325" s="23" t="s">
        <v>99</v>
      </c>
      <c r="D2325" s="27">
        <v>45253.956944444442</v>
      </c>
      <c r="E2325" s="18" t="s">
        <v>97</v>
      </c>
      <c r="F2325" s="18" t="s">
        <v>25</v>
      </c>
      <c r="G2325" s="18">
        <v>9698</v>
      </c>
      <c r="H2325" s="25">
        <f t="shared" si="144"/>
        <v>45253</v>
      </c>
      <c r="I2325" s="26">
        <f t="shared" si="145"/>
        <v>0.9569444444423425</v>
      </c>
      <c r="J2325" s="18" t="str">
        <f t="shared" si="146"/>
        <v>November</v>
      </c>
      <c r="K2325" s="56" t="str">
        <f t="shared" si="147"/>
        <v>Thursday</v>
      </c>
      <c r="L2325" s="18" t="str">
        <f>IF(OR(G2325&gt;Answers!I2340,G2325&lt;Answers!I2341),"Outlier","Normal")</f>
        <v>Outlier</v>
      </c>
      <c r="M2325" s="18">
        <v>62</v>
      </c>
    </row>
    <row r="2326" spans="1:13" ht="20" customHeight="1" x14ac:dyDescent="0.35">
      <c r="A2326" s="17">
        <v>1568848</v>
      </c>
      <c r="B2326" s="18">
        <v>1783</v>
      </c>
      <c r="C2326" s="23" t="s">
        <v>99</v>
      </c>
      <c r="D2326" s="27">
        <v>45123.035416666666</v>
      </c>
      <c r="E2326" s="18" t="s">
        <v>97</v>
      </c>
      <c r="F2326" s="18" t="s">
        <v>5</v>
      </c>
      <c r="G2326" s="18">
        <v>8771</v>
      </c>
      <c r="H2326" s="25">
        <f t="shared" si="144"/>
        <v>45123</v>
      </c>
      <c r="I2326" s="26">
        <f t="shared" si="145"/>
        <v>3.5416666665696539E-2</v>
      </c>
      <c r="J2326" s="18" t="str">
        <f t="shared" si="146"/>
        <v>July</v>
      </c>
      <c r="K2326" s="56" t="str">
        <f t="shared" si="147"/>
        <v>Sunday</v>
      </c>
      <c r="L2326" s="18" t="str">
        <f>IF(OR(G2326&gt;Answers!I2341,G2326&lt;Answers!I2342),"Outlier","Normal")</f>
        <v>Outlier</v>
      </c>
      <c r="M2326" s="18">
        <v>27</v>
      </c>
    </row>
    <row r="2327" spans="1:13" ht="20" customHeight="1" x14ac:dyDescent="0.35">
      <c r="A2327" s="17">
        <v>1569922</v>
      </c>
      <c r="B2327" s="18">
        <v>1948</v>
      </c>
      <c r="C2327" s="23" t="s">
        <v>99</v>
      </c>
      <c r="D2327" s="27">
        <v>44992.986111111109</v>
      </c>
      <c r="E2327" s="18" t="s">
        <v>98</v>
      </c>
      <c r="F2327" s="18" t="s">
        <v>16</v>
      </c>
      <c r="G2327" s="18">
        <v>3425</v>
      </c>
      <c r="H2327" s="25">
        <f t="shared" si="144"/>
        <v>44992</v>
      </c>
      <c r="I2327" s="26">
        <f t="shared" si="145"/>
        <v>0.98611111110949423</v>
      </c>
      <c r="J2327" s="18" t="str">
        <f t="shared" si="146"/>
        <v>March</v>
      </c>
      <c r="K2327" s="56" t="str">
        <f t="shared" si="147"/>
        <v>Tuesday</v>
      </c>
      <c r="L2327" s="18" t="str">
        <f>IF(OR(G2327&gt;Answers!I2342,G2327&lt;Answers!I2343),"Outlier","Normal")</f>
        <v>Outlier</v>
      </c>
      <c r="M2327" s="18">
        <v>79</v>
      </c>
    </row>
    <row r="2328" spans="1:13" ht="20" customHeight="1" x14ac:dyDescent="0.35">
      <c r="A2328" s="17">
        <v>1570720</v>
      </c>
      <c r="B2328" s="18">
        <v>1593</v>
      </c>
      <c r="C2328" s="23" t="s">
        <v>100</v>
      </c>
      <c r="D2328" s="27">
        <v>45220.940972222219</v>
      </c>
      <c r="E2328" s="18" t="s">
        <v>98</v>
      </c>
      <c r="F2328" s="18" t="s">
        <v>74</v>
      </c>
      <c r="G2328" s="18">
        <v>414</v>
      </c>
      <c r="H2328" s="25">
        <f t="shared" si="144"/>
        <v>45220</v>
      </c>
      <c r="I2328" s="26">
        <f t="shared" si="145"/>
        <v>0.94097222221898846</v>
      </c>
      <c r="J2328" s="18" t="str">
        <f t="shared" si="146"/>
        <v>October</v>
      </c>
      <c r="K2328" s="56" t="str">
        <f t="shared" si="147"/>
        <v>Saturday</v>
      </c>
      <c r="L2328" s="18" t="str">
        <f>IF(OR(G2328&gt;Answers!I2343,G2328&lt;Answers!I2344),"Outlier","Normal")</f>
        <v>Outlier</v>
      </c>
      <c r="M2328" s="18">
        <v>34</v>
      </c>
    </row>
    <row r="2329" spans="1:13" ht="20" customHeight="1" x14ac:dyDescent="0.35">
      <c r="A2329" s="17">
        <v>1571075</v>
      </c>
      <c r="B2329" s="18">
        <v>660</v>
      </c>
      <c r="C2329" s="23" t="s">
        <v>99</v>
      </c>
      <c r="D2329" s="27">
        <v>45071.058333333334</v>
      </c>
      <c r="E2329" s="18" t="s">
        <v>96</v>
      </c>
      <c r="F2329" s="18" t="s">
        <v>70</v>
      </c>
      <c r="G2329" s="18">
        <v>4346</v>
      </c>
      <c r="H2329" s="25">
        <f t="shared" si="144"/>
        <v>45071</v>
      </c>
      <c r="I2329" s="26">
        <f t="shared" si="145"/>
        <v>5.8333333334303461E-2</v>
      </c>
      <c r="J2329" s="18" t="str">
        <f t="shared" si="146"/>
        <v>May</v>
      </c>
      <c r="K2329" s="56" t="str">
        <f t="shared" si="147"/>
        <v>Thursday</v>
      </c>
      <c r="L2329" s="18" t="str">
        <f>IF(OR(G2329&gt;Answers!I2344,G2329&lt;Answers!I2345),"Outlier","Normal")</f>
        <v>Outlier</v>
      </c>
      <c r="M2329" s="18">
        <v>23</v>
      </c>
    </row>
    <row r="2330" spans="1:13" ht="20" customHeight="1" x14ac:dyDescent="0.35">
      <c r="A2330" s="17">
        <v>1576077</v>
      </c>
      <c r="B2330" s="18">
        <v>1385</v>
      </c>
      <c r="C2330" s="23" t="s">
        <v>99</v>
      </c>
      <c r="D2330" s="27">
        <v>45240.961805555555</v>
      </c>
      <c r="E2330" s="18" t="s">
        <v>98</v>
      </c>
      <c r="F2330" s="18" t="s">
        <v>5</v>
      </c>
      <c r="G2330" s="18">
        <v>9058</v>
      </c>
      <c r="H2330" s="25">
        <f t="shared" si="144"/>
        <v>45240</v>
      </c>
      <c r="I2330" s="26">
        <f t="shared" si="145"/>
        <v>0.96180555555474712</v>
      </c>
      <c r="J2330" s="18" t="str">
        <f t="shared" si="146"/>
        <v>November</v>
      </c>
      <c r="K2330" s="56" t="str">
        <f t="shared" si="147"/>
        <v>Friday</v>
      </c>
      <c r="L2330" s="18" t="str">
        <f>IF(OR(G2330&gt;Answers!I2345,G2330&lt;Answers!I2346),"Outlier","Normal")</f>
        <v>Outlier</v>
      </c>
      <c r="M2330" s="18">
        <v>32</v>
      </c>
    </row>
    <row r="2331" spans="1:13" ht="20" customHeight="1" x14ac:dyDescent="0.35">
      <c r="A2331" s="17">
        <v>1576972</v>
      </c>
      <c r="B2331" s="18">
        <v>1702</v>
      </c>
      <c r="C2331" s="23" t="s">
        <v>107</v>
      </c>
      <c r="D2331" s="27">
        <v>45224.040277777778</v>
      </c>
      <c r="E2331" s="18" t="s">
        <v>96</v>
      </c>
      <c r="F2331" s="18" t="s">
        <v>43</v>
      </c>
      <c r="G2331" s="18">
        <v>8340</v>
      </c>
      <c r="H2331" s="25">
        <f t="shared" si="144"/>
        <v>45224</v>
      </c>
      <c r="I2331" s="26">
        <f t="shared" si="145"/>
        <v>4.0277777778101154E-2</v>
      </c>
      <c r="J2331" s="18" t="str">
        <f t="shared" si="146"/>
        <v>October</v>
      </c>
      <c r="K2331" s="56" t="str">
        <f t="shared" si="147"/>
        <v>Wednesday</v>
      </c>
      <c r="L2331" s="18" t="str">
        <f>IF(OR(G2331&gt;Answers!I2346,G2331&lt;Answers!I2347),"Outlier","Normal")</f>
        <v>Outlier</v>
      </c>
      <c r="M2331" s="18">
        <v>26</v>
      </c>
    </row>
    <row r="2332" spans="1:13" ht="20" customHeight="1" x14ac:dyDescent="0.35">
      <c r="A2332" s="17">
        <v>1578400</v>
      </c>
      <c r="B2332" s="18">
        <v>1795</v>
      </c>
      <c r="C2332" s="23" t="s">
        <v>100</v>
      </c>
      <c r="D2332" s="27">
        <v>44938.000694444447</v>
      </c>
      <c r="E2332" s="18" t="s">
        <v>96</v>
      </c>
      <c r="F2332" s="18" t="s">
        <v>7</v>
      </c>
      <c r="G2332" s="18">
        <v>5568</v>
      </c>
      <c r="H2332" s="25">
        <f t="shared" si="144"/>
        <v>44938</v>
      </c>
      <c r="I2332" s="26">
        <f t="shared" si="145"/>
        <v>6.944444467080757E-4</v>
      </c>
      <c r="J2332" s="18" t="str">
        <f t="shared" si="146"/>
        <v>January</v>
      </c>
      <c r="K2332" s="56" t="str">
        <f t="shared" si="147"/>
        <v>Thursday</v>
      </c>
      <c r="L2332" s="18" t="str">
        <f>IF(OR(G2332&gt;Answers!I2347,G2332&lt;Answers!I2348),"Outlier","Normal")</f>
        <v>Outlier</v>
      </c>
      <c r="M2332" s="18">
        <v>53</v>
      </c>
    </row>
    <row r="2333" spans="1:13" ht="20" customHeight="1" x14ac:dyDescent="0.35">
      <c r="A2333" s="17">
        <v>1579155</v>
      </c>
      <c r="B2333" s="18">
        <v>796</v>
      </c>
      <c r="C2333" s="23" t="s">
        <v>102</v>
      </c>
      <c r="D2333" s="27">
        <v>44973.037499999999</v>
      </c>
      <c r="E2333" s="18" t="s">
        <v>97</v>
      </c>
      <c r="F2333" s="18" t="s">
        <v>8</v>
      </c>
      <c r="G2333" s="18">
        <v>799</v>
      </c>
      <c r="H2333" s="25">
        <f t="shared" si="144"/>
        <v>44973</v>
      </c>
      <c r="I2333" s="26">
        <f t="shared" si="145"/>
        <v>3.7499999998544808E-2</v>
      </c>
      <c r="J2333" s="18" t="str">
        <f t="shared" si="146"/>
        <v>February</v>
      </c>
      <c r="K2333" s="56" t="str">
        <f t="shared" si="147"/>
        <v>Thursday</v>
      </c>
      <c r="L2333" s="18" t="str">
        <f>IF(OR(G2333&gt;Answers!I2348,G2333&lt;Answers!I2349),"Outlier","Normal")</f>
        <v>Outlier</v>
      </c>
      <c r="M2333" s="18">
        <v>27</v>
      </c>
    </row>
    <row r="2334" spans="1:13" ht="20" customHeight="1" x14ac:dyDescent="0.35">
      <c r="A2334" s="17">
        <v>1580103</v>
      </c>
      <c r="B2334" s="18">
        <v>689</v>
      </c>
      <c r="C2334" s="23" t="s">
        <v>100</v>
      </c>
      <c r="D2334" s="27">
        <v>44992.039583333331</v>
      </c>
      <c r="E2334" s="18" t="s">
        <v>96</v>
      </c>
      <c r="F2334" s="18" t="s">
        <v>46</v>
      </c>
      <c r="G2334" s="18">
        <v>5667</v>
      </c>
      <c r="H2334" s="25">
        <f t="shared" si="144"/>
        <v>44992</v>
      </c>
      <c r="I2334" s="26">
        <f t="shared" si="145"/>
        <v>3.9583333331393078E-2</v>
      </c>
      <c r="J2334" s="18" t="str">
        <f t="shared" si="146"/>
        <v>March</v>
      </c>
      <c r="K2334" s="56" t="str">
        <f t="shared" si="147"/>
        <v>Tuesday</v>
      </c>
      <c r="L2334" s="18" t="str">
        <f>IF(OR(G2334&gt;Answers!I2349,G2334&lt;Answers!I2350),"Outlier","Normal")</f>
        <v>Outlier</v>
      </c>
      <c r="M2334" s="18">
        <v>41</v>
      </c>
    </row>
    <row r="2335" spans="1:13" ht="20" customHeight="1" x14ac:dyDescent="0.35">
      <c r="A2335" s="17">
        <v>1580615</v>
      </c>
      <c r="B2335" s="18">
        <v>932</v>
      </c>
      <c r="C2335" s="23" t="s">
        <v>110</v>
      </c>
      <c r="D2335" s="27">
        <v>45245.015972222223</v>
      </c>
      <c r="E2335" s="18" t="s">
        <v>98</v>
      </c>
      <c r="F2335" s="18" t="s">
        <v>10</v>
      </c>
      <c r="G2335" s="18">
        <v>1629</v>
      </c>
      <c r="H2335" s="25">
        <f t="shared" si="144"/>
        <v>45245</v>
      </c>
      <c r="I2335" s="26">
        <f t="shared" si="145"/>
        <v>1.5972222223354038E-2</v>
      </c>
      <c r="J2335" s="18" t="str">
        <f t="shared" si="146"/>
        <v>November</v>
      </c>
      <c r="K2335" s="56" t="str">
        <f t="shared" si="147"/>
        <v>Wednesday</v>
      </c>
      <c r="L2335" s="18" t="str">
        <f>IF(OR(G2335&gt;Answers!I2350,G2335&lt;Answers!I2351),"Outlier","Normal")</f>
        <v>Outlier</v>
      </c>
      <c r="M2335" s="18">
        <v>61</v>
      </c>
    </row>
    <row r="2336" spans="1:13" ht="20" customHeight="1" x14ac:dyDescent="0.35">
      <c r="A2336" s="17">
        <v>1580632</v>
      </c>
      <c r="B2336" s="18">
        <v>1084</v>
      </c>
      <c r="C2336" s="23" t="s">
        <v>113</v>
      </c>
      <c r="D2336" s="27">
        <v>45216.05</v>
      </c>
      <c r="E2336" s="18" t="s">
        <v>96</v>
      </c>
      <c r="F2336" s="18" t="s">
        <v>27</v>
      </c>
      <c r="G2336" s="18">
        <v>9219</v>
      </c>
      <c r="H2336" s="25">
        <f t="shared" si="144"/>
        <v>45216</v>
      </c>
      <c r="I2336" s="26">
        <f t="shared" si="145"/>
        <v>5.0000000002910383E-2</v>
      </c>
      <c r="J2336" s="18" t="str">
        <f t="shared" si="146"/>
        <v>October</v>
      </c>
      <c r="K2336" s="56" t="str">
        <f t="shared" si="147"/>
        <v>Tuesday</v>
      </c>
      <c r="L2336" s="18" t="str">
        <f>IF(OR(G2336&gt;Answers!I2351,G2336&lt;Answers!I2352),"Outlier","Normal")</f>
        <v>Outlier</v>
      </c>
      <c r="M2336" s="18">
        <v>75</v>
      </c>
    </row>
    <row r="2337" spans="1:13" ht="20" customHeight="1" x14ac:dyDescent="0.35">
      <c r="A2337" s="17">
        <v>1580986</v>
      </c>
      <c r="B2337" s="18">
        <v>523</v>
      </c>
      <c r="C2337" s="23" t="s">
        <v>99</v>
      </c>
      <c r="D2337" s="27">
        <v>45175.086805555555</v>
      </c>
      <c r="E2337" s="18" t="s">
        <v>98</v>
      </c>
      <c r="F2337" s="18" t="s">
        <v>13</v>
      </c>
      <c r="G2337" s="18">
        <v>438</v>
      </c>
      <c r="H2337" s="25">
        <f t="shared" si="144"/>
        <v>45175</v>
      </c>
      <c r="I2337" s="26">
        <f t="shared" si="145"/>
        <v>8.6805555554747116E-2</v>
      </c>
      <c r="J2337" s="18" t="str">
        <f t="shared" si="146"/>
        <v>September</v>
      </c>
      <c r="K2337" s="56" t="str">
        <f t="shared" si="147"/>
        <v>Wednesday</v>
      </c>
      <c r="L2337" s="18" t="str">
        <f>IF(OR(G2337&gt;Answers!I2352,G2337&lt;Answers!I2353),"Outlier","Normal")</f>
        <v>Outlier</v>
      </c>
      <c r="M2337" s="18">
        <v>26</v>
      </c>
    </row>
    <row r="2338" spans="1:13" ht="20" customHeight="1" x14ac:dyDescent="0.35">
      <c r="A2338" s="17">
        <v>1582168</v>
      </c>
      <c r="B2338" s="18">
        <v>1048</v>
      </c>
      <c r="C2338" s="23" t="s">
        <v>113</v>
      </c>
      <c r="D2338" s="27">
        <v>45254.036111111112</v>
      </c>
      <c r="E2338" s="18" t="s">
        <v>98</v>
      </c>
      <c r="F2338" s="18" t="s">
        <v>10</v>
      </c>
      <c r="G2338" s="18">
        <v>9234</v>
      </c>
      <c r="H2338" s="25">
        <f t="shared" si="144"/>
        <v>45254</v>
      </c>
      <c r="I2338" s="26">
        <f t="shared" si="145"/>
        <v>3.6111111112404615E-2</v>
      </c>
      <c r="J2338" s="18" t="str">
        <f t="shared" si="146"/>
        <v>November</v>
      </c>
      <c r="K2338" s="56" t="str">
        <f t="shared" si="147"/>
        <v>Friday</v>
      </c>
      <c r="L2338" s="18" t="str">
        <f>IF(OR(G2338&gt;Answers!I2353,G2338&lt;Answers!I2354),"Outlier","Normal")</f>
        <v>Outlier</v>
      </c>
      <c r="M2338" s="18">
        <v>26</v>
      </c>
    </row>
    <row r="2339" spans="1:13" ht="20" customHeight="1" x14ac:dyDescent="0.35">
      <c r="A2339" s="17">
        <v>1582591</v>
      </c>
      <c r="B2339" s="18">
        <v>618</v>
      </c>
      <c r="C2339" s="23" t="s">
        <v>102</v>
      </c>
      <c r="D2339" s="27">
        <v>45204.06527777778</v>
      </c>
      <c r="E2339" s="18" t="s">
        <v>97</v>
      </c>
      <c r="F2339" s="18" t="s">
        <v>15</v>
      </c>
      <c r="G2339" s="18">
        <v>6609</v>
      </c>
      <c r="H2339" s="25">
        <f t="shared" si="144"/>
        <v>45204</v>
      </c>
      <c r="I2339" s="26">
        <f t="shared" si="145"/>
        <v>6.5277777779556345E-2</v>
      </c>
      <c r="J2339" s="18" t="str">
        <f t="shared" si="146"/>
        <v>October</v>
      </c>
      <c r="K2339" s="56" t="str">
        <f t="shared" si="147"/>
        <v>Thursday</v>
      </c>
      <c r="L2339" s="18" t="str">
        <f>IF(OR(G2339&gt;Answers!I2354,G2339&lt;Answers!I2355),"Outlier","Normal")</f>
        <v>Outlier</v>
      </c>
      <c r="M2339" s="18">
        <v>58</v>
      </c>
    </row>
    <row r="2340" spans="1:13" ht="20" customHeight="1" x14ac:dyDescent="0.35">
      <c r="A2340" s="17">
        <v>1583961</v>
      </c>
      <c r="B2340" s="18">
        <v>729</v>
      </c>
      <c r="C2340" s="23" t="s">
        <v>107</v>
      </c>
      <c r="D2340" s="27">
        <v>45052.027083333334</v>
      </c>
      <c r="E2340" s="18" t="s">
        <v>133</v>
      </c>
      <c r="F2340" s="18" t="s">
        <v>13</v>
      </c>
      <c r="G2340" s="18">
        <v>6820</v>
      </c>
      <c r="H2340" s="25">
        <f t="shared" si="144"/>
        <v>45052</v>
      </c>
      <c r="I2340" s="26">
        <f t="shared" si="145"/>
        <v>2.7083333334303461E-2</v>
      </c>
      <c r="J2340" s="18" t="str">
        <f t="shared" si="146"/>
        <v>May</v>
      </c>
      <c r="K2340" s="56" t="str">
        <f t="shared" si="147"/>
        <v>Saturday</v>
      </c>
      <c r="L2340" s="18" t="str">
        <f>IF(OR(G2340&gt;Answers!I2355,G2340&lt;Answers!I2356),"Outlier","Normal")</f>
        <v>Outlier</v>
      </c>
      <c r="M2340" s="18">
        <v>66</v>
      </c>
    </row>
    <row r="2341" spans="1:13" ht="20" customHeight="1" x14ac:dyDescent="0.35">
      <c r="A2341" s="17">
        <v>1584433</v>
      </c>
      <c r="B2341" s="18">
        <v>1648</v>
      </c>
      <c r="C2341" s="23" t="s">
        <v>109</v>
      </c>
      <c r="D2341" s="27">
        <v>44930.07708333333</v>
      </c>
      <c r="E2341" s="18" t="s">
        <v>98</v>
      </c>
      <c r="F2341" s="18" t="s">
        <v>62</v>
      </c>
      <c r="G2341" s="18">
        <v>1991</v>
      </c>
      <c r="H2341" s="25">
        <f t="shared" si="144"/>
        <v>44930</v>
      </c>
      <c r="I2341" s="26">
        <f t="shared" si="145"/>
        <v>7.7083333329937886E-2</v>
      </c>
      <c r="J2341" s="18" t="str">
        <f t="shared" si="146"/>
        <v>January</v>
      </c>
      <c r="K2341" s="56" t="str">
        <f t="shared" si="147"/>
        <v>Wednesday</v>
      </c>
      <c r="L2341" s="18" t="str">
        <f>IF(OR(G2341&gt;Answers!I2356,G2341&lt;Answers!I2357),"Outlier","Normal")</f>
        <v>Outlier</v>
      </c>
      <c r="M2341" s="18">
        <v>78</v>
      </c>
    </row>
    <row r="2342" spans="1:13" ht="20" customHeight="1" x14ac:dyDescent="0.35">
      <c r="A2342" s="17">
        <v>1584769</v>
      </c>
      <c r="B2342" s="18">
        <v>1176</v>
      </c>
      <c r="C2342" s="23" t="s">
        <v>99</v>
      </c>
      <c r="D2342" s="27">
        <v>45207.973611111112</v>
      </c>
      <c r="E2342" s="18" t="s">
        <v>133</v>
      </c>
      <c r="F2342" s="18" t="s">
        <v>75</v>
      </c>
      <c r="G2342" s="18">
        <v>1945</v>
      </c>
      <c r="H2342" s="25">
        <f t="shared" si="144"/>
        <v>45207</v>
      </c>
      <c r="I2342" s="26">
        <f t="shared" si="145"/>
        <v>0.97361111111240461</v>
      </c>
      <c r="J2342" s="18" t="str">
        <f t="shared" si="146"/>
        <v>October</v>
      </c>
      <c r="K2342" s="56" t="str">
        <f t="shared" si="147"/>
        <v>Sunday</v>
      </c>
      <c r="L2342" s="18" t="str">
        <f>IF(OR(G2342&gt;Answers!I2357,G2342&lt;Answers!I2358),"Outlier","Normal")</f>
        <v>Outlier</v>
      </c>
      <c r="M2342" s="18">
        <v>89</v>
      </c>
    </row>
    <row r="2343" spans="1:13" ht="20" customHeight="1" x14ac:dyDescent="0.35">
      <c r="A2343" s="17">
        <v>1585229</v>
      </c>
      <c r="B2343" s="18">
        <v>187</v>
      </c>
      <c r="C2343" s="23" t="s">
        <v>100</v>
      </c>
      <c r="D2343" s="27">
        <v>44963.011111111111</v>
      </c>
      <c r="E2343" s="18" t="s">
        <v>97</v>
      </c>
      <c r="F2343" s="18" t="s">
        <v>19</v>
      </c>
      <c r="G2343" s="18">
        <v>7994</v>
      </c>
      <c r="H2343" s="25">
        <f t="shared" si="144"/>
        <v>44963</v>
      </c>
      <c r="I2343" s="26">
        <f t="shared" si="145"/>
        <v>1.1111111110949423E-2</v>
      </c>
      <c r="J2343" s="18" t="str">
        <f t="shared" si="146"/>
        <v>February</v>
      </c>
      <c r="K2343" s="56" t="str">
        <f t="shared" si="147"/>
        <v>Monday</v>
      </c>
      <c r="L2343" s="18" t="str">
        <f>IF(OR(G2343&gt;Answers!I2358,G2343&lt;Answers!I2359),"Outlier","Normal")</f>
        <v>Outlier</v>
      </c>
      <c r="M2343" s="18">
        <v>68</v>
      </c>
    </row>
    <row r="2344" spans="1:13" ht="20" customHeight="1" x14ac:dyDescent="0.35">
      <c r="A2344" s="17">
        <v>1585349</v>
      </c>
      <c r="B2344" s="18">
        <v>716</v>
      </c>
      <c r="C2344" s="23" t="s">
        <v>113</v>
      </c>
      <c r="D2344" s="27">
        <v>44982.967361111114</v>
      </c>
      <c r="E2344" s="18" t="s">
        <v>97</v>
      </c>
      <c r="F2344" s="18" t="s">
        <v>20</v>
      </c>
      <c r="G2344" s="18">
        <v>9212</v>
      </c>
      <c r="H2344" s="25">
        <f t="shared" si="144"/>
        <v>44982</v>
      </c>
      <c r="I2344" s="26">
        <f t="shared" si="145"/>
        <v>0.96736111111385981</v>
      </c>
      <c r="J2344" s="18" t="str">
        <f t="shared" si="146"/>
        <v>February</v>
      </c>
      <c r="K2344" s="56" t="str">
        <f t="shared" si="147"/>
        <v>Saturday</v>
      </c>
      <c r="L2344" s="18" t="str">
        <f>IF(OR(G2344&gt;Answers!I2359,G2344&lt;Answers!I2360),"Outlier","Normal")</f>
        <v>Outlier</v>
      </c>
      <c r="M2344" s="18">
        <v>86</v>
      </c>
    </row>
    <row r="2345" spans="1:13" ht="20" customHeight="1" x14ac:dyDescent="0.35">
      <c r="A2345" s="17">
        <v>1585425</v>
      </c>
      <c r="B2345" s="18">
        <v>1009</v>
      </c>
      <c r="C2345" s="23" t="s">
        <v>99</v>
      </c>
      <c r="D2345" s="27">
        <v>45007.981249999997</v>
      </c>
      <c r="E2345" s="18" t="s">
        <v>96</v>
      </c>
      <c r="F2345" s="18" t="s">
        <v>21</v>
      </c>
      <c r="G2345" s="18">
        <v>3322</v>
      </c>
      <c r="H2345" s="25">
        <f t="shared" si="144"/>
        <v>45007</v>
      </c>
      <c r="I2345" s="26">
        <f t="shared" si="145"/>
        <v>0.98124999999708962</v>
      </c>
      <c r="J2345" s="18" t="str">
        <f t="shared" si="146"/>
        <v>March</v>
      </c>
      <c r="K2345" s="56" t="str">
        <f t="shared" si="147"/>
        <v>Wednesday</v>
      </c>
      <c r="L2345" s="18" t="str">
        <f>IF(OR(G2345&gt;Answers!I2360,G2345&lt;Answers!I2361),"Outlier","Normal")</f>
        <v>Outlier</v>
      </c>
      <c r="M2345" s="18">
        <v>44</v>
      </c>
    </row>
    <row r="2346" spans="1:13" ht="20" customHeight="1" x14ac:dyDescent="0.35">
      <c r="A2346" s="17">
        <v>1585483</v>
      </c>
      <c r="B2346" s="18">
        <v>1389</v>
      </c>
      <c r="C2346" s="23" t="s">
        <v>99</v>
      </c>
      <c r="D2346" s="27">
        <v>45242.023611111108</v>
      </c>
      <c r="E2346" s="18" t="s">
        <v>97</v>
      </c>
      <c r="F2346" s="18" t="s">
        <v>83</v>
      </c>
      <c r="G2346" s="18">
        <v>521</v>
      </c>
      <c r="H2346" s="25">
        <f t="shared" si="144"/>
        <v>45242</v>
      </c>
      <c r="I2346" s="26">
        <f t="shared" si="145"/>
        <v>2.361111110803904E-2</v>
      </c>
      <c r="J2346" s="18" t="str">
        <f t="shared" si="146"/>
        <v>November</v>
      </c>
      <c r="K2346" s="56" t="str">
        <f t="shared" si="147"/>
        <v>Sunday</v>
      </c>
      <c r="L2346" s="18" t="str">
        <f>IF(OR(G2346&gt;Answers!I2361,G2346&lt;Answers!I2362),"Outlier","Normal")</f>
        <v>Outlier</v>
      </c>
      <c r="M2346" s="18">
        <v>29</v>
      </c>
    </row>
    <row r="2347" spans="1:13" ht="20" customHeight="1" x14ac:dyDescent="0.35">
      <c r="A2347" s="17">
        <v>1586073</v>
      </c>
      <c r="B2347" s="18">
        <v>1330</v>
      </c>
      <c r="C2347" s="23" t="s">
        <v>101</v>
      </c>
      <c r="D2347" s="27">
        <v>45179.027777777781</v>
      </c>
      <c r="E2347" s="18" t="s">
        <v>97</v>
      </c>
      <c r="F2347" s="18" t="s">
        <v>49</v>
      </c>
      <c r="G2347" s="18">
        <v>9985</v>
      </c>
      <c r="H2347" s="25">
        <f t="shared" si="144"/>
        <v>45179</v>
      </c>
      <c r="I2347" s="26">
        <f t="shared" si="145"/>
        <v>2.7777777781011537E-2</v>
      </c>
      <c r="J2347" s="18" t="str">
        <f t="shared" si="146"/>
        <v>September</v>
      </c>
      <c r="K2347" s="56" t="str">
        <f t="shared" si="147"/>
        <v>Sunday</v>
      </c>
      <c r="L2347" s="18" t="str">
        <f>IF(OR(G2347&gt;Answers!I2362,G2347&lt;Answers!I2363),"Outlier","Normal")</f>
        <v>Outlier</v>
      </c>
      <c r="M2347" s="18">
        <v>59</v>
      </c>
    </row>
    <row r="2348" spans="1:13" ht="20" customHeight="1" x14ac:dyDescent="0.35">
      <c r="A2348" s="17">
        <v>1586149</v>
      </c>
      <c r="B2348" s="18">
        <v>1596</v>
      </c>
      <c r="C2348" s="23" t="s">
        <v>99</v>
      </c>
      <c r="D2348" s="27">
        <v>45010.978472222225</v>
      </c>
      <c r="E2348" s="18" t="s">
        <v>97</v>
      </c>
      <c r="F2348" s="18" t="s">
        <v>23</v>
      </c>
      <c r="G2348" s="18">
        <v>5945</v>
      </c>
      <c r="H2348" s="25">
        <f t="shared" si="144"/>
        <v>45010</v>
      </c>
      <c r="I2348" s="26">
        <f t="shared" si="145"/>
        <v>0.97847222222480923</v>
      </c>
      <c r="J2348" s="18" t="str">
        <f t="shared" si="146"/>
        <v>March</v>
      </c>
      <c r="K2348" s="56" t="str">
        <f t="shared" si="147"/>
        <v>Saturday</v>
      </c>
      <c r="L2348" s="18" t="str">
        <f>IF(OR(G2348&gt;Answers!I2363,G2348&lt;Answers!I2364),"Outlier","Normal")</f>
        <v>Outlier</v>
      </c>
      <c r="M2348" s="18">
        <v>44</v>
      </c>
    </row>
    <row r="2349" spans="1:13" ht="20" customHeight="1" x14ac:dyDescent="0.35">
      <c r="A2349" s="17">
        <v>1586243</v>
      </c>
      <c r="B2349" s="18">
        <v>1472</v>
      </c>
      <c r="C2349" s="23" t="s">
        <v>99</v>
      </c>
      <c r="D2349" s="27">
        <v>45115.070833333331</v>
      </c>
      <c r="E2349" s="18" t="s">
        <v>98</v>
      </c>
      <c r="F2349" s="18" t="s">
        <v>27</v>
      </c>
      <c r="G2349" s="18">
        <v>2468</v>
      </c>
      <c r="H2349" s="25">
        <f t="shared" si="144"/>
        <v>45115</v>
      </c>
      <c r="I2349" s="26">
        <f t="shared" si="145"/>
        <v>7.0833333331393078E-2</v>
      </c>
      <c r="J2349" s="18" t="str">
        <f t="shared" si="146"/>
        <v>July</v>
      </c>
      <c r="K2349" s="56" t="str">
        <f t="shared" si="147"/>
        <v>Saturday</v>
      </c>
      <c r="L2349" s="18" t="str">
        <f>IF(OR(G2349&gt;Answers!I2364,G2349&lt;Answers!I2365),"Outlier","Normal")</f>
        <v>Outlier</v>
      </c>
      <c r="M2349" s="18">
        <v>83</v>
      </c>
    </row>
    <row r="2350" spans="1:13" ht="20" customHeight="1" x14ac:dyDescent="0.35">
      <c r="A2350" s="17">
        <v>1587760</v>
      </c>
      <c r="B2350" s="18">
        <v>1290</v>
      </c>
      <c r="C2350" s="23" t="s">
        <v>99</v>
      </c>
      <c r="D2350" s="27">
        <v>45262.026388888888</v>
      </c>
      <c r="E2350" s="18" t="s">
        <v>97</v>
      </c>
      <c r="F2350" s="18" t="s">
        <v>54</v>
      </c>
      <c r="G2350" s="18">
        <v>9238</v>
      </c>
      <c r="H2350" s="25">
        <f t="shared" si="144"/>
        <v>45262</v>
      </c>
      <c r="I2350" s="26">
        <f t="shared" si="145"/>
        <v>2.6388888887595385E-2</v>
      </c>
      <c r="J2350" s="18" t="str">
        <f t="shared" si="146"/>
        <v>December</v>
      </c>
      <c r="K2350" s="56" t="str">
        <f t="shared" si="147"/>
        <v>Saturday</v>
      </c>
      <c r="L2350" s="18" t="str">
        <f>IF(OR(G2350&gt;Answers!I2365,G2350&lt;Answers!I2366),"Outlier","Normal")</f>
        <v>Outlier</v>
      </c>
      <c r="M2350" s="18">
        <v>31</v>
      </c>
    </row>
    <row r="2351" spans="1:13" ht="20" customHeight="1" x14ac:dyDescent="0.35">
      <c r="A2351" s="17">
        <v>1587777</v>
      </c>
      <c r="B2351" s="18">
        <v>1962</v>
      </c>
      <c r="C2351" s="23" t="s">
        <v>99</v>
      </c>
      <c r="D2351" s="27">
        <v>45271.008333333331</v>
      </c>
      <c r="E2351" s="18" t="s">
        <v>97</v>
      </c>
      <c r="F2351" s="18" t="s">
        <v>18</v>
      </c>
      <c r="G2351" s="18">
        <v>9310</v>
      </c>
      <c r="H2351" s="25">
        <f t="shared" si="144"/>
        <v>45271</v>
      </c>
      <c r="I2351" s="26">
        <f t="shared" si="145"/>
        <v>8.333333331393078E-3</v>
      </c>
      <c r="J2351" s="18" t="str">
        <f t="shared" si="146"/>
        <v>December</v>
      </c>
      <c r="K2351" s="56" t="str">
        <f t="shared" si="147"/>
        <v>Monday</v>
      </c>
      <c r="L2351" s="18" t="str">
        <f>IF(OR(G2351&gt;Answers!I2366,G2351&lt;Answers!I2367),"Outlier","Normal")</f>
        <v>Outlier</v>
      </c>
      <c r="M2351" s="18">
        <v>23</v>
      </c>
    </row>
    <row r="2352" spans="1:13" ht="20" customHeight="1" x14ac:dyDescent="0.35">
      <c r="A2352" s="17">
        <v>1587832</v>
      </c>
      <c r="B2352" s="18">
        <v>1483</v>
      </c>
      <c r="C2352" s="23" t="s">
        <v>99</v>
      </c>
      <c r="D2352" s="27">
        <v>45239.961805555555</v>
      </c>
      <c r="E2352" s="18" t="s">
        <v>98</v>
      </c>
      <c r="F2352" s="18" t="s">
        <v>43</v>
      </c>
      <c r="G2352" s="18">
        <v>3831</v>
      </c>
      <c r="H2352" s="25">
        <f t="shared" si="144"/>
        <v>45239</v>
      </c>
      <c r="I2352" s="26">
        <f t="shared" si="145"/>
        <v>0.96180555555474712</v>
      </c>
      <c r="J2352" s="18" t="str">
        <f t="shared" si="146"/>
        <v>November</v>
      </c>
      <c r="K2352" s="56" t="str">
        <f t="shared" si="147"/>
        <v>Thursday</v>
      </c>
      <c r="L2352" s="18" t="str">
        <f>IF(OR(G2352&gt;Answers!I2367,G2352&lt;Answers!I2368),"Outlier","Normal")</f>
        <v>Outlier</v>
      </c>
      <c r="M2352" s="18">
        <v>82</v>
      </c>
    </row>
    <row r="2353" spans="1:13" ht="20" customHeight="1" x14ac:dyDescent="0.35">
      <c r="A2353" s="17">
        <v>1587870</v>
      </c>
      <c r="B2353" s="18">
        <v>1515</v>
      </c>
      <c r="C2353" s="23" t="s">
        <v>99</v>
      </c>
      <c r="D2353" s="27">
        <v>45078.962500000001</v>
      </c>
      <c r="E2353" s="18" t="s">
        <v>98</v>
      </c>
      <c r="F2353" s="18" t="s">
        <v>26</v>
      </c>
      <c r="G2353" s="18">
        <v>3277</v>
      </c>
      <c r="H2353" s="25">
        <f t="shared" si="144"/>
        <v>45078</v>
      </c>
      <c r="I2353" s="26">
        <f t="shared" si="145"/>
        <v>0.96250000000145519</v>
      </c>
      <c r="J2353" s="18" t="str">
        <f t="shared" si="146"/>
        <v>June</v>
      </c>
      <c r="K2353" s="56" t="str">
        <f t="shared" si="147"/>
        <v>Thursday</v>
      </c>
      <c r="L2353" s="18" t="str">
        <f>IF(OR(G2353&gt;Answers!I2368,G2353&lt;Answers!I2369),"Outlier","Normal")</f>
        <v>Outlier</v>
      </c>
      <c r="M2353" s="18">
        <v>54</v>
      </c>
    </row>
    <row r="2354" spans="1:13" ht="20" customHeight="1" x14ac:dyDescent="0.35">
      <c r="A2354" s="17">
        <v>1587900</v>
      </c>
      <c r="B2354" s="18">
        <v>1466</v>
      </c>
      <c r="C2354" s="23" t="s">
        <v>111</v>
      </c>
      <c r="D2354" s="27">
        <v>45072.012499999997</v>
      </c>
      <c r="E2354" s="18" t="s">
        <v>133</v>
      </c>
      <c r="F2354" s="18" t="s">
        <v>90</v>
      </c>
      <c r="G2354" s="18">
        <v>465</v>
      </c>
      <c r="H2354" s="25">
        <f t="shared" si="144"/>
        <v>45072</v>
      </c>
      <c r="I2354" s="26">
        <f t="shared" si="145"/>
        <v>1.2499999997089617E-2</v>
      </c>
      <c r="J2354" s="18" t="str">
        <f t="shared" si="146"/>
        <v>May</v>
      </c>
      <c r="K2354" s="56" t="str">
        <f t="shared" si="147"/>
        <v>Friday</v>
      </c>
      <c r="L2354" s="18" t="str">
        <f>IF(OR(G2354&gt;Answers!I2369,G2354&lt;Answers!I2370),"Outlier","Normal")</f>
        <v>Outlier</v>
      </c>
      <c r="M2354" s="18">
        <v>39</v>
      </c>
    </row>
    <row r="2355" spans="1:13" ht="20" customHeight="1" x14ac:dyDescent="0.35">
      <c r="A2355" s="17">
        <v>1589059</v>
      </c>
      <c r="B2355" s="18">
        <v>1381</v>
      </c>
      <c r="C2355" s="23" t="s">
        <v>99</v>
      </c>
      <c r="D2355" s="27">
        <v>45029.033333333333</v>
      </c>
      <c r="E2355" s="18" t="s">
        <v>98</v>
      </c>
      <c r="F2355" s="18" t="s">
        <v>14</v>
      </c>
      <c r="G2355" s="18">
        <v>8578</v>
      </c>
      <c r="H2355" s="25">
        <f t="shared" si="144"/>
        <v>45029</v>
      </c>
      <c r="I2355" s="26">
        <f t="shared" si="145"/>
        <v>3.3333333332848269E-2</v>
      </c>
      <c r="J2355" s="18" t="str">
        <f t="shared" si="146"/>
        <v>April</v>
      </c>
      <c r="K2355" s="56" t="str">
        <f t="shared" si="147"/>
        <v>Thursday</v>
      </c>
      <c r="L2355" s="18" t="str">
        <f>IF(OR(G2355&gt;Answers!I2370,G2355&lt;Answers!I2371),"Outlier","Normal")</f>
        <v>Outlier</v>
      </c>
      <c r="M2355" s="18">
        <v>28</v>
      </c>
    </row>
    <row r="2356" spans="1:13" ht="20" customHeight="1" x14ac:dyDescent="0.35">
      <c r="A2356" s="17">
        <v>1589657</v>
      </c>
      <c r="B2356" s="18">
        <v>880</v>
      </c>
      <c r="C2356" s="23" t="s">
        <v>113</v>
      </c>
      <c r="D2356" s="27">
        <v>45028.989583333336</v>
      </c>
      <c r="E2356" s="18" t="s">
        <v>96</v>
      </c>
      <c r="F2356" s="18" t="s">
        <v>27</v>
      </c>
      <c r="G2356" s="18">
        <v>3223</v>
      </c>
      <c r="H2356" s="25">
        <f t="shared" si="144"/>
        <v>45028</v>
      </c>
      <c r="I2356" s="26">
        <f t="shared" si="145"/>
        <v>0.98958333333575865</v>
      </c>
      <c r="J2356" s="18" t="str">
        <f t="shared" si="146"/>
        <v>April</v>
      </c>
      <c r="K2356" s="56" t="str">
        <f t="shared" si="147"/>
        <v>Wednesday</v>
      </c>
      <c r="L2356" s="18" t="str">
        <f>IF(OR(G2356&gt;Answers!I2371,G2356&lt;Answers!I2372),"Outlier","Normal")</f>
        <v>Outlier</v>
      </c>
      <c r="M2356" s="18">
        <v>44</v>
      </c>
    </row>
    <row r="2357" spans="1:13" ht="20" customHeight="1" x14ac:dyDescent="0.35">
      <c r="A2357" s="17">
        <v>1589664</v>
      </c>
      <c r="B2357" s="18">
        <v>98</v>
      </c>
      <c r="C2357" s="23" t="s">
        <v>108</v>
      </c>
      <c r="D2357" s="27">
        <v>45217.068749999999</v>
      </c>
      <c r="E2357" s="18" t="s">
        <v>98</v>
      </c>
      <c r="F2357" s="18" t="s">
        <v>54</v>
      </c>
      <c r="G2357" s="18">
        <v>9044</v>
      </c>
      <c r="H2357" s="25">
        <f t="shared" si="144"/>
        <v>45217</v>
      </c>
      <c r="I2357" s="26">
        <f t="shared" si="145"/>
        <v>6.8749999998544808E-2</v>
      </c>
      <c r="J2357" s="18" t="str">
        <f t="shared" si="146"/>
        <v>October</v>
      </c>
      <c r="K2357" s="56" t="str">
        <f t="shared" si="147"/>
        <v>Wednesday</v>
      </c>
      <c r="L2357" s="18" t="str">
        <f>IF(OR(G2357&gt;Answers!I2372,G2357&lt;Answers!I2373),"Outlier","Normal")</f>
        <v>Outlier</v>
      </c>
      <c r="M2357" s="18">
        <v>35</v>
      </c>
    </row>
    <row r="2358" spans="1:13" ht="20" customHeight="1" x14ac:dyDescent="0.35">
      <c r="A2358" s="17">
        <v>1590156</v>
      </c>
      <c r="B2358" s="18">
        <v>131</v>
      </c>
      <c r="C2358" s="23" t="s">
        <v>107</v>
      </c>
      <c r="D2358" s="27">
        <v>45015.990277777775</v>
      </c>
      <c r="E2358" s="18" t="s">
        <v>97</v>
      </c>
      <c r="F2358" s="18" t="s">
        <v>27</v>
      </c>
      <c r="G2358" s="18">
        <v>8404</v>
      </c>
      <c r="H2358" s="25">
        <f t="shared" si="144"/>
        <v>45015</v>
      </c>
      <c r="I2358" s="26">
        <f t="shared" si="145"/>
        <v>0.99027777777519077</v>
      </c>
      <c r="J2358" s="18" t="str">
        <f t="shared" si="146"/>
        <v>March</v>
      </c>
      <c r="K2358" s="56" t="str">
        <f t="shared" si="147"/>
        <v>Thursday</v>
      </c>
      <c r="L2358" s="18" t="str">
        <f>IF(OR(G2358&gt;Answers!I2373,G2358&lt;Answers!I2374),"Outlier","Normal")</f>
        <v>Outlier</v>
      </c>
      <c r="M2358" s="18">
        <v>90</v>
      </c>
    </row>
    <row r="2359" spans="1:13" ht="20" customHeight="1" x14ac:dyDescent="0.35">
      <c r="A2359" s="17">
        <v>1592825</v>
      </c>
      <c r="B2359" s="18">
        <v>1447</v>
      </c>
      <c r="C2359" s="23" t="s">
        <v>106</v>
      </c>
      <c r="D2359" s="27">
        <v>45113.057638888888</v>
      </c>
      <c r="E2359" s="18" t="s">
        <v>97</v>
      </c>
      <c r="F2359" s="18" t="s">
        <v>9</v>
      </c>
      <c r="G2359" s="18">
        <v>7216</v>
      </c>
      <c r="H2359" s="25">
        <f t="shared" si="144"/>
        <v>45113</v>
      </c>
      <c r="I2359" s="26">
        <f t="shared" si="145"/>
        <v>5.7638888887595385E-2</v>
      </c>
      <c r="J2359" s="18" t="str">
        <f t="shared" si="146"/>
        <v>July</v>
      </c>
      <c r="K2359" s="56" t="str">
        <f t="shared" si="147"/>
        <v>Thursday</v>
      </c>
      <c r="L2359" s="18" t="str">
        <f>IF(OR(G2359&gt;Answers!I2374,G2359&lt;Answers!I2375),"Outlier","Normal")</f>
        <v>Outlier</v>
      </c>
      <c r="M2359" s="18">
        <v>20</v>
      </c>
    </row>
    <row r="2360" spans="1:13" ht="20" customHeight="1" x14ac:dyDescent="0.35">
      <c r="A2360" s="17">
        <v>1594427</v>
      </c>
      <c r="B2360" s="18">
        <v>822</v>
      </c>
      <c r="C2360" s="23" t="s">
        <v>99</v>
      </c>
      <c r="D2360" s="27">
        <v>45272.949305555558</v>
      </c>
      <c r="E2360" s="18" t="s">
        <v>97</v>
      </c>
      <c r="F2360" s="18" t="s">
        <v>36</v>
      </c>
      <c r="G2360" s="18">
        <v>4417</v>
      </c>
      <c r="H2360" s="25">
        <f t="shared" si="144"/>
        <v>45272</v>
      </c>
      <c r="I2360" s="26">
        <f t="shared" si="145"/>
        <v>0.9493055555576575</v>
      </c>
      <c r="J2360" s="18" t="str">
        <f t="shared" si="146"/>
        <v>December</v>
      </c>
      <c r="K2360" s="56" t="str">
        <f t="shared" si="147"/>
        <v>Tuesday</v>
      </c>
      <c r="L2360" s="18" t="str">
        <f>IF(OR(G2360&gt;Answers!I2375,G2360&lt;Answers!I2376),"Outlier","Normal")</f>
        <v>Outlier</v>
      </c>
      <c r="M2360" s="18">
        <v>18</v>
      </c>
    </row>
    <row r="2361" spans="1:13" ht="20" customHeight="1" x14ac:dyDescent="0.35">
      <c r="A2361" s="17">
        <v>1594617</v>
      </c>
      <c r="B2361" s="18">
        <v>1747</v>
      </c>
      <c r="C2361" s="23" t="s">
        <v>99</v>
      </c>
      <c r="D2361" s="27">
        <v>45062.032638888886</v>
      </c>
      <c r="E2361" s="18" t="s">
        <v>97</v>
      </c>
      <c r="F2361" s="18" t="s">
        <v>48</v>
      </c>
      <c r="G2361" s="18">
        <v>4361</v>
      </c>
      <c r="H2361" s="25">
        <f t="shared" si="144"/>
        <v>45062</v>
      </c>
      <c r="I2361" s="26">
        <f t="shared" si="145"/>
        <v>3.2638888886140194E-2</v>
      </c>
      <c r="J2361" s="18" t="str">
        <f t="shared" si="146"/>
        <v>May</v>
      </c>
      <c r="K2361" s="56" t="str">
        <f t="shared" si="147"/>
        <v>Tuesday</v>
      </c>
      <c r="L2361" s="18" t="str">
        <f>IF(OR(G2361&gt;Answers!I2376,G2361&lt;Answers!I2377),"Outlier","Normal")</f>
        <v>Outlier</v>
      </c>
      <c r="M2361" s="18">
        <v>61</v>
      </c>
    </row>
    <row r="2362" spans="1:13" ht="20" customHeight="1" x14ac:dyDescent="0.35">
      <c r="A2362" s="17">
        <v>1594721</v>
      </c>
      <c r="B2362" s="18">
        <v>1894</v>
      </c>
      <c r="C2362" s="23" t="s">
        <v>105</v>
      </c>
      <c r="D2362" s="27">
        <v>45123.996527777781</v>
      </c>
      <c r="E2362" s="18" t="s">
        <v>96</v>
      </c>
      <c r="F2362" s="18" t="s">
        <v>14</v>
      </c>
      <c r="G2362" s="18">
        <v>5493</v>
      </c>
      <c r="H2362" s="25">
        <f t="shared" si="144"/>
        <v>45123</v>
      </c>
      <c r="I2362" s="26">
        <f t="shared" si="145"/>
        <v>0.99652777778101154</v>
      </c>
      <c r="J2362" s="18" t="str">
        <f t="shared" si="146"/>
        <v>July</v>
      </c>
      <c r="K2362" s="56" t="str">
        <f t="shared" si="147"/>
        <v>Sunday</v>
      </c>
      <c r="L2362" s="18" t="str">
        <f>IF(OR(G2362&gt;Answers!I2377,G2362&lt;Answers!I2378),"Outlier","Normal")</f>
        <v>Outlier</v>
      </c>
      <c r="M2362" s="18">
        <v>69</v>
      </c>
    </row>
    <row r="2363" spans="1:13" ht="20" customHeight="1" x14ac:dyDescent="0.35">
      <c r="A2363" s="17">
        <v>1594992</v>
      </c>
      <c r="B2363" s="18">
        <v>114</v>
      </c>
      <c r="C2363" s="23" t="s">
        <v>99</v>
      </c>
      <c r="D2363" s="27">
        <v>45270.970833333333</v>
      </c>
      <c r="E2363" s="18" t="s">
        <v>97</v>
      </c>
      <c r="F2363" s="18" t="s">
        <v>61</v>
      </c>
      <c r="G2363" s="18">
        <v>1650</v>
      </c>
      <c r="H2363" s="25">
        <f t="shared" si="144"/>
        <v>45270</v>
      </c>
      <c r="I2363" s="26">
        <f t="shared" si="145"/>
        <v>0.97083333333284827</v>
      </c>
      <c r="J2363" s="18" t="str">
        <f t="shared" si="146"/>
        <v>December</v>
      </c>
      <c r="K2363" s="56" t="str">
        <f t="shared" si="147"/>
        <v>Sunday</v>
      </c>
      <c r="L2363" s="18" t="str">
        <f>IF(OR(G2363&gt;Answers!I2378,G2363&lt;Answers!I2379),"Outlier","Normal")</f>
        <v>Outlier</v>
      </c>
      <c r="M2363" s="18">
        <v>38</v>
      </c>
    </row>
    <row r="2364" spans="1:13" ht="20" customHeight="1" x14ac:dyDescent="0.35">
      <c r="A2364" s="17">
        <v>1595227</v>
      </c>
      <c r="B2364" s="18">
        <v>441</v>
      </c>
      <c r="C2364" s="23" t="s">
        <v>99</v>
      </c>
      <c r="D2364" s="27">
        <v>45121.033333333333</v>
      </c>
      <c r="E2364" s="18" t="s">
        <v>133</v>
      </c>
      <c r="F2364" s="18" t="s">
        <v>65</v>
      </c>
      <c r="G2364" s="18">
        <v>4974</v>
      </c>
      <c r="H2364" s="25">
        <f t="shared" si="144"/>
        <v>45121</v>
      </c>
      <c r="I2364" s="26">
        <f t="shared" si="145"/>
        <v>3.3333333332848269E-2</v>
      </c>
      <c r="J2364" s="18" t="str">
        <f t="shared" si="146"/>
        <v>July</v>
      </c>
      <c r="K2364" s="56" t="str">
        <f t="shared" si="147"/>
        <v>Friday</v>
      </c>
      <c r="L2364" s="18" t="str">
        <f>IF(OR(G2364&gt;Answers!I2379,G2364&lt;Answers!I2380),"Outlier","Normal")</f>
        <v>Outlier</v>
      </c>
      <c r="M2364" s="18">
        <v>77</v>
      </c>
    </row>
    <row r="2365" spans="1:13" ht="20" customHeight="1" x14ac:dyDescent="0.35">
      <c r="A2365" s="17">
        <v>1595262</v>
      </c>
      <c r="B2365" s="18">
        <v>1837</v>
      </c>
      <c r="C2365" s="23" t="s">
        <v>110</v>
      </c>
      <c r="D2365" s="27">
        <v>45189.979861111111</v>
      </c>
      <c r="E2365" s="18" t="s">
        <v>96</v>
      </c>
      <c r="F2365" s="18" t="s">
        <v>27</v>
      </c>
      <c r="G2365" s="18">
        <v>8118</v>
      </c>
      <c r="H2365" s="25">
        <f t="shared" si="144"/>
        <v>45189</v>
      </c>
      <c r="I2365" s="26">
        <f t="shared" si="145"/>
        <v>0.97986111111094942</v>
      </c>
      <c r="J2365" s="18" t="str">
        <f t="shared" si="146"/>
        <v>September</v>
      </c>
      <c r="K2365" s="56" t="str">
        <f t="shared" si="147"/>
        <v>Wednesday</v>
      </c>
      <c r="L2365" s="18" t="str">
        <f>IF(OR(G2365&gt;Answers!I2380,G2365&lt;Answers!I2381),"Outlier","Normal")</f>
        <v>Outlier</v>
      </c>
      <c r="M2365" s="18">
        <v>87</v>
      </c>
    </row>
    <row r="2366" spans="1:13" ht="20" customHeight="1" x14ac:dyDescent="0.35">
      <c r="A2366" s="17">
        <v>1597150</v>
      </c>
      <c r="B2366" s="18">
        <v>1599</v>
      </c>
      <c r="C2366" s="23" t="s">
        <v>99</v>
      </c>
      <c r="D2366" s="27">
        <v>45242.013194444444</v>
      </c>
      <c r="E2366" s="18" t="s">
        <v>133</v>
      </c>
      <c r="F2366" s="18" t="s">
        <v>18</v>
      </c>
      <c r="G2366" s="18">
        <v>3756</v>
      </c>
      <c r="H2366" s="25">
        <f t="shared" si="144"/>
        <v>45242</v>
      </c>
      <c r="I2366" s="26">
        <f t="shared" si="145"/>
        <v>1.3194444443797693E-2</v>
      </c>
      <c r="J2366" s="18" t="str">
        <f t="shared" si="146"/>
        <v>November</v>
      </c>
      <c r="K2366" s="56" t="str">
        <f t="shared" si="147"/>
        <v>Sunday</v>
      </c>
      <c r="L2366" s="18" t="str">
        <f>IF(OR(G2366&gt;Answers!I2381,G2366&lt;Answers!I2382),"Outlier","Normal")</f>
        <v>Outlier</v>
      </c>
      <c r="M2366" s="18">
        <v>81</v>
      </c>
    </row>
    <row r="2367" spans="1:13" ht="20" customHeight="1" x14ac:dyDescent="0.35">
      <c r="A2367" s="17">
        <v>1598652</v>
      </c>
      <c r="B2367" s="18">
        <v>191</v>
      </c>
      <c r="C2367" s="23" t="s">
        <v>109</v>
      </c>
      <c r="D2367" s="27">
        <v>45225.980555555558</v>
      </c>
      <c r="E2367" s="18" t="s">
        <v>97</v>
      </c>
      <c r="F2367" s="18" t="s">
        <v>89</v>
      </c>
      <c r="G2367" s="18">
        <v>2084</v>
      </c>
      <c r="H2367" s="25">
        <f t="shared" si="144"/>
        <v>45225</v>
      </c>
      <c r="I2367" s="26">
        <f t="shared" si="145"/>
        <v>0.9805555555576575</v>
      </c>
      <c r="J2367" s="18" t="str">
        <f t="shared" si="146"/>
        <v>October</v>
      </c>
      <c r="K2367" s="56" t="str">
        <f t="shared" si="147"/>
        <v>Thursday</v>
      </c>
      <c r="L2367" s="18" t="str">
        <f>IF(OR(G2367&gt;Answers!I2382,G2367&lt;Answers!I2383),"Outlier","Normal")</f>
        <v>Outlier</v>
      </c>
      <c r="M2367" s="18">
        <v>23</v>
      </c>
    </row>
    <row r="2368" spans="1:13" ht="20" customHeight="1" x14ac:dyDescent="0.35">
      <c r="A2368" s="17">
        <v>1599039</v>
      </c>
      <c r="B2368" s="18">
        <v>1483</v>
      </c>
      <c r="C2368" s="23" t="s">
        <v>99</v>
      </c>
      <c r="D2368" s="27">
        <v>44949.95416666667</v>
      </c>
      <c r="E2368" s="18" t="s">
        <v>133</v>
      </c>
      <c r="F2368" s="18" t="s">
        <v>93</v>
      </c>
      <c r="G2368" s="18">
        <v>9658</v>
      </c>
      <c r="H2368" s="25">
        <f t="shared" si="144"/>
        <v>44949</v>
      </c>
      <c r="I2368" s="26">
        <f t="shared" si="145"/>
        <v>0.95416666667006211</v>
      </c>
      <c r="J2368" s="18" t="str">
        <f t="shared" si="146"/>
        <v>January</v>
      </c>
      <c r="K2368" s="56" t="str">
        <f t="shared" si="147"/>
        <v>Monday</v>
      </c>
      <c r="L2368" s="18" t="str">
        <f>IF(OR(G2368&gt;Answers!I2383,G2368&lt;Answers!I2384),"Outlier","Normal")</f>
        <v>Outlier</v>
      </c>
      <c r="M2368" s="18">
        <v>82</v>
      </c>
    </row>
    <row r="2369" spans="1:13" ht="20" customHeight="1" x14ac:dyDescent="0.35">
      <c r="A2369" s="17">
        <v>1599499</v>
      </c>
      <c r="B2369" s="18">
        <v>427</v>
      </c>
      <c r="C2369" s="23" t="s">
        <v>113</v>
      </c>
      <c r="D2369" s="27">
        <v>44998.993750000001</v>
      </c>
      <c r="E2369" s="18" t="s">
        <v>98</v>
      </c>
      <c r="F2369" s="18" t="s">
        <v>51</v>
      </c>
      <c r="G2369" s="18">
        <v>3608</v>
      </c>
      <c r="H2369" s="25">
        <f t="shared" si="144"/>
        <v>44998</v>
      </c>
      <c r="I2369" s="26">
        <f t="shared" si="145"/>
        <v>0.99375000000145519</v>
      </c>
      <c r="J2369" s="18" t="str">
        <f t="shared" si="146"/>
        <v>March</v>
      </c>
      <c r="K2369" s="56" t="str">
        <f t="shared" si="147"/>
        <v>Monday</v>
      </c>
      <c r="L2369" s="18" t="str">
        <f>IF(OR(G2369&gt;Answers!I2384,G2369&lt;Answers!I2385),"Outlier","Normal")</f>
        <v>Outlier</v>
      </c>
      <c r="M2369" s="18">
        <v>59</v>
      </c>
    </row>
    <row r="2370" spans="1:13" ht="20" customHeight="1" x14ac:dyDescent="0.35">
      <c r="A2370" s="17">
        <v>1599786</v>
      </c>
      <c r="B2370" s="18">
        <v>821</v>
      </c>
      <c r="C2370" s="23" t="s">
        <v>107</v>
      </c>
      <c r="D2370" s="27">
        <v>44945.975694444445</v>
      </c>
      <c r="E2370" s="18" t="s">
        <v>97</v>
      </c>
      <c r="F2370" s="18" t="s">
        <v>63</v>
      </c>
      <c r="G2370" s="18">
        <v>480</v>
      </c>
      <c r="H2370" s="25">
        <f t="shared" si="144"/>
        <v>44945</v>
      </c>
      <c r="I2370" s="26">
        <f t="shared" si="145"/>
        <v>0.97569444444525288</v>
      </c>
      <c r="J2370" s="18" t="str">
        <f t="shared" si="146"/>
        <v>January</v>
      </c>
      <c r="K2370" s="56" t="str">
        <f t="shared" si="147"/>
        <v>Thursday</v>
      </c>
      <c r="L2370" s="18" t="str">
        <f>IF(OR(G2370&gt;Answers!I2385,G2370&lt;Answers!I2386),"Outlier","Normal")</f>
        <v>Outlier</v>
      </c>
      <c r="M2370" s="18">
        <v>53</v>
      </c>
    </row>
    <row r="2371" spans="1:13" ht="20" customHeight="1" x14ac:dyDescent="0.35">
      <c r="A2371" s="17">
        <v>1600216</v>
      </c>
      <c r="B2371" s="18">
        <v>314</v>
      </c>
      <c r="C2371" s="23" t="s">
        <v>105</v>
      </c>
      <c r="D2371" s="27">
        <v>45249.010416666664</v>
      </c>
      <c r="E2371" s="18" t="s">
        <v>97</v>
      </c>
      <c r="F2371" s="18" t="s">
        <v>90</v>
      </c>
      <c r="G2371" s="18">
        <v>8607</v>
      </c>
      <c r="H2371" s="25">
        <f t="shared" ref="H2371:H2434" si="148">INT(D2371)</f>
        <v>45249</v>
      </c>
      <c r="I2371" s="26">
        <f t="shared" ref="I2371:I2434" si="149">MOD(D2371,1)</f>
        <v>1.0416666664241347E-2</v>
      </c>
      <c r="J2371" s="18" t="str">
        <f t="shared" ref="J2371:J2434" si="150">TEXT(D2371,"mmmm")</f>
        <v>November</v>
      </c>
      <c r="K2371" s="56" t="str">
        <f t="shared" ref="K2371:K2434" si="151">TEXT(D2371,"dddd")</f>
        <v>Sunday</v>
      </c>
      <c r="L2371" s="18" t="str">
        <f>IF(OR(G2371&gt;Answers!I2386,G2371&lt;Answers!I2387),"Outlier","Normal")</f>
        <v>Outlier</v>
      </c>
      <c r="M2371" s="18">
        <v>38</v>
      </c>
    </row>
    <row r="2372" spans="1:13" ht="20" customHeight="1" x14ac:dyDescent="0.35">
      <c r="A2372" s="17">
        <v>1602189</v>
      </c>
      <c r="B2372" s="18">
        <v>676</v>
      </c>
      <c r="C2372" s="23" t="s">
        <v>113</v>
      </c>
      <c r="D2372" s="27">
        <v>45116.036111111112</v>
      </c>
      <c r="E2372" s="18" t="s">
        <v>97</v>
      </c>
      <c r="F2372" s="18" t="s">
        <v>57</v>
      </c>
      <c r="G2372" s="18">
        <v>179</v>
      </c>
      <c r="H2372" s="25">
        <f t="shared" si="148"/>
        <v>45116</v>
      </c>
      <c r="I2372" s="26">
        <f t="shared" si="149"/>
        <v>3.6111111112404615E-2</v>
      </c>
      <c r="J2372" s="18" t="str">
        <f t="shared" si="150"/>
        <v>July</v>
      </c>
      <c r="K2372" s="56" t="str">
        <f t="shared" si="151"/>
        <v>Sunday</v>
      </c>
      <c r="L2372" s="18" t="str">
        <f>IF(OR(G2372&gt;Answers!I2387,G2372&lt;Answers!I2388),"Outlier","Normal")</f>
        <v>Outlier</v>
      </c>
      <c r="M2372" s="18">
        <v>74</v>
      </c>
    </row>
    <row r="2373" spans="1:13" ht="20" customHeight="1" x14ac:dyDescent="0.35">
      <c r="A2373" s="17">
        <v>1604175</v>
      </c>
      <c r="B2373" s="18">
        <v>265</v>
      </c>
      <c r="C2373" s="23" t="s">
        <v>101</v>
      </c>
      <c r="D2373" s="27">
        <v>45046.011805555558</v>
      </c>
      <c r="E2373" s="18" t="s">
        <v>98</v>
      </c>
      <c r="F2373" s="18" t="s">
        <v>92</v>
      </c>
      <c r="G2373" s="18">
        <v>5731</v>
      </c>
      <c r="H2373" s="25">
        <f t="shared" si="148"/>
        <v>45046</v>
      </c>
      <c r="I2373" s="26">
        <f t="shared" si="149"/>
        <v>1.1805555557657499E-2</v>
      </c>
      <c r="J2373" s="18" t="str">
        <f t="shared" si="150"/>
        <v>April</v>
      </c>
      <c r="K2373" s="56" t="str">
        <f t="shared" si="151"/>
        <v>Sunday</v>
      </c>
      <c r="L2373" s="18" t="str">
        <f>IF(OR(G2373&gt;Answers!I2388,G2373&lt;Answers!I2389),"Outlier","Normal")</f>
        <v>Outlier</v>
      </c>
      <c r="M2373" s="18">
        <v>66</v>
      </c>
    </row>
    <row r="2374" spans="1:13" ht="20" customHeight="1" x14ac:dyDescent="0.35">
      <c r="A2374" s="17">
        <v>1604289</v>
      </c>
      <c r="B2374" s="18">
        <v>214</v>
      </c>
      <c r="C2374" s="23" t="s">
        <v>99</v>
      </c>
      <c r="D2374" s="27">
        <v>45031.081944444442</v>
      </c>
      <c r="E2374" s="18" t="s">
        <v>98</v>
      </c>
      <c r="F2374" s="18" t="s">
        <v>24</v>
      </c>
      <c r="G2374" s="18">
        <v>9600</v>
      </c>
      <c r="H2374" s="25">
        <f t="shared" si="148"/>
        <v>45031</v>
      </c>
      <c r="I2374" s="26">
        <f t="shared" si="149"/>
        <v>8.1944444442342501E-2</v>
      </c>
      <c r="J2374" s="18" t="str">
        <f t="shared" si="150"/>
        <v>April</v>
      </c>
      <c r="K2374" s="56" t="str">
        <f t="shared" si="151"/>
        <v>Saturday</v>
      </c>
      <c r="L2374" s="18" t="str">
        <f>IF(OR(G2374&gt;Answers!I2389,G2374&lt;Answers!I2390),"Outlier","Normal")</f>
        <v>Outlier</v>
      </c>
      <c r="M2374" s="18">
        <v>18</v>
      </c>
    </row>
    <row r="2375" spans="1:13" ht="20" customHeight="1" x14ac:dyDescent="0.35">
      <c r="A2375" s="17">
        <v>1604334</v>
      </c>
      <c r="B2375" s="18">
        <v>1237</v>
      </c>
      <c r="C2375" s="23" t="s">
        <v>99</v>
      </c>
      <c r="D2375" s="27">
        <v>45277.980555555558</v>
      </c>
      <c r="E2375" s="18" t="s">
        <v>133</v>
      </c>
      <c r="F2375" s="18" t="s">
        <v>18</v>
      </c>
      <c r="G2375" s="18">
        <v>4433</v>
      </c>
      <c r="H2375" s="25">
        <f t="shared" si="148"/>
        <v>45277</v>
      </c>
      <c r="I2375" s="26">
        <f t="shared" si="149"/>
        <v>0.9805555555576575</v>
      </c>
      <c r="J2375" s="18" t="str">
        <f t="shared" si="150"/>
        <v>December</v>
      </c>
      <c r="K2375" s="56" t="str">
        <f t="shared" si="151"/>
        <v>Sunday</v>
      </c>
      <c r="L2375" s="18" t="str">
        <f>IF(OR(G2375&gt;Answers!I2390,G2375&lt;Answers!I2391),"Outlier","Normal")</f>
        <v>Outlier</v>
      </c>
      <c r="M2375" s="18">
        <v>87</v>
      </c>
    </row>
    <row r="2376" spans="1:13" ht="20" customHeight="1" x14ac:dyDescent="0.35">
      <c r="A2376" s="17">
        <v>1605621</v>
      </c>
      <c r="B2376" s="18">
        <v>98</v>
      </c>
      <c r="C2376" s="23" t="s">
        <v>108</v>
      </c>
      <c r="D2376" s="27">
        <v>45174.064583333333</v>
      </c>
      <c r="E2376" s="18" t="s">
        <v>97</v>
      </c>
      <c r="F2376" s="18" t="s">
        <v>25</v>
      </c>
      <c r="G2376" s="18">
        <v>4118</v>
      </c>
      <c r="H2376" s="25">
        <f t="shared" si="148"/>
        <v>45174</v>
      </c>
      <c r="I2376" s="26">
        <f t="shared" si="149"/>
        <v>6.4583333332848269E-2</v>
      </c>
      <c r="J2376" s="18" t="str">
        <f t="shared" si="150"/>
        <v>September</v>
      </c>
      <c r="K2376" s="56" t="str">
        <f t="shared" si="151"/>
        <v>Tuesday</v>
      </c>
      <c r="L2376" s="18" t="str">
        <f>IF(OR(G2376&gt;Answers!I2391,G2376&lt;Answers!I2392),"Outlier","Normal")</f>
        <v>Outlier</v>
      </c>
      <c r="M2376" s="18">
        <v>35</v>
      </c>
    </row>
    <row r="2377" spans="1:13" ht="20" customHeight="1" x14ac:dyDescent="0.35">
      <c r="A2377" s="17">
        <v>1605700</v>
      </c>
      <c r="B2377" s="18">
        <v>1574</v>
      </c>
      <c r="C2377" s="23" t="s">
        <v>104</v>
      </c>
      <c r="D2377" s="27">
        <v>44966.041666666664</v>
      </c>
      <c r="E2377" s="18" t="s">
        <v>96</v>
      </c>
      <c r="F2377" s="18" t="s">
        <v>5</v>
      </c>
      <c r="G2377" s="18">
        <v>2305</v>
      </c>
      <c r="H2377" s="25">
        <f t="shared" si="148"/>
        <v>44966</v>
      </c>
      <c r="I2377" s="26">
        <f t="shared" si="149"/>
        <v>4.1666666664241347E-2</v>
      </c>
      <c r="J2377" s="18" t="str">
        <f t="shared" si="150"/>
        <v>February</v>
      </c>
      <c r="K2377" s="56" t="str">
        <f t="shared" si="151"/>
        <v>Thursday</v>
      </c>
      <c r="L2377" s="18" t="str">
        <f>IF(OR(G2377&gt;Answers!I2392,G2377&lt;Answers!I2393),"Outlier","Normal")</f>
        <v>Outlier</v>
      </c>
      <c r="M2377" s="18">
        <v>36</v>
      </c>
    </row>
    <row r="2378" spans="1:13" ht="20" customHeight="1" x14ac:dyDescent="0.35">
      <c r="A2378" s="17">
        <v>1605731</v>
      </c>
      <c r="B2378" s="18">
        <v>564</v>
      </c>
      <c r="C2378" s="23" t="s">
        <v>99</v>
      </c>
      <c r="D2378" s="27">
        <v>45101.001388888886</v>
      </c>
      <c r="E2378" s="18" t="s">
        <v>133</v>
      </c>
      <c r="F2378" s="18" t="s">
        <v>16</v>
      </c>
      <c r="G2378" s="18">
        <v>6271</v>
      </c>
      <c r="H2378" s="25">
        <f t="shared" si="148"/>
        <v>45101</v>
      </c>
      <c r="I2378" s="26">
        <f t="shared" si="149"/>
        <v>1.3888888861401938E-3</v>
      </c>
      <c r="J2378" s="18" t="str">
        <f t="shared" si="150"/>
        <v>June</v>
      </c>
      <c r="K2378" s="56" t="str">
        <f t="shared" si="151"/>
        <v>Saturday</v>
      </c>
      <c r="L2378" s="18" t="str">
        <f>IF(OR(G2378&gt;Answers!I2393,G2378&lt;Answers!I2394),"Outlier","Normal")</f>
        <v>Outlier</v>
      </c>
      <c r="M2378" s="18">
        <v>83</v>
      </c>
    </row>
    <row r="2379" spans="1:13" ht="20" customHeight="1" x14ac:dyDescent="0.35">
      <c r="A2379" s="17">
        <v>1605754</v>
      </c>
      <c r="B2379" s="18">
        <v>1734</v>
      </c>
      <c r="C2379" s="23" t="s">
        <v>99</v>
      </c>
      <c r="D2379" s="27">
        <v>45086.052777777775</v>
      </c>
      <c r="E2379" s="18" t="s">
        <v>133</v>
      </c>
      <c r="F2379" s="18" t="s">
        <v>74</v>
      </c>
      <c r="G2379" s="18">
        <v>504</v>
      </c>
      <c r="H2379" s="25">
        <f t="shared" si="148"/>
        <v>45086</v>
      </c>
      <c r="I2379" s="26">
        <f t="shared" si="149"/>
        <v>5.2777777775190771E-2</v>
      </c>
      <c r="J2379" s="18" t="str">
        <f t="shared" si="150"/>
        <v>June</v>
      </c>
      <c r="K2379" s="56" t="str">
        <f t="shared" si="151"/>
        <v>Friday</v>
      </c>
      <c r="L2379" s="18" t="str">
        <f>IF(OR(G2379&gt;Answers!I2394,G2379&lt;Answers!I2395),"Outlier","Normal")</f>
        <v>Outlier</v>
      </c>
      <c r="M2379" s="18">
        <v>62</v>
      </c>
    </row>
    <row r="2380" spans="1:13" ht="20" customHeight="1" x14ac:dyDescent="0.35">
      <c r="A2380" s="17">
        <v>1607015</v>
      </c>
      <c r="B2380" s="18">
        <v>1741</v>
      </c>
      <c r="C2380" s="23" t="s">
        <v>99</v>
      </c>
      <c r="D2380" s="27">
        <v>45286.047222222223</v>
      </c>
      <c r="E2380" s="18" t="s">
        <v>133</v>
      </c>
      <c r="F2380" s="18" t="s">
        <v>27</v>
      </c>
      <c r="G2380" s="18">
        <v>4369</v>
      </c>
      <c r="H2380" s="25">
        <f t="shared" si="148"/>
        <v>45286</v>
      </c>
      <c r="I2380" s="26">
        <f t="shared" si="149"/>
        <v>4.7222222223354038E-2</v>
      </c>
      <c r="J2380" s="18" t="str">
        <f t="shared" si="150"/>
        <v>December</v>
      </c>
      <c r="K2380" s="56" t="str">
        <f t="shared" si="151"/>
        <v>Tuesday</v>
      </c>
      <c r="L2380" s="18" t="str">
        <f>IF(OR(G2380&gt;Answers!I2395,G2380&lt;Answers!I2396),"Outlier","Normal")</f>
        <v>Outlier</v>
      </c>
      <c r="M2380" s="18">
        <v>71</v>
      </c>
    </row>
    <row r="2381" spans="1:13" ht="20" customHeight="1" x14ac:dyDescent="0.35">
      <c r="A2381" s="17">
        <v>1607569</v>
      </c>
      <c r="B2381" s="18">
        <v>1930</v>
      </c>
      <c r="C2381" s="23" t="s">
        <v>99</v>
      </c>
      <c r="D2381" s="27">
        <v>45176.990972222222</v>
      </c>
      <c r="E2381" s="18" t="s">
        <v>98</v>
      </c>
      <c r="F2381" s="18" t="s">
        <v>31</v>
      </c>
      <c r="G2381" s="18">
        <v>1307</v>
      </c>
      <c r="H2381" s="25">
        <f t="shared" si="148"/>
        <v>45176</v>
      </c>
      <c r="I2381" s="26">
        <f t="shared" si="149"/>
        <v>0.99097222222189885</v>
      </c>
      <c r="J2381" s="18" t="str">
        <f t="shared" si="150"/>
        <v>September</v>
      </c>
      <c r="K2381" s="56" t="str">
        <f t="shared" si="151"/>
        <v>Thursday</v>
      </c>
      <c r="L2381" s="18" t="str">
        <f>IF(OR(G2381&gt;Answers!I2396,G2381&lt;Answers!I2397),"Outlier","Normal")</f>
        <v>Outlier</v>
      </c>
      <c r="M2381" s="18">
        <v>40</v>
      </c>
    </row>
    <row r="2382" spans="1:13" ht="20" customHeight="1" x14ac:dyDescent="0.35">
      <c r="A2382" s="17">
        <v>1608036</v>
      </c>
      <c r="B2382" s="18">
        <v>1794</v>
      </c>
      <c r="C2382" s="23" t="s">
        <v>101</v>
      </c>
      <c r="D2382" s="27">
        <v>45160.988194444442</v>
      </c>
      <c r="E2382" s="18" t="s">
        <v>96</v>
      </c>
      <c r="F2382" s="18" t="s">
        <v>78</v>
      </c>
      <c r="G2382" s="18">
        <v>3016</v>
      </c>
      <c r="H2382" s="25">
        <f t="shared" si="148"/>
        <v>45160</v>
      </c>
      <c r="I2382" s="26">
        <f t="shared" si="149"/>
        <v>0.9881944444423425</v>
      </c>
      <c r="J2382" s="18" t="str">
        <f t="shared" si="150"/>
        <v>August</v>
      </c>
      <c r="K2382" s="56" t="str">
        <f t="shared" si="151"/>
        <v>Tuesday</v>
      </c>
      <c r="L2382" s="18" t="str">
        <f>IF(OR(G2382&gt;Answers!I2397,G2382&lt;Answers!I2398),"Outlier","Normal")</f>
        <v>Outlier</v>
      </c>
      <c r="M2382" s="18">
        <v>41</v>
      </c>
    </row>
    <row r="2383" spans="1:13" ht="20" customHeight="1" x14ac:dyDescent="0.35">
      <c r="A2383" s="17">
        <v>1609306</v>
      </c>
      <c r="B2383" s="18">
        <v>529</v>
      </c>
      <c r="C2383" s="23" t="s">
        <v>113</v>
      </c>
      <c r="D2383" s="27">
        <v>45261.056250000001</v>
      </c>
      <c r="E2383" s="18" t="s">
        <v>97</v>
      </c>
      <c r="F2383" s="18" t="s">
        <v>77</v>
      </c>
      <c r="G2383" s="18">
        <v>847</v>
      </c>
      <c r="H2383" s="25">
        <f t="shared" si="148"/>
        <v>45261</v>
      </c>
      <c r="I2383" s="26">
        <f t="shared" si="149"/>
        <v>5.6250000001455192E-2</v>
      </c>
      <c r="J2383" s="18" t="str">
        <f t="shared" si="150"/>
        <v>December</v>
      </c>
      <c r="K2383" s="56" t="str">
        <f t="shared" si="151"/>
        <v>Friday</v>
      </c>
      <c r="L2383" s="18" t="str">
        <f>IF(OR(G2383&gt;Answers!I2398,G2383&lt;Answers!I2399),"Outlier","Normal")</f>
        <v>Outlier</v>
      </c>
      <c r="M2383" s="18">
        <v>44</v>
      </c>
    </row>
    <row r="2384" spans="1:13" ht="20" customHeight="1" x14ac:dyDescent="0.35">
      <c r="A2384" s="17">
        <v>1609928</v>
      </c>
      <c r="B2384" s="18">
        <v>1237</v>
      </c>
      <c r="C2384" s="23" t="s">
        <v>99</v>
      </c>
      <c r="D2384" s="27">
        <v>45082.040277777778</v>
      </c>
      <c r="E2384" s="18" t="s">
        <v>97</v>
      </c>
      <c r="F2384" s="18" t="s">
        <v>64</v>
      </c>
      <c r="G2384" s="18">
        <v>373</v>
      </c>
      <c r="H2384" s="25">
        <f t="shared" si="148"/>
        <v>45082</v>
      </c>
      <c r="I2384" s="26">
        <f t="shared" si="149"/>
        <v>4.0277777778101154E-2</v>
      </c>
      <c r="J2384" s="18" t="str">
        <f t="shared" si="150"/>
        <v>June</v>
      </c>
      <c r="K2384" s="56" t="str">
        <f t="shared" si="151"/>
        <v>Monday</v>
      </c>
      <c r="L2384" s="18" t="str">
        <f>IF(OR(G2384&gt;Answers!I2399,G2384&lt;Answers!I2400),"Outlier","Normal")</f>
        <v>Outlier</v>
      </c>
      <c r="M2384" s="18">
        <v>87</v>
      </c>
    </row>
    <row r="2385" spans="1:13" ht="20" customHeight="1" x14ac:dyDescent="0.35">
      <c r="A2385" s="17">
        <v>1610660</v>
      </c>
      <c r="B2385" s="18">
        <v>1126</v>
      </c>
      <c r="C2385" s="23" t="s">
        <v>100</v>
      </c>
      <c r="D2385" s="27">
        <v>45000.993750000001</v>
      </c>
      <c r="E2385" s="18" t="s">
        <v>98</v>
      </c>
      <c r="F2385" s="18" t="s">
        <v>30</v>
      </c>
      <c r="G2385" s="18">
        <v>4580</v>
      </c>
      <c r="H2385" s="25">
        <f t="shared" si="148"/>
        <v>45000</v>
      </c>
      <c r="I2385" s="26">
        <f t="shared" si="149"/>
        <v>0.99375000000145519</v>
      </c>
      <c r="J2385" s="18" t="str">
        <f t="shared" si="150"/>
        <v>March</v>
      </c>
      <c r="K2385" s="56" t="str">
        <f t="shared" si="151"/>
        <v>Wednesday</v>
      </c>
      <c r="L2385" s="18" t="str">
        <f>IF(OR(G2385&gt;Answers!I2400,G2385&lt;Answers!I2401),"Outlier","Normal")</f>
        <v>Outlier</v>
      </c>
      <c r="M2385" s="18">
        <v>65</v>
      </c>
    </row>
    <row r="2386" spans="1:13" ht="20" customHeight="1" x14ac:dyDescent="0.35">
      <c r="A2386" s="17">
        <v>1611854</v>
      </c>
      <c r="B2386" s="18">
        <v>1101</v>
      </c>
      <c r="C2386" s="23" t="s">
        <v>113</v>
      </c>
      <c r="D2386" s="27">
        <v>45115.998611111114</v>
      </c>
      <c r="E2386" s="18" t="s">
        <v>96</v>
      </c>
      <c r="F2386" s="18" t="s">
        <v>74</v>
      </c>
      <c r="G2386" s="18">
        <v>508</v>
      </c>
      <c r="H2386" s="25">
        <f t="shared" si="148"/>
        <v>45115</v>
      </c>
      <c r="I2386" s="26">
        <f t="shared" si="149"/>
        <v>0.99861111111385981</v>
      </c>
      <c r="J2386" s="18" t="str">
        <f t="shared" si="150"/>
        <v>July</v>
      </c>
      <c r="K2386" s="56" t="str">
        <f t="shared" si="151"/>
        <v>Saturday</v>
      </c>
      <c r="L2386" s="18" t="str">
        <f>IF(OR(G2386&gt;Answers!I2401,G2386&lt;Answers!I2402),"Outlier","Normal")</f>
        <v>Outlier</v>
      </c>
      <c r="M2386" s="18">
        <v>27</v>
      </c>
    </row>
    <row r="2387" spans="1:13" ht="20" customHeight="1" x14ac:dyDescent="0.35">
      <c r="A2387" s="17">
        <v>1612026</v>
      </c>
      <c r="B2387" s="18">
        <v>730</v>
      </c>
      <c r="C2387" s="23" t="s">
        <v>104</v>
      </c>
      <c r="D2387" s="27">
        <v>44951.061805555553</v>
      </c>
      <c r="E2387" s="18" t="s">
        <v>97</v>
      </c>
      <c r="F2387" s="18" t="s">
        <v>85</v>
      </c>
      <c r="G2387" s="18">
        <v>5053</v>
      </c>
      <c r="H2387" s="25">
        <f t="shared" si="148"/>
        <v>44951</v>
      </c>
      <c r="I2387" s="26">
        <f t="shared" si="149"/>
        <v>6.1805555553291924E-2</v>
      </c>
      <c r="J2387" s="18" t="str">
        <f t="shared" si="150"/>
        <v>January</v>
      </c>
      <c r="K2387" s="56" t="str">
        <f t="shared" si="151"/>
        <v>Wednesday</v>
      </c>
      <c r="L2387" s="18" t="str">
        <f>IF(OR(G2387&gt;Answers!I2402,G2387&lt;Answers!I2403),"Outlier","Normal")</f>
        <v>Outlier</v>
      </c>
      <c r="M2387" s="18">
        <v>61</v>
      </c>
    </row>
    <row r="2388" spans="1:13" ht="20" customHeight="1" x14ac:dyDescent="0.35">
      <c r="A2388" s="17">
        <v>1612028</v>
      </c>
      <c r="B2388" s="18">
        <v>1167</v>
      </c>
      <c r="C2388" s="23" t="s">
        <v>99</v>
      </c>
      <c r="D2388" s="27">
        <v>44944.998611111114</v>
      </c>
      <c r="E2388" s="18" t="s">
        <v>133</v>
      </c>
      <c r="F2388" s="18" t="s">
        <v>51</v>
      </c>
      <c r="G2388" s="18">
        <v>9324</v>
      </c>
      <c r="H2388" s="25">
        <f t="shared" si="148"/>
        <v>44944</v>
      </c>
      <c r="I2388" s="26">
        <f t="shared" si="149"/>
        <v>0.99861111111385981</v>
      </c>
      <c r="J2388" s="18" t="str">
        <f t="shared" si="150"/>
        <v>January</v>
      </c>
      <c r="K2388" s="56" t="str">
        <f t="shared" si="151"/>
        <v>Wednesday</v>
      </c>
      <c r="L2388" s="18" t="str">
        <f>IF(OR(G2388&gt;Answers!I2403,G2388&lt;Answers!I2404),"Outlier","Normal")</f>
        <v>Outlier</v>
      </c>
      <c r="M2388" s="18">
        <v>78</v>
      </c>
    </row>
    <row r="2389" spans="1:13" ht="20" customHeight="1" x14ac:dyDescent="0.35">
      <c r="A2389" s="17">
        <v>1613483</v>
      </c>
      <c r="B2389" s="18">
        <v>296</v>
      </c>
      <c r="C2389" s="23" t="s">
        <v>108</v>
      </c>
      <c r="D2389" s="27">
        <v>45219.045138888891</v>
      </c>
      <c r="E2389" s="18" t="s">
        <v>96</v>
      </c>
      <c r="F2389" s="18" t="s">
        <v>68</v>
      </c>
      <c r="G2389" s="18">
        <v>2248</v>
      </c>
      <c r="H2389" s="25">
        <f t="shared" si="148"/>
        <v>45219</v>
      </c>
      <c r="I2389" s="26">
        <f t="shared" si="149"/>
        <v>4.5138888890505768E-2</v>
      </c>
      <c r="J2389" s="18" t="str">
        <f t="shared" si="150"/>
        <v>October</v>
      </c>
      <c r="K2389" s="56" t="str">
        <f t="shared" si="151"/>
        <v>Friday</v>
      </c>
      <c r="L2389" s="18" t="str">
        <f>IF(OR(G2389&gt;Answers!I2404,G2389&lt;Answers!I2405),"Outlier","Normal")</f>
        <v>Outlier</v>
      </c>
      <c r="M2389" s="18">
        <v>70</v>
      </c>
    </row>
    <row r="2390" spans="1:13" ht="20" customHeight="1" x14ac:dyDescent="0.35">
      <c r="A2390" s="17">
        <v>1615509</v>
      </c>
      <c r="B2390" s="18">
        <v>63</v>
      </c>
      <c r="C2390" s="23" t="s">
        <v>103</v>
      </c>
      <c r="D2390" s="27">
        <v>45229.938888888886</v>
      </c>
      <c r="E2390" s="18" t="s">
        <v>96</v>
      </c>
      <c r="F2390" s="18" t="s">
        <v>79</v>
      </c>
      <c r="G2390" s="18">
        <v>7909</v>
      </c>
      <c r="H2390" s="25">
        <f t="shared" si="148"/>
        <v>45229</v>
      </c>
      <c r="I2390" s="26">
        <f t="shared" si="149"/>
        <v>0.93888888888614019</v>
      </c>
      <c r="J2390" s="18" t="str">
        <f t="shared" si="150"/>
        <v>October</v>
      </c>
      <c r="K2390" s="56" t="str">
        <f t="shared" si="151"/>
        <v>Monday</v>
      </c>
      <c r="L2390" s="18" t="str">
        <f>IF(OR(G2390&gt;Answers!I2405,G2390&lt;Answers!I2406),"Outlier","Normal")</f>
        <v>Outlier</v>
      </c>
      <c r="M2390" s="18">
        <v>23</v>
      </c>
    </row>
    <row r="2391" spans="1:13" ht="20" customHeight="1" x14ac:dyDescent="0.35">
      <c r="A2391" s="17">
        <v>1616083</v>
      </c>
      <c r="B2391" s="18">
        <v>894</v>
      </c>
      <c r="C2391" s="23" t="s">
        <v>101</v>
      </c>
      <c r="D2391" s="27">
        <v>45090.037499999999</v>
      </c>
      <c r="E2391" s="18" t="s">
        <v>97</v>
      </c>
      <c r="F2391" s="18" t="s">
        <v>76</v>
      </c>
      <c r="G2391" s="18">
        <v>9153</v>
      </c>
      <c r="H2391" s="25">
        <f t="shared" si="148"/>
        <v>45090</v>
      </c>
      <c r="I2391" s="26">
        <f t="shared" si="149"/>
        <v>3.7499999998544808E-2</v>
      </c>
      <c r="J2391" s="18" t="str">
        <f t="shared" si="150"/>
        <v>June</v>
      </c>
      <c r="K2391" s="56" t="str">
        <f t="shared" si="151"/>
        <v>Tuesday</v>
      </c>
      <c r="L2391" s="18" t="str">
        <f>IF(OR(G2391&gt;Answers!I2406,G2391&lt;Answers!I2407),"Outlier","Normal")</f>
        <v>Outlier</v>
      </c>
      <c r="M2391" s="18">
        <v>37</v>
      </c>
    </row>
    <row r="2392" spans="1:13" ht="20" customHeight="1" x14ac:dyDescent="0.35">
      <c r="A2392" s="17">
        <v>1616804</v>
      </c>
      <c r="B2392" s="18">
        <v>902</v>
      </c>
      <c r="C2392" s="23" t="s">
        <v>99</v>
      </c>
      <c r="D2392" s="27">
        <v>45023.958333333336</v>
      </c>
      <c r="E2392" s="18" t="s">
        <v>97</v>
      </c>
      <c r="F2392" s="18" t="s">
        <v>27</v>
      </c>
      <c r="G2392" s="18">
        <v>8265</v>
      </c>
      <c r="H2392" s="25">
        <f t="shared" si="148"/>
        <v>45023</v>
      </c>
      <c r="I2392" s="26">
        <f t="shared" si="149"/>
        <v>0.95833333333575865</v>
      </c>
      <c r="J2392" s="18" t="str">
        <f t="shared" si="150"/>
        <v>April</v>
      </c>
      <c r="K2392" s="56" t="str">
        <f t="shared" si="151"/>
        <v>Friday</v>
      </c>
      <c r="L2392" s="18" t="str">
        <f>IF(OR(G2392&gt;Answers!I2407,G2392&lt;Answers!I2408),"Outlier","Normal")</f>
        <v>Outlier</v>
      </c>
      <c r="M2392" s="18">
        <v>82</v>
      </c>
    </row>
    <row r="2393" spans="1:13" ht="20" customHeight="1" x14ac:dyDescent="0.35">
      <c r="A2393" s="17">
        <v>1617273</v>
      </c>
      <c r="B2393" s="18">
        <v>547</v>
      </c>
      <c r="C2393" s="23" t="s">
        <v>99</v>
      </c>
      <c r="D2393" s="27">
        <v>45156.00277777778</v>
      </c>
      <c r="E2393" s="18" t="s">
        <v>97</v>
      </c>
      <c r="F2393" s="18" t="s">
        <v>69</v>
      </c>
      <c r="G2393" s="18">
        <v>2095</v>
      </c>
      <c r="H2393" s="25">
        <f t="shared" si="148"/>
        <v>45156</v>
      </c>
      <c r="I2393" s="26">
        <f t="shared" si="149"/>
        <v>2.7777777795563452E-3</v>
      </c>
      <c r="J2393" s="18" t="str">
        <f t="shared" si="150"/>
        <v>August</v>
      </c>
      <c r="K2393" s="56" t="str">
        <f t="shared" si="151"/>
        <v>Friday</v>
      </c>
      <c r="L2393" s="18" t="str">
        <f>IF(OR(G2393&gt;Answers!I2408,G2393&lt;Answers!I2409),"Outlier","Normal")</f>
        <v>Outlier</v>
      </c>
      <c r="M2393" s="18">
        <v>69</v>
      </c>
    </row>
    <row r="2394" spans="1:13" ht="20" customHeight="1" x14ac:dyDescent="0.35">
      <c r="A2394" s="17">
        <v>1617524</v>
      </c>
      <c r="B2394" s="18">
        <v>34</v>
      </c>
      <c r="C2394" s="23" t="s">
        <v>101</v>
      </c>
      <c r="D2394" s="27">
        <v>44968.987500000003</v>
      </c>
      <c r="E2394" s="18" t="s">
        <v>96</v>
      </c>
      <c r="F2394" s="18" t="s">
        <v>43</v>
      </c>
      <c r="G2394" s="18">
        <v>1527</v>
      </c>
      <c r="H2394" s="25">
        <f t="shared" si="148"/>
        <v>44968</v>
      </c>
      <c r="I2394" s="26">
        <f t="shared" si="149"/>
        <v>0.98750000000291038</v>
      </c>
      <c r="J2394" s="18" t="str">
        <f t="shared" si="150"/>
        <v>February</v>
      </c>
      <c r="K2394" s="56" t="str">
        <f t="shared" si="151"/>
        <v>Saturday</v>
      </c>
      <c r="L2394" s="18" t="str">
        <f>IF(OR(G2394&gt;Answers!I2409,G2394&lt;Answers!I2410),"Outlier","Normal")</f>
        <v>Outlier</v>
      </c>
      <c r="M2394" s="18">
        <v>20</v>
      </c>
    </row>
    <row r="2395" spans="1:13" ht="20" customHeight="1" x14ac:dyDescent="0.35">
      <c r="A2395" s="17">
        <v>1620752</v>
      </c>
      <c r="B2395" s="18">
        <v>1687</v>
      </c>
      <c r="C2395" s="23" t="s">
        <v>101</v>
      </c>
      <c r="D2395" s="27">
        <v>45212.984027777777</v>
      </c>
      <c r="E2395" s="18" t="s">
        <v>96</v>
      </c>
      <c r="F2395" s="18" t="s">
        <v>43</v>
      </c>
      <c r="G2395" s="18">
        <v>7191</v>
      </c>
      <c r="H2395" s="25">
        <f t="shared" si="148"/>
        <v>45212</v>
      </c>
      <c r="I2395" s="26">
        <f t="shared" si="149"/>
        <v>0.98402777777664596</v>
      </c>
      <c r="J2395" s="18" t="str">
        <f t="shared" si="150"/>
        <v>October</v>
      </c>
      <c r="K2395" s="56" t="str">
        <f t="shared" si="151"/>
        <v>Friday</v>
      </c>
      <c r="L2395" s="18" t="str">
        <f>IF(OR(G2395&gt;Answers!I2410,G2395&lt;Answers!I2411),"Outlier","Normal")</f>
        <v>Outlier</v>
      </c>
      <c r="M2395" s="18">
        <v>38</v>
      </c>
    </row>
    <row r="2396" spans="1:13" ht="20" customHeight="1" x14ac:dyDescent="0.35">
      <c r="A2396" s="17">
        <v>1622340</v>
      </c>
      <c r="B2396" s="18">
        <v>1487</v>
      </c>
      <c r="C2396" s="23" t="s">
        <v>107</v>
      </c>
      <c r="D2396" s="27">
        <v>45052.009722222225</v>
      </c>
      <c r="E2396" s="18" t="s">
        <v>133</v>
      </c>
      <c r="F2396" s="18" t="s">
        <v>4</v>
      </c>
      <c r="G2396" s="18">
        <v>4769</v>
      </c>
      <c r="H2396" s="25">
        <f t="shared" si="148"/>
        <v>45052</v>
      </c>
      <c r="I2396" s="26">
        <f t="shared" si="149"/>
        <v>9.7222222248092294E-3</v>
      </c>
      <c r="J2396" s="18" t="str">
        <f t="shared" si="150"/>
        <v>May</v>
      </c>
      <c r="K2396" s="56" t="str">
        <f t="shared" si="151"/>
        <v>Saturday</v>
      </c>
      <c r="L2396" s="18" t="str">
        <f>IF(OR(G2396&gt;Answers!I2411,G2396&lt;Answers!I2412),"Outlier","Normal")</f>
        <v>Outlier</v>
      </c>
      <c r="M2396" s="18">
        <v>76</v>
      </c>
    </row>
    <row r="2397" spans="1:13" ht="20" customHeight="1" x14ac:dyDescent="0.35">
      <c r="A2397" s="17">
        <v>1622599</v>
      </c>
      <c r="B2397" s="18">
        <v>453</v>
      </c>
      <c r="C2397" s="23" t="s">
        <v>100</v>
      </c>
      <c r="D2397" s="27">
        <v>44940.993750000001</v>
      </c>
      <c r="E2397" s="18" t="s">
        <v>97</v>
      </c>
      <c r="F2397" s="18" t="s">
        <v>19</v>
      </c>
      <c r="G2397" s="18">
        <v>8568</v>
      </c>
      <c r="H2397" s="25">
        <f t="shared" si="148"/>
        <v>44940</v>
      </c>
      <c r="I2397" s="26">
        <f t="shared" si="149"/>
        <v>0.99375000000145519</v>
      </c>
      <c r="J2397" s="18" t="str">
        <f t="shared" si="150"/>
        <v>January</v>
      </c>
      <c r="K2397" s="56" t="str">
        <f t="shared" si="151"/>
        <v>Saturday</v>
      </c>
      <c r="L2397" s="18" t="str">
        <f>IF(OR(G2397&gt;Answers!I2412,G2397&lt;Answers!I2413),"Outlier","Normal")</f>
        <v>Outlier</v>
      </c>
      <c r="M2397" s="18">
        <v>52</v>
      </c>
    </row>
    <row r="2398" spans="1:13" ht="20" customHeight="1" x14ac:dyDescent="0.35">
      <c r="A2398" s="17">
        <v>1624567</v>
      </c>
      <c r="B2398" s="18">
        <v>977</v>
      </c>
      <c r="C2398" s="23" t="s">
        <v>113</v>
      </c>
      <c r="D2398" s="27">
        <v>45127.081944444442</v>
      </c>
      <c r="E2398" s="18" t="s">
        <v>98</v>
      </c>
      <c r="F2398" s="18" t="s">
        <v>82</v>
      </c>
      <c r="G2398" s="18">
        <v>1814</v>
      </c>
      <c r="H2398" s="25">
        <f t="shared" si="148"/>
        <v>45127</v>
      </c>
      <c r="I2398" s="26">
        <f t="shared" si="149"/>
        <v>8.1944444442342501E-2</v>
      </c>
      <c r="J2398" s="18" t="str">
        <f t="shared" si="150"/>
        <v>July</v>
      </c>
      <c r="K2398" s="56" t="str">
        <f t="shared" si="151"/>
        <v>Thursday</v>
      </c>
      <c r="L2398" s="18" t="str">
        <f>IF(OR(G2398&gt;Answers!I2413,G2398&lt;Answers!I2414),"Outlier","Normal")</f>
        <v>Outlier</v>
      </c>
      <c r="M2398" s="18">
        <v>31</v>
      </c>
    </row>
    <row r="2399" spans="1:13" ht="20" customHeight="1" x14ac:dyDescent="0.35">
      <c r="A2399" s="17">
        <v>1625256</v>
      </c>
      <c r="B2399" s="18">
        <v>1551</v>
      </c>
      <c r="C2399" s="23" t="s">
        <v>99</v>
      </c>
      <c r="D2399" s="27">
        <v>45168.078472222223</v>
      </c>
      <c r="E2399" s="18" t="s">
        <v>133</v>
      </c>
      <c r="F2399" s="18" t="s">
        <v>21</v>
      </c>
      <c r="G2399" s="18">
        <v>2960</v>
      </c>
      <c r="H2399" s="25">
        <f t="shared" si="148"/>
        <v>45168</v>
      </c>
      <c r="I2399" s="26">
        <f t="shared" si="149"/>
        <v>7.8472222223354038E-2</v>
      </c>
      <c r="J2399" s="18" t="str">
        <f t="shared" si="150"/>
        <v>August</v>
      </c>
      <c r="K2399" s="56" t="str">
        <f t="shared" si="151"/>
        <v>Wednesday</v>
      </c>
      <c r="L2399" s="18" t="str">
        <f>IF(OR(G2399&gt;Answers!I2414,G2399&lt;Answers!I2415),"Outlier","Normal")</f>
        <v>Outlier</v>
      </c>
      <c r="M2399" s="18">
        <v>21</v>
      </c>
    </row>
    <row r="2400" spans="1:13" ht="20" customHeight="1" x14ac:dyDescent="0.35">
      <c r="A2400" s="17">
        <v>1625678</v>
      </c>
      <c r="B2400" s="18">
        <v>239</v>
      </c>
      <c r="C2400" s="23" t="s">
        <v>113</v>
      </c>
      <c r="D2400" s="27">
        <v>45078.008333333331</v>
      </c>
      <c r="E2400" s="18" t="s">
        <v>96</v>
      </c>
      <c r="F2400" s="18" t="s">
        <v>66</v>
      </c>
      <c r="G2400" s="18">
        <v>1366</v>
      </c>
      <c r="H2400" s="25">
        <f t="shared" si="148"/>
        <v>45078</v>
      </c>
      <c r="I2400" s="26">
        <f t="shared" si="149"/>
        <v>8.333333331393078E-3</v>
      </c>
      <c r="J2400" s="18" t="str">
        <f t="shared" si="150"/>
        <v>June</v>
      </c>
      <c r="K2400" s="56" t="str">
        <f t="shared" si="151"/>
        <v>Thursday</v>
      </c>
      <c r="L2400" s="18" t="str">
        <f>IF(OR(G2400&gt;Answers!I2415,G2400&lt;Answers!I2416),"Outlier","Normal")</f>
        <v>Outlier</v>
      </c>
      <c r="M2400" s="18">
        <v>77</v>
      </c>
    </row>
    <row r="2401" spans="1:13" ht="20" customHeight="1" x14ac:dyDescent="0.35">
      <c r="A2401" s="17">
        <v>1625859</v>
      </c>
      <c r="B2401" s="18">
        <v>1409</v>
      </c>
      <c r="C2401" s="23" t="s">
        <v>99</v>
      </c>
      <c r="D2401" s="27">
        <v>45124.994444444441</v>
      </c>
      <c r="E2401" s="18" t="s">
        <v>97</v>
      </c>
      <c r="F2401" s="18" t="s">
        <v>27</v>
      </c>
      <c r="G2401" s="18">
        <v>3766</v>
      </c>
      <c r="H2401" s="25">
        <f t="shared" si="148"/>
        <v>45124</v>
      </c>
      <c r="I2401" s="26">
        <f t="shared" si="149"/>
        <v>0.99444444444088731</v>
      </c>
      <c r="J2401" s="18" t="str">
        <f t="shared" si="150"/>
        <v>July</v>
      </c>
      <c r="K2401" s="56" t="str">
        <f t="shared" si="151"/>
        <v>Monday</v>
      </c>
      <c r="L2401" s="18" t="str">
        <f>IF(OR(G2401&gt;Answers!I2416,G2401&lt;Answers!I2417),"Outlier","Normal")</f>
        <v>Outlier</v>
      </c>
      <c r="M2401" s="18">
        <v>63</v>
      </c>
    </row>
    <row r="2402" spans="1:13" ht="20" customHeight="1" x14ac:dyDescent="0.35">
      <c r="A2402" s="17">
        <v>1626780</v>
      </c>
      <c r="B2402" s="18">
        <v>230</v>
      </c>
      <c r="C2402" s="23" t="s">
        <v>99</v>
      </c>
      <c r="D2402" s="27">
        <v>45285.977777777778</v>
      </c>
      <c r="E2402" s="18" t="s">
        <v>98</v>
      </c>
      <c r="F2402" s="18" t="s">
        <v>5</v>
      </c>
      <c r="G2402" s="18">
        <v>3369</v>
      </c>
      <c r="H2402" s="25">
        <f t="shared" si="148"/>
        <v>45285</v>
      </c>
      <c r="I2402" s="26">
        <f t="shared" si="149"/>
        <v>0.97777777777810115</v>
      </c>
      <c r="J2402" s="18" t="str">
        <f t="shared" si="150"/>
        <v>December</v>
      </c>
      <c r="K2402" s="56" t="str">
        <f t="shared" si="151"/>
        <v>Monday</v>
      </c>
      <c r="L2402" s="18" t="str">
        <f>IF(OR(G2402&gt;Answers!I2417,G2402&lt;Answers!I2418),"Outlier","Normal")</f>
        <v>Outlier</v>
      </c>
      <c r="M2402" s="18">
        <v>79</v>
      </c>
    </row>
    <row r="2403" spans="1:13" ht="20" customHeight="1" x14ac:dyDescent="0.35">
      <c r="A2403" s="17">
        <v>1627081</v>
      </c>
      <c r="B2403" s="18">
        <v>741</v>
      </c>
      <c r="C2403" s="23" t="s">
        <v>99</v>
      </c>
      <c r="D2403" s="27">
        <v>44935.066666666666</v>
      </c>
      <c r="E2403" s="18" t="s">
        <v>96</v>
      </c>
      <c r="F2403" s="18" t="s">
        <v>43</v>
      </c>
      <c r="G2403" s="18">
        <v>5636</v>
      </c>
      <c r="H2403" s="25">
        <f t="shared" si="148"/>
        <v>44935</v>
      </c>
      <c r="I2403" s="26">
        <f t="shared" si="149"/>
        <v>6.6666666665696539E-2</v>
      </c>
      <c r="J2403" s="18" t="str">
        <f t="shared" si="150"/>
        <v>January</v>
      </c>
      <c r="K2403" s="56" t="str">
        <f t="shared" si="151"/>
        <v>Monday</v>
      </c>
      <c r="L2403" s="18" t="str">
        <f>IF(OR(G2403&gt;Answers!I2418,G2403&lt;Answers!I2419),"Outlier","Normal")</f>
        <v>Outlier</v>
      </c>
      <c r="M2403" s="18">
        <v>25</v>
      </c>
    </row>
    <row r="2404" spans="1:13" ht="20" customHeight="1" x14ac:dyDescent="0.35">
      <c r="A2404" s="17">
        <v>1628939</v>
      </c>
      <c r="B2404" s="18">
        <v>1474</v>
      </c>
      <c r="C2404" s="23" t="s">
        <v>99</v>
      </c>
      <c r="D2404" s="27">
        <v>45174.037499999999</v>
      </c>
      <c r="E2404" s="18" t="s">
        <v>98</v>
      </c>
      <c r="F2404" s="18" t="s">
        <v>27</v>
      </c>
      <c r="G2404" s="18">
        <v>4675</v>
      </c>
      <c r="H2404" s="25">
        <f t="shared" si="148"/>
        <v>45174</v>
      </c>
      <c r="I2404" s="26">
        <f t="shared" si="149"/>
        <v>3.7499999998544808E-2</v>
      </c>
      <c r="J2404" s="18" t="str">
        <f t="shared" si="150"/>
        <v>September</v>
      </c>
      <c r="K2404" s="56" t="str">
        <f t="shared" si="151"/>
        <v>Tuesday</v>
      </c>
      <c r="L2404" s="18" t="str">
        <f>IF(OR(G2404&gt;Answers!I2419,G2404&lt;Answers!I2420),"Outlier","Normal")</f>
        <v>Outlier</v>
      </c>
      <c r="M2404" s="18">
        <v>25</v>
      </c>
    </row>
    <row r="2405" spans="1:13" ht="20" customHeight="1" x14ac:dyDescent="0.35">
      <c r="A2405" s="17">
        <v>1629259</v>
      </c>
      <c r="B2405" s="18">
        <v>1982</v>
      </c>
      <c r="C2405" s="23" t="s">
        <v>107</v>
      </c>
      <c r="D2405" s="27">
        <v>45166.054861111108</v>
      </c>
      <c r="E2405" s="18" t="s">
        <v>97</v>
      </c>
      <c r="F2405" s="18" t="s">
        <v>6</v>
      </c>
      <c r="G2405" s="18">
        <v>9052</v>
      </c>
      <c r="H2405" s="25">
        <f t="shared" si="148"/>
        <v>45166</v>
      </c>
      <c r="I2405" s="26">
        <f t="shared" si="149"/>
        <v>5.486111110803904E-2</v>
      </c>
      <c r="J2405" s="18" t="str">
        <f t="shared" si="150"/>
        <v>August</v>
      </c>
      <c r="K2405" s="56" t="str">
        <f t="shared" si="151"/>
        <v>Monday</v>
      </c>
      <c r="L2405" s="18" t="str">
        <f>IF(OR(G2405&gt;Answers!I2420,G2405&lt;Answers!I2421),"Outlier","Normal")</f>
        <v>Outlier</v>
      </c>
      <c r="M2405" s="18">
        <v>74</v>
      </c>
    </row>
    <row r="2406" spans="1:13" ht="20" customHeight="1" x14ac:dyDescent="0.35">
      <c r="A2406" s="17">
        <v>1629885</v>
      </c>
      <c r="B2406" s="18">
        <v>366</v>
      </c>
      <c r="C2406" s="23" t="s">
        <v>113</v>
      </c>
      <c r="D2406" s="27">
        <v>45169.997916666667</v>
      </c>
      <c r="E2406" s="18" t="s">
        <v>96</v>
      </c>
      <c r="F2406" s="18" t="s">
        <v>27</v>
      </c>
      <c r="G2406" s="18">
        <v>6675</v>
      </c>
      <c r="H2406" s="25">
        <f t="shared" si="148"/>
        <v>45169</v>
      </c>
      <c r="I2406" s="26">
        <f t="shared" si="149"/>
        <v>0.99791666666715173</v>
      </c>
      <c r="J2406" s="18" t="str">
        <f t="shared" si="150"/>
        <v>August</v>
      </c>
      <c r="K2406" s="56" t="str">
        <f t="shared" si="151"/>
        <v>Thursday</v>
      </c>
      <c r="L2406" s="18" t="str">
        <f>IF(OR(G2406&gt;Answers!I2421,G2406&lt;Answers!I2422),"Outlier","Normal")</f>
        <v>Outlier</v>
      </c>
      <c r="M2406" s="18">
        <v>79</v>
      </c>
    </row>
    <row r="2407" spans="1:13" ht="20" customHeight="1" x14ac:dyDescent="0.35">
      <c r="A2407" s="17">
        <v>1629891</v>
      </c>
      <c r="B2407" s="18">
        <v>1088</v>
      </c>
      <c r="C2407" s="23" t="s">
        <v>113</v>
      </c>
      <c r="D2407" s="27">
        <v>45097.015972222223</v>
      </c>
      <c r="E2407" s="18" t="s">
        <v>96</v>
      </c>
      <c r="F2407" s="18" t="s">
        <v>18</v>
      </c>
      <c r="G2407" s="18">
        <v>5428</v>
      </c>
      <c r="H2407" s="25">
        <f t="shared" si="148"/>
        <v>45097</v>
      </c>
      <c r="I2407" s="26">
        <f t="shared" si="149"/>
        <v>1.5972222223354038E-2</v>
      </c>
      <c r="J2407" s="18" t="str">
        <f t="shared" si="150"/>
        <v>June</v>
      </c>
      <c r="K2407" s="56" t="str">
        <f t="shared" si="151"/>
        <v>Tuesday</v>
      </c>
      <c r="L2407" s="18" t="str">
        <f>IF(OR(G2407&gt;Answers!I2422,G2407&lt;Answers!I2423),"Outlier","Normal")</f>
        <v>Outlier</v>
      </c>
      <c r="M2407" s="18">
        <v>72</v>
      </c>
    </row>
    <row r="2408" spans="1:13" ht="20" customHeight="1" x14ac:dyDescent="0.35">
      <c r="A2408" s="17">
        <v>1630533</v>
      </c>
      <c r="B2408" s="18">
        <v>450</v>
      </c>
      <c r="C2408" s="23" t="s">
        <v>107</v>
      </c>
      <c r="D2408" s="27">
        <v>45027.031944444447</v>
      </c>
      <c r="E2408" s="18" t="s">
        <v>96</v>
      </c>
      <c r="F2408" s="18" t="s">
        <v>27</v>
      </c>
      <c r="G2408" s="18">
        <v>1269</v>
      </c>
      <c r="H2408" s="25">
        <f t="shared" si="148"/>
        <v>45027</v>
      </c>
      <c r="I2408" s="26">
        <f t="shared" si="149"/>
        <v>3.1944444446708076E-2</v>
      </c>
      <c r="J2408" s="18" t="str">
        <f t="shared" si="150"/>
        <v>April</v>
      </c>
      <c r="K2408" s="56" t="str">
        <f t="shared" si="151"/>
        <v>Tuesday</v>
      </c>
      <c r="L2408" s="18" t="str">
        <f>IF(OR(G2408&gt;Answers!I2423,G2408&lt;Answers!I2424),"Outlier","Normal")</f>
        <v>Outlier</v>
      </c>
      <c r="M2408" s="18">
        <v>53</v>
      </c>
    </row>
    <row r="2409" spans="1:13" ht="20" customHeight="1" x14ac:dyDescent="0.35">
      <c r="A2409" s="17">
        <v>1630634</v>
      </c>
      <c r="B2409" s="18">
        <v>400</v>
      </c>
      <c r="C2409" s="23" t="s">
        <v>101</v>
      </c>
      <c r="D2409" s="27">
        <v>44995.044444444444</v>
      </c>
      <c r="E2409" s="18" t="s">
        <v>133</v>
      </c>
      <c r="F2409" s="18" t="s">
        <v>30</v>
      </c>
      <c r="G2409" s="18">
        <v>4641</v>
      </c>
      <c r="H2409" s="25">
        <f t="shared" si="148"/>
        <v>44995</v>
      </c>
      <c r="I2409" s="26">
        <f t="shared" si="149"/>
        <v>4.4444444443797693E-2</v>
      </c>
      <c r="J2409" s="18" t="str">
        <f t="shared" si="150"/>
        <v>March</v>
      </c>
      <c r="K2409" s="56" t="str">
        <f t="shared" si="151"/>
        <v>Friday</v>
      </c>
      <c r="L2409" s="18" t="str">
        <f>IF(OR(G2409&gt;Answers!I2424,G2409&lt;Answers!I2425),"Outlier","Normal")</f>
        <v>Outlier</v>
      </c>
      <c r="M2409" s="18">
        <v>80</v>
      </c>
    </row>
    <row r="2410" spans="1:13" ht="20" customHeight="1" x14ac:dyDescent="0.35">
      <c r="A2410" s="17">
        <v>1631258</v>
      </c>
      <c r="B2410" s="18">
        <v>1613</v>
      </c>
      <c r="C2410" s="23" t="s">
        <v>99</v>
      </c>
      <c r="D2410" s="27">
        <v>45262.995833333334</v>
      </c>
      <c r="E2410" s="18" t="s">
        <v>98</v>
      </c>
      <c r="F2410" s="18" t="s">
        <v>78</v>
      </c>
      <c r="G2410" s="18">
        <v>382</v>
      </c>
      <c r="H2410" s="25">
        <f t="shared" si="148"/>
        <v>45262</v>
      </c>
      <c r="I2410" s="26">
        <f t="shared" si="149"/>
        <v>0.99583333333430346</v>
      </c>
      <c r="J2410" s="18" t="str">
        <f t="shared" si="150"/>
        <v>December</v>
      </c>
      <c r="K2410" s="56" t="str">
        <f t="shared" si="151"/>
        <v>Saturday</v>
      </c>
      <c r="L2410" s="18" t="str">
        <f>IF(OR(G2410&gt;Answers!I2425,G2410&lt;Answers!I2426),"Outlier","Normal")</f>
        <v>Outlier</v>
      </c>
      <c r="M2410" s="18">
        <v>71</v>
      </c>
    </row>
    <row r="2411" spans="1:13" ht="20" customHeight="1" x14ac:dyDescent="0.35">
      <c r="A2411" s="17">
        <v>1631401</v>
      </c>
      <c r="B2411" s="18">
        <v>932</v>
      </c>
      <c r="C2411" s="23" t="s">
        <v>110</v>
      </c>
      <c r="D2411" s="27">
        <v>45102.07916666667</v>
      </c>
      <c r="E2411" s="18" t="s">
        <v>133</v>
      </c>
      <c r="F2411" s="18" t="s">
        <v>43</v>
      </c>
      <c r="G2411" s="18">
        <v>638</v>
      </c>
      <c r="H2411" s="25">
        <f t="shared" si="148"/>
        <v>45102</v>
      </c>
      <c r="I2411" s="26">
        <f t="shared" si="149"/>
        <v>7.9166666670062114E-2</v>
      </c>
      <c r="J2411" s="18" t="str">
        <f t="shared" si="150"/>
        <v>June</v>
      </c>
      <c r="K2411" s="56" t="str">
        <f t="shared" si="151"/>
        <v>Sunday</v>
      </c>
      <c r="L2411" s="18" t="str">
        <f>IF(OR(G2411&gt;Answers!I2426,G2411&lt;Answers!I2427),"Outlier","Normal")</f>
        <v>Outlier</v>
      </c>
      <c r="M2411" s="18">
        <v>61</v>
      </c>
    </row>
    <row r="2412" spans="1:13" ht="20" customHeight="1" x14ac:dyDescent="0.35">
      <c r="A2412" s="17">
        <v>1632433</v>
      </c>
      <c r="B2412" s="18">
        <v>520</v>
      </c>
      <c r="C2412" s="23" t="s">
        <v>105</v>
      </c>
      <c r="D2412" s="27">
        <v>45204.003472222219</v>
      </c>
      <c r="E2412" s="18" t="s">
        <v>98</v>
      </c>
      <c r="F2412" s="18" t="s">
        <v>27</v>
      </c>
      <c r="G2412" s="18">
        <v>2927</v>
      </c>
      <c r="H2412" s="25">
        <f t="shared" si="148"/>
        <v>45204</v>
      </c>
      <c r="I2412" s="26">
        <f t="shared" si="149"/>
        <v>3.4722222189884633E-3</v>
      </c>
      <c r="J2412" s="18" t="str">
        <f t="shared" si="150"/>
        <v>October</v>
      </c>
      <c r="K2412" s="56" t="str">
        <f t="shared" si="151"/>
        <v>Thursday</v>
      </c>
      <c r="L2412" s="18" t="str">
        <f>IF(OR(G2412&gt;Answers!I2427,G2412&lt;Answers!I2428),"Outlier","Normal")</f>
        <v>Outlier</v>
      </c>
      <c r="M2412" s="18">
        <v>81</v>
      </c>
    </row>
    <row r="2413" spans="1:13" ht="20" customHeight="1" x14ac:dyDescent="0.35">
      <c r="A2413" s="17">
        <v>1632791</v>
      </c>
      <c r="B2413" s="18">
        <v>1581</v>
      </c>
      <c r="C2413" s="23" t="s">
        <v>99</v>
      </c>
      <c r="D2413" s="27">
        <v>45209.977083333331</v>
      </c>
      <c r="E2413" s="18" t="s">
        <v>96</v>
      </c>
      <c r="F2413" s="18" t="s">
        <v>30</v>
      </c>
      <c r="G2413" s="18">
        <v>3408</v>
      </c>
      <c r="H2413" s="25">
        <f t="shared" si="148"/>
        <v>45209</v>
      </c>
      <c r="I2413" s="26">
        <f t="shared" si="149"/>
        <v>0.97708333333139308</v>
      </c>
      <c r="J2413" s="18" t="str">
        <f t="shared" si="150"/>
        <v>October</v>
      </c>
      <c r="K2413" s="56" t="str">
        <f t="shared" si="151"/>
        <v>Tuesday</v>
      </c>
      <c r="L2413" s="18" t="str">
        <f>IF(OR(G2413&gt;Answers!I2428,G2413&lt;Answers!I2429),"Outlier","Normal")</f>
        <v>Outlier</v>
      </c>
      <c r="M2413" s="18">
        <v>79</v>
      </c>
    </row>
    <row r="2414" spans="1:13" ht="20" customHeight="1" x14ac:dyDescent="0.35">
      <c r="A2414" s="17">
        <v>1633524</v>
      </c>
      <c r="B2414" s="18">
        <v>1801</v>
      </c>
      <c r="C2414" s="23" t="s">
        <v>105</v>
      </c>
      <c r="D2414" s="27">
        <v>45119.007638888892</v>
      </c>
      <c r="E2414" s="18" t="s">
        <v>97</v>
      </c>
      <c r="F2414" s="18" t="s">
        <v>74</v>
      </c>
      <c r="G2414" s="18">
        <v>6028</v>
      </c>
      <c r="H2414" s="25">
        <f t="shared" si="148"/>
        <v>45119</v>
      </c>
      <c r="I2414" s="26">
        <f t="shared" si="149"/>
        <v>7.6388888919609599E-3</v>
      </c>
      <c r="J2414" s="18" t="str">
        <f t="shared" si="150"/>
        <v>July</v>
      </c>
      <c r="K2414" s="56" t="str">
        <f t="shared" si="151"/>
        <v>Wednesday</v>
      </c>
      <c r="L2414" s="18" t="str">
        <f>IF(OR(G2414&gt;Answers!I2429,G2414&lt;Answers!I2430),"Outlier","Normal")</f>
        <v>Outlier</v>
      </c>
      <c r="M2414" s="18">
        <v>53</v>
      </c>
    </row>
    <row r="2415" spans="1:13" ht="20" customHeight="1" x14ac:dyDescent="0.35">
      <c r="A2415" s="17">
        <v>1635379</v>
      </c>
      <c r="B2415" s="18">
        <v>1673</v>
      </c>
      <c r="C2415" s="23" t="s">
        <v>105</v>
      </c>
      <c r="D2415" s="27">
        <v>45028.033333333333</v>
      </c>
      <c r="E2415" s="18" t="s">
        <v>133</v>
      </c>
      <c r="F2415" s="18" t="s">
        <v>54</v>
      </c>
      <c r="G2415" s="18">
        <v>5543</v>
      </c>
      <c r="H2415" s="25">
        <f t="shared" si="148"/>
        <v>45028</v>
      </c>
      <c r="I2415" s="26">
        <f t="shared" si="149"/>
        <v>3.3333333332848269E-2</v>
      </c>
      <c r="J2415" s="18" t="str">
        <f t="shared" si="150"/>
        <v>April</v>
      </c>
      <c r="K2415" s="56" t="str">
        <f t="shared" si="151"/>
        <v>Wednesday</v>
      </c>
      <c r="L2415" s="18" t="str">
        <f>IF(OR(G2415&gt;Answers!I2430,G2415&lt;Answers!I2431),"Outlier","Normal")</f>
        <v>Outlier</v>
      </c>
      <c r="M2415" s="18">
        <v>30</v>
      </c>
    </row>
    <row r="2416" spans="1:13" ht="20" customHeight="1" x14ac:dyDescent="0.35">
      <c r="A2416" s="17">
        <v>1635597</v>
      </c>
      <c r="B2416" s="18">
        <v>1235</v>
      </c>
      <c r="C2416" s="23" t="s">
        <v>106</v>
      </c>
      <c r="D2416" s="27">
        <v>45172.964583333334</v>
      </c>
      <c r="E2416" s="18" t="s">
        <v>133</v>
      </c>
      <c r="F2416" s="18" t="s">
        <v>38</v>
      </c>
      <c r="G2416" s="18">
        <v>7590</v>
      </c>
      <c r="H2416" s="25">
        <f t="shared" si="148"/>
        <v>45172</v>
      </c>
      <c r="I2416" s="26">
        <f t="shared" si="149"/>
        <v>0.96458333333430346</v>
      </c>
      <c r="J2416" s="18" t="str">
        <f t="shared" si="150"/>
        <v>September</v>
      </c>
      <c r="K2416" s="56" t="str">
        <f t="shared" si="151"/>
        <v>Sunday</v>
      </c>
      <c r="L2416" s="18" t="str">
        <f>IF(OR(G2416&gt;Answers!I2431,G2416&lt;Answers!I2432),"Outlier","Normal")</f>
        <v>Outlier</v>
      </c>
      <c r="M2416" s="18">
        <v>69</v>
      </c>
    </row>
    <row r="2417" spans="1:13" ht="20" customHeight="1" x14ac:dyDescent="0.35">
      <c r="A2417" s="17">
        <v>1635802</v>
      </c>
      <c r="B2417" s="18">
        <v>1031</v>
      </c>
      <c r="C2417" s="23" t="s">
        <v>101</v>
      </c>
      <c r="D2417" s="27">
        <v>45287.994444444441</v>
      </c>
      <c r="E2417" s="18" t="s">
        <v>98</v>
      </c>
      <c r="F2417" s="18" t="s">
        <v>34</v>
      </c>
      <c r="G2417" s="18">
        <v>67</v>
      </c>
      <c r="H2417" s="25">
        <f t="shared" si="148"/>
        <v>45287</v>
      </c>
      <c r="I2417" s="26">
        <f t="shared" si="149"/>
        <v>0.99444444444088731</v>
      </c>
      <c r="J2417" s="18" t="str">
        <f t="shared" si="150"/>
        <v>December</v>
      </c>
      <c r="K2417" s="56" t="str">
        <f t="shared" si="151"/>
        <v>Wednesday</v>
      </c>
      <c r="L2417" s="18" t="str">
        <f>IF(OR(G2417&gt;Answers!I2432,G2417&lt;Answers!I2433),"Outlier","Normal")</f>
        <v>Outlier</v>
      </c>
      <c r="M2417" s="18">
        <v>40</v>
      </c>
    </row>
    <row r="2418" spans="1:13" ht="20" customHeight="1" x14ac:dyDescent="0.35">
      <c r="A2418" s="17">
        <v>1638003</v>
      </c>
      <c r="B2418" s="18">
        <v>291</v>
      </c>
      <c r="C2418" s="23" t="s">
        <v>113</v>
      </c>
      <c r="D2418" s="27">
        <v>45260.949305555558</v>
      </c>
      <c r="E2418" s="18" t="s">
        <v>133</v>
      </c>
      <c r="F2418" s="18" t="s">
        <v>79</v>
      </c>
      <c r="G2418" s="18">
        <v>4753</v>
      </c>
      <c r="H2418" s="25">
        <f t="shared" si="148"/>
        <v>45260</v>
      </c>
      <c r="I2418" s="26">
        <f t="shared" si="149"/>
        <v>0.9493055555576575</v>
      </c>
      <c r="J2418" s="18" t="str">
        <f t="shared" si="150"/>
        <v>November</v>
      </c>
      <c r="K2418" s="56" t="str">
        <f t="shared" si="151"/>
        <v>Thursday</v>
      </c>
      <c r="L2418" s="18" t="str">
        <f>IF(OR(G2418&gt;Answers!I2433,G2418&lt;Answers!I2434),"Outlier","Normal")</f>
        <v>Outlier</v>
      </c>
      <c r="M2418" s="18">
        <v>44</v>
      </c>
    </row>
    <row r="2419" spans="1:13" ht="20" customHeight="1" x14ac:dyDescent="0.35">
      <c r="A2419" s="17">
        <v>1638963</v>
      </c>
      <c r="B2419" s="18">
        <v>1152</v>
      </c>
      <c r="C2419" s="23" t="s">
        <v>105</v>
      </c>
      <c r="D2419" s="27">
        <v>44991.063888888886</v>
      </c>
      <c r="E2419" s="18" t="s">
        <v>98</v>
      </c>
      <c r="F2419" s="18" t="s">
        <v>76</v>
      </c>
      <c r="G2419" s="18">
        <v>1352</v>
      </c>
      <c r="H2419" s="25">
        <f t="shared" si="148"/>
        <v>44991</v>
      </c>
      <c r="I2419" s="26">
        <f t="shared" si="149"/>
        <v>6.3888888886140194E-2</v>
      </c>
      <c r="J2419" s="18" t="str">
        <f t="shared" si="150"/>
        <v>March</v>
      </c>
      <c r="K2419" s="56" t="str">
        <f t="shared" si="151"/>
        <v>Monday</v>
      </c>
      <c r="L2419" s="18" t="str">
        <f>IF(OR(G2419&gt;Answers!I2434,G2419&lt;Answers!I2435),"Outlier","Normal")</f>
        <v>Outlier</v>
      </c>
      <c r="M2419" s="18">
        <v>67</v>
      </c>
    </row>
    <row r="2420" spans="1:13" ht="20" customHeight="1" x14ac:dyDescent="0.35">
      <c r="A2420" s="17">
        <v>1639546</v>
      </c>
      <c r="B2420" s="18">
        <v>1491</v>
      </c>
      <c r="C2420" s="23" t="s">
        <v>99</v>
      </c>
      <c r="D2420" s="27">
        <v>45045.958333333336</v>
      </c>
      <c r="E2420" s="18" t="s">
        <v>97</v>
      </c>
      <c r="F2420" s="18" t="s">
        <v>77</v>
      </c>
      <c r="G2420" s="18">
        <v>4460</v>
      </c>
      <c r="H2420" s="25">
        <f t="shared" si="148"/>
        <v>45045</v>
      </c>
      <c r="I2420" s="26">
        <f t="shared" si="149"/>
        <v>0.95833333333575865</v>
      </c>
      <c r="J2420" s="18" t="str">
        <f t="shared" si="150"/>
        <v>April</v>
      </c>
      <c r="K2420" s="56" t="str">
        <f t="shared" si="151"/>
        <v>Saturday</v>
      </c>
      <c r="L2420" s="18" t="str">
        <f>IF(OR(G2420&gt;Answers!I2435,G2420&lt;Answers!I2436),"Outlier","Normal")</f>
        <v>Outlier</v>
      </c>
      <c r="M2420" s="18">
        <v>67</v>
      </c>
    </row>
    <row r="2421" spans="1:13" ht="20" customHeight="1" x14ac:dyDescent="0.35">
      <c r="A2421" s="17">
        <v>1639990</v>
      </c>
      <c r="B2421" s="18">
        <v>1616</v>
      </c>
      <c r="C2421" s="23" t="s">
        <v>99</v>
      </c>
      <c r="D2421" s="27">
        <v>45046.05972222222</v>
      </c>
      <c r="E2421" s="18" t="s">
        <v>133</v>
      </c>
      <c r="F2421" s="18" t="s">
        <v>22</v>
      </c>
      <c r="G2421" s="18">
        <v>3972</v>
      </c>
      <c r="H2421" s="25">
        <f t="shared" si="148"/>
        <v>45046</v>
      </c>
      <c r="I2421" s="26">
        <f t="shared" si="149"/>
        <v>5.9722222220443655E-2</v>
      </c>
      <c r="J2421" s="18" t="str">
        <f t="shared" si="150"/>
        <v>April</v>
      </c>
      <c r="K2421" s="56" t="str">
        <f t="shared" si="151"/>
        <v>Sunday</v>
      </c>
      <c r="L2421" s="18" t="str">
        <f>IF(OR(G2421&gt;Answers!I2436,G2421&lt;Answers!I2437),"Outlier","Normal")</f>
        <v>Outlier</v>
      </c>
      <c r="M2421" s="18">
        <v>38</v>
      </c>
    </row>
    <row r="2422" spans="1:13" ht="20" customHeight="1" x14ac:dyDescent="0.35">
      <c r="A2422" s="17">
        <v>1640444</v>
      </c>
      <c r="B2422" s="18">
        <v>823</v>
      </c>
      <c r="C2422" s="23" t="s">
        <v>100</v>
      </c>
      <c r="D2422" s="27">
        <v>44960.995833333334</v>
      </c>
      <c r="E2422" s="18" t="s">
        <v>98</v>
      </c>
      <c r="F2422" s="18" t="s">
        <v>43</v>
      </c>
      <c r="G2422" s="18">
        <v>6055</v>
      </c>
      <c r="H2422" s="25">
        <f t="shared" si="148"/>
        <v>44960</v>
      </c>
      <c r="I2422" s="26">
        <f t="shared" si="149"/>
        <v>0.99583333333430346</v>
      </c>
      <c r="J2422" s="18" t="str">
        <f t="shared" si="150"/>
        <v>February</v>
      </c>
      <c r="K2422" s="56" t="str">
        <f t="shared" si="151"/>
        <v>Friday</v>
      </c>
      <c r="L2422" s="18" t="str">
        <f>IF(OR(G2422&gt;Answers!I2437,G2422&lt;Answers!I2438),"Outlier","Normal")</f>
        <v>Outlier</v>
      </c>
      <c r="M2422" s="18">
        <v>63</v>
      </c>
    </row>
    <row r="2423" spans="1:13" ht="20" customHeight="1" x14ac:dyDescent="0.35">
      <c r="A2423" s="17">
        <v>1641043</v>
      </c>
      <c r="B2423" s="18">
        <v>42</v>
      </c>
      <c r="C2423" s="23" t="s">
        <v>105</v>
      </c>
      <c r="D2423" s="27">
        <v>44976.959722222222</v>
      </c>
      <c r="E2423" s="18" t="s">
        <v>96</v>
      </c>
      <c r="F2423" s="18" t="s">
        <v>4</v>
      </c>
      <c r="G2423" s="18">
        <v>8182</v>
      </c>
      <c r="H2423" s="25">
        <f t="shared" si="148"/>
        <v>44976</v>
      </c>
      <c r="I2423" s="26">
        <f t="shared" si="149"/>
        <v>0.95972222222189885</v>
      </c>
      <c r="J2423" s="18" t="str">
        <f t="shared" si="150"/>
        <v>February</v>
      </c>
      <c r="K2423" s="56" t="str">
        <f t="shared" si="151"/>
        <v>Sunday</v>
      </c>
      <c r="L2423" s="18" t="str">
        <f>IF(OR(G2423&gt;Answers!I2438,G2423&lt;Answers!I2439),"Outlier","Normal")</f>
        <v>Outlier</v>
      </c>
      <c r="M2423" s="18">
        <v>43</v>
      </c>
    </row>
    <row r="2424" spans="1:13" ht="20" customHeight="1" x14ac:dyDescent="0.35">
      <c r="A2424" s="17">
        <v>1641217</v>
      </c>
      <c r="B2424" s="18">
        <v>1098</v>
      </c>
      <c r="C2424" s="23" t="s">
        <v>106</v>
      </c>
      <c r="D2424" s="27">
        <v>45052.030555555553</v>
      </c>
      <c r="E2424" s="18" t="s">
        <v>98</v>
      </c>
      <c r="F2424" s="18" t="s">
        <v>81</v>
      </c>
      <c r="G2424" s="18">
        <v>8834</v>
      </c>
      <c r="H2424" s="25">
        <f t="shared" si="148"/>
        <v>45052</v>
      </c>
      <c r="I2424" s="26">
        <f t="shared" si="149"/>
        <v>3.0555555553291924E-2</v>
      </c>
      <c r="J2424" s="18" t="str">
        <f t="shared" si="150"/>
        <v>May</v>
      </c>
      <c r="K2424" s="56" t="str">
        <f t="shared" si="151"/>
        <v>Saturday</v>
      </c>
      <c r="L2424" s="18" t="str">
        <f>IF(OR(G2424&gt;Answers!I2439,G2424&lt;Answers!I2440),"Outlier","Normal")</f>
        <v>Outlier</v>
      </c>
      <c r="M2424" s="18">
        <v>31</v>
      </c>
    </row>
    <row r="2425" spans="1:13" ht="20" customHeight="1" x14ac:dyDescent="0.35">
      <c r="A2425" s="17">
        <v>1642122</v>
      </c>
      <c r="B2425" s="18">
        <v>143</v>
      </c>
      <c r="C2425" s="23" t="s">
        <v>99</v>
      </c>
      <c r="D2425" s="27">
        <v>45227.011805555558</v>
      </c>
      <c r="E2425" s="18" t="s">
        <v>97</v>
      </c>
      <c r="F2425" s="18" t="s">
        <v>82</v>
      </c>
      <c r="G2425" s="18">
        <v>819</v>
      </c>
      <c r="H2425" s="25">
        <f t="shared" si="148"/>
        <v>45227</v>
      </c>
      <c r="I2425" s="26">
        <f t="shared" si="149"/>
        <v>1.1805555557657499E-2</v>
      </c>
      <c r="J2425" s="18" t="str">
        <f t="shared" si="150"/>
        <v>October</v>
      </c>
      <c r="K2425" s="56" t="str">
        <f t="shared" si="151"/>
        <v>Saturday</v>
      </c>
      <c r="L2425" s="18" t="str">
        <f>IF(OR(G2425&gt;Answers!I2440,G2425&lt;Answers!I2441),"Outlier","Normal")</f>
        <v>Outlier</v>
      </c>
      <c r="M2425" s="18">
        <v>46</v>
      </c>
    </row>
    <row r="2426" spans="1:13" ht="20" customHeight="1" x14ac:dyDescent="0.35">
      <c r="A2426" s="17">
        <v>1642131</v>
      </c>
      <c r="B2426" s="18">
        <v>368</v>
      </c>
      <c r="C2426" s="23" t="s">
        <v>102</v>
      </c>
      <c r="D2426" s="27">
        <v>45123.013888888891</v>
      </c>
      <c r="E2426" s="18" t="s">
        <v>96</v>
      </c>
      <c r="F2426" s="18" t="s">
        <v>21</v>
      </c>
      <c r="G2426" s="18">
        <v>419</v>
      </c>
      <c r="H2426" s="25">
        <f t="shared" si="148"/>
        <v>45123</v>
      </c>
      <c r="I2426" s="26">
        <f t="shared" si="149"/>
        <v>1.3888888890505768E-2</v>
      </c>
      <c r="J2426" s="18" t="str">
        <f t="shared" si="150"/>
        <v>July</v>
      </c>
      <c r="K2426" s="56" t="str">
        <f t="shared" si="151"/>
        <v>Sunday</v>
      </c>
      <c r="L2426" s="18" t="str">
        <f>IF(OR(G2426&gt;Answers!I2441,G2426&lt;Answers!I2442),"Outlier","Normal")</f>
        <v>Outlier</v>
      </c>
      <c r="M2426" s="18">
        <v>58</v>
      </c>
    </row>
    <row r="2427" spans="1:13" ht="20" customHeight="1" x14ac:dyDescent="0.35">
      <c r="A2427" s="17">
        <v>1642677</v>
      </c>
      <c r="B2427" s="18">
        <v>387</v>
      </c>
      <c r="C2427" s="23" t="s">
        <v>101</v>
      </c>
      <c r="D2427" s="27">
        <v>44961.965277777781</v>
      </c>
      <c r="E2427" s="18" t="s">
        <v>97</v>
      </c>
      <c r="F2427" s="18" t="s">
        <v>31</v>
      </c>
      <c r="G2427" s="18">
        <v>8906</v>
      </c>
      <c r="H2427" s="25">
        <f t="shared" si="148"/>
        <v>44961</v>
      </c>
      <c r="I2427" s="26">
        <f t="shared" si="149"/>
        <v>0.96527777778101154</v>
      </c>
      <c r="J2427" s="18" t="str">
        <f t="shared" si="150"/>
        <v>February</v>
      </c>
      <c r="K2427" s="56" t="str">
        <f t="shared" si="151"/>
        <v>Saturday</v>
      </c>
      <c r="L2427" s="18" t="str">
        <f>IF(OR(G2427&gt;Answers!I2442,G2427&lt;Answers!I2443),"Outlier","Normal")</f>
        <v>Outlier</v>
      </c>
      <c r="M2427" s="18">
        <v>41</v>
      </c>
    </row>
    <row r="2428" spans="1:13" ht="20" customHeight="1" x14ac:dyDescent="0.35">
      <c r="A2428" s="17">
        <v>1643238</v>
      </c>
      <c r="B2428" s="18">
        <v>455</v>
      </c>
      <c r="C2428" s="23" t="s">
        <v>109</v>
      </c>
      <c r="D2428" s="27">
        <v>45016.083333333336</v>
      </c>
      <c r="E2428" s="18" t="s">
        <v>133</v>
      </c>
      <c r="F2428" s="18" t="s">
        <v>27</v>
      </c>
      <c r="G2428" s="18">
        <v>3777</v>
      </c>
      <c r="H2428" s="25">
        <f t="shared" si="148"/>
        <v>45016</v>
      </c>
      <c r="I2428" s="26">
        <f t="shared" si="149"/>
        <v>8.3333333335758653E-2</v>
      </c>
      <c r="J2428" s="18" t="str">
        <f t="shared" si="150"/>
        <v>March</v>
      </c>
      <c r="K2428" s="56" t="str">
        <f t="shared" si="151"/>
        <v>Friday</v>
      </c>
      <c r="L2428" s="18" t="str">
        <f>IF(OR(G2428&gt;Answers!I2443,G2428&lt;Answers!I2444),"Outlier","Normal")</f>
        <v>Outlier</v>
      </c>
      <c r="M2428" s="18">
        <v>52</v>
      </c>
    </row>
    <row r="2429" spans="1:13" ht="20" customHeight="1" x14ac:dyDescent="0.35">
      <c r="A2429" s="17">
        <v>1643298</v>
      </c>
      <c r="B2429" s="18">
        <v>1699</v>
      </c>
      <c r="C2429" s="23" t="s">
        <v>101</v>
      </c>
      <c r="D2429" s="27">
        <v>45035.989583333336</v>
      </c>
      <c r="E2429" s="18" t="s">
        <v>98</v>
      </c>
      <c r="F2429" s="18" t="s">
        <v>5</v>
      </c>
      <c r="G2429" s="18">
        <v>6207</v>
      </c>
      <c r="H2429" s="25">
        <f t="shared" si="148"/>
        <v>45035</v>
      </c>
      <c r="I2429" s="26">
        <f t="shared" si="149"/>
        <v>0.98958333333575865</v>
      </c>
      <c r="J2429" s="18" t="str">
        <f t="shared" si="150"/>
        <v>April</v>
      </c>
      <c r="K2429" s="56" t="str">
        <f t="shared" si="151"/>
        <v>Wednesday</v>
      </c>
      <c r="L2429" s="18" t="str">
        <f>IF(OR(G2429&gt;Answers!I2444,G2429&lt;Answers!I2445),"Outlier","Normal")</f>
        <v>Outlier</v>
      </c>
      <c r="M2429" s="18">
        <v>21</v>
      </c>
    </row>
    <row r="2430" spans="1:13" ht="20" customHeight="1" x14ac:dyDescent="0.35">
      <c r="A2430" s="17">
        <v>1644933</v>
      </c>
      <c r="B2430" s="18">
        <v>164</v>
      </c>
      <c r="C2430" s="23" t="s">
        <v>99</v>
      </c>
      <c r="D2430" s="27">
        <v>45127.020138888889</v>
      </c>
      <c r="E2430" s="18" t="s">
        <v>97</v>
      </c>
      <c r="F2430" s="18" t="s">
        <v>39</v>
      </c>
      <c r="G2430" s="18">
        <v>3831</v>
      </c>
      <c r="H2430" s="25">
        <f t="shared" si="148"/>
        <v>45127</v>
      </c>
      <c r="I2430" s="26">
        <f t="shared" si="149"/>
        <v>2.0138888889050577E-2</v>
      </c>
      <c r="J2430" s="18" t="str">
        <f t="shared" si="150"/>
        <v>July</v>
      </c>
      <c r="K2430" s="56" t="str">
        <f t="shared" si="151"/>
        <v>Thursday</v>
      </c>
      <c r="L2430" s="18" t="str">
        <f>IF(OR(G2430&gt;Answers!I2445,G2430&lt;Answers!I2446),"Outlier","Normal")</f>
        <v>Outlier</v>
      </c>
      <c r="M2430" s="18">
        <v>36</v>
      </c>
    </row>
    <row r="2431" spans="1:13" ht="20" customHeight="1" x14ac:dyDescent="0.35">
      <c r="A2431" s="17">
        <v>1644988</v>
      </c>
      <c r="B2431" s="18">
        <v>1400</v>
      </c>
      <c r="C2431" s="23" t="s">
        <v>99</v>
      </c>
      <c r="D2431" s="27">
        <v>45226.024305555555</v>
      </c>
      <c r="E2431" s="18" t="s">
        <v>98</v>
      </c>
      <c r="F2431" s="18" t="s">
        <v>27</v>
      </c>
      <c r="G2431" s="18">
        <v>523</v>
      </c>
      <c r="H2431" s="25">
        <f t="shared" si="148"/>
        <v>45226</v>
      </c>
      <c r="I2431" s="26">
        <f t="shared" si="149"/>
        <v>2.4305555554747116E-2</v>
      </c>
      <c r="J2431" s="18" t="str">
        <f t="shared" si="150"/>
        <v>October</v>
      </c>
      <c r="K2431" s="56" t="str">
        <f t="shared" si="151"/>
        <v>Friday</v>
      </c>
      <c r="L2431" s="18" t="str">
        <f>IF(OR(G2431&gt;Answers!I2446,G2431&lt;Answers!I2447),"Outlier","Normal")</f>
        <v>Outlier</v>
      </c>
      <c r="M2431" s="18">
        <v>34</v>
      </c>
    </row>
    <row r="2432" spans="1:13" ht="20" customHeight="1" x14ac:dyDescent="0.35">
      <c r="A2432" s="17">
        <v>1646606</v>
      </c>
      <c r="B2432" s="18">
        <v>654</v>
      </c>
      <c r="C2432" s="23" t="s">
        <v>100</v>
      </c>
      <c r="D2432" s="27">
        <v>45243.981249999997</v>
      </c>
      <c r="E2432" s="18" t="s">
        <v>97</v>
      </c>
      <c r="F2432" s="18" t="s">
        <v>6</v>
      </c>
      <c r="G2432" s="18">
        <v>673</v>
      </c>
      <c r="H2432" s="25">
        <f t="shared" si="148"/>
        <v>45243</v>
      </c>
      <c r="I2432" s="26">
        <f t="shared" si="149"/>
        <v>0.98124999999708962</v>
      </c>
      <c r="J2432" s="18" t="str">
        <f t="shared" si="150"/>
        <v>November</v>
      </c>
      <c r="K2432" s="56" t="str">
        <f t="shared" si="151"/>
        <v>Monday</v>
      </c>
      <c r="L2432" s="18" t="str">
        <f>IF(OR(G2432&gt;Answers!I2447,G2432&lt;Answers!I2448),"Outlier","Normal")</f>
        <v>Outlier</v>
      </c>
      <c r="M2432" s="18">
        <v>51</v>
      </c>
    </row>
    <row r="2433" spans="1:13" ht="20" customHeight="1" x14ac:dyDescent="0.35">
      <c r="A2433" s="17">
        <v>1646930</v>
      </c>
      <c r="B2433" s="18">
        <v>146</v>
      </c>
      <c r="C2433" s="23" t="s">
        <v>103</v>
      </c>
      <c r="D2433" s="27">
        <v>45087.04791666667</v>
      </c>
      <c r="E2433" s="18" t="s">
        <v>96</v>
      </c>
      <c r="F2433" s="18" t="s">
        <v>17</v>
      </c>
      <c r="G2433" s="18">
        <v>5619</v>
      </c>
      <c r="H2433" s="25">
        <f t="shared" si="148"/>
        <v>45087</v>
      </c>
      <c r="I2433" s="26">
        <f t="shared" si="149"/>
        <v>4.7916666670062114E-2</v>
      </c>
      <c r="J2433" s="18" t="str">
        <f t="shared" si="150"/>
        <v>June</v>
      </c>
      <c r="K2433" s="56" t="str">
        <f t="shared" si="151"/>
        <v>Saturday</v>
      </c>
      <c r="L2433" s="18" t="str">
        <f>IF(OR(G2433&gt;Answers!I2448,G2433&lt;Answers!I2449),"Outlier","Normal")</f>
        <v>Outlier</v>
      </c>
      <c r="M2433" s="18">
        <v>85</v>
      </c>
    </row>
    <row r="2434" spans="1:13" ht="20" customHeight="1" x14ac:dyDescent="0.35">
      <c r="A2434" s="17">
        <v>1646954</v>
      </c>
      <c r="B2434" s="18">
        <v>275</v>
      </c>
      <c r="C2434" s="23" t="s">
        <v>107</v>
      </c>
      <c r="D2434" s="27">
        <v>44949.023611111108</v>
      </c>
      <c r="E2434" s="18" t="s">
        <v>98</v>
      </c>
      <c r="F2434" s="18" t="s">
        <v>70</v>
      </c>
      <c r="G2434" s="18">
        <v>4944</v>
      </c>
      <c r="H2434" s="25">
        <f t="shared" si="148"/>
        <v>44949</v>
      </c>
      <c r="I2434" s="26">
        <f t="shared" si="149"/>
        <v>2.361111110803904E-2</v>
      </c>
      <c r="J2434" s="18" t="str">
        <f t="shared" si="150"/>
        <v>January</v>
      </c>
      <c r="K2434" s="56" t="str">
        <f t="shared" si="151"/>
        <v>Monday</v>
      </c>
      <c r="L2434" s="18" t="str">
        <f>IF(OR(G2434&gt;Answers!I2449,G2434&lt;Answers!I2450),"Outlier","Normal")</f>
        <v>Outlier</v>
      </c>
      <c r="M2434" s="18">
        <v>42</v>
      </c>
    </row>
    <row r="2435" spans="1:13" ht="20" customHeight="1" x14ac:dyDescent="0.35">
      <c r="A2435" s="17">
        <v>1647290</v>
      </c>
      <c r="B2435" s="18">
        <v>1451</v>
      </c>
      <c r="C2435" s="23" t="s">
        <v>99</v>
      </c>
      <c r="D2435" s="27">
        <v>45236.00277777778</v>
      </c>
      <c r="E2435" s="18" t="s">
        <v>96</v>
      </c>
      <c r="F2435" s="18" t="s">
        <v>5</v>
      </c>
      <c r="G2435" s="18">
        <v>4573</v>
      </c>
      <c r="H2435" s="25">
        <f t="shared" ref="H2435:H2498" si="152">INT(D2435)</f>
        <v>45236</v>
      </c>
      <c r="I2435" s="26">
        <f t="shared" ref="I2435:I2498" si="153">MOD(D2435,1)</f>
        <v>2.7777777795563452E-3</v>
      </c>
      <c r="J2435" s="18" t="str">
        <f t="shared" ref="J2435:J2498" si="154">TEXT(D2435,"mmmm")</f>
        <v>November</v>
      </c>
      <c r="K2435" s="56" t="str">
        <f t="shared" ref="K2435:K2498" si="155">TEXT(D2435,"dddd")</f>
        <v>Monday</v>
      </c>
      <c r="L2435" s="18" t="str">
        <f>IF(OR(G2435&gt;Answers!I2450,G2435&lt;Answers!I2451),"Outlier","Normal")</f>
        <v>Outlier</v>
      </c>
      <c r="M2435" s="18">
        <v>51</v>
      </c>
    </row>
    <row r="2436" spans="1:13" ht="20" customHeight="1" x14ac:dyDescent="0.35">
      <c r="A2436" s="17">
        <v>1648180</v>
      </c>
      <c r="B2436" s="18">
        <v>993</v>
      </c>
      <c r="C2436" s="23" t="s">
        <v>102</v>
      </c>
      <c r="D2436" s="27">
        <v>44928.019444444442</v>
      </c>
      <c r="E2436" s="18" t="s">
        <v>97</v>
      </c>
      <c r="F2436" s="18" t="s">
        <v>43</v>
      </c>
      <c r="G2436" s="18">
        <v>4526</v>
      </c>
      <c r="H2436" s="25">
        <f t="shared" si="152"/>
        <v>44928</v>
      </c>
      <c r="I2436" s="26">
        <f t="shared" si="153"/>
        <v>1.9444444442342501E-2</v>
      </c>
      <c r="J2436" s="18" t="str">
        <f t="shared" si="154"/>
        <v>January</v>
      </c>
      <c r="K2436" s="56" t="str">
        <f t="shared" si="155"/>
        <v>Monday</v>
      </c>
      <c r="L2436" s="18" t="str">
        <f>IF(OR(G2436&gt;Answers!I2451,G2436&lt;Answers!I2452),"Outlier","Normal")</f>
        <v>Outlier</v>
      </c>
      <c r="M2436" s="18">
        <v>86</v>
      </c>
    </row>
    <row r="2437" spans="1:13" ht="20" customHeight="1" x14ac:dyDescent="0.35">
      <c r="A2437" s="17">
        <v>1648466</v>
      </c>
      <c r="B2437" s="18">
        <v>842</v>
      </c>
      <c r="C2437" s="23" t="s">
        <v>100</v>
      </c>
      <c r="D2437" s="27">
        <v>44948.990972222222</v>
      </c>
      <c r="E2437" s="18" t="s">
        <v>133</v>
      </c>
      <c r="F2437" s="18" t="s">
        <v>7</v>
      </c>
      <c r="G2437" s="18">
        <v>3076</v>
      </c>
      <c r="H2437" s="25">
        <f t="shared" si="152"/>
        <v>44948</v>
      </c>
      <c r="I2437" s="26">
        <f t="shared" si="153"/>
        <v>0.99097222222189885</v>
      </c>
      <c r="J2437" s="18" t="str">
        <f t="shared" si="154"/>
        <v>January</v>
      </c>
      <c r="K2437" s="56" t="str">
        <f t="shared" si="155"/>
        <v>Sunday</v>
      </c>
      <c r="L2437" s="18" t="str">
        <f>IF(OR(G2437&gt;Answers!I2452,G2437&lt;Answers!I2453),"Outlier","Normal")</f>
        <v>Outlier</v>
      </c>
      <c r="M2437" s="18">
        <v>41</v>
      </c>
    </row>
    <row r="2438" spans="1:13" ht="20" customHeight="1" x14ac:dyDescent="0.35">
      <c r="A2438" s="17">
        <v>1649120</v>
      </c>
      <c r="B2438" s="18">
        <v>74</v>
      </c>
      <c r="C2438" s="23" t="s">
        <v>99</v>
      </c>
      <c r="D2438" s="27">
        <v>45030.019444444442</v>
      </c>
      <c r="E2438" s="18" t="s">
        <v>97</v>
      </c>
      <c r="F2438" s="18" t="s">
        <v>8</v>
      </c>
      <c r="G2438" s="18">
        <v>4798</v>
      </c>
      <c r="H2438" s="25">
        <f t="shared" si="152"/>
        <v>45030</v>
      </c>
      <c r="I2438" s="26">
        <f t="shared" si="153"/>
        <v>1.9444444442342501E-2</v>
      </c>
      <c r="J2438" s="18" t="str">
        <f t="shared" si="154"/>
        <v>April</v>
      </c>
      <c r="K2438" s="56" t="str">
        <f t="shared" si="155"/>
        <v>Friday</v>
      </c>
      <c r="L2438" s="18" t="str">
        <f>IF(OR(G2438&gt;Answers!I2453,G2438&lt;Answers!I2454),"Outlier","Normal")</f>
        <v>Outlier</v>
      </c>
      <c r="M2438" s="18">
        <v>28</v>
      </c>
    </row>
    <row r="2439" spans="1:13" ht="20" customHeight="1" x14ac:dyDescent="0.35">
      <c r="A2439" s="17">
        <v>1649225</v>
      </c>
      <c r="B2439" s="18">
        <v>859</v>
      </c>
      <c r="C2439" s="23" t="s">
        <v>99</v>
      </c>
      <c r="D2439" s="27">
        <v>45181.961805555555</v>
      </c>
      <c r="E2439" s="18" t="s">
        <v>96</v>
      </c>
      <c r="F2439" s="18" t="s">
        <v>46</v>
      </c>
      <c r="G2439" s="18">
        <v>811</v>
      </c>
      <c r="H2439" s="25">
        <f t="shared" si="152"/>
        <v>45181</v>
      </c>
      <c r="I2439" s="26">
        <f t="shared" si="153"/>
        <v>0.96180555555474712</v>
      </c>
      <c r="J2439" s="18" t="str">
        <f t="shared" si="154"/>
        <v>September</v>
      </c>
      <c r="K2439" s="56" t="str">
        <f t="shared" si="155"/>
        <v>Tuesday</v>
      </c>
      <c r="L2439" s="18" t="str">
        <f>IF(OR(G2439&gt;Answers!I2454,G2439&lt;Answers!I2455),"Outlier","Normal")</f>
        <v>Outlier</v>
      </c>
      <c r="M2439" s="18">
        <v>34</v>
      </c>
    </row>
    <row r="2440" spans="1:13" ht="20" customHeight="1" x14ac:dyDescent="0.35">
      <c r="A2440" s="17">
        <v>1650492</v>
      </c>
      <c r="B2440" s="18">
        <v>473</v>
      </c>
      <c r="C2440" s="23" t="s">
        <v>111</v>
      </c>
      <c r="D2440" s="27">
        <v>45262.011805555558</v>
      </c>
      <c r="E2440" s="18" t="s">
        <v>133</v>
      </c>
      <c r="F2440" s="18" t="s">
        <v>10</v>
      </c>
      <c r="G2440" s="18">
        <v>8148</v>
      </c>
      <c r="H2440" s="25">
        <f t="shared" si="152"/>
        <v>45262</v>
      </c>
      <c r="I2440" s="26">
        <f t="shared" si="153"/>
        <v>1.1805555557657499E-2</v>
      </c>
      <c r="J2440" s="18" t="str">
        <f t="shared" si="154"/>
        <v>December</v>
      </c>
      <c r="K2440" s="56" t="str">
        <f t="shared" si="155"/>
        <v>Saturday</v>
      </c>
      <c r="L2440" s="18" t="str">
        <f>IF(OR(G2440&gt;Answers!I2455,G2440&lt;Answers!I2456),"Outlier","Normal")</f>
        <v>Outlier</v>
      </c>
      <c r="M2440" s="18">
        <v>19</v>
      </c>
    </row>
    <row r="2441" spans="1:13" ht="20" customHeight="1" x14ac:dyDescent="0.35">
      <c r="A2441" s="17">
        <v>1650779</v>
      </c>
      <c r="B2441" s="18">
        <v>1034</v>
      </c>
      <c r="C2441" s="23" t="s">
        <v>107</v>
      </c>
      <c r="D2441" s="27">
        <v>45028.033333333333</v>
      </c>
      <c r="E2441" s="18" t="s">
        <v>96</v>
      </c>
      <c r="F2441" s="18" t="s">
        <v>27</v>
      </c>
      <c r="G2441" s="18">
        <v>8843</v>
      </c>
      <c r="H2441" s="25">
        <f t="shared" si="152"/>
        <v>45028</v>
      </c>
      <c r="I2441" s="26">
        <f t="shared" si="153"/>
        <v>3.3333333332848269E-2</v>
      </c>
      <c r="J2441" s="18" t="str">
        <f t="shared" si="154"/>
        <v>April</v>
      </c>
      <c r="K2441" s="56" t="str">
        <f t="shared" si="155"/>
        <v>Wednesday</v>
      </c>
      <c r="L2441" s="18" t="str">
        <f>IF(OR(G2441&gt;Answers!I2456,G2441&lt;Answers!I2457),"Outlier","Normal")</f>
        <v>Outlier</v>
      </c>
      <c r="M2441" s="18">
        <v>31</v>
      </c>
    </row>
    <row r="2442" spans="1:13" ht="20" customHeight="1" x14ac:dyDescent="0.35">
      <c r="A2442" s="17">
        <v>1651135</v>
      </c>
      <c r="B2442" s="18">
        <v>1845</v>
      </c>
      <c r="C2442" s="23" t="s">
        <v>102</v>
      </c>
      <c r="D2442" s="27">
        <v>45267.006249999999</v>
      </c>
      <c r="E2442" s="18" t="s">
        <v>96</v>
      </c>
      <c r="F2442" s="18" t="s">
        <v>13</v>
      </c>
      <c r="G2442" s="18">
        <v>2721</v>
      </c>
      <c r="H2442" s="25">
        <f t="shared" si="152"/>
        <v>45267</v>
      </c>
      <c r="I2442" s="26">
        <f t="shared" si="153"/>
        <v>6.2499999985448085E-3</v>
      </c>
      <c r="J2442" s="18" t="str">
        <f t="shared" si="154"/>
        <v>December</v>
      </c>
      <c r="K2442" s="56" t="str">
        <f t="shared" si="155"/>
        <v>Thursday</v>
      </c>
      <c r="L2442" s="18" t="str">
        <f>IF(OR(G2442&gt;Answers!I2457,G2442&lt;Answers!I2458),"Outlier","Normal")</f>
        <v>Outlier</v>
      </c>
      <c r="M2442" s="18">
        <v>83</v>
      </c>
    </row>
    <row r="2443" spans="1:13" ht="20" customHeight="1" x14ac:dyDescent="0.35">
      <c r="A2443" s="17">
        <v>1653886</v>
      </c>
      <c r="B2443" s="18">
        <v>1518</v>
      </c>
      <c r="C2443" s="23" t="s">
        <v>99</v>
      </c>
      <c r="D2443" s="27">
        <v>45054.063194444447</v>
      </c>
      <c r="E2443" s="18" t="s">
        <v>96</v>
      </c>
      <c r="F2443" s="18" t="s">
        <v>10</v>
      </c>
      <c r="G2443" s="18">
        <v>8879</v>
      </c>
      <c r="H2443" s="25">
        <f t="shared" si="152"/>
        <v>45054</v>
      </c>
      <c r="I2443" s="26">
        <f t="shared" si="153"/>
        <v>6.3194444446708076E-2</v>
      </c>
      <c r="J2443" s="18" t="str">
        <f t="shared" si="154"/>
        <v>May</v>
      </c>
      <c r="K2443" s="56" t="str">
        <f t="shared" si="155"/>
        <v>Monday</v>
      </c>
      <c r="L2443" s="18" t="str">
        <f>IF(OR(G2443&gt;Answers!I2458,G2443&lt;Answers!I2459),"Outlier","Normal")</f>
        <v>Outlier</v>
      </c>
      <c r="M2443" s="18">
        <v>66</v>
      </c>
    </row>
    <row r="2444" spans="1:13" ht="20" customHeight="1" x14ac:dyDescent="0.35">
      <c r="A2444" s="17">
        <v>1654315</v>
      </c>
      <c r="B2444" s="18">
        <v>762</v>
      </c>
      <c r="C2444" s="23" t="s">
        <v>108</v>
      </c>
      <c r="D2444" s="27">
        <v>45169.013888888891</v>
      </c>
      <c r="E2444" s="18" t="s">
        <v>97</v>
      </c>
      <c r="F2444" s="18" t="s">
        <v>15</v>
      </c>
      <c r="G2444" s="18">
        <v>4846</v>
      </c>
      <c r="H2444" s="25">
        <f t="shared" si="152"/>
        <v>45169</v>
      </c>
      <c r="I2444" s="26">
        <f t="shared" si="153"/>
        <v>1.3888888890505768E-2</v>
      </c>
      <c r="J2444" s="18" t="str">
        <f t="shared" si="154"/>
        <v>August</v>
      </c>
      <c r="K2444" s="56" t="str">
        <f t="shared" si="155"/>
        <v>Thursday</v>
      </c>
      <c r="L2444" s="18" t="str">
        <f>IF(OR(G2444&gt;Answers!I2459,G2444&lt;Answers!I2460),"Outlier","Normal")</f>
        <v>Outlier</v>
      </c>
      <c r="M2444" s="18">
        <v>21</v>
      </c>
    </row>
    <row r="2445" spans="1:13" ht="20" customHeight="1" x14ac:dyDescent="0.35">
      <c r="A2445" s="17">
        <v>1654344</v>
      </c>
      <c r="B2445" s="18">
        <v>1851</v>
      </c>
      <c r="C2445" s="23" t="s">
        <v>105</v>
      </c>
      <c r="D2445" s="27">
        <v>44961.034722222219</v>
      </c>
      <c r="E2445" s="18" t="s">
        <v>97</v>
      </c>
      <c r="F2445" s="18" t="s">
        <v>13</v>
      </c>
      <c r="G2445" s="18">
        <v>1085</v>
      </c>
      <c r="H2445" s="25">
        <f t="shared" si="152"/>
        <v>44961</v>
      </c>
      <c r="I2445" s="26">
        <f t="shared" si="153"/>
        <v>3.4722222218988463E-2</v>
      </c>
      <c r="J2445" s="18" t="str">
        <f t="shared" si="154"/>
        <v>February</v>
      </c>
      <c r="K2445" s="56" t="str">
        <f t="shared" si="155"/>
        <v>Saturday</v>
      </c>
      <c r="L2445" s="18" t="str">
        <f>IF(OR(G2445&gt;Answers!I2460,G2445&lt;Answers!I2461),"Outlier","Normal")</f>
        <v>Outlier</v>
      </c>
      <c r="M2445" s="18">
        <v>76</v>
      </c>
    </row>
    <row r="2446" spans="1:13" ht="20" customHeight="1" x14ac:dyDescent="0.35">
      <c r="A2446" s="17">
        <v>1654679</v>
      </c>
      <c r="B2446" s="18">
        <v>804</v>
      </c>
      <c r="C2446" s="23" t="s">
        <v>109</v>
      </c>
      <c r="D2446" s="27">
        <v>45095.98541666667</v>
      </c>
      <c r="E2446" s="18" t="s">
        <v>96</v>
      </c>
      <c r="F2446" s="18" t="s">
        <v>62</v>
      </c>
      <c r="G2446" s="18">
        <v>8264</v>
      </c>
      <c r="H2446" s="25">
        <f t="shared" si="152"/>
        <v>45095</v>
      </c>
      <c r="I2446" s="26">
        <f t="shared" si="153"/>
        <v>0.98541666667006211</v>
      </c>
      <c r="J2446" s="18" t="str">
        <f t="shared" si="154"/>
        <v>June</v>
      </c>
      <c r="K2446" s="56" t="str">
        <f t="shared" si="155"/>
        <v>Sunday</v>
      </c>
      <c r="L2446" s="18" t="str">
        <f>IF(OR(G2446&gt;Answers!I2461,G2446&lt;Answers!I2462),"Outlier","Normal")</f>
        <v>Outlier</v>
      </c>
      <c r="M2446" s="18">
        <v>56</v>
      </c>
    </row>
    <row r="2447" spans="1:13" ht="20" customHeight="1" x14ac:dyDescent="0.35">
      <c r="A2447" s="17">
        <v>1655697</v>
      </c>
      <c r="B2447" s="18">
        <v>499</v>
      </c>
      <c r="C2447" s="23" t="s">
        <v>101</v>
      </c>
      <c r="D2447" s="27">
        <v>45051.038888888892</v>
      </c>
      <c r="E2447" s="18" t="s">
        <v>96</v>
      </c>
      <c r="F2447" s="18" t="s">
        <v>75</v>
      </c>
      <c r="G2447" s="18">
        <v>3864</v>
      </c>
      <c r="H2447" s="25">
        <f t="shared" si="152"/>
        <v>45051</v>
      </c>
      <c r="I2447" s="26">
        <f t="shared" si="153"/>
        <v>3.888888889196096E-2</v>
      </c>
      <c r="J2447" s="18" t="str">
        <f t="shared" si="154"/>
        <v>May</v>
      </c>
      <c r="K2447" s="56" t="str">
        <f t="shared" si="155"/>
        <v>Friday</v>
      </c>
      <c r="L2447" s="18" t="str">
        <f>IF(OR(G2447&gt;Answers!I2462,G2447&lt;Answers!I2463),"Outlier","Normal")</f>
        <v>Outlier</v>
      </c>
      <c r="M2447" s="18">
        <v>89</v>
      </c>
    </row>
    <row r="2448" spans="1:13" ht="20" customHeight="1" x14ac:dyDescent="0.35">
      <c r="A2448" s="17">
        <v>1656071</v>
      </c>
      <c r="B2448" s="18">
        <v>901</v>
      </c>
      <c r="C2448" s="23" t="s">
        <v>99</v>
      </c>
      <c r="D2448" s="27">
        <v>45235.000694444447</v>
      </c>
      <c r="E2448" s="18" t="s">
        <v>97</v>
      </c>
      <c r="F2448" s="18" t="s">
        <v>19</v>
      </c>
      <c r="G2448" s="18">
        <v>634</v>
      </c>
      <c r="H2448" s="25">
        <f t="shared" si="152"/>
        <v>45235</v>
      </c>
      <c r="I2448" s="26">
        <f t="shared" si="153"/>
        <v>6.944444467080757E-4</v>
      </c>
      <c r="J2448" s="18" t="str">
        <f t="shared" si="154"/>
        <v>November</v>
      </c>
      <c r="K2448" s="56" t="str">
        <f t="shared" si="155"/>
        <v>Sunday</v>
      </c>
      <c r="L2448" s="18" t="str">
        <f>IF(OR(G2448&gt;Answers!I2463,G2448&lt;Answers!I2464),"Outlier","Normal")</f>
        <v>Outlier</v>
      </c>
      <c r="M2448" s="18">
        <v>44</v>
      </c>
    </row>
    <row r="2449" spans="1:13" ht="20" customHeight="1" x14ac:dyDescent="0.35">
      <c r="A2449" s="17">
        <v>1656749</v>
      </c>
      <c r="B2449" s="18">
        <v>316</v>
      </c>
      <c r="C2449" s="23" t="s">
        <v>113</v>
      </c>
      <c r="D2449" s="27">
        <v>45083.013888888891</v>
      </c>
      <c r="E2449" s="18" t="s">
        <v>97</v>
      </c>
      <c r="F2449" s="18" t="s">
        <v>20</v>
      </c>
      <c r="G2449" s="18">
        <v>7917</v>
      </c>
      <c r="H2449" s="25">
        <f t="shared" si="152"/>
        <v>45083</v>
      </c>
      <c r="I2449" s="26">
        <f t="shared" si="153"/>
        <v>1.3888888890505768E-2</v>
      </c>
      <c r="J2449" s="18" t="str">
        <f t="shared" si="154"/>
        <v>June</v>
      </c>
      <c r="K2449" s="56" t="str">
        <f t="shared" si="155"/>
        <v>Tuesday</v>
      </c>
      <c r="L2449" s="18" t="str">
        <f>IF(OR(G2449&gt;Answers!I2464,G2449&lt;Answers!I2465),"Outlier","Normal")</f>
        <v>Outlier</v>
      </c>
      <c r="M2449" s="18">
        <v>89</v>
      </c>
    </row>
    <row r="2450" spans="1:13" ht="20" customHeight="1" x14ac:dyDescent="0.35">
      <c r="A2450" s="17">
        <v>1657013</v>
      </c>
      <c r="B2450" s="18">
        <v>1799</v>
      </c>
      <c r="C2450" s="23" t="s">
        <v>100</v>
      </c>
      <c r="D2450" s="27">
        <v>45031.013194444444</v>
      </c>
      <c r="E2450" s="18" t="s">
        <v>133</v>
      </c>
      <c r="F2450" s="18" t="s">
        <v>21</v>
      </c>
      <c r="G2450" s="18">
        <v>5240</v>
      </c>
      <c r="H2450" s="25">
        <f t="shared" si="152"/>
        <v>45031</v>
      </c>
      <c r="I2450" s="26">
        <f t="shared" si="153"/>
        <v>1.3194444443797693E-2</v>
      </c>
      <c r="J2450" s="18" t="str">
        <f t="shared" si="154"/>
        <v>April</v>
      </c>
      <c r="K2450" s="56" t="str">
        <f t="shared" si="155"/>
        <v>Saturday</v>
      </c>
      <c r="L2450" s="18" t="str">
        <f>IF(OR(G2450&gt;Answers!I2465,G2450&lt;Answers!I2466),"Outlier","Normal")</f>
        <v>Outlier</v>
      </c>
      <c r="M2450" s="18">
        <v>75</v>
      </c>
    </row>
    <row r="2451" spans="1:13" ht="20" customHeight="1" x14ac:dyDescent="0.35">
      <c r="A2451" s="17">
        <v>1657910</v>
      </c>
      <c r="B2451" s="18">
        <v>853</v>
      </c>
      <c r="C2451" s="23" t="s">
        <v>99</v>
      </c>
      <c r="D2451" s="27">
        <v>45102.027083333334</v>
      </c>
      <c r="E2451" s="18" t="s">
        <v>98</v>
      </c>
      <c r="F2451" s="18" t="s">
        <v>83</v>
      </c>
      <c r="G2451" s="18">
        <v>8403</v>
      </c>
      <c r="H2451" s="25">
        <f t="shared" si="152"/>
        <v>45102</v>
      </c>
      <c r="I2451" s="26">
        <f t="shared" si="153"/>
        <v>2.7083333334303461E-2</v>
      </c>
      <c r="J2451" s="18" t="str">
        <f t="shared" si="154"/>
        <v>June</v>
      </c>
      <c r="K2451" s="56" t="str">
        <f t="shared" si="155"/>
        <v>Sunday</v>
      </c>
      <c r="L2451" s="18" t="str">
        <f>IF(OR(G2451&gt;Answers!I2466,G2451&lt;Answers!I2467),"Outlier","Normal")</f>
        <v>Outlier</v>
      </c>
      <c r="M2451" s="18">
        <v>57</v>
      </c>
    </row>
    <row r="2452" spans="1:13" ht="20" customHeight="1" x14ac:dyDescent="0.35">
      <c r="A2452" s="17">
        <v>1659401</v>
      </c>
      <c r="B2452" s="18">
        <v>214</v>
      </c>
      <c r="C2452" s="23" t="s">
        <v>99</v>
      </c>
      <c r="D2452" s="27">
        <v>45118.973611111112</v>
      </c>
      <c r="E2452" s="18" t="s">
        <v>96</v>
      </c>
      <c r="F2452" s="18" t="s">
        <v>49</v>
      </c>
      <c r="G2452" s="18">
        <v>1671</v>
      </c>
      <c r="H2452" s="25">
        <f t="shared" si="152"/>
        <v>45118</v>
      </c>
      <c r="I2452" s="26">
        <f t="shared" si="153"/>
        <v>0.97361111111240461</v>
      </c>
      <c r="J2452" s="18" t="str">
        <f t="shared" si="154"/>
        <v>July</v>
      </c>
      <c r="K2452" s="56" t="str">
        <f t="shared" si="155"/>
        <v>Tuesday</v>
      </c>
      <c r="L2452" s="18" t="str">
        <f>IF(OR(G2452&gt;Answers!I2467,G2452&lt;Answers!I2468),"Outlier","Normal")</f>
        <v>Outlier</v>
      </c>
      <c r="M2452" s="18">
        <v>18</v>
      </c>
    </row>
    <row r="2453" spans="1:13" ht="20" customHeight="1" x14ac:dyDescent="0.35">
      <c r="A2453" s="17">
        <v>1659771</v>
      </c>
      <c r="B2453" s="18">
        <v>597</v>
      </c>
      <c r="C2453" s="23" t="s">
        <v>100</v>
      </c>
      <c r="D2453" s="27">
        <v>45247.051388888889</v>
      </c>
      <c r="E2453" s="18" t="s">
        <v>97</v>
      </c>
      <c r="F2453" s="18" t="s">
        <v>23</v>
      </c>
      <c r="G2453" s="18">
        <v>2382</v>
      </c>
      <c r="H2453" s="25">
        <f t="shared" si="152"/>
        <v>45247</v>
      </c>
      <c r="I2453" s="26">
        <f t="shared" si="153"/>
        <v>5.1388888889050577E-2</v>
      </c>
      <c r="J2453" s="18" t="str">
        <f t="shared" si="154"/>
        <v>November</v>
      </c>
      <c r="K2453" s="56" t="str">
        <f t="shared" si="155"/>
        <v>Friday</v>
      </c>
      <c r="L2453" s="18" t="str">
        <f>IF(OR(G2453&gt;Answers!I2468,G2453&lt;Answers!I2469),"Outlier","Normal")</f>
        <v>Outlier</v>
      </c>
      <c r="M2453" s="18">
        <v>43</v>
      </c>
    </row>
    <row r="2454" spans="1:13" ht="20" customHeight="1" x14ac:dyDescent="0.35">
      <c r="A2454" s="17">
        <v>1659887</v>
      </c>
      <c r="B2454" s="18">
        <v>1854</v>
      </c>
      <c r="C2454" s="23" t="s">
        <v>99</v>
      </c>
      <c r="D2454" s="27">
        <v>45271.00277777778</v>
      </c>
      <c r="E2454" s="18" t="s">
        <v>98</v>
      </c>
      <c r="F2454" s="18" t="s">
        <v>6</v>
      </c>
      <c r="G2454" s="18">
        <v>3461</v>
      </c>
      <c r="H2454" s="25">
        <f t="shared" si="152"/>
        <v>45271</v>
      </c>
      <c r="I2454" s="26">
        <f t="shared" si="153"/>
        <v>2.7777777795563452E-3</v>
      </c>
      <c r="J2454" s="18" t="str">
        <f t="shared" si="154"/>
        <v>December</v>
      </c>
      <c r="K2454" s="56" t="str">
        <f t="shared" si="155"/>
        <v>Monday</v>
      </c>
      <c r="L2454" s="18" t="str">
        <f>IF(OR(G2454&gt;Answers!I2469,G2454&lt;Answers!I2470),"Outlier","Normal")</f>
        <v>Outlier</v>
      </c>
      <c r="M2454" s="18">
        <v>87</v>
      </c>
    </row>
    <row r="2455" spans="1:13" ht="20" customHeight="1" x14ac:dyDescent="0.35">
      <c r="A2455" s="17">
        <v>1660154</v>
      </c>
      <c r="B2455" s="18">
        <v>105</v>
      </c>
      <c r="C2455" s="23" t="s">
        <v>99</v>
      </c>
      <c r="D2455" s="27">
        <v>45056.069444444445</v>
      </c>
      <c r="E2455" s="18" t="s">
        <v>97</v>
      </c>
      <c r="F2455" s="18" t="s">
        <v>54</v>
      </c>
      <c r="G2455" s="18">
        <v>9184</v>
      </c>
      <c r="H2455" s="25">
        <f t="shared" si="152"/>
        <v>45056</v>
      </c>
      <c r="I2455" s="26">
        <f t="shared" si="153"/>
        <v>6.9444444445252884E-2</v>
      </c>
      <c r="J2455" s="18" t="str">
        <f t="shared" si="154"/>
        <v>May</v>
      </c>
      <c r="K2455" s="56" t="str">
        <f t="shared" si="155"/>
        <v>Wednesday</v>
      </c>
      <c r="L2455" s="18" t="str">
        <f>IF(OR(G2455&gt;Answers!I2470,G2455&lt;Answers!I2471),"Outlier","Normal")</f>
        <v>Outlier</v>
      </c>
      <c r="M2455" s="18">
        <v>80</v>
      </c>
    </row>
    <row r="2456" spans="1:13" ht="20" customHeight="1" x14ac:dyDescent="0.35">
      <c r="A2456" s="17">
        <v>1660467</v>
      </c>
      <c r="B2456" s="18">
        <v>46</v>
      </c>
      <c r="C2456" s="23" t="s">
        <v>102</v>
      </c>
      <c r="D2456" s="27">
        <v>45176.02847222222</v>
      </c>
      <c r="E2456" s="18" t="s">
        <v>96</v>
      </c>
      <c r="F2456" s="18" t="s">
        <v>18</v>
      </c>
      <c r="G2456" s="18">
        <v>7481</v>
      </c>
      <c r="H2456" s="25">
        <f t="shared" si="152"/>
        <v>45176</v>
      </c>
      <c r="I2456" s="26">
        <f t="shared" si="153"/>
        <v>2.8472222220443655E-2</v>
      </c>
      <c r="J2456" s="18" t="str">
        <f t="shared" si="154"/>
        <v>September</v>
      </c>
      <c r="K2456" s="56" t="str">
        <f t="shared" si="155"/>
        <v>Thursday</v>
      </c>
      <c r="L2456" s="18" t="str">
        <f>IF(OR(G2456&gt;Answers!I2471,G2456&lt;Answers!I2472),"Outlier","Normal")</f>
        <v>Outlier</v>
      </c>
      <c r="M2456" s="18">
        <v>66</v>
      </c>
    </row>
    <row r="2457" spans="1:13" ht="20" customHeight="1" x14ac:dyDescent="0.35">
      <c r="A2457" s="17">
        <v>1661217</v>
      </c>
      <c r="B2457" s="18">
        <v>1025</v>
      </c>
      <c r="C2457" s="23" t="s">
        <v>101</v>
      </c>
      <c r="D2457" s="27">
        <v>45172.972916666666</v>
      </c>
      <c r="E2457" s="18" t="s">
        <v>98</v>
      </c>
      <c r="F2457" s="18" t="s">
        <v>43</v>
      </c>
      <c r="G2457" s="18">
        <v>9380</v>
      </c>
      <c r="H2457" s="25">
        <f t="shared" si="152"/>
        <v>45172</v>
      </c>
      <c r="I2457" s="26">
        <f t="shared" si="153"/>
        <v>0.97291666666569654</v>
      </c>
      <c r="J2457" s="18" t="str">
        <f t="shared" si="154"/>
        <v>September</v>
      </c>
      <c r="K2457" s="56" t="str">
        <f t="shared" si="155"/>
        <v>Sunday</v>
      </c>
      <c r="L2457" s="18" t="str">
        <f>IF(OR(G2457&gt;Answers!I2472,G2457&lt;Answers!I2473),"Outlier","Normal")</f>
        <v>Outlier</v>
      </c>
      <c r="M2457" s="18">
        <v>48</v>
      </c>
    </row>
    <row r="2458" spans="1:13" ht="20" customHeight="1" x14ac:dyDescent="0.35">
      <c r="A2458" s="17">
        <v>1662668</v>
      </c>
      <c r="B2458" s="18">
        <v>1000</v>
      </c>
      <c r="C2458" s="23" t="s">
        <v>113</v>
      </c>
      <c r="D2458" s="27">
        <v>45205.010416666664</v>
      </c>
      <c r="E2458" s="18" t="s">
        <v>98</v>
      </c>
      <c r="F2458" s="18" t="s">
        <v>26</v>
      </c>
      <c r="G2458" s="18">
        <v>4805</v>
      </c>
      <c r="H2458" s="25">
        <f t="shared" si="152"/>
        <v>45205</v>
      </c>
      <c r="I2458" s="26">
        <f t="shared" si="153"/>
        <v>1.0416666664241347E-2</v>
      </c>
      <c r="J2458" s="18" t="str">
        <f t="shared" si="154"/>
        <v>October</v>
      </c>
      <c r="K2458" s="56" t="str">
        <f t="shared" si="155"/>
        <v>Friday</v>
      </c>
      <c r="L2458" s="18" t="str">
        <f>IF(OR(G2458&gt;Answers!I2473,G2458&lt;Answers!I2474),"Outlier","Normal")</f>
        <v>Outlier</v>
      </c>
      <c r="M2458" s="18">
        <v>69</v>
      </c>
    </row>
    <row r="2459" spans="1:13" ht="20" customHeight="1" x14ac:dyDescent="0.35">
      <c r="A2459" s="17">
        <v>1662944</v>
      </c>
      <c r="B2459" s="18">
        <v>1488</v>
      </c>
      <c r="C2459" s="23" t="s">
        <v>99</v>
      </c>
      <c r="D2459" s="27">
        <v>45280.032638888886</v>
      </c>
      <c r="E2459" s="18" t="s">
        <v>98</v>
      </c>
      <c r="F2459" s="18" t="s">
        <v>52</v>
      </c>
      <c r="G2459" s="18">
        <v>9411</v>
      </c>
      <c r="H2459" s="25">
        <f t="shared" si="152"/>
        <v>45280</v>
      </c>
      <c r="I2459" s="26">
        <f t="shared" si="153"/>
        <v>3.2638888886140194E-2</v>
      </c>
      <c r="J2459" s="18" t="str">
        <f t="shared" si="154"/>
        <v>December</v>
      </c>
      <c r="K2459" s="56" t="str">
        <f t="shared" si="155"/>
        <v>Wednesday</v>
      </c>
      <c r="L2459" s="18" t="str">
        <f>IF(OR(G2459&gt;Answers!I2474,G2459&lt;Answers!I2475),"Outlier","Normal")</f>
        <v>Outlier</v>
      </c>
      <c r="M2459" s="18">
        <v>35</v>
      </c>
    </row>
    <row r="2460" spans="1:13" ht="20" customHeight="1" x14ac:dyDescent="0.35">
      <c r="A2460" s="17">
        <v>1664960</v>
      </c>
      <c r="B2460" s="18">
        <v>754</v>
      </c>
      <c r="C2460" s="23" t="s">
        <v>107</v>
      </c>
      <c r="D2460" s="27">
        <v>45070.953472222223</v>
      </c>
      <c r="E2460" s="18" t="s">
        <v>98</v>
      </c>
      <c r="F2460" s="18" t="s">
        <v>23</v>
      </c>
      <c r="G2460" s="18">
        <v>4918</v>
      </c>
      <c r="H2460" s="25">
        <f t="shared" si="152"/>
        <v>45070</v>
      </c>
      <c r="I2460" s="26">
        <f t="shared" si="153"/>
        <v>0.95347222222335404</v>
      </c>
      <c r="J2460" s="18" t="str">
        <f t="shared" si="154"/>
        <v>May</v>
      </c>
      <c r="K2460" s="56" t="str">
        <f t="shared" si="155"/>
        <v>Wednesday</v>
      </c>
      <c r="L2460" s="18" t="str">
        <f>IF(OR(G2460&gt;Answers!I2475,G2460&lt;Answers!I2476),"Outlier","Normal")</f>
        <v>Outlier</v>
      </c>
      <c r="M2460" s="18">
        <v>58</v>
      </c>
    </row>
    <row r="2461" spans="1:13" ht="20" customHeight="1" x14ac:dyDescent="0.35">
      <c r="A2461" s="17">
        <v>1664973</v>
      </c>
      <c r="B2461" s="18">
        <v>698</v>
      </c>
      <c r="C2461" s="23" t="s">
        <v>101</v>
      </c>
      <c r="D2461" s="27">
        <v>45148.037499999999</v>
      </c>
      <c r="E2461" s="18" t="s">
        <v>133</v>
      </c>
      <c r="F2461" s="18" t="s">
        <v>53</v>
      </c>
      <c r="G2461" s="18">
        <v>1301</v>
      </c>
      <c r="H2461" s="25">
        <f t="shared" si="152"/>
        <v>45148</v>
      </c>
      <c r="I2461" s="26">
        <f t="shared" si="153"/>
        <v>3.7499999998544808E-2</v>
      </c>
      <c r="J2461" s="18" t="str">
        <f t="shared" si="154"/>
        <v>August</v>
      </c>
      <c r="K2461" s="56" t="str">
        <f t="shared" si="155"/>
        <v>Thursday</v>
      </c>
      <c r="L2461" s="18" t="str">
        <f>IF(OR(G2461&gt;Answers!I2476,G2461&lt;Answers!I2477),"Outlier","Normal")</f>
        <v>Outlier</v>
      </c>
      <c r="M2461" s="18">
        <v>61</v>
      </c>
    </row>
    <row r="2462" spans="1:13" ht="20" customHeight="1" x14ac:dyDescent="0.35">
      <c r="A2462" s="17">
        <v>1665135</v>
      </c>
      <c r="B2462" s="18">
        <v>818</v>
      </c>
      <c r="C2462" s="23" t="s">
        <v>100</v>
      </c>
      <c r="D2462" s="27">
        <v>45291.051388888889</v>
      </c>
      <c r="E2462" s="18" t="s">
        <v>133</v>
      </c>
      <c r="F2462" s="18" t="s">
        <v>43</v>
      </c>
      <c r="G2462" s="18">
        <v>4905</v>
      </c>
      <c r="H2462" s="25">
        <f t="shared" si="152"/>
        <v>45291</v>
      </c>
      <c r="I2462" s="26">
        <f t="shared" si="153"/>
        <v>5.1388888889050577E-2</v>
      </c>
      <c r="J2462" s="18" t="str">
        <f t="shared" si="154"/>
        <v>December</v>
      </c>
      <c r="K2462" s="56" t="str">
        <f t="shared" si="155"/>
        <v>Sunday</v>
      </c>
      <c r="L2462" s="18" t="str">
        <f>IF(OR(G2462&gt;Answers!I2477,G2462&lt;Answers!I2478),"Outlier","Normal")</f>
        <v>Outlier</v>
      </c>
      <c r="M2462" s="18">
        <v>87</v>
      </c>
    </row>
    <row r="2463" spans="1:13" ht="20" customHeight="1" x14ac:dyDescent="0.35">
      <c r="A2463" s="17">
        <v>1665167</v>
      </c>
      <c r="B2463" s="18">
        <v>479</v>
      </c>
      <c r="C2463" s="23" t="s">
        <v>102</v>
      </c>
      <c r="D2463" s="27">
        <v>44989.073611111111</v>
      </c>
      <c r="E2463" s="18" t="s">
        <v>97</v>
      </c>
      <c r="F2463" s="18" t="s">
        <v>27</v>
      </c>
      <c r="G2463" s="18">
        <v>6692</v>
      </c>
      <c r="H2463" s="25">
        <f t="shared" si="152"/>
        <v>44989</v>
      </c>
      <c r="I2463" s="26">
        <f t="shared" si="153"/>
        <v>7.3611111110949423E-2</v>
      </c>
      <c r="J2463" s="18" t="str">
        <f t="shared" si="154"/>
        <v>March</v>
      </c>
      <c r="K2463" s="56" t="str">
        <f t="shared" si="155"/>
        <v>Saturday</v>
      </c>
      <c r="L2463" s="18" t="str">
        <f>IF(OR(G2463&gt;Answers!I2478,G2463&lt;Answers!I2479),"Outlier","Normal")</f>
        <v>Outlier</v>
      </c>
      <c r="M2463" s="18">
        <v>81</v>
      </c>
    </row>
    <row r="2464" spans="1:13" ht="20" customHeight="1" x14ac:dyDescent="0.35">
      <c r="A2464" s="17">
        <v>1665250</v>
      </c>
      <c r="B2464" s="18">
        <v>329</v>
      </c>
      <c r="C2464" s="23" t="s">
        <v>105</v>
      </c>
      <c r="D2464" s="27">
        <v>45048.022222222222</v>
      </c>
      <c r="E2464" s="18" t="s">
        <v>133</v>
      </c>
      <c r="F2464" s="18" t="s">
        <v>41</v>
      </c>
      <c r="G2464" s="18">
        <v>6153</v>
      </c>
      <c r="H2464" s="25">
        <f t="shared" si="152"/>
        <v>45048</v>
      </c>
      <c r="I2464" s="26">
        <f t="shared" si="153"/>
        <v>2.2222222221898846E-2</v>
      </c>
      <c r="J2464" s="18" t="str">
        <f t="shared" si="154"/>
        <v>May</v>
      </c>
      <c r="K2464" s="56" t="str">
        <f t="shared" si="155"/>
        <v>Tuesday</v>
      </c>
      <c r="L2464" s="18" t="str">
        <f>IF(OR(G2464&gt;Answers!I2479,G2464&lt;Answers!I2480),"Outlier","Normal")</f>
        <v>Outlier</v>
      </c>
      <c r="M2464" s="18">
        <v>55</v>
      </c>
    </row>
    <row r="2465" spans="1:13" ht="20" customHeight="1" x14ac:dyDescent="0.35">
      <c r="A2465" s="17">
        <v>1665582</v>
      </c>
      <c r="B2465" s="18">
        <v>1022</v>
      </c>
      <c r="C2465" s="23" t="s">
        <v>113</v>
      </c>
      <c r="D2465" s="27">
        <v>45101.011111111111</v>
      </c>
      <c r="E2465" s="18" t="s">
        <v>96</v>
      </c>
      <c r="F2465" s="18" t="s">
        <v>80</v>
      </c>
      <c r="G2465" s="18">
        <v>7517</v>
      </c>
      <c r="H2465" s="25">
        <f t="shared" si="152"/>
        <v>45101</v>
      </c>
      <c r="I2465" s="26">
        <f t="shared" si="153"/>
        <v>1.1111111110949423E-2</v>
      </c>
      <c r="J2465" s="18" t="str">
        <f t="shared" si="154"/>
        <v>June</v>
      </c>
      <c r="K2465" s="56" t="str">
        <f t="shared" si="155"/>
        <v>Saturday</v>
      </c>
      <c r="L2465" s="18" t="str">
        <f>IF(OR(G2465&gt;Answers!I2480,G2465&lt;Answers!I2481),"Outlier","Normal")</f>
        <v>Outlier</v>
      </c>
      <c r="M2465" s="18">
        <v>60</v>
      </c>
    </row>
    <row r="2466" spans="1:13" ht="20" customHeight="1" x14ac:dyDescent="0.35">
      <c r="A2466" s="17">
        <v>1665843</v>
      </c>
      <c r="B2466" s="18">
        <v>1411</v>
      </c>
      <c r="C2466" s="23" t="s">
        <v>105</v>
      </c>
      <c r="D2466" s="27">
        <v>45108.073611111111</v>
      </c>
      <c r="E2466" s="18" t="s">
        <v>97</v>
      </c>
      <c r="F2466" s="18" t="s">
        <v>54</v>
      </c>
      <c r="G2466" s="18">
        <v>687</v>
      </c>
      <c r="H2466" s="25">
        <f t="shared" si="152"/>
        <v>45108</v>
      </c>
      <c r="I2466" s="26">
        <f t="shared" si="153"/>
        <v>7.3611111110949423E-2</v>
      </c>
      <c r="J2466" s="18" t="str">
        <f t="shared" si="154"/>
        <v>July</v>
      </c>
      <c r="K2466" s="56" t="str">
        <f t="shared" si="155"/>
        <v>Saturday</v>
      </c>
      <c r="L2466" s="18" t="str">
        <f>IF(OR(G2466&gt;Answers!I2481,G2466&lt;Answers!I2482),"Outlier","Normal")</f>
        <v>Outlier</v>
      </c>
      <c r="M2466" s="18">
        <v>52</v>
      </c>
    </row>
    <row r="2467" spans="1:13" ht="20" customHeight="1" x14ac:dyDescent="0.35">
      <c r="A2467" s="17">
        <v>1665934</v>
      </c>
      <c r="B2467" s="18">
        <v>89</v>
      </c>
      <c r="C2467" s="23" t="s">
        <v>107</v>
      </c>
      <c r="D2467" s="27">
        <v>45189.052777777775</v>
      </c>
      <c r="E2467" s="18" t="s">
        <v>96</v>
      </c>
      <c r="F2467" s="18" t="s">
        <v>57</v>
      </c>
      <c r="G2467" s="18">
        <v>4910</v>
      </c>
      <c r="H2467" s="25">
        <f t="shared" si="152"/>
        <v>45189</v>
      </c>
      <c r="I2467" s="26">
        <f t="shared" si="153"/>
        <v>5.2777777775190771E-2</v>
      </c>
      <c r="J2467" s="18" t="str">
        <f t="shared" si="154"/>
        <v>September</v>
      </c>
      <c r="K2467" s="56" t="str">
        <f t="shared" si="155"/>
        <v>Wednesday</v>
      </c>
      <c r="L2467" s="18" t="str">
        <f>IF(OR(G2467&gt;Answers!I2482,G2467&lt;Answers!I2483),"Outlier","Normal")</f>
        <v>Outlier</v>
      </c>
      <c r="M2467" s="18">
        <v>33</v>
      </c>
    </row>
    <row r="2468" spans="1:13" ht="20" customHeight="1" x14ac:dyDescent="0.35">
      <c r="A2468" s="17">
        <v>1666083</v>
      </c>
      <c r="B2468" s="18">
        <v>1307</v>
      </c>
      <c r="C2468" s="23" t="s">
        <v>100</v>
      </c>
      <c r="D2468" s="27">
        <v>44945.047222222223</v>
      </c>
      <c r="E2468" s="18" t="s">
        <v>96</v>
      </c>
      <c r="F2468" s="18" t="s">
        <v>34</v>
      </c>
      <c r="G2468" s="18">
        <v>4117</v>
      </c>
      <c r="H2468" s="25">
        <f t="shared" si="152"/>
        <v>44945</v>
      </c>
      <c r="I2468" s="26">
        <f t="shared" si="153"/>
        <v>4.7222222223354038E-2</v>
      </c>
      <c r="J2468" s="18" t="str">
        <f t="shared" si="154"/>
        <v>January</v>
      </c>
      <c r="K2468" s="56" t="str">
        <f t="shared" si="155"/>
        <v>Thursday</v>
      </c>
      <c r="L2468" s="18" t="str">
        <f>IF(OR(G2468&gt;Answers!I2483,G2468&lt;Answers!I2484),"Outlier","Normal")</f>
        <v>Outlier</v>
      </c>
      <c r="M2468" s="18">
        <v>78</v>
      </c>
    </row>
    <row r="2469" spans="1:13" ht="20" customHeight="1" x14ac:dyDescent="0.35">
      <c r="A2469" s="17">
        <v>1666505</v>
      </c>
      <c r="B2469" s="18">
        <v>1736</v>
      </c>
      <c r="C2469" s="23" t="s">
        <v>99</v>
      </c>
      <c r="D2469" s="27">
        <v>44948.056250000001</v>
      </c>
      <c r="E2469" s="18" t="s">
        <v>97</v>
      </c>
      <c r="F2469" s="18" t="s">
        <v>59</v>
      </c>
      <c r="G2469" s="18">
        <v>2955</v>
      </c>
      <c r="H2469" s="25">
        <f t="shared" si="152"/>
        <v>44948</v>
      </c>
      <c r="I2469" s="26">
        <f t="shared" si="153"/>
        <v>5.6250000001455192E-2</v>
      </c>
      <c r="J2469" s="18" t="str">
        <f t="shared" si="154"/>
        <v>January</v>
      </c>
      <c r="K2469" s="56" t="str">
        <f t="shared" si="155"/>
        <v>Sunday</v>
      </c>
      <c r="L2469" s="18" t="str">
        <f>IF(OR(G2469&gt;Answers!I2484,G2469&lt;Answers!I2485),"Outlier","Normal")</f>
        <v>Outlier</v>
      </c>
      <c r="M2469" s="18">
        <v>23</v>
      </c>
    </row>
    <row r="2470" spans="1:13" ht="20" customHeight="1" x14ac:dyDescent="0.35">
      <c r="A2470" s="17">
        <v>1666521</v>
      </c>
      <c r="B2470" s="18">
        <v>1386</v>
      </c>
      <c r="C2470" s="23" t="s">
        <v>104</v>
      </c>
      <c r="D2470" s="27">
        <v>45137.988194444442</v>
      </c>
      <c r="E2470" s="18" t="s">
        <v>98</v>
      </c>
      <c r="F2470" s="18" t="s">
        <v>16</v>
      </c>
      <c r="G2470" s="18">
        <v>4645</v>
      </c>
      <c r="H2470" s="25">
        <f t="shared" si="152"/>
        <v>45137</v>
      </c>
      <c r="I2470" s="26">
        <f t="shared" si="153"/>
        <v>0.9881944444423425</v>
      </c>
      <c r="J2470" s="18" t="str">
        <f t="shared" si="154"/>
        <v>July</v>
      </c>
      <c r="K2470" s="56" t="str">
        <f t="shared" si="155"/>
        <v>Sunday</v>
      </c>
      <c r="L2470" s="18" t="str">
        <f>IF(OR(G2470&gt;Answers!I2485,G2470&lt;Answers!I2486),"Outlier","Normal")</f>
        <v>Outlier</v>
      </c>
      <c r="M2470" s="18">
        <v>18</v>
      </c>
    </row>
    <row r="2471" spans="1:13" ht="20" customHeight="1" x14ac:dyDescent="0.35">
      <c r="A2471" s="17">
        <v>1666856</v>
      </c>
      <c r="B2471" s="18">
        <v>1370</v>
      </c>
      <c r="C2471" s="23" t="s">
        <v>111</v>
      </c>
      <c r="D2471" s="27">
        <v>45203.055555555555</v>
      </c>
      <c r="E2471" s="18" t="s">
        <v>96</v>
      </c>
      <c r="F2471" s="18" t="s">
        <v>4</v>
      </c>
      <c r="G2471" s="18">
        <v>148</v>
      </c>
      <c r="H2471" s="25">
        <f t="shared" si="152"/>
        <v>45203</v>
      </c>
      <c r="I2471" s="26">
        <f t="shared" si="153"/>
        <v>5.5555555554747116E-2</v>
      </c>
      <c r="J2471" s="18" t="str">
        <f t="shared" si="154"/>
        <v>October</v>
      </c>
      <c r="K2471" s="56" t="str">
        <f t="shared" si="155"/>
        <v>Wednesday</v>
      </c>
      <c r="L2471" s="18" t="str">
        <f>IF(OR(G2471&gt;Answers!I2486,G2471&lt;Answers!I2487),"Outlier","Normal")</f>
        <v>Outlier</v>
      </c>
      <c r="M2471" s="18">
        <v>89</v>
      </c>
    </row>
    <row r="2472" spans="1:13" ht="20" customHeight="1" x14ac:dyDescent="0.35">
      <c r="A2472" s="17">
        <v>1667133</v>
      </c>
      <c r="B2472" s="18">
        <v>1173</v>
      </c>
      <c r="C2472" s="23" t="s">
        <v>99</v>
      </c>
      <c r="D2472" s="27">
        <v>45152.007638888892</v>
      </c>
      <c r="E2472" s="18" t="s">
        <v>96</v>
      </c>
      <c r="F2472" s="18" t="s">
        <v>47</v>
      </c>
      <c r="G2472" s="18">
        <v>8164</v>
      </c>
      <c r="H2472" s="25">
        <f t="shared" si="152"/>
        <v>45152</v>
      </c>
      <c r="I2472" s="26">
        <f t="shared" si="153"/>
        <v>7.6388888919609599E-3</v>
      </c>
      <c r="J2472" s="18" t="str">
        <f t="shared" si="154"/>
        <v>August</v>
      </c>
      <c r="K2472" s="56" t="str">
        <f t="shared" si="155"/>
        <v>Monday</v>
      </c>
      <c r="L2472" s="18" t="str">
        <f>IF(OR(G2472&gt;Answers!I2487,G2472&lt;Answers!I2488),"Outlier","Normal")</f>
        <v>Outlier</v>
      </c>
      <c r="M2472" s="18">
        <v>84</v>
      </c>
    </row>
    <row r="2473" spans="1:13" ht="20" customHeight="1" x14ac:dyDescent="0.35">
      <c r="A2473" s="17">
        <v>1667673</v>
      </c>
      <c r="B2473" s="18">
        <v>991</v>
      </c>
      <c r="C2473" s="23" t="s">
        <v>99</v>
      </c>
      <c r="D2473" s="27">
        <v>45178.979861111111</v>
      </c>
      <c r="E2473" s="18" t="s">
        <v>97</v>
      </c>
      <c r="F2473" s="18" t="s">
        <v>60</v>
      </c>
      <c r="G2473" s="18">
        <v>1581</v>
      </c>
      <c r="H2473" s="25">
        <f t="shared" si="152"/>
        <v>45178</v>
      </c>
      <c r="I2473" s="26">
        <f t="shared" si="153"/>
        <v>0.97986111111094942</v>
      </c>
      <c r="J2473" s="18" t="str">
        <f t="shared" si="154"/>
        <v>September</v>
      </c>
      <c r="K2473" s="56" t="str">
        <f t="shared" si="155"/>
        <v>Saturday</v>
      </c>
      <c r="L2473" s="18" t="str">
        <f>IF(OR(G2473&gt;Answers!I2488,G2473&lt;Answers!I2489),"Outlier","Normal")</f>
        <v>Outlier</v>
      </c>
      <c r="M2473" s="18">
        <v>55</v>
      </c>
    </row>
    <row r="2474" spans="1:13" ht="20" customHeight="1" x14ac:dyDescent="0.35">
      <c r="A2474" s="17">
        <v>1668081</v>
      </c>
      <c r="B2474" s="18">
        <v>1858</v>
      </c>
      <c r="C2474" s="23" t="s">
        <v>99</v>
      </c>
      <c r="D2474" s="27">
        <v>44990.044444444444</v>
      </c>
      <c r="E2474" s="18" t="s">
        <v>97</v>
      </c>
      <c r="F2474" s="18" t="s">
        <v>61</v>
      </c>
      <c r="G2474" s="18">
        <v>7774</v>
      </c>
      <c r="H2474" s="25">
        <f t="shared" si="152"/>
        <v>44990</v>
      </c>
      <c r="I2474" s="26">
        <f t="shared" si="153"/>
        <v>4.4444444443797693E-2</v>
      </c>
      <c r="J2474" s="18" t="str">
        <f t="shared" si="154"/>
        <v>March</v>
      </c>
      <c r="K2474" s="56" t="str">
        <f t="shared" si="155"/>
        <v>Sunday</v>
      </c>
      <c r="L2474" s="18" t="str">
        <f>IF(OR(G2474&gt;Answers!I2489,G2474&lt;Answers!I2490),"Outlier","Normal")</f>
        <v>Outlier</v>
      </c>
      <c r="M2474" s="18">
        <v>59</v>
      </c>
    </row>
    <row r="2475" spans="1:13" ht="20" customHeight="1" x14ac:dyDescent="0.35">
      <c r="A2475" s="17">
        <v>1668581</v>
      </c>
      <c r="B2475" s="18">
        <v>186</v>
      </c>
      <c r="C2475" s="23" t="s">
        <v>106</v>
      </c>
      <c r="D2475" s="27">
        <v>45193.03402777778</v>
      </c>
      <c r="E2475" s="18" t="s">
        <v>98</v>
      </c>
      <c r="F2475" s="18" t="s">
        <v>62</v>
      </c>
      <c r="G2475" s="18">
        <v>6296</v>
      </c>
      <c r="H2475" s="25">
        <f t="shared" si="152"/>
        <v>45193</v>
      </c>
      <c r="I2475" s="26">
        <f t="shared" si="153"/>
        <v>3.4027777779556345E-2</v>
      </c>
      <c r="J2475" s="18" t="str">
        <f t="shared" si="154"/>
        <v>September</v>
      </c>
      <c r="K2475" s="56" t="str">
        <f t="shared" si="155"/>
        <v>Sunday</v>
      </c>
      <c r="L2475" s="18" t="str">
        <f>IF(OR(G2475&gt;Answers!I2490,G2475&lt;Answers!I2491),"Outlier","Normal")</f>
        <v>Outlier</v>
      </c>
      <c r="M2475" s="18">
        <v>63</v>
      </c>
    </row>
    <row r="2476" spans="1:13" ht="20" customHeight="1" x14ac:dyDescent="0.35">
      <c r="A2476" s="17">
        <v>1669169</v>
      </c>
      <c r="B2476" s="18">
        <v>1146</v>
      </c>
      <c r="C2476" s="23" t="s">
        <v>99</v>
      </c>
      <c r="D2476" s="27">
        <v>45058.98333333333</v>
      </c>
      <c r="E2476" s="18" t="s">
        <v>98</v>
      </c>
      <c r="F2476" s="18" t="s">
        <v>81</v>
      </c>
      <c r="G2476" s="18">
        <v>8796</v>
      </c>
      <c r="H2476" s="25">
        <f t="shared" si="152"/>
        <v>45058</v>
      </c>
      <c r="I2476" s="26">
        <f t="shared" si="153"/>
        <v>0.98333333332993789</v>
      </c>
      <c r="J2476" s="18" t="str">
        <f t="shared" si="154"/>
        <v>May</v>
      </c>
      <c r="K2476" s="56" t="str">
        <f t="shared" si="155"/>
        <v>Friday</v>
      </c>
      <c r="L2476" s="18" t="str">
        <f>IF(OR(G2476&gt;Answers!I2491,G2476&lt;Answers!I2492),"Outlier","Normal")</f>
        <v>Outlier</v>
      </c>
      <c r="M2476" s="18">
        <v>23</v>
      </c>
    </row>
    <row r="2477" spans="1:13" ht="20" customHeight="1" x14ac:dyDescent="0.35">
      <c r="A2477" s="17">
        <v>1669358</v>
      </c>
      <c r="B2477" s="18">
        <v>351</v>
      </c>
      <c r="C2477" s="23" t="s">
        <v>101</v>
      </c>
      <c r="D2477" s="27">
        <v>44962.077777777777</v>
      </c>
      <c r="E2477" s="18" t="s">
        <v>98</v>
      </c>
      <c r="F2477" s="18" t="s">
        <v>18</v>
      </c>
      <c r="G2477" s="18">
        <v>462</v>
      </c>
      <c r="H2477" s="25">
        <f t="shared" si="152"/>
        <v>44962</v>
      </c>
      <c r="I2477" s="26">
        <f t="shared" si="153"/>
        <v>7.7777777776645962E-2</v>
      </c>
      <c r="J2477" s="18" t="str">
        <f t="shared" si="154"/>
        <v>February</v>
      </c>
      <c r="K2477" s="56" t="str">
        <f t="shared" si="155"/>
        <v>Sunday</v>
      </c>
      <c r="L2477" s="18" t="str">
        <f>IF(OR(G2477&gt;Answers!I2492,G2477&lt;Answers!I2493),"Outlier","Normal")</f>
        <v>Outlier</v>
      </c>
      <c r="M2477" s="18">
        <v>87</v>
      </c>
    </row>
    <row r="2478" spans="1:13" ht="20" customHeight="1" x14ac:dyDescent="0.35">
      <c r="A2478" s="17">
        <v>1670695</v>
      </c>
      <c r="B2478" s="18">
        <v>48</v>
      </c>
      <c r="C2478" s="23" t="s">
        <v>99</v>
      </c>
      <c r="D2478" s="27">
        <v>44993.023611111108</v>
      </c>
      <c r="E2478" s="18" t="s">
        <v>97</v>
      </c>
      <c r="F2478" s="18" t="s">
        <v>28</v>
      </c>
      <c r="G2478" s="18">
        <v>8888</v>
      </c>
      <c r="H2478" s="25">
        <f t="shared" si="152"/>
        <v>44993</v>
      </c>
      <c r="I2478" s="26">
        <f t="shared" si="153"/>
        <v>2.361111110803904E-2</v>
      </c>
      <c r="J2478" s="18" t="str">
        <f t="shared" si="154"/>
        <v>March</v>
      </c>
      <c r="K2478" s="56" t="str">
        <f t="shared" si="155"/>
        <v>Wednesday</v>
      </c>
      <c r="L2478" s="18" t="str">
        <f>IF(OR(G2478&gt;Answers!I2493,G2478&lt;Answers!I2494),"Outlier","Normal")</f>
        <v>Outlier</v>
      </c>
      <c r="M2478" s="18">
        <v>66</v>
      </c>
    </row>
    <row r="2479" spans="1:13" ht="20" customHeight="1" x14ac:dyDescent="0.35">
      <c r="A2479" s="17">
        <v>1670797</v>
      </c>
      <c r="B2479" s="18">
        <v>1465</v>
      </c>
      <c r="C2479" s="23" t="s">
        <v>100</v>
      </c>
      <c r="D2479" s="27">
        <v>45096.067361111112</v>
      </c>
      <c r="E2479" s="18" t="s">
        <v>96</v>
      </c>
      <c r="F2479" s="18" t="s">
        <v>39</v>
      </c>
      <c r="G2479" s="18">
        <v>556</v>
      </c>
      <c r="H2479" s="25">
        <f t="shared" si="152"/>
        <v>45096</v>
      </c>
      <c r="I2479" s="26">
        <f t="shared" si="153"/>
        <v>6.7361111112404615E-2</v>
      </c>
      <c r="J2479" s="18" t="str">
        <f t="shared" si="154"/>
        <v>June</v>
      </c>
      <c r="K2479" s="56" t="str">
        <f t="shared" si="155"/>
        <v>Monday</v>
      </c>
      <c r="L2479" s="18" t="str">
        <f>IF(OR(G2479&gt;Answers!I2494,G2479&lt;Answers!I2495),"Outlier","Normal")</f>
        <v>Outlier</v>
      </c>
      <c r="M2479" s="18">
        <v>71</v>
      </c>
    </row>
    <row r="2480" spans="1:13" ht="20" customHeight="1" x14ac:dyDescent="0.35">
      <c r="A2480" s="17">
        <v>1671351</v>
      </c>
      <c r="B2480" s="18">
        <v>861</v>
      </c>
      <c r="C2480" s="23" t="s">
        <v>99</v>
      </c>
      <c r="D2480" s="27">
        <v>45255.005555555559</v>
      </c>
      <c r="E2480" s="18" t="s">
        <v>133</v>
      </c>
      <c r="F2480" s="18" t="s">
        <v>27</v>
      </c>
      <c r="G2480" s="18">
        <v>4300</v>
      </c>
      <c r="H2480" s="25">
        <f t="shared" si="152"/>
        <v>45255</v>
      </c>
      <c r="I2480" s="26">
        <f t="shared" si="153"/>
        <v>5.5555555591126904E-3</v>
      </c>
      <c r="J2480" s="18" t="str">
        <f t="shared" si="154"/>
        <v>November</v>
      </c>
      <c r="K2480" s="56" t="str">
        <f t="shared" si="155"/>
        <v>Saturday</v>
      </c>
      <c r="L2480" s="18" t="str">
        <f>IF(OR(G2480&gt;Answers!I2495,G2480&lt;Answers!I2496),"Outlier","Normal")</f>
        <v>Outlier</v>
      </c>
      <c r="M2480" s="18">
        <v>78</v>
      </c>
    </row>
    <row r="2481" spans="1:13" ht="20" customHeight="1" x14ac:dyDescent="0.35">
      <c r="A2481" s="17">
        <v>1672350</v>
      </c>
      <c r="B2481" s="18">
        <v>1440</v>
      </c>
      <c r="C2481" s="23" t="s">
        <v>105</v>
      </c>
      <c r="D2481" s="27">
        <v>45006.036805555559</v>
      </c>
      <c r="E2481" s="18" t="s">
        <v>98</v>
      </c>
      <c r="F2481" s="18" t="s">
        <v>64</v>
      </c>
      <c r="G2481" s="18">
        <v>4066</v>
      </c>
      <c r="H2481" s="25">
        <f t="shared" si="152"/>
        <v>45006</v>
      </c>
      <c r="I2481" s="26">
        <f t="shared" si="153"/>
        <v>3.680555555911269E-2</v>
      </c>
      <c r="J2481" s="18" t="str">
        <f t="shared" si="154"/>
        <v>March</v>
      </c>
      <c r="K2481" s="56" t="str">
        <f t="shared" si="155"/>
        <v>Tuesday</v>
      </c>
      <c r="L2481" s="18" t="str">
        <f>IF(OR(G2481&gt;Answers!I2496,G2481&lt;Answers!I2497),"Outlier","Normal")</f>
        <v>Outlier</v>
      </c>
      <c r="M2481" s="18">
        <v>60</v>
      </c>
    </row>
    <row r="2482" spans="1:13" ht="20" customHeight="1" x14ac:dyDescent="0.35">
      <c r="A2482" s="17">
        <v>1672683</v>
      </c>
      <c r="B2482" s="18">
        <v>727</v>
      </c>
      <c r="C2482" s="23" t="s">
        <v>100</v>
      </c>
      <c r="D2482" s="27">
        <v>45263.939583333333</v>
      </c>
      <c r="E2482" s="18" t="s">
        <v>133</v>
      </c>
      <c r="F2482" s="18" t="s">
        <v>43</v>
      </c>
      <c r="G2482" s="18">
        <v>8160</v>
      </c>
      <c r="H2482" s="25">
        <f t="shared" si="152"/>
        <v>45263</v>
      </c>
      <c r="I2482" s="26">
        <f t="shared" si="153"/>
        <v>0.93958333333284827</v>
      </c>
      <c r="J2482" s="18" t="str">
        <f t="shared" si="154"/>
        <v>December</v>
      </c>
      <c r="K2482" s="56" t="str">
        <f t="shared" si="155"/>
        <v>Sunday</v>
      </c>
      <c r="L2482" s="18" t="str">
        <f>IF(OR(G2482&gt;Answers!I2497,G2482&lt;Answers!I2498),"Outlier","Normal")</f>
        <v>Outlier</v>
      </c>
      <c r="M2482" s="18">
        <v>64</v>
      </c>
    </row>
    <row r="2483" spans="1:13" ht="20" customHeight="1" x14ac:dyDescent="0.35">
      <c r="A2483" s="17">
        <v>1673913</v>
      </c>
      <c r="B2483" s="18">
        <v>1434</v>
      </c>
      <c r="C2483" s="23" t="s">
        <v>99</v>
      </c>
      <c r="D2483" s="27">
        <v>45103.052777777775</v>
      </c>
      <c r="E2483" s="18" t="s">
        <v>96</v>
      </c>
      <c r="F2483" s="18" t="s">
        <v>43</v>
      </c>
      <c r="G2483" s="18">
        <v>4928</v>
      </c>
      <c r="H2483" s="25">
        <f t="shared" si="152"/>
        <v>45103</v>
      </c>
      <c r="I2483" s="26">
        <f t="shared" si="153"/>
        <v>5.2777777775190771E-2</v>
      </c>
      <c r="J2483" s="18" t="str">
        <f t="shared" si="154"/>
        <v>June</v>
      </c>
      <c r="K2483" s="56" t="str">
        <f t="shared" si="155"/>
        <v>Monday</v>
      </c>
      <c r="L2483" s="18" t="str">
        <f>IF(OR(G2483&gt;Answers!I2498,G2483&lt;Answers!I2499),"Outlier","Normal")</f>
        <v>Outlier</v>
      </c>
      <c r="M2483" s="18">
        <v>65</v>
      </c>
    </row>
    <row r="2484" spans="1:13" ht="20" customHeight="1" x14ac:dyDescent="0.35">
      <c r="A2484" s="17">
        <v>1674149</v>
      </c>
      <c r="B2484" s="18">
        <v>1974</v>
      </c>
      <c r="C2484" s="23" t="s">
        <v>99</v>
      </c>
      <c r="D2484" s="27">
        <v>45159.04791666667</v>
      </c>
      <c r="E2484" s="18" t="s">
        <v>97</v>
      </c>
      <c r="F2484" s="18" t="s">
        <v>62</v>
      </c>
      <c r="G2484" s="18">
        <v>2019</v>
      </c>
      <c r="H2484" s="25">
        <f t="shared" si="152"/>
        <v>45159</v>
      </c>
      <c r="I2484" s="26">
        <f t="shared" si="153"/>
        <v>4.7916666670062114E-2</v>
      </c>
      <c r="J2484" s="18" t="str">
        <f t="shared" si="154"/>
        <v>August</v>
      </c>
      <c r="K2484" s="56" t="str">
        <f t="shared" si="155"/>
        <v>Monday</v>
      </c>
      <c r="L2484" s="18" t="str">
        <f>IF(OR(G2484&gt;Answers!I2499,G2484&lt;Answers!I2500),"Outlier","Normal")</f>
        <v>Outlier</v>
      </c>
      <c r="M2484" s="18">
        <v>74</v>
      </c>
    </row>
    <row r="2485" spans="1:13" ht="20" customHeight="1" x14ac:dyDescent="0.35">
      <c r="A2485" s="17">
        <v>1674723</v>
      </c>
      <c r="B2485" s="18">
        <v>1511</v>
      </c>
      <c r="C2485" s="23" t="s">
        <v>99</v>
      </c>
      <c r="D2485" s="27">
        <v>45178.949305555558</v>
      </c>
      <c r="E2485" s="18" t="s">
        <v>98</v>
      </c>
      <c r="F2485" s="18" t="s">
        <v>90</v>
      </c>
      <c r="G2485" s="18">
        <v>3096</v>
      </c>
      <c r="H2485" s="25">
        <f t="shared" si="152"/>
        <v>45178</v>
      </c>
      <c r="I2485" s="26">
        <f t="shared" si="153"/>
        <v>0.9493055555576575</v>
      </c>
      <c r="J2485" s="18" t="str">
        <f t="shared" si="154"/>
        <v>September</v>
      </c>
      <c r="K2485" s="56" t="str">
        <f t="shared" si="155"/>
        <v>Saturday</v>
      </c>
      <c r="L2485" s="18" t="str">
        <f>IF(OR(G2485&gt;Answers!I2500,G2485&lt;Answers!I2501),"Outlier","Normal")</f>
        <v>Outlier</v>
      </c>
      <c r="M2485" s="18">
        <v>19</v>
      </c>
    </row>
    <row r="2486" spans="1:13" ht="20" customHeight="1" x14ac:dyDescent="0.35">
      <c r="A2486" s="17">
        <v>1675193</v>
      </c>
      <c r="B2486" s="18">
        <v>552</v>
      </c>
      <c r="C2486" s="23" t="s">
        <v>113</v>
      </c>
      <c r="D2486" s="27">
        <v>45242.990972222222</v>
      </c>
      <c r="E2486" s="18" t="s">
        <v>133</v>
      </c>
      <c r="F2486" s="18" t="s">
        <v>14</v>
      </c>
      <c r="G2486" s="18">
        <v>2913</v>
      </c>
      <c r="H2486" s="25">
        <f t="shared" si="152"/>
        <v>45242</v>
      </c>
      <c r="I2486" s="26">
        <f t="shared" si="153"/>
        <v>0.99097222222189885</v>
      </c>
      <c r="J2486" s="18" t="str">
        <f t="shared" si="154"/>
        <v>November</v>
      </c>
      <c r="K2486" s="56" t="str">
        <f t="shared" si="155"/>
        <v>Sunday</v>
      </c>
      <c r="L2486" s="18" t="str">
        <f>IF(OR(G2486&gt;Answers!I2501,G2486&lt;Answers!I2502),"Outlier","Normal")</f>
        <v>Outlier</v>
      </c>
      <c r="M2486" s="18">
        <v>67</v>
      </c>
    </row>
    <row r="2487" spans="1:13" ht="20" customHeight="1" x14ac:dyDescent="0.35">
      <c r="A2487" s="17">
        <v>1675253</v>
      </c>
      <c r="B2487" s="18">
        <v>632</v>
      </c>
      <c r="C2487" s="23" t="s">
        <v>99</v>
      </c>
      <c r="D2487" s="27">
        <v>45164.012499999997</v>
      </c>
      <c r="E2487" s="18" t="s">
        <v>98</v>
      </c>
      <c r="F2487" s="18" t="s">
        <v>27</v>
      </c>
      <c r="G2487" s="18">
        <v>3340</v>
      </c>
      <c r="H2487" s="25">
        <f t="shared" si="152"/>
        <v>45164</v>
      </c>
      <c r="I2487" s="26">
        <f t="shared" si="153"/>
        <v>1.2499999997089617E-2</v>
      </c>
      <c r="J2487" s="18" t="str">
        <f t="shared" si="154"/>
        <v>August</v>
      </c>
      <c r="K2487" s="56" t="str">
        <f t="shared" si="155"/>
        <v>Saturday</v>
      </c>
      <c r="L2487" s="18" t="str">
        <f>IF(OR(G2487&gt;Answers!I2502,G2487&lt;Answers!I2503),"Outlier","Normal")</f>
        <v>Outlier</v>
      </c>
      <c r="M2487" s="18">
        <v>67</v>
      </c>
    </row>
    <row r="2488" spans="1:13" ht="20" customHeight="1" x14ac:dyDescent="0.35">
      <c r="A2488" s="17">
        <v>1675528</v>
      </c>
      <c r="B2488" s="18">
        <v>360</v>
      </c>
      <c r="C2488" s="23" t="s">
        <v>113</v>
      </c>
      <c r="D2488" s="27">
        <v>45137.008333333331</v>
      </c>
      <c r="E2488" s="18" t="s">
        <v>133</v>
      </c>
      <c r="F2488" s="18" t="s">
        <v>54</v>
      </c>
      <c r="G2488" s="18">
        <v>3204</v>
      </c>
      <c r="H2488" s="25">
        <f t="shared" si="152"/>
        <v>45137</v>
      </c>
      <c r="I2488" s="26">
        <f t="shared" si="153"/>
        <v>8.333333331393078E-3</v>
      </c>
      <c r="J2488" s="18" t="str">
        <f t="shared" si="154"/>
        <v>July</v>
      </c>
      <c r="K2488" s="56" t="str">
        <f t="shared" si="155"/>
        <v>Sunday</v>
      </c>
      <c r="L2488" s="18" t="str">
        <f>IF(OR(G2488&gt;Answers!I2503,G2488&lt;Answers!I2504),"Outlier","Normal")</f>
        <v>Outlier</v>
      </c>
      <c r="M2488" s="18">
        <v>32</v>
      </c>
    </row>
    <row r="2489" spans="1:13" ht="20" customHeight="1" x14ac:dyDescent="0.35">
      <c r="A2489" s="17">
        <v>1676930</v>
      </c>
      <c r="B2489" s="18">
        <v>640</v>
      </c>
      <c r="C2489" s="23" t="s">
        <v>100</v>
      </c>
      <c r="D2489" s="27">
        <v>45254.986805555556</v>
      </c>
      <c r="E2489" s="18" t="s">
        <v>98</v>
      </c>
      <c r="F2489" s="18" t="s">
        <v>27</v>
      </c>
      <c r="G2489" s="18">
        <v>598</v>
      </c>
      <c r="H2489" s="25">
        <f t="shared" si="152"/>
        <v>45254</v>
      </c>
      <c r="I2489" s="26">
        <f t="shared" si="153"/>
        <v>0.98680555555620231</v>
      </c>
      <c r="J2489" s="18" t="str">
        <f t="shared" si="154"/>
        <v>November</v>
      </c>
      <c r="K2489" s="56" t="str">
        <f t="shared" si="155"/>
        <v>Friday</v>
      </c>
      <c r="L2489" s="18" t="str">
        <f>IF(OR(G2489&gt;Answers!I2504,G2489&lt;Answers!I2505),"Outlier","Normal")</f>
        <v>Outlier</v>
      </c>
      <c r="M2489" s="18">
        <v>51</v>
      </c>
    </row>
    <row r="2490" spans="1:13" ht="20" customHeight="1" x14ac:dyDescent="0.35">
      <c r="A2490" s="17">
        <v>1677048</v>
      </c>
      <c r="B2490" s="18">
        <v>1415</v>
      </c>
      <c r="C2490" s="23" t="s">
        <v>100</v>
      </c>
      <c r="D2490" s="27">
        <v>45218.103472222225</v>
      </c>
      <c r="E2490" s="18" t="s">
        <v>133</v>
      </c>
      <c r="F2490" s="18" t="s">
        <v>9</v>
      </c>
      <c r="G2490" s="18">
        <v>598</v>
      </c>
      <c r="H2490" s="25">
        <f t="shared" si="152"/>
        <v>45218</v>
      </c>
      <c r="I2490" s="26">
        <f t="shared" si="153"/>
        <v>0.10347222222480923</v>
      </c>
      <c r="J2490" s="18" t="str">
        <f t="shared" si="154"/>
        <v>October</v>
      </c>
      <c r="K2490" s="56" t="str">
        <f t="shared" si="155"/>
        <v>Thursday</v>
      </c>
      <c r="L2490" s="18" t="str">
        <f>IF(OR(G2490&gt;Answers!I2505,G2490&lt;Answers!I2506),"Outlier","Normal")</f>
        <v>Outlier</v>
      </c>
      <c r="M2490" s="18">
        <v>71</v>
      </c>
    </row>
    <row r="2491" spans="1:13" ht="20" customHeight="1" x14ac:dyDescent="0.35">
      <c r="A2491" s="17">
        <v>1677075</v>
      </c>
      <c r="B2491" s="18">
        <v>460</v>
      </c>
      <c r="C2491" s="23" t="s">
        <v>101</v>
      </c>
      <c r="D2491" s="27">
        <v>45211.997916666667</v>
      </c>
      <c r="E2491" s="18" t="s">
        <v>97</v>
      </c>
      <c r="F2491" s="18" t="s">
        <v>36</v>
      </c>
      <c r="G2491" s="18">
        <v>7376</v>
      </c>
      <c r="H2491" s="25">
        <f t="shared" si="152"/>
        <v>45211</v>
      </c>
      <c r="I2491" s="26">
        <f t="shared" si="153"/>
        <v>0.99791666666715173</v>
      </c>
      <c r="J2491" s="18" t="str">
        <f t="shared" si="154"/>
        <v>October</v>
      </c>
      <c r="K2491" s="56" t="str">
        <f t="shared" si="155"/>
        <v>Thursday</v>
      </c>
      <c r="L2491" s="18" t="str">
        <f>IF(OR(G2491&gt;Answers!I2506,G2491&lt;Answers!I2507),"Outlier","Normal")</f>
        <v>Outlier</v>
      </c>
      <c r="M2491" s="18">
        <v>58</v>
      </c>
    </row>
    <row r="2492" spans="1:13" ht="20" customHeight="1" x14ac:dyDescent="0.35">
      <c r="A2492" s="17">
        <v>1677682</v>
      </c>
      <c r="B2492" s="18">
        <v>1224</v>
      </c>
      <c r="C2492" s="23" t="s">
        <v>100</v>
      </c>
      <c r="D2492" s="27">
        <v>45011.954861111109</v>
      </c>
      <c r="E2492" s="18" t="s">
        <v>96</v>
      </c>
      <c r="F2492" s="18" t="s">
        <v>48</v>
      </c>
      <c r="G2492" s="18">
        <v>8833</v>
      </c>
      <c r="H2492" s="25">
        <f t="shared" si="152"/>
        <v>45011</v>
      </c>
      <c r="I2492" s="26">
        <f t="shared" si="153"/>
        <v>0.95486111110949423</v>
      </c>
      <c r="J2492" s="18" t="str">
        <f t="shared" si="154"/>
        <v>March</v>
      </c>
      <c r="K2492" s="56" t="str">
        <f t="shared" si="155"/>
        <v>Sunday</v>
      </c>
      <c r="L2492" s="18" t="str">
        <f>IF(OR(G2492&gt;Answers!I2507,G2492&lt;Answers!I2508),"Outlier","Normal")</f>
        <v>Outlier</v>
      </c>
      <c r="M2492" s="18">
        <v>71</v>
      </c>
    </row>
    <row r="2493" spans="1:13" ht="20" customHeight="1" x14ac:dyDescent="0.35">
      <c r="A2493" s="17">
        <v>1677717</v>
      </c>
      <c r="B2493" s="18">
        <v>376</v>
      </c>
      <c r="C2493" s="23" t="s">
        <v>113</v>
      </c>
      <c r="D2493" s="27">
        <v>45098.99722222222</v>
      </c>
      <c r="E2493" s="18" t="s">
        <v>96</v>
      </c>
      <c r="F2493" s="18" t="s">
        <v>14</v>
      </c>
      <c r="G2493" s="18">
        <v>8542</v>
      </c>
      <c r="H2493" s="25">
        <f t="shared" si="152"/>
        <v>45098</v>
      </c>
      <c r="I2493" s="26">
        <f t="shared" si="153"/>
        <v>0.99722222222044365</v>
      </c>
      <c r="J2493" s="18" t="str">
        <f t="shared" si="154"/>
        <v>June</v>
      </c>
      <c r="K2493" s="56" t="str">
        <f t="shared" si="155"/>
        <v>Wednesday</v>
      </c>
      <c r="L2493" s="18" t="str">
        <f>IF(OR(G2493&gt;Answers!I2508,G2493&lt;Answers!I2509),"Outlier","Normal")</f>
        <v>Outlier</v>
      </c>
      <c r="M2493" s="18">
        <v>89</v>
      </c>
    </row>
    <row r="2494" spans="1:13" ht="20" customHeight="1" x14ac:dyDescent="0.35">
      <c r="A2494" s="17">
        <v>1678550</v>
      </c>
      <c r="B2494" s="18">
        <v>1521</v>
      </c>
      <c r="C2494" s="23" t="s">
        <v>99</v>
      </c>
      <c r="D2494" s="27">
        <v>45236.031944444447</v>
      </c>
      <c r="E2494" s="18" t="s">
        <v>96</v>
      </c>
      <c r="F2494" s="18" t="s">
        <v>61</v>
      </c>
      <c r="G2494" s="18">
        <v>8554</v>
      </c>
      <c r="H2494" s="25">
        <f t="shared" si="152"/>
        <v>45236</v>
      </c>
      <c r="I2494" s="26">
        <f t="shared" si="153"/>
        <v>3.1944444446708076E-2</v>
      </c>
      <c r="J2494" s="18" t="str">
        <f t="shared" si="154"/>
        <v>November</v>
      </c>
      <c r="K2494" s="56" t="str">
        <f t="shared" si="155"/>
        <v>Monday</v>
      </c>
      <c r="L2494" s="18" t="str">
        <f>IF(OR(G2494&gt;Answers!I2509,G2494&lt;Answers!I2510),"Outlier","Normal")</f>
        <v>Outlier</v>
      </c>
      <c r="M2494" s="18">
        <v>88</v>
      </c>
    </row>
    <row r="2495" spans="1:13" ht="20" customHeight="1" x14ac:dyDescent="0.35">
      <c r="A2495" s="17">
        <v>1679147</v>
      </c>
      <c r="B2495" s="18">
        <v>696</v>
      </c>
      <c r="C2495" s="23" t="s">
        <v>100</v>
      </c>
      <c r="D2495" s="27">
        <v>45032.98333333333</v>
      </c>
      <c r="E2495" s="18" t="s">
        <v>96</v>
      </c>
      <c r="F2495" s="18" t="s">
        <v>65</v>
      </c>
      <c r="G2495" s="18">
        <v>4669</v>
      </c>
      <c r="H2495" s="25">
        <f t="shared" si="152"/>
        <v>45032</v>
      </c>
      <c r="I2495" s="26">
        <f t="shared" si="153"/>
        <v>0.98333333332993789</v>
      </c>
      <c r="J2495" s="18" t="str">
        <f t="shared" si="154"/>
        <v>April</v>
      </c>
      <c r="K2495" s="56" t="str">
        <f t="shared" si="155"/>
        <v>Sunday</v>
      </c>
      <c r="L2495" s="18" t="str">
        <f>IF(OR(G2495&gt;Answers!I2510,G2495&lt;Answers!I2511),"Outlier","Normal")</f>
        <v>Outlier</v>
      </c>
      <c r="M2495" s="18">
        <v>30</v>
      </c>
    </row>
    <row r="2496" spans="1:13" ht="20" customHeight="1" x14ac:dyDescent="0.35">
      <c r="A2496" s="17">
        <v>1679923</v>
      </c>
      <c r="B2496" s="18">
        <v>1835</v>
      </c>
      <c r="C2496" s="23" t="s">
        <v>102</v>
      </c>
      <c r="D2496" s="27">
        <v>44980.999305555553</v>
      </c>
      <c r="E2496" s="18" t="s">
        <v>133</v>
      </c>
      <c r="F2496" s="18" t="s">
        <v>27</v>
      </c>
      <c r="G2496" s="18">
        <v>2710</v>
      </c>
      <c r="H2496" s="25">
        <f t="shared" si="152"/>
        <v>44980</v>
      </c>
      <c r="I2496" s="26">
        <f t="shared" si="153"/>
        <v>0.99930555555329192</v>
      </c>
      <c r="J2496" s="18" t="str">
        <f t="shared" si="154"/>
        <v>February</v>
      </c>
      <c r="K2496" s="56" t="str">
        <f t="shared" si="155"/>
        <v>Thursday</v>
      </c>
      <c r="L2496" s="18" t="str">
        <f>IF(OR(G2496&gt;Answers!I2511,G2496&lt;Answers!I2512),"Outlier","Normal")</f>
        <v>Outlier</v>
      </c>
      <c r="M2496" s="18">
        <v>43</v>
      </c>
    </row>
    <row r="2497" spans="1:13" ht="20" customHeight="1" x14ac:dyDescent="0.35">
      <c r="A2497" s="17">
        <v>1680806</v>
      </c>
      <c r="B2497" s="18">
        <v>1304</v>
      </c>
      <c r="C2497" s="23" t="s">
        <v>107</v>
      </c>
      <c r="D2497" s="27">
        <v>45100.020138888889</v>
      </c>
      <c r="E2497" s="18" t="s">
        <v>97</v>
      </c>
      <c r="F2497" s="18" t="s">
        <v>18</v>
      </c>
      <c r="G2497" s="18">
        <v>3072</v>
      </c>
      <c r="H2497" s="25">
        <f t="shared" si="152"/>
        <v>45100</v>
      </c>
      <c r="I2497" s="26">
        <f t="shared" si="153"/>
        <v>2.0138888889050577E-2</v>
      </c>
      <c r="J2497" s="18" t="str">
        <f t="shared" si="154"/>
        <v>June</v>
      </c>
      <c r="K2497" s="56" t="str">
        <f t="shared" si="155"/>
        <v>Friday</v>
      </c>
      <c r="L2497" s="18" t="str">
        <f>IF(OR(G2497&gt;Answers!I2512,G2497&lt;Answers!I2513),"Outlier","Normal")</f>
        <v>Outlier</v>
      </c>
      <c r="M2497" s="18">
        <v>18</v>
      </c>
    </row>
    <row r="2498" spans="1:13" ht="20" customHeight="1" x14ac:dyDescent="0.35">
      <c r="A2498" s="17">
        <v>1681214</v>
      </c>
      <c r="B2498" s="18">
        <v>291</v>
      </c>
      <c r="C2498" s="23" t="s">
        <v>113</v>
      </c>
      <c r="D2498" s="27">
        <v>45061.041666666664</v>
      </c>
      <c r="E2498" s="18" t="s">
        <v>98</v>
      </c>
      <c r="F2498" s="18" t="s">
        <v>89</v>
      </c>
      <c r="G2498" s="18">
        <v>8168</v>
      </c>
      <c r="H2498" s="25">
        <f t="shared" si="152"/>
        <v>45061</v>
      </c>
      <c r="I2498" s="26">
        <f t="shared" si="153"/>
        <v>4.1666666664241347E-2</v>
      </c>
      <c r="J2498" s="18" t="str">
        <f t="shared" si="154"/>
        <v>May</v>
      </c>
      <c r="K2498" s="56" t="str">
        <f t="shared" si="155"/>
        <v>Monday</v>
      </c>
      <c r="L2498" s="18" t="str">
        <f>IF(OR(G2498&gt;Answers!I2513,G2498&lt;Answers!I2514),"Outlier","Normal")</f>
        <v>Outlier</v>
      </c>
      <c r="M2498" s="18">
        <v>44</v>
      </c>
    </row>
    <row r="2499" spans="1:13" ht="20" customHeight="1" x14ac:dyDescent="0.35">
      <c r="A2499" s="17">
        <v>1681720</v>
      </c>
      <c r="B2499" s="18">
        <v>71</v>
      </c>
      <c r="C2499" s="23" t="s">
        <v>113</v>
      </c>
      <c r="D2499" s="27">
        <v>45022.01666666667</v>
      </c>
      <c r="E2499" s="18" t="s">
        <v>96</v>
      </c>
      <c r="F2499" s="18" t="s">
        <v>93</v>
      </c>
      <c r="G2499" s="18">
        <v>1552</v>
      </c>
      <c r="H2499" s="25">
        <f t="shared" ref="H2499:H2501" si="156">INT(D2499)</f>
        <v>45022</v>
      </c>
      <c r="I2499" s="26">
        <f t="shared" ref="I2499:I2501" si="157">MOD(D2499,1)</f>
        <v>1.6666666670062114E-2</v>
      </c>
      <c r="J2499" s="18" t="str">
        <f t="shared" ref="J2499:J2501" si="158">TEXT(D2499,"mmmm")</f>
        <v>April</v>
      </c>
      <c r="K2499" s="56" t="str">
        <f t="shared" ref="K2499:K2501" si="159">TEXT(D2499,"dddd")</f>
        <v>Thursday</v>
      </c>
      <c r="L2499" s="18" t="str">
        <f>IF(OR(G2499&gt;Answers!I2514,G2499&lt;Answers!I2515),"Outlier","Normal")</f>
        <v>Outlier</v>
      </c>
      <c r="M2499" s="18">
        <v>48</v>
      </c>
    </row>
    <row r="2500" spans="1:13" ht="20" customHeight="1" x14ac:dyDescent="0.35">
      <c r="A2500" s="17">
        <v>1682186</v>
      </c>
      <c r="B2500" s="18">
        <v>1537</v>
      </c>
      <c r="C2500" s="23" t="s">
        <v>99</v>
      </c>
      <c r="D2500" s="27">
        <v>45138.034722222219</v>
      </c>
      <c r="E2500" s="18" t="s">
        <v>97</v>
      </c>
      <c r="F2500" s="18" t="s">
        <v>51</v>
      </c>
      <c r="G2500" s="18">
        <v>9912</v>
      </c>
      <c r="H2500" s="25">
        <f t="shared" si="156"/>
        <v>45138</v>
      </c>
      <c r="I2500" s="26">
        <f t="shared" si="157"/>
        <v>3.4722222218988463E-2</v>
      </c>
      <c r="J2500" s="18" t="str">
        <f t="shared" si="158"/>
        <v>July</v>
      </c>
      <c r="K2500" s="56" t="str">
        <f t="shared" si="159"/>
        <v>Monday</v>
      </c>
      <c r="L2500" s="18" t="str">
        <f>IF(OR(G2500&gt;Answers!I2515,G2500&lt;Answers!I2516),"Outlier","Normal")</f>
        <v>Outlier</v>
      </c>
      <c r="M2500" s="18">
        <v>83</v>
      </c>
    </row>
    <row r="2501" spans="1:13" ht="20" customHeight="1" thickBot="1" x14ac:dyDescent="0.4">
      <c r="A2501" s="20">
        <v>1682358</v>
      </c>
      <c r="B2501" s="21">
        <v>567</v>
      </c>
      <c r="C2501" s="28" t="s">
        <v>101</v>
      </c>
      <c r="D2501" s="29">
        <v>45012.97152777778</v>
      </c>
      <c r="E2501" s="21" t="s">
        <v>98</v>
      </c>
      <c r="F2501" s="21" t="s">
        <v>63</v>
      </c>
      <c r="G2501" s="21">
        <v>4540</v>
      </c>
      <c r="H2501" s="30">
        <f t="shared" si="156"/>
        <v>45012</v>
      </c>
      <c r="I2501" s="31">
        <f t="shared" si="157"/>
        <v>0.97152777777955635</v>
      </c>
      <c r="J2501" s="21" t="str">
        <f t="shared" si="158"/>
        <v>March</v>
      </c>
      <c r="K2501" s="57" t="str">
        <f t="shared" si="159"/>
        <v>Monday</v>
      </c>
      <c r="L2501" s="18" t="str">
        <f>IF(OR(G2501&gt;Answers!I2516,G2501&lt;Answers!I2517),"Outlier","Normal")</f>
        <v>Outlier</v>
      </c>
      <c r="M2501" s="18">
        <v>37</v>
      </c>
    </row>
    <row r="2502" spans="1:13" ht="20" customHeight="1" x14ac:dyDescent="0.35">
      <c r="B2502" s="1"/>
      <c r="C2502" s="3"/>
    </row>
    <row r="2503" spans="1:13" ht="20" customHeight="1" x14ac:dyDescent="0.35">
      <c r="B2503" s="1"/>
      <c r="C2503" s="3"/>
    </row>
    <row r="2504" spans="1:13" ht="20" customHeight="1" x14ac:dyDescent="0.35">
      <c r="B2504" s="1"/>
      <c r="C2504" s="3"/>
    </row>
    <row r="2505" spans="1:13" ht="20" customHeight="1" x14ac:dyDescent="0.35">
      <c r="B2505" s="1"/>
      <c r="C2505" s="3"/>
    </row>
    <row r="2506" spans="1:13" ht="20" customHeight="1" x14ac:dyDescent="0.35">
      <c r="B2506" s="1"/>
      <c r="C2506" s="3"/>
    </row>
    <row r="2507" spans="1:13" ht="20" customHeight="1" x14ac:dyDescent="0.35">
      <c r="B2507" s="1"/>
      <c r="C2507" s="3"/>
    </row>
    <row r="2508" spans="1:13" ht="20" customHeight="1" x14ac:dyDescent="0.35">
      <c r="B2508" s="1"/>
      <c r="C2508" s="3"/>
    </row>
    <row r="2509" spans="1:13" ht="20" customHeight="1" x14ac:dyDescent="0.35">
      <c r="B2509" s="1"/>
      <c r="C2509" s="3"/>
    </row>
    <row r="2510" spans="1:13" ht="20" customHeight="1" x14ac:dyDescent="0.35">
      <c r="B2510" s="1"/>
      <c r="C2510" s="3"/>
    </row>
    <row r="2511" spans="1:13" ht="20" customHeight="1" x14ac:dyDescent="0.35">
      <c r="B2511" s="1"/>
      <c r="C2511" s="3"/>
    </row>
    <row r="2512" spans="1:13" ht="20" customHeight="1" x14ac:dyDescent="0.35">
      <c r="B2512" s="1"/>
      <c r="C2512" s="3"/>
    </row>
    <row r="2513" spans="2:3" ht="20" customHeight="1" x14ac:dyDescent="0.35">
      <c r="B2513" s="1"/>
      <c r="C2513" s="3"/>
    </row>
    <row r="2514" spans="2:3" ht="20" customHeight="1" x14ac:dyDescent="0.35">
      <c r="B2514" s="1"/>
      <c r="C2514" s="3"/>
    </row>
    <row r="2515" spans="2:3" ht="20" customHeight="1" x14ac:dyDescent="0.35">
      <c r="B2515" s="1"/>
      <c r="C2515" s="3"/>
    </row>
    <row r="2516" spans="2:3" ht="20" customHeight="1" x14ac:dyDescent="0.35">
      <c r="B2516" s="1"/>
      <c r="C2516" s="3"/>
    </row>
    <row r="2517" spans="2:3" ht="20" customHeight="1" x14ac:dyDescent="0.35">
      <c r="B2517" s="1"/>
      <c r="C2517" s="3"/>
    </row>
    <row r="2518" spans="2:3" ht="20" customHeight="1" x14ac:dyDescent="0.35">
      <c r="B2518" s="1"/>
      <c r="C2518" s="3"/>
    </row>
    <row r="2519" spans="2:3" ht="20" customHeight="1" x14ac:dyDescent="0.35">
      <c r="B2519" s="1"/>
      <c r="C2519" s="3"/>
    </row>
    <row r="2520" spans="2:3" ht="20" customHeight="1" x14ac:dyDescent="0.35">
      <c r="B2520" s="1"/>
      <c r="C2520" s="3"/>
    </row>
    <row r="2521" spans="2:3" ht="20" customHeight="1" x14ac:dyDescent="0.35">
      <c r="B2521" s="1"/>
      <c r="C2521" s="3"/>
    </row>
    <row r="2522" spans="2:3" ht="20" customHeight="1" x14ac:dyDescent="0.35">
      <c r="B2522" s="1"/>
      <c r="C2522" s="3"/>
    </row>
    <row r="2523" spans="2:3" ht="20" customHeight="1" x14ac:dyDescent="0.35">
      <c r="C2523" s="3"/>
    </row>
    <row r="2524" spans="2:3" ht="20" customHeight="1" x14ac:dyDescent="0.35">
      <c r="C2524" s="3"/>
    </row>
    <row r="2525" spans="2:3" ht="20" customHeight="1" x14ac:dyDescent="0.35">
      <c r="C2525" s="3"/>
    </row>
    <row r="2526" spans="2:3" ht="20" customHeight="1" x14ac:dyDescent="0.35">
      <c r="C2526" s="3"/>
    </row>
    <row r="2527" spans="2:3" ht="20" customHeight="1" x14ac:dyDescent="0.35">
      <c r="C2527" s="3"/>
    </row>
    <row r="2528" spans="2:3" ht="20" customHeight="1" x14ac:dyDescent="0.35">
      <c r="C2528" s="3"/>
    </row>
    <row r="2529" spans="3:3" ht="20" customHeight="1" x14ac:dyDescent="0.35">
      <c r="C2529" s="3"/>
    </row>
    <row r="2530" spans="3:3" ht="20" customHeight="1" x14ac:dyDescent="0.35">
      <c r="C2530" s="3"/>
    </row>
    <row r="2531" spans="3:3" ht="20" customHeight="1" x14ac:dyDescent="0.35">
      <c r="C2531" s="3"/>
    </row>
    <row r="2532" spans="3:3" ht="20" customHeight="1" x14ac:dyDescent="0.35">
      <c r="C2532" s="3"/>
    </row>
    <row r="2533" spans="3:3" ht="20" customHeight="1" x14ac:dyDescent="0.35">
      <c r="C2533" s="3"/>
    </row>
    <row r="2534" spans="3:3" ht="20" customHeight="1" x14ac:dyDescent="0.35">
      <c r="C2534" s="3"/>
    </row>
    <row r="2535" spans="3:3" ht="20" customHeight="1" x14ac:dyDescent="0.35">
      <c r="C2535" s="3"/>
    </row>
    <row r="2536" spans="3:3" ht="20" customHeight="1" x14ac:dyDescent="0.35">
      <c r="C2536" s="3"/>
    </row>
    <row r="2537" spans="3:3" ht="20" customHeight="1" x14ac:dyDescent="0.35">
      <c r="C2537" s="3"/>
    </row>
    <row r="2538" spans="3:3" ht="20" customHeight="1" x14ac:dyDescent="0.35">
      <c r="C2538" s="3"/>
    </row>
    <row r="2539" spans="3:3" ht="20" customHeight="1" x14ac:dyDescent="0.35">
      <c r="C2539" s="3"/>
    </row>
    <row r="2540" spans="3:3" ht="20" customHeight="1" x14ac:dyDescent="0.35">
      <c r="C2540" s="3"/>
    </row>
    <row r="2541" spans="3:3" ht="20" customHeight="1" x14ac:dyDescent="0.35">
      <c r="C2541" s="3"/>
    </row>
    <row r="2542" spans="3:3" ht="20" customHeight="1" x14ac:dyDescent="0.35">
      <c r="C2542" s="3"/>
    </row>
    <row r="2543" spans="3:3" ht="20" customHeight="1" x14ac:dyDescent="0.35">
      <c r="C2543" s="3"/>
    </row>
    <row r="2544" spans="3:3" ht="20" customHeight="1" x14ac:dyDescent="0.35">
      <c r="C2544" s="3"/>
    </row>
    <row r="2545" spans="3:3" ht="20" customHeight="1" x14ac:dyDescent="0.35">
      <c r="C2545" s="3"/>
    </row>
    <row r="2546" spans="3:3" ht="20" customHeight="1" x14ac:dyDescent="0.35">
      <c r="C2546" s="3"/>
    </row>
    <row r="2547" spans="3:3" ht="20" customHeight="1" x14ac:dyDescent="0.35">
      <c r="C2547" s="3"/>
    </row>
    <row r="2548" spans="3:3" ht="20" customHeight="1" x14ac:dyDescent="0.35">
      <c r="C2548" s="3"/>
    </row>
    <row r="2549" spans="3:3" ht="20" customHeight="1" x14ac:dyDescent="0.35">
      <c r="C2549" s="3"/>
    </row>
    <row r="2550" spans="3:3" ht="20" customHeight="1" x14ac:dyDescent="0.35">
      <c r="C2550" s="3"/>
    </row>
    <row r="2551" spans="3:3" ht="20" customHeight="1" x14ac:dyDescent="0.35">
      <c r="C2551" s="3"/>
    </row>
    <row r="2552" spans="3:3" ht="20" customHeight="1" x14ac:dyDescent="0.35">
      <c r="C2552" s="3"/>
    </row>
    <row r="2553" spans="3:3" ht="20" customHeight="1" x14ac:dyDescent="0.35">
      <c r="C2553" s="3"/>
    </row>
    <row r="2554" spans="3:3" ht="20" customHeight="1" x14ac:dyDescent="0.35">
      <c r="C2554" s="3"/>
    </row>
    <row r="2555" spans="3:3" ht="20" customHeight="1" x14ac:dyDescent="0.35">
      <c r="C2555" s="3"/>
    </row>
    <row r="2556" spans="3:3" ht="20" customHeight="1" x14ac:dyDescent="0.35">
      <c r="C2556" s="3"/>
    </row>
    <row r="2557" spans="3:3" ht="20" customHeight="1" x14ac:dyDescent="0.35">
      <c r="C2557" s="3"/>
    </row>
    <row r="2558" spans="3:3" ht="20" customHeight="1" x14ac:dyDescent="0.35">
      <c r="C2558" s="3"/>
    </row>
    <row r="2559" spans="3:3" ht="20" customHeight="1" x14ac:dyDescent="0.35">
      <c r="C2559" s="3"/>
    </row>
    <row r="2560" spans="3:3" ht="20" customHeight="1" x14ac:dyDescent="0.35">
      <c r="C2560" s="3"/>
    </row>
    <row r="2561" spans="3:3" ht="20" customHeight="1" x14ac:dyDescent="0.35">
      <c r="C2561" s="3"/>
    </row>
    <row r="2562" spans="3:3" ht="20" customHeight="1" x14ac:dyDescent="0.35">
      <c r="C2562" s="3"/>
    </row>
    <row r="2563" spans="3:3" ht="20" customHeight="1" x14ac:dyDescent="0.35">
      <c r="C2563" s="3"/>
    </row>
    <row r="2564" spans="3:3" ht="20" customHeight="1" x14ac:dyDescent="0.35">
      <c r="C2564" s="3"/>
    </row>
    <row r="2565" spans="3:3" ht="20" customHeight="1" x14ac:dyDescent="0.35">
      <c r="C2565" s="3"/>
    </row>
    <row r="2566" spans="3:3" ht="20" customHeight="1" x14ac:dyDescent="0.35">
      <c r="C2566" s="3"/>
    </row>
    <row r="2567" spans="3:3" ht="20" customHeight="1" x14ac:dyDescent="0.35">
      <c r="C2567" s="3"/>
    </row>
    <row r="2568" spans="3:3" ht="20" customHeight="1" x14ac:dyDescent="0.35">
      <c r="C2568" s="3"/>
    </row>
    <row r="2569" spans="3:3" ht="20" customHeight="1" x14ac:dyDescent="0.35">
      <c r="C2569" s="3"/>
    </row>
    <row r="2570" spans="3:3" ht="20" customHeight="1" x14ac:dyDescent="0.35">
      <c r="C2570" s="3"/>
    </row>
    <row r="2571" spans="3:3" ht="20" customHeight="1" x14ac:dyDescent="0.35">
      <c r="C2571" s="3"/>
    </row>
    <row r="2572" spans="3:3" ht="20" customHeight="1" x14ac:dyDescent="0.35">
      <c r="C2572" s="3"/>
    </row>
    <row r="2573" spans="3:3" ht="20" customHeight="1" x14ac:dyDescent="0.35">
      <c r="C2573" s="3"/>
    </row>
    <row r="2574" spans="3:3" ht="20" customHeight="1" x14ac:dyDescent="0.35">
      <c r="C2574" s="3"/>
    </row>
    <row r="2575" spans="3:3" ht="20" customHeight="1" x14ac:dyDescent="0.35">
      <c r="C2575" s="3"/>
    </row>
    <row r="2576" spans="3:3" ht="20" customHeight="1" x14ac:dyDescent="0.35">
      <c r="C2576" s="3"/>
    </row>
    <row r="2577" spans="3:3" ht="20" customHeight="1" x14ac:dyDescent="0.35">
      <c r="C2577" s="3"/>
    </row>
    <row r="2578" spans="3:3" ht="20" customHeight="1" x14ac:dyDescent="0.35">
      <c r="C2578" s="3"/>
    </row>
    <row r="2579" spans="3:3" ht="20" customHeight="1" x14ac:dyDescent="0.35">
      <c r="C2579" s="3"/>
    </row>
    <row r="2580" spans="3:3" ht="20" customHeight="1" x14ac:dyDescent="0.35">
      <c r="C2580" s="3"/>
    </row>
    <row r="2581" spans="3:3" ht="20" customHeight="1" x14ac:dyDescent="0.35">
      <c r="C2581" s="3"/>
    </row>
    <row r="2582" spans="3:3" ht="20" customHeight="1" x14ac:dyDescent="0.35">
      <c r="C2582" s="3"/>
    </row>
    <row r="2583" spans="3:3" ht="20" customHeight="1" x14ac:dyDescent="0.35">
      <c r="C2583" s="3"/>
    </row>
    <row r="2584" spans="3:3" ht="20" customHeight="1" x14ac:dyDescent="0.35">
      <c r="C2584" s="3"/>
    </row>
    <row r="2585" spans="3:3" ht="20" customHeight="1" x14ac:dyDescent="0.35">
      <c r="C2585" s="3"/>
    </row>
    <row r="2586" spans="3:3" ht="20" customHeight="1" x14ac:dyDescent="0.35">
      <c r="C2586" s="3"/>
    </row>
    <row r="2587" spans="3:3" ht="20" customHeight="1" x14ac:dyDescent="0.35">
      <c r="C2587" s="3"/>
    </row>
    <row r="2588" spans="3:3" ht="20" customHeight="1" x14ac:dyDescent="0.35">
      <c r="C2588" s="3"/>
    </row>
    <row r="2589" spans="3:3" ht="20" customHeight="1" x14ac:dyDescent="0.35">
      <c r="C2589" s="3"/>
    </row>
    <row r="2590" spans="3:3" ht="20" customHeight="1" x14ac:dyDescent="0.35">
      <c r="C2590" s="3"/>
    </row>
    <row r="2591" spans="3:3" ht="20" customHeight="1" x14ac:dyDescent="0.35">
      <c r="C2591" s="3"/>
    </row>
    <row r="2592" spans="3:3" ht="20" customHeight="1" x14ac:dyDescent="0.35">
      <c r="C2592" s="3"/>
    </row>
    <row r="2593" spans="3:3" ht="20" customHeight="1" x14ac:dyDescent="0.35">
      <c r="C2593" s="3"/>
    </row>
    <row r="2594" spans="3:3" ht="20" customHeight="1" x14ac:dyDescent="0.35">
      <c r="C2594" s="3"/>
    </row>
    <row r="2595" spans="3:3" ht="20" customHeight="1" x14ac:dyDescent="0.35">
      <c r="C2595" s="3"/>
    </row>
    <row r="2596" spans="3:3" ht="20" customHeight="1" x14ac:dyDescent="0.35">
      <c r="C2596" s="3"/>
    </row>
    <row r="2597" spans="3:3" ht="20" customHeight="1" x14ac:dyDescent="0.35">
      <c r="C2597" s="3"/>
    </row>
    <row r="2598" spans="3:3" ht="20" customHeight="1" x14ac:dyDescent="0.35">
      <c r="C2598" s="3"/>
    </row>
    <row r="2599" spans="3:3" ht="20" customHeight="1" x14ac:dyDescent="0.35">
      <c r="C2599" s="3"/>
    </row>
    <row r="2600" spans="3:3" ht="20" customHeight="1" x14ac:dyDescent="0.35">
      <c r="C2600" s="3"/>
    </row>
    <row r="2601" spans="3:3" ht="20" customHeight="1" x14ac:dyDescent="0.35">
      <c r="C2601" s="3"/>
    </row>
    <row r="2602" spans="3:3" ht="20" customHeight="1" x14ac:dyDescent="0.35">
      <c r="C2602" s="3"/>
    </row>
    <row r="2603" spans="3:3" ht="20" customHeight="1" x14ac:dyDescent="0.35">
      <c r="C2603" s="3"/>
    </row>
    <row r="2604" spans="3:3" ht="20" customHeight="1" x14ac:dyDescent="0.35">
      <c r="C2604" s="3"/>
    </row>
    <row r="2605" spans="3:3" ht="20" customHeight="1" x14ac:dyDescent="0.35">
      <c r="C2605" s="3"/>
    </row>
    <row r="2606" spans="3:3" ht="20" customHeight="1" x14ac:dyDescent="0.35">
      <c r="C2606" s="3"/>
    </row>
    <row r="2607" spans="3:3" ht="20" customHeight="1" x14ac:dyDescent="0.35">
      <c r="C2607" s="3"/>
    </row>
    <row r="2608" spans="3:3" ht="20" customHeight="1" x14ac:dyDescent="0.35">
      <c r="C2608" s="3"/>
    </row>
    <row r="2609" spans="3:3" ht="20" customHeight="1" x14ac:dyDescent="0.35">
      <c r="C2609" s="3"/>
    </row>
    <row r="2610" spans="3:3" ht="20" customHeight="1" x14ac:dyDescent="0.35">
      <c r="C2610" s="3"/>
    </row>
    <row r="2611" spans="3:3" ht="20" customHeight="1" x14ac:dyDescent="0.35">
      <c r="C2611" s="3"/>
    </row>
    <row r="2612" spans="3:3" ht="20" customHeight="1" x14ac:dyDescent="0.35">
      <c r="C2612" s="3"/>
    </row>
    <row r="2613" spans="3:3" ht="20" customHeight="1" x14ac:dyDescent="0.35">
      <c r="C2613" s="3"/>
    </row>
    <row r="2614" spans="3:3" ht="20" customHeight="1" x14ac:dyDescent="0.35">
      <c r="C2614" s="3"/>
    </row>
    <row r="2615" spans="3:3" ht="20" customHeight="1" x14ac:dyDescent="0.35">
      <c r="C2615" s="3"/>
    </row>
    <row r="2616" spans="3:3" ht="20" customHeight="1" x14ac:dyDescent="0.35">
      <c r="C2616" s="3"/>
    </row>
    <row r="2617" spans="3:3" ht="20" customHeight="1" x14ac:dyDescent="0.35">
      <c r="C2617" s="3"/>
    </row>
    <row r="2618" spans="3:3" ht="20" customHeight="1" x14ac:dyDescent="0.35">
      <c r="C2618" s="3"/>
    </row>
    <row r="2619" spans="3:3" ht="20" customHeight="1" x14ac:dyDescent="0.35">
      <c r="C2619" s="3"/>
    </row>
    <row r="2620" spans="3:3" ht="20" customHeight="1" x14ac:dyDescent="0.35">
      <c r="C2620" s="3"/>
    </row>
    <row r="2621" spans="3:3" ht="20" customHeight="1" x14ac:dyDescent="0.35">
      <c r="C2621" s="3"/>
    </row>
    <row r="2622" spans="3:3" ht="20" customHeight="1" x14ac:dyDescent="0.35">
      <c r="C2622" s="3"/>
    </row>
    <row r="2623" spans="3:3" ht="20" customHeight="1" x14ac:dyDescent="0.35">
      <c r="C2623" s="3"/>
    </row>
    <row r="2624" spans="3:3" ht="20" customHeight="1" x14ac:dyDescent="0.35">
      <c r="C2624" s="3"/>
    </row>
    <row r="2625" spans="3:3" ht="20" customHeight="1" x14ac:dyDescent="0.35">
      <c r="C2625" s="3"/>
    </row>
    <row r="2626" spans="3:3" ht="20" customHeight="1" x14ac:dyDescent="0.35">
      <c r="C2626" s="3"/>
    </row>
    <row r="2627" spans="3:3" ht="20" customHeight="1" x14ac:dyDescent="0.35">
      <c r="C2627" s="3"/>
    </row>
    <row r="2628" spans="3:3" ht="20" customHeight="1" x14ac:dyDescent="0.35">
      <c r="C2628" s="3"/>
    </row>
    <row r="2629" spans="3:3" ht="20" customHeight="1" x14ac:dyDescent="0.35">
      <c r="C2629" s="3"/>
    </row>
    <row r="2630" spans="3:3" ht="20" customHeight="1" x14ac:dyDescent="0.35">
      <c r="C2630" s="3"/>
    </row>
    <row r="2631" spans="3:3" ht="20" customHeight="1" x14ac:dyDescent="0.35">
      <c r="C2631" s="3"/>
    </row>
    <row r="2632" spans="3:3" ht="20" customHeight="1" x14ac:dyDescent="0.35">
      <c r="C2632" s="3"/>
    </row>
    <row r="2633" spans="3:3" ht="20" customHeight="1" x14ac:dyDescent="0.35">
      <c r="C2633" s="3"/>
    </row>
    <row r="2634" spans="3:3" ht="20" customHeight="1" x14ac:dyDescent="0.35">
      <c r="C2634" s="3"/>
    </row>
    <row r="2635" spans="3:3" ht="20" customHeight="1" x14ac:dyDescent="0.35">
      <c r="C2635" s="3"/>
    </row>
    <row r="2636" spans="3:3" ht="20" customHeight="1" x14ac:dyDescent="0.35">
      <c r="C2636" s="3"/>
    </row>
    <row r="2637" spans="3:3" ht="20" customHeight="1" x14ac:dyDescent="0.35">
      <c r="C2637" s="3"/>
    </row>
    <row r="2638" spans="3:3" ht="20" customHeight="1" x14ac:dyDescent="0.35">
      <c r="C2638" s="3"/>
    </row>
    <row r="2639" spans="3:3" ht="20" customHeight="1" x14ac:dyDescent="0.35">
      <c r="C2639" s="3"/>
    </row>
    <row r="2640" spans="3:3" ht="20" customHeight="1" x14ac:dyDescent="0.35">
      <c r="C2640" s="3"/>
    </row>
    <row r="2641" spans="3:3" ht="20" customHeight="1" x14ac:dyDescent="0.35">
      <c r="C2641" s="3"/>
    </row>
    <row r="2642" spans="3:3" ht="20" customHeight="1" x14ac:dyDescent="0.35">
      <c r="C2642" s="3"/>
    </row>
    <row r="2643" spans="3:3" ht="20" customHeight="1" x14ac:dyDescent="0.35">
      <c r="C2643" s="3"/>
    </row>
    <row r="2644" spans="3:3" ht="20" customHeight="1" x14ac:dyDescent="0.35">
      <c r="C2644" s="3"/>
    </row>
    <row r="2645" spans="3:3" ht="20" customHeight="1" x14ac:dyDescent="0.35">
      <c r="C2645" s="3"/>
    </row>
    <row r="2646" spans="3:3" ht="20" customHeight="1" x14ac:dyDescent="0.35">
      <c r="C2646" s="3"/>
    </row>
    <row r="2647" spans="3:3" ht="20" customHeight="1" x14ac:dyDescent="0.35">
      <c r="C2647" s="3"/>
    </row>
    <row r="2648" spans="3:3" ht="20" customHeight="1" x14ac:dyDescent="0.35">
      <c r="C2648" s="3"/>
    </row>
    <row r="2649" spans="3:3" ht="20" customHeight="1" x14ac:dyDescent="0.35">
      <c r="C2649" s="3"/>
    </row>
    <row r="2650" spans="3:3" ht="20" customHeight="1" x14ac:dyDescent="0.35">
      <c r="C2650" s="3"/>
    </row>
    <row r="2651" spans="3:3" ht="20" customHeight="1" x14ac:dyDescent="0.35">
      <c r="C2651" s="3"/>
    </row>
    <row r="2652" spans="3:3" ht="20" customHeight="1" x14ac:dyDescent="0.35">
      <c r="C2652" s="3"/>
    </row>
    <row r="2653" spans="3:3" ht="20" customHeight="1" x14ac:dyDescent="0.35">
      <c r="C2653" s="3"/>
    </row>
    <row r="2654" spans="3:3" ht="20" customHeight="1" x14ac:dyDescent="0.35">
      <c r="C2654" s="3"/>
    </row>
    <row r="2655" spans="3:3" ht="20" customHeight="1" x14ac:dyDescent="0.35">
      <c r="C2655" s="3"/>
    </row>
    <row r="2656" spans="3:3" ht="20" customHeight="1" x14ac:dyDescent="0.35">
      <c r="C2656" s="3"/>
    </row>
    <row r="2657" spans="3:3" ht="20" customHeight="1" x14ac:dyDescent="0.35">
      <c r="C2657" s="3"/>
    </row>
    <row r="2658" spans="3:3" ht="20" customHeight="1" x14ac:dyDescent="0.35">
      <c r="C2658" s="3"/>
    </row>
    <row r="2659" spans="3:3" ht="20" customHeight="1" x14ac:dyDescent="0.35">
      <c r="C2659" s="3"/>
    </row>
    <row r="2660" spans="3:3" ht="20" customHeight="1" x14ac:dyDescent="0.35">
      <c r="C2660" s="3"/>
    </row>
    <row r="2661" spans="3:3" ht="20" customHeight="1" x14ac:dyDescent="0.35">
      <c r="C2661" s="3"/>
    </row>
    <row r="2662" spans="3:3" ht="20" customHeight="1" x14ac:dyDescent="0.35">
      <c r="C2662" s="3"/>
    </row>
    <row r="2663" spans="3:3" ht="20" customHeight="1" x14ac:dyDescent="0.35">
      <c r="C2663" s="3"/>
    </row>
    <row r="2664" spans="3:3" ht="20" customHeight="1" x14ac:dyDescent="0.35">
      <c r="C2664" s="3"/>
    </row>
    <row r="2665" spans="3:3" ht="20" customHeight="1" x14ac:dyDescent="0.35">
      <c r="C2665" s="3"/>
    </row>
    <row r="2666" spans="3:3" ht="20" customHeight="1" x14ac:dyDescent="0.35">
      <c r="C2666" s="3"/>
    </row>
    <row r="2667" spans="3:3" ht="20" customHeight="1" x14ac:dyDescent="0.35">
      <c r="C2667" s="3"/>
    </row>
    <row r="2668" spans="3:3" ht="20" customHeight="1" x14ac:dyDescent="0.35">
      <c r="C2668" s="3"/>
    </row>
    <row r="2669" spans="3:3" ht="20" customHeight="1" x14ac:dyDescent="0.35">
      <c r="C2669" s="3"/>
    </row>
    <row r="2670" spans="3:3" ht="20" customHeight="1" x14ac:dyDescent="0.35">
      <c r="C2670" s="3"/>
    </row>
    <row r="2671" spans="3:3" ht="20" customHeight="1" x14ac:dyDescent="0.35">
      <c r="C2671" s="3"/>
    </row>
    <row r="2672" spans="3:3" ht="20" customHeight="1" x14ac:dyDescent="0.35">
      <c r="C2672" s="3"/>
    </row>
    <row r="2673" spans="3:3" ht="20" customHeight="1" x14ac:dyDescent="0.35">
      <c r="C2673" s="3"/>
    </row>
    <row r="2674" spans="3:3" ht="20" customHeight="1" x14ac:dyDescent="0.35">
      <c r="C2674" s="3"/>
    </row>
    <row r="2675" spans="3:3" ht="20" customHeight="1" x14ac:dyDescent="0.35">
      <c r="C2675" s="3"/>
    </row>
    <row r="2676" spans="3:3" ht="20" customHeight="1" x14ac:dyDescent="0.35">
      <c r="C2676" s="3"/>
    </row>
    <row r="2677" spans="3:3" ht="20" customHeight="1" x14ac:dyDescent="0.35">
      <c r="C2677" s="3"/>
    </row>
    <row r="2678" spans="3:3" ht="20" customHeight="1" x14ac:dyDescent="0.35">
      <c r="C2678" s="3"/>
    </row>
    <row r="2679" spans="3:3" ht="20" customHeight="1" x14ac:dyDescent="0.35">
      <c r="C2679" s="3"/>
    </row>
    <row r="2680" spans="3:3" ht="20" customHeight="1" x14ac:dyDescent="0.35">
      <c r="C2680" s="3"/>
    </row>
    <row r="2681" spans="3:3" ht="20" customHeight="1" x14ac:dyDescent="0.35">
      <c r="C2681" s="3"/>
    </row>
    <row r="2682" spans="3:3" ht="20" customHeight="1" x14ac:dyDescent="0.35">
      <c r="C2682" s="3"/>
    </row>
    <row r="2683" spans="3:3" ht="20" customHeight="1" x14ac:dyDescent="0.35">
      <c r="C2683" s="3"/>
    </row>
    <row r="2684" spans="3:3" ht="20" customHeight="1" x14ac:dyDescent="0.35">
      <c r="C2684" s="3"/>
    </row>
    <row r="2685" spans="3:3" ht="20" customHeight="1" x14ac:dyDescent="0.35">
      <c r="C2685" s="3"/>
    </row>
    <row r="2686" spans="3:3" ht="20" customHeight="1" x14ac:dyDescent="0.35">
      <c r="C2686" s="3"/>
    </row>
    <row r="2687" spans="3:3" ht="20" customHeight="1" x14ac:dyDescent="0.35">
      <c r="C2687" s="3"/>
    </row>
    <row r="2688" spans="3:3" ht="20" customHeight="1" x14ac:dyDescent="0.35">
      <c r="C2688" s="3"/>
    </row>
    <row r="2689" spans="3:3" ht="20" customHeight="1" x14ac:dyDescent="0.35">
      <c r="C2689" s="3"/>
    </row>
    <row r="2690" spans="3:3" ht="20" customHeight="1" x14ac:dyDescent="0.35">
      <c r="C2690" s="3"/>
    </row>
    <row r="2691" spans="3:3" ht="20" customHeight="1" x14ac:dyDescent="0.35">
      <c r="C2691" s="3"/>
    </row>
    <row r="2692" spans="3:3" ht="20" customHeight="1" x14ac:dyDescent="0.35">
      <c r="C2692" s="3"/>
    </row>
    <row r="2693" spans="3:3" ht="20" customHeight="1" x14ac:dyDescent="0.35">
      <c r="C2693" s="3"/>
    </row>
    <row r="2694" spans="3:3" ht="20" customHeight="1" x14ac:dyDescent="0.35">
      <c r="C2694" s="3"/>
    </row>
    <row r="2695" spans="3:3" ht="20" customHeight="1" x14ac:dyDescent="0.35">
      <c r="C2695" s="3"/>
    </row>
    <row r="2696" spans="3:3" ht="20" customHeight="1" x14ac:dyDescent="0.35">
      <c r="C2696" s="3"/>
    </row>
    <row r="2697" spans="3:3" ht="20" customHeight="1" x14ac:dyDescent="0.35">
      <c r="C2697" s="3"/>
    </row>
    <row r="2698" spans="3:3" ht="20" customHeight="1" x14ac:dyDescent="0.35">
      <c r="C2698" s="3"/>
    </row>
    <row r="2699" spans="3:3" ht="20" customHeight="1" x14ac:dyDescent="0.35">
      <c r="C2699" s="3"/>
    </row>
    <row r="2700" spans="3:3" ht="20" customHeight="1" x14ac:dyDescent="0.35">
      <c r="C2700" s="3"/>
    </row>
    <row r="2701" spans="3:3" ht="20" customHeight="1" x14ac:dyDescent="0.35">
      <c r="C2701" s="3"/>
    </row>
    <row r="2702" spans="3:3" ht="20" customHeight="1" x14ac:dyDescent="0.35">
      <c r="C2702" s="3"/>
    </row>
    <row r="2703" spans="3:3" ht="20" customHeight="1" x14ac:dyDescent="0.35">
      <c r="C2703" s="3"/>
    </row>
    <row r="2704" spans="3:3" ht="20" customHeight="1" x14ac:dyDescent="0.35">
      <c r="C2704" s="3"/>
    </row>
    <row r="2705" spans="3:3" ht="20" customHeight="1" x14ac:dyDescent="0.35">
      <c r="C2705" s="3"/>
    </row>
    <row r="2706" spans="3:3" ht="20" customHeight="1" x14ac:dyDescent="0.35">
      <c r="C2706" s="3"/>
    </row>
    <row r="2707" spans="3:3" ht="20" customHeight="1" x14ac:dyDescent="0.35">
      <c r="C2707" s="3"/>
    </row>
    <row r="2708" spans="3:3" ht="20" customHeight="1" x14ac:dyDescent="0.35">
      <c r="C2708" s="3"/>
    </row>
    <row r="2709" spans="3:3" ht="20" customHeight="1" x14ac:dyDescent="0.35">
      <c r="C2709" s="3"/>
    </row>
    <row r="2710" spans="3:3" ht="20" customHeight="1" x14ac:dyDescent="0.35">
      <c r="C2710" s="3"/>
    </row>
    <row r="2711" spans="3:3" ht="20" customHeight="1" x14ac:dyDescent="0.35">
      <c r="C2711" s="3"/>
    </row>
    <row r="2712" spans="3:3" ht="20" customHeight="1" x14ac:dyDescent="0.35">
      <c r="C2712" s="3"/>
    </row>
    <row r="2713" spans="3:3" ht="20" customHeight="1" x14ac:dyDescent="0.35">
      <c r="C2713" s="3"/>
    </row>
    <row r="2714" spans="3:3" ht="20" customHeight="1" x14ac:dyDescent="0.35">
      <c r="C2714" s="3"/>
    </row>
    <row r="2715" spans="3:3" ht="20" customHeight="1" x14ac:dyDescent="0.35">
      <c r="C2715" s="3"/>
    </row>
    <row r="2716" spans="3:3" ht="20" customHeight="1" x14ac:dyDescent="0.35">
      <c r="C2716" s="3"/>
    </row>
    <row r="2717" spans="3:3" ht="20" customHeight="1" x14ac:dyDescent="0.35">
      <c r="C2717" s="3"/>
    </row>
    <row r="2718" spans="3:3" ht="20" customHeight="1" x14ac:dyDescent="0.35">
      <c r="C2718" s="3"/>
    </row>
    <row r="2719" spans="3:3" ht="20" customHeight="1" x14ac:dyDescent="0.35">
      <c r="C2719" s="3"/>
    </row>
    <row r="2720" spans="3:3" ht="20" customHeight="1" x14ac:dyDescent="0.35">
      <c r="C2720" s="3"/>
    </row>
    <row r="2721" spans="3:3" ht="20" customHeight="1" x14ac:dyDescent="0.35">
      <c r="C2721" s="3"/>
    </row>
    <row r="2722" spans="3:3" ht="20" customHeight="1" x14ac:dyDescent="0.35">
      <c r="C2722" s="3"/>
    </row>
    <row r="2723" spans="3:3" ht="20" customHeight="1" x14ac:dyDescent="0.35">
      <c r="C2723" s="3"/>
    </row>
    <row r="2724" spans="3:3" ht="20" customHeight="1" x14ac:dyDescent="0.35">
      <c r="C2724" s="3"/>
    </row>
    <row r="2725" spans="3:3" ht="20" customHeight="1" x14ac:dyDescent="0.35">
      <c r="C2725" s="3"/>
    </row>
    <row r="2726" spans="3:3" ht="20" customHeight="1" x14ac:dyDescent="0.35">
      <c r="C2726" s="3"/>
    </row>
    <row r="2727" spans="3:3" ht="20" customHeight="1" x14ac:dyDescent="0.35">
      <c r="C2727" s="3"/>
    </row>
    <row r="2728" spans="3:3" ht="20" customHeight="1" x14ac:dyDescent="0.35">
      <c r="C2728" s="3"/>
    </row>
    <row r="2729" spans="3:3" ht="20" customHeight="1" x14ac:dyDescent="0.35">
      <c r="C2729" s="3"/>
    </row>
    <row r="2730" spans="3:3" ht="20" customHeight="1" x14ac:dyDescent="0.35">
      <c r="C2730" s="3"/>
    </row>
    <row r="2731" spans="3:3" ht="20" customHeight="1" x14ac:dyDescent="0.35">
      <c r="C2731" s="3"/>
    </row>
    <row r="2732" spans="3:3" ht="20" customHeight="1" x14ac:dyDescent="0.35">
      <c r="C2732" s="3"/>
    </row>
    <row r="2733" spans="3:3" ht="20" customHeight="1" x14ac:dyDescent="0.35">
      <c r="C2733" s="3"/>
    </row>
    <row r="2734" spans="3:3" ht="20" customHeight="1" x14ac:dyDescent="0.35">
      <c r="C2734" s="3"/>
    </row>
    <row r="2735" spans="3:3" ht="20" customHeight="1" x14ac:dyDescent="0.35">
      <c r="C2735" s="3"/>
    </row>
    <row r="2736" spans="3:3" ht="20" customHeight="1" x14ac:dyDescent="0.35">
      <c r="C2736" s="3"/>
    </row>
    <row r="2737" spans="3:3" ht="20" customHeight="1" x14ac:dyDescent="0.35">
      <c r="C2737" s="3"/>
    </row>
    <row r="2738" spans="3:3" ht="20" customHeight="1" x14ac:dyDescent="0.35">
      <c r="C2738" s="3"/>
    </row>
    <row r="2739" spans="3:3" ht="20" customHeight="1" x14ac:dyDescent="0.35">
      <c r="C2739" s="3"/>
    </row>
    <row r="2740" spans="3:3" ht="20" customHeight="1" x14ac:dyDescent="0.35">
      <c r="C2740" s="3"/>
    </row>
    <row r="2741" spans="3:3" ht="20" customHeight="1" x14ac:dyDescent="0.35">
      <c r="C2741" s="3"/>
    </row>
    <row r="2742" spans="3:3" ht="20" customHeight="1" x14ac:dyDescent="0.35">
      <c r="C2742" s="3"/>
    </row>
    <row r="2743" spans="3:3" ht="20" customHeight="1" x14ac:dyDescent="0.35">
      <c r="C2743" s="3"/>
    </row>
    <row r="2744" spans="3:3" ht="20" customHeight="1" x14ac:dyDescent="0.35">
      <c r="C2744" s="3"/>
    </row>
    <row r="2745" spans="3:3" ht="20" customHeight="1" x14ac:dyDescent="0.35">
      <c r="C2745" s="3"/>
    </row>
    <row r="2746" spans="3:3" ht="20" customHeight="1" x14ac:dyDescent="0.35">
      <c r="C2746" s="3"/>
    </row>
    <row r="2747" spans="3:3" ht="20" customHeight="1" x14ac:dyDescent="0.35">
      <c r="C2747" s="3"/>
    </row>
    <row r="2748" spans="3:3" ht="20" customHeight="1" x14ac:dyDescent="0.35">
      <c r="C2748" s="3"/>
    </row>
    <row r="2749" spans="3:3" ht="20" customHeight="1" x14ac:dyDescent="0.35">
      <c r="C2749" s="3"/>
    </row>
    <row r="2750" spans="3:3" ht="20" customHeight="1" x14ac:dyDescent="0.35">
      <c r="C2750" s="3"/>
    </row>
    <row r="2751" spans="3:3" ht="20" customHeight="1" x14ac:dyDescent="0.35">
      <c r="C2751" s="3"/>
    </row>
    <row r="2752" spans="3:3" ht="20" customHeight="1" x14ac:dyDescent="0.35">
      <c r="C2752" s="3"/>
    </row>
    <row r="2753" spans="3:3" ht="20" customHeight="1" x14ac:dyDescent="0.35">
      <c r="C2753" s="3"/>
    </row>
    <row r="2754" spans="3:3" ht="20" customHeight="1" x14ac:dyDescent="0.35">
      <c r="C2754" s="3"/>
    </row>
    <row r="2755" spans="3:3" ht="20" customHeight="1" x14ac:dyDescent="0.35">
      <c r="C2755" s="3"/>
    </row>
    <row r="2756" spans="3:3" ht="20" customHeight="1" x14ac:dyDescent="0.35">
      <c r="C2756" s="3"/>
    </row>
    <row r="2757" spans="3:3" ht="20" customHeight="1" x14ac:dyDescent="0.35">
      <c r="C2757" s="3"/>
    </row>
    <row r="2758" spans="3:3" ht="20" customHeight="1" x14ac:dyDescent="0.35">
      <c r="C2758" s="3"/>
    </row>
    <row r="2759" spans="3:3" ht="20" customHeight="1" x14ac:dyDescent="0.35">
      <c r="C2759" s="3"/>
    </row>
    <row r="2760" spans="3:3" ht="20" customHeight="1" x14ac:dyDescent="0.35">
      <c r="C2760" s="3"/>
    </row>
    <row r="2761" spans="3:3" ht="20" customHeight="1" x14ac:dyDescent="0.35">
      <c r="C2761" s="3"/>
    </row>
    <row r="2762" spans="3:3" ht="20" customHeight="1" x14ac:dyDescent="0.35">
      <c r="C2762" s="3"/>
    </row>
    <row r="2763" spans="3:3" ht="20" customHeight="1" x14ac:dyDescent="0.35">
      <c r="C2763" s="3"/>
    </row>
    <row r="2764" spans="3:3" ht="20" customHeight="1" x14ac:dyDescent="0.35">
      <c r="C2764" s="3"/>
    </row>
    <row r="2765" spans="3:3" ht="20" customHeight="1" x14ac:dyDescent="0.35">
      <c r="C2765" s="3"/>
    </row>
    <row r="2766" spans="3:3" ht="20" customHeight="1" x14ac:dyDescent="0.35">
      <c r="C2766" s="3"/>
    </row>
    <row r="2767" spans="3:3" ht="20" customHeight="1" x14ac:dyDescent="0.35">
      <c r="C2767" s="3"/>
    </row>
    <row r="2768" spans="3:3" ht="20" customHeight="1" x14ac:dyDescent="0.35">
      <c r="C2768" s="3"/>
    </row>
    <row r="2769" spans="3:3" ht="20" customHeight="1" x14ac:dyDescent="0.35">
      <c r="C2769" s="3"/>
    </row>
    <row r="2770" spans="3:3" ht="20" customHeight="1" x14ac:dyDescent="0.35">
      <c r="C2770" s="3"/>
    </row>
    <row r="2771" spans="3:3" ht="20" customHeight="1" x14ac:dyDescent="0.35">
      <c r="C2771" s="3"/>
    </row>
    <row r="2772" spans="3:3" ht="20" customHeight="1" x14ac:dyDescent="0.35">
      <c r="C2772" s="3"/>
    </row>
    <row r="2773" spans="3:3" ht="20" customHeight="1" x14ac:dyDescent="0.35">
      <c r="C2773" s="3"/>
    </row>
    <row r="2774" spans="3:3" ht="20" customHeight="1" x14ac:dyDescent="0.35">
      <c r="C2774" s="3"/>
    </row>
    <row r="2775" spans="3:3" ht="20" customHeight="1" x14ac:dyDescent="0.35">
      <c r="C2775" s="3"/>
    </row>
    <row r="2776" spans="3:3" ht="20" customHeight="1" x14ac:dyDescent="0.35">
      <c r="C2776" s="3"/>
    </row>
    <row r="2777" spans="3:3" ht="20" customHeight="1" x14ac:dyDescent="0.35">
      <c r="C2777" s="3"/>
    </row>
    <row r="2778" spans="3:3" ht="20" customHeight="1" x14ac:dyDescent="0.35">
      <c r="C2778" s="3"/>
    </row>
    <row r="2779" spans="3:3" ht="20" customHeight="1" x14ac:dyDescent="0.35">
      <c r="C2779" s="3"/>
    </row>
    <row r="2780" spans="3:3" ht="20" customHeight="1" x14ac:dyDescent="0.35">
      <c r="C2780" s="3"/>
    </row>
    <row r="2781" spans="3:3" ht="20" customHeight="1" x14ac:dyDescent="0.35">
      <c r="C2781" s="3"/>
    </row>
    <row r="2782" spans="3:3" ht="20" customHeight="1" x14ac:dyDescent="0.35">
      <c r="C2782" s="3"/>
    </row>
    <row r="2783" spans="3:3" ht="20" customHeight="1" x14ac:dyDescent="0.35">
      <c r="C2783" s="3"/>
    </row>
    <row r="2784" spans="3:3" ht="20" customHeight="1" x14ac:dyDescent="0.35">
      <c r="C2784" s="3"/>
    </row>
    <row r="2785" spans="3:3" ht="20" customHeight="1" x14ac:dyDescent="0.35">
      <c r="C2785" s="3"/>
    </row>
    <row r="2786" spans="3:3" ht="20" customHeight="1" x14ac:dyDescent="0.35">
      <c r="C2786" s="3"/>
    </row>
    <row r="2787" spans="3:3" ht="20" customHeight="1" x14ac:dyDescent="0.35">
      <c r="C2787" s="3"/>
    </row>
    <row r="2788" spans="3:3" ht="20" customHeight="1" x14ac:dyDescent="0.35">
      <c r="C2788" s="3"/>
    </row>
    <row r="2789" spans="3:3" ht="20" customHeight="1" x14ac:dyDescent="0.35">
      <c r="C2789" s="3"/>
    </row>
    <row r="2790" spans="3:3" ht="20" customHeight="1" x14ac:dyDescent="0.35">
      <c r="C2790" s="3"/>
    </row>
    <row r="2791" spans="3:3" ht="20" customHeight="1" x14ac:dyDescent="0.35">
      <c r="C2791" s="3"/>
    </row>
    <row r="2792" spans="3:3" ht="20" customHeight="1" x14ac:dyDescent="0.35">
      <c r="C2792" s="3"/>
    </row>
    <row r="2793" spans="3:3" ht="20" customHeight="1" x14ac:dyDescent="0.35">
      <c r="C2793" s="3"/>
    </row>
    <row r="2794" spans="3:3" ht="20" customHeight="1" x14ac:dyDescent="0.35">
      <c r="C2794" s="3"/>
    </row>
    <row r="2795" spans="3:3" ht="20" customHeight="1" x14ac:dyDescent="0.35">
      <c r="C2795" s="3"/>
    </row>
    <row r="2796" spans="3:3" ht="20" customHeight="1" x14ac:dyDescent="0.35">
      <c r="C2796" s="3"/>
    </row>
    <row r="2797" spans="3:3" ht="20" customHeight="1" x14ac:dyDescent="0.35">
      <c r="C2797" s="3"/>
    </row>
    <row r="2798" spans="3:3" ht="20" customHeight="1" x14ac:dyDescent="0.35">
      <c r="C2798" s="3"/>
    </row>
    <row r="2799" spans="3:3" ht="20" customHeight="1" x14ac:dyDescent="0.35">
      <c r="C2799" s="3"/>
    </row>
    <row r="2800" spans="3:3" ht="20" customHeight="1" x14ac:dyDescent="0.35">
      <c r="C2800" s="3"/>
    </row>
    <row r="2801" spans="3:3" ht="20" customHeight="1" x14ac:dyDescent="0.35">
      <c r="C2801" s="3"/>
    </row>
    <row r="2802" spans="3:3" ht="20" customHeight="1" x14ac:dyDescent="0.35">
      <c r="C2802" s="3"/>
    </row>
    <row r="2803" spans="3:3" ht="20" customHeight="1" x14ac:dyDescent="0.35">
      <c r="C2803" s="3"/>
    </row>
    <row r="2804" spans="3:3" ht="20" customHeight="1" x14ac:dyDescent="0.35">
      <c r="C2804" s="3"/>
    </row>
    <row r="2805" spans="3:3" ht="20" customHeight="1" x14ac:dyDescent="0.35">
      <c r="C2805" s="3"/>
    </row>
    <row r="2806" spans="3:3" ht="20" customHeight="1" x14ac:dyDescent="0.35">
      <c r="C2806" s="3"/>
    </row>
    <row r="2807" spans="3:3" ht="20" customHeight="1" x14ac:dyDescent="0.35">
      <c r="C2807" s="3"/>
    </row>
    <row r="2808" spans="3:3" ht="20" customHeight="1" x14ac:dyDescent="0.35">
      <c r="C2808" s="3"/>
    </row>
    <row r="2809" spans="3:3" ht="20" customHeight="1" x14ac:dyDescent="0.35">
      <c r="C2809" s="3"/>
    </row>
    <row r="2810" spans="3:3" ht="20" customHeight="1" x14ac:dyDescent="0.35">
      <c r="C2810" s="3"/>
    </row>
    <row r="2811" spans="3:3" ht="20" customHeight="1" x14ac:dyDescent="0.35">
      <c r="C2811" s="3"/>
    </row>
    <row r="2812" spans="3:3" ht="20" customHeight="1" x14ac:dyDescent="0.35">
      <c r="C2812" s="3"/>
    </row>
    <row r="2813" spans="3:3" ht="20" customHeight="1" x14ac:dyDescent="0.35">
      <c r="C2813" s="3"/>
    </row>
    <row r="2814" spans="3:3" ht="20" customHeight="1" x14ac:dyDescent="0.35">
      <c r="C2814" s="3"/>
    </row>
    <row r="2815" spans="3:3" ht="20" customHeight="1" x14ac:dyDescent="0.35">
      <c r="C2815" s="3"/>
    </row>
    <row r="2816" spans="3:3" ht="20" customHeight="1" x14ac:dyDescent="0.35">
      <c r="C2816" s="3"/>
    </row>
    <row r="2817" spans="3:3" ht="20" customHeight="1" x14ac:dyDescent="0.35">
      <c r="C2817" s="3"/>
    </row>
    <row r="2818" spans="3:3" ht="20" customHeight="1" x14ac:dyDescent="0.35">
      <c r="C2818" s="3"/>
    </row>
    <row r="2819" spans="3:3" ht="20" customHeight="1" x14ac:dyDescent="0.35">
      <c r="C2819" s="3"/>
    </row>
    <row r="2820" spans="3:3" ht="20" customHeight="1" x14ac:dyDescent="0.35">
      <c r="C2820" s="3"/>
    </row>
    <row r="2821" spans="3:3" ht="20" customHeight="1" x14ac:dyDescent="0.35">
      <c r="C2821" s="3"/>
    </row>
    <row r="2822" spans="3:3" ht="20" customHeight="1" x14ac:dyDescent="0.35">
      <c r="C2822" s="3"/>
    </row>
    <row r="2823" spans="3:3" ht="20" customHeight="1" x14ac:dyDescent="0.35">
      <c r="C2823" s="3"/>
    </row>
  </sheetData>
  <autoFilter ref="A1:M2501" xr:uid="{ACED1171-BE32-4C5D-A744-FE607DCCA9A6}"/>
  <sortState xmlns:xlrd2="http://schemas.microsoft.com/office/spreadsheetml/2017/richdata2" ref="A2:G2501">
    <sortCondition ref="B1:B2501"/>
  </sortState>
  <conditionalFormatting sqref="G1:G1048576">
    <cfRule type="top10" dxfId="1" priority="1" percent="1" bottom="1" rank="10"/>
    <cfRule type="top10" dxfId="0" priority="2" percent="1" rank="10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97F-60C5-4D3D-86B3-23A725C3CF40}">
  <sheetPr>
    <tabColor theme="7"/>
  </sheetPr>
  <dimension ref="A1:G2501"/>
  <sheetViews>
    <sheetView workbookViewId="0">
      <selection activeCell="G2" sqref="G2"/>
    </sheetView>
  </sheetViews>
  <sheetFormatPr defaultRowHeight="20" customHeight="1" x14ac:dyDescent="0.35"/>
  <cols>
    <col min="1" max="1" width="16.6328125" bestFit="1" customWidth="1"/>
    <col min="2" max="2" width="22.1796875" bestFit="1" customWidth="1"/>
    <col min="3" max="3" width="12.08984375" bestFit="1" customWidth="1"/>
    <col min="4" max="4" width="8.81640625" bestFit="1" customWidth="1"/>
    <col min="5" max="5" width="13.453125" bestFit="1" customWidth="1"/>
    <col min="6" max="6" width="17.7265625" bestFit="1" customWidth="1"/>
    <col min="7" max="7" width="15" bestFit="1" customWidth="1"/>
  </cols>
  <sheetData>
    <row r="1" spans="1:7" ht="20" customHeight="1" x14ac:dyDescent="0.35">
      <c r="A1" s="32" t="s">
        <v>2</v>
      </c>
      <c r="B1" s="33" t="s">
        <v>114</v>
      </c>
      <c r="C1" s="33" t="s">
        <v>123</v>
      </c>
      <c r="D1" s="33" t="s">
        <v>124</v>
      </c>
      <c r="E1" s="33" t="s">
        <v>127</v>
      </c>
      <c r="F1" s="33" t="s">
        <v>151</v>
      </c>
      <c r="G1" s="36" t="s">
        <v>211</v>
      </c>
    </row>
    <row r="2" spans="1:7" ht="20" customHeight="1" x14ac:dyDescent="0.35">
      <c r="A2" s="17">
        <v>1</v>
      </c>
      <c r="B2" s="23" t="s">
        <v>100</v>
      </c>
      <c r="C2" s="18" t="s">
        <v>125</v>
      </c>
      <c r="D2" s="18">
        <v>31</v>
      </c>
      <c r="E2" s="18" t="s">
        <v>128</v>
      </c>
      <c r="F2" s="18" t="str">
        <f>IF(OR(D2&gt;Answers!L17,D2&lt;Answers!L18),"Outlier","Normal")</f>
        <v>Normal</v>
      </c>
      <c r="G2" s="19" t="str">
        <f>IF(D2&lt;20,"&lt;20",
IF(D2&lt;=30,"20-30",
IF(D2&lt;=40,"30-40","40-50")))</f>
        <v>30-40</v>
      </c>
    </row>
    <row r="3" spans="1:7" ht="20" customHeight="1" x14ac:dyDescent="0.35">
      <c r="A3" s="17">
        <v>2</v>
      </c>
      <c r="B3" s="23" t="s">
        <v>105</v>
      </c>
      <c r="C3" s="18" t="s">
        <v>125</v>
      </c>
      <c r="D3" s="18">
        <v>49</v>
      </c>
      <c r="E3" s="18" t="s">
        <v>128</v>
      </c>
      <c r="F3" s="18" t="str">
        <f>IF(OR(D3&gt;Answers!L18,D3&lt;Answers!L19),"Outlier","Normal")</f>
        <v>Outlier</v>
      </c>
      <c r="G3" s="19" t="str">
        <f t="shared" ref="G3:G66" si="0">IF(D3&lt;20,"&lt;20",
IF(D3&lt;=30,"20-30",
IF(D3&lt;=40,"30-40","40-50")))</f>
        <v>40-50</v>
      </c>
    </row>
    <row r="4" spans="1:7" ht="20" customHeight="1" x14ac:dyDescent="0.35">
      <c r="A4" s="17">
        <v>3</v>
      </c>
      <c r="B4" s="23" t="s">
        <v>99</v>
      </c>
      <c r="C4" s="18" t="s">
        <v>125</v>
      </c>
      <c r="D4" s="18">
        <v>39</v>
      </c>
      <c r="E4" s="18" t="s">
        <v>128</v>
      </c>
      <c r="F4" s="18" t="str">
        <f>IF(OR(D4&gt;Answers!L19,D4&lt;Answers!L20),"Outlier","Normal")</f>
        <v>Outlier</v>
      </c>
      <c r="G4" s="19" t="str">
        <f t="shared" si="0"/>
        <v>30-40</v>
      </c>
    </row>
    <row r="5" spans="1:7" ht="20" customHeight="1" x14ac:dyDescent="0.35">
      <c r="A5" s="17">
        <v>4</v>
      </c>
      <c r="B5" s="23" t="s">
        <v>101</v>
      </c>
      <c r="C5" s="18" t="s">
        <v>125</v>
      </c>
      <c r="D5" s="18">
        <f>ROUND(AVERAGE(D2:D4),0)</f>
        <v>40</v>
      </c>
      <c r="E5" s="18" t="s">
        <v>128</v>
      </c>
      <c r="F5" s="18" t="str">
        <f>IF(OR(D5&gt;Answers!L20,D5&lt;Answers!L21),"Outlier","Normal")</f>
        <v>Outlier</v>
      </c>
      <c r="G5" s="19" t="str">
        <f t="shared" si="0"/>
        <v>30-40</v>
      </c>
    </row>
    <row r="6" spans="1:7" ht="20" customHeight="1" x14ac:dyDescent="0.35">
      <c r="A6" s="17">
        <v>5</v>
      </c>
      <c r="B6" s="23" t="s">
        <v>108</v>
      </c>
      <c r="C6" s="18" t="s">
        <v>125</v>
      </c>
      <c r="D6" s="18">
        <v>81</v>
      </c>
      <c r="E6" s="18" t="s">
        <v>128</v>
      </c>
      <c r="F6" s="18" t="str">
        <f>IF(OR(D6&gt;Answers!L21,D6&lt;Answers!L22),"Outlier","Normal")</f>
        <v>Outlier</v>
      </c>
      <c r="G6" s="19" t="str">
        <f t="shared" si="0"/>
        <v>40-50</v>
      </c>
    </row>
    <row r="7" spans="1:7" ht="20" customHeight="1" x14ac:dyDescent="0.35">
      <c r="A7" s="17">
        <v>6</v>
      </c>
      <c r="B7" s="23" t="s">
        <v>99</v>
      </c>
      <c r="C7" s="18" t="s">
        <v>126</v>
      </c>
      <c r="D7" s="18">
        <v>62</v>
      </c>
      <c r="E7" s="18" t="s">
        <v>128</v>
      </c>
      <c r="F7" s="18" t="str">
        <f>IF(OR(D7&gt;Answers!L22,D7&lt;Answers!L23),"Outlier","Normal")</f>
        <v>Outlier</v>
      </c>
      <c r="G7" s="19" t="str">
        <f t="shared" si="0"/>
        <v>40-50</v>
      </c>
    </row>
    <row r="8" spans="1:7" ht="20" customHeight="1" x14ac:dyDescent="0.35">
      <c r="A8" s="17">
        <v>7</v>
      </c>
      <c r="B8" s="23" t="s">
        <v>106</v>
      </c>
      <c r="C8" s="18" t="s">
        <v>125</v>
      </c>
      <c r="D8" s="18">
        <v>76</v>
      </c>
      <c r="E8" s="18" t="s">
        <v>128</v>
      </c>
      <c r="F8" s="18" t="str">
        <f>IF(OR(D8&gt;Answers!L23,D8&lt;Answers!L24),"Outlier","Normal")</f>
        <v>Outlier</v>
      </c>
      <c r="G8" s="19" t="str">
        <f t="shared" si="0"/>
        <v>40-50</v>
      </c>
    </row>
    <row r="9" spans="1:7" ht="20" customHeight="1" x14ac:dyDescent="0.35">
      <c r="A9" s="17">
        <v>8</v>
      </c>
      <c r="B9" s="23" t="s">
        <v>100</v>
      </c>
      <c r="C9" s="18" t="s">
        <v>126</v>
      </c>
      <c r="D9" s="18">
        <v>70</v>
      </c>
      <c r="E9" s="18" t="s">
        <v>128</v>
      </c>
      <c r="F9" s="18" t="str">
        <f>IF(OR(D9&gt;Answers!L24,D9&lt;Answers!L25),"Outlier","Normal")</f>
        <v>Outlier</v>
      </c>
      <c r="G9" s="19" t="str">
        <f t="shared" si="0"/>
        <v>40-50</v>
      </c>
    </row>
    <row r="10" spans="1:7" ht="20" customHeight="1" x14ac:dyDescent="0.35">
      <c r="A10" s="17">
        <v>9</v>
      </c>
      <c r="B10" s="23" t="s">
        <v>100</v>
      </c>
      <c r="C10" s="18" t="s">
        <v>126</v>
      </c>
      <c r="D10" s="18">
        <v>75</v>
      </c>
      <c r="E10" s="18" t="s">
        <v>128</v>
      </c>
      <c r="F10" s="18" t="str">
        <f>IF(OR(D10&gt;Answers!L25,D10&lt;Answers!L26),"Outlier","Normal")</f>
        <v>Outlier</v>
      </c>
      <c r="G10" s="19" t="str">
        <f t="shared" si="0"/>
        <v>40-50</v>
      </c>
    </row>
    <row r="11" spans="1:7" ht="20" customHeight="1" x14ac:dyDescent="0.35">
      <c r="A11" s="17">
        <v>10</v>
      </c>
      <c r="B11" s="23" t="s">
        <v>103</v>
      </c>
      <c r="C11" s="18" t="s">
        <v>126</v>
      </c>
      <c r="D11" s="18">
        <v>32</v>
      </c>
      <c r="E11" s="18" t="s">
        <v>128</v>
      </c>
      <c r="F11" s="18" t="str">
        <f>IF(OR(D11&gt;Answers!L26,D11&lt;Answers!L27),"Outlier","Normal")</f>
        <v>Outlier</v>
      </c>
      <c r="G11" s="19" t="str">
        <f t="shared" si="0"/>
        <v>30-40</v>
      </c>
    </row>
    <row r="12" spans="1:7" ht="20" customHeight="1" x14ac:dyDescent="0.35">
      <c r="A12" s="17">
        <v>11</v>
      </c>
      <c r="B12" s="23" t="s">
        <v>99</v>
      </c>
      <c r="C12" s="18" t="s">
        <v>126</v>
      </c>
      <c r="D12" s="18">
        <v>82</v>
      </c>
      <c r="E12" s="18" t="s">
        <v>128</v>
      </c>
      <c r="F12" s="18" t="str">
        <f>IF(OR(D12&gt;Answers!L27,D12&lt;Answers!L28),"Outlier","Normal")</f>
        <v>Outlier</v>
      </c>
      <c r="G12" s="19" t="str">
        <f t="shared" si="0"/>
        <v>40-50</v>
      </c>
    </row>
    <row r="13" spans="1:7" ht="20" customHeight="1" x14ac:dyDescent="0.35">
      <c r="A13" s="17">
        <v>12</v>
      </c>
      <c r="B13" s="23" t="s">
        <v>105</v>
      </c>
      <c r="C13" s="18" t="s">
        <v>126</v>
      </c>
      <c r="D13" s="18">
        <v>65</v>
      </c>
      <c r="E13" s="18" t="s">
        <v>128</v>
      </c>
      <c r="F13" s="18" t="str">
        <f>IF(OR(D13&gt;Answers!L28,D13&lt;Answers!L29),"Outlier","Normal")</f>
        <v>Outlier</v>
      </c>
      <c r="G13" s="19" t="str">
        <f t="shared" si="0"/>
        <v>40-50</v>
      </c>
    </row>
    <row r="14" spans="1:7" ht="20" customHeight="1" x14ac:dyDescent="0.35">
      <c r="A14" s="17">
        <v>13</v>
      </c>
      <c r="B14" s="23" t="s">
        <v>105</v>
      </c>
      <c r="C14" s="18" t="s">
        <v>126</v>
      </c>
      <c r="D14" s="18">
        <v>84</v>
      </c>
      <c r="E14" s="18" t="s">
        <v>128</v>
      </c>
      <c r="F14" s="18" t="str">
        <f>IF(OR(D14&gt;Answers!L29,D14&lt;Answers!L30),"Outlier","Normal")</f>
        <v>Outlier</v>
      </c>
      <c r="G14" s="19" t="str">
        <f t="shared" si="0"/>
        <v>40-50</v>
      </c>
    </row>
    <row r="15" spans="1:7" ht="20" customHeight="1" x14ac:dyDescent="0.35">
      <c r="A15" s="17">
        <v>14</v>
      </c>
      <c r="B15" s="23" t="s">
        <v>101</v>
      </c>
      <c r="C15" s="18" t="s">
        <v>125</v>
      </c>
      <c r="D15" s="18">
        <v>64</v>
      </c>
      <c r="E15" s="18" t="s">
        <v>128</v>
      </c>
      <c r="F15" s="18" t="str">
        <f>IF(OR(D15&gt;Answers!L30,D15&lt;Answers!L31),"Outlier","Normal")</f>
        <v>Outlier</v>
      </c>
      <c r="G15" s="19" t="str">
        <f t="shared" si="0"/>
        <v>40-50</v>
      </c>
    </row>
    <row r="16" spans="1:7" ht="20" customHeight="1" x14ac:dyDescent="0.35">
      <c r="A16" s="17">
        <v>15</v>
      </c>
      <c r="B16" s="23" t="s">
        <v>109</v>
      </c>
      <c r="C16" s="18" t="s">
        <v>126</v>
      </c>
      <c r="D16" s="18">
        <v>48</v>
      </c>
      <c r="E16" s="18" t="s">
        <v>128</v>
      </c>
      <c r="F16" s="18" t="str">
        <f>IF(OR(D16&gt;Answers!L31,D16&lt;Answers!L32),"Outlier","Normal")</f>
        <v>Outlier</v>
      </c>
      <c r="G16" s="19" t="str">
        <f t="shared" si="0"/>
        <v>40-50</v>
      </c>
    </row>
    <row r="17" spans="1:7" ht="20" customHeight="1" x14ac:dyDescent="0.35">
      <c r="A17" s="17">
        <v>16</v>
      </c>
      <c r="B17" s="23" t="s">
        <v>103</v>
      </c>
      <c r="C17" s="18" t="s">
        <v>126</v>
      </c>
      <c r="D17" s="18">
        <v>81</v>
      </c>
      <c r="E17" s="18" t="s">
        <v>128</v>
      </c>
      <c r="F17" s="18" t="str">
        <f>IF(OR(D17&gt;Answers!L32,D17&lt;Answers!L33),"Outlier","Normal")</f>
        <v>Outlier</v>
      </c>
      <c r="G17" s="19" t="str">
        <f t="shared" si="0"/>
        <v>40-50</v>
      </c>
    </row>
    <row r="18" spans="1:7" ht="20" customHeight="1" x14ac:dyDescent="0.35">
      <c r="A18" s="17">
        <v>17</v>
      </c>
      <c r="B18" s="23" t="s">
        <v>99</v>
      </c>
      <c r="C18" s="18" t="s">
        <v>125</v>
      </c>
      <c r="D18" s="18">
        <v>63</v>
      </c>
      <c r="E18" s="18" t="s">
        <v>128</v>
      </c>
      <c r="F18" s="18" t="str">
        <f>IF(OR(D18&gt;Answers!L33,D18&lt;Answers!L34),"Outlier","Normal")</f>
        <v>Outlier</v>
      </c>
      <c r="G18" s="19" t="str">
        <f t="shared" si="0"/>
        <v>40-50</v>
      </c>
    </row>
    <row r="19" spans="1:7" ht="20" customHeight="1" x14ac:dyDescent="0.35">
      <c r="A19" s="17">
        <v>18</v>
      </c>
      <c r="B19" s="23" t="s">
        <v>99</v>
      </c>
      <c r="C19" s="18" t="s">
        <v>126</v>
      </c>
      <c r="D19" s="18">
        <v>85</v>
      </c>
      <c r="E19" s="18" t="s">
        <v>128</v>
      </c>
      <c r="F19" s="18" t="str">
        <f>IF(OR(D19&gt;Answers!L34,D19&lt;Answers!L35),"Outlier","Normal")</f>
        <v>Outlier</v>
      </c>
      <c r="G19" s="19" t="str">
        <f t="shared" si="0"/>
        <v>40-50</v>
      </c>
    </row>
    <row r="20" spans="1:7" ht="20" customHeight="1" x14ac:dyDescent="0.35">
      <c r="A20" s="17">
        <v>19</v>
      </c>
      <c r="B20" s="23" t="s">
        <v>99</v>
      </c>
      <c r="C20" s="18" t="s">
        <v>126</v>
      </c>
      <c r="D20" s="18">
        <v>35</v>
      </c>
      <c r="E20" s="18" t="s">
        <v>128</v>
      </c>
      <c r="F20" s="18" t="str">
        <f>IF(OR(D20&gt;Answers!L35,D20&lt;Answers!L36),"Outlier","Normal")</f>
        <v>Outlier</v>
      </c>
      <c r="G20" s="19" t="str">
        <f t="shared" si="0"/>
        <v>30-40</v>
      </c>
    </row>
    <row r="21" spans="1:7" ht="20" customHeight="1" x14ac:dyDescent="0.35">
      <c r="A21" s="17">
        <v>20</v>
      </c>
      <c r="B21" s="23" t="s">
        <v>99</v>
      </c>
      <c r="C21" s="18" t="s">
        <v>126</v>
      </c>
      <c r="D21" s="18">
        <v>38</v>
      </c>
      <c r="E21" s="18" t="s">
        <v>128</v>
      </c>
      <c r="F21" s="18" t="str">
        <f>IF(OR(D21&gt;Answers!L36,D21&lt;Answers!L37),"Outlier","Normal")</f>
        <v>Outlier</v>
      </c>
      <c r="G21" s="19" t="str">
        <f t="shared" si="0"/>
        <v>30-40</v>
      </c>
    </row>
    <row r="22" spans="1:7" ht="20" customHeight="1" x14ac:dyDescent="0.35">
      <c r="A22" s="17">
        <v>21</v>
      </c>
      <c r="B22" s="23" t="s">
        <v>105</v>
      </c>
      <c r="C22" s="18" t="s">
        <v>126</v>
      </c>
      <c r="D22" s="18">
        <v>68</v>
      </c>
      <c r="E22" s="18" t="s">
        <v>128</v>
      </c>
      <c r="F22" s="18" t="str">
        <f>IF(OR(D22&gt;Answers!L37,D22&lt;Answers!L38),"Outlier","Normal")</f>
        <v>Outlier</v>
      </c>
      <c r="G22" s="19" t="str">
        <f t="shared" si="0"/>
        <v>40-50</v>
      </c>
    </row>
    <row r="23" spans="1:7" ht="20" customHeight="1" x14ac:dyDescent="0.35">
      <c r="A23" s="17">
        <v>22</v>
      </c>
      <c r="B23" s="23" t="s">
        <v>105</v>
      </c>
      <c r="C23" s="18" t="s">
        <v>126</v>
      </c>
      <c r="D23" s="18">
        <v>78</v>
      </c>
      <c r="E23" s="18" t="s">
        <v>128</v>
      </c>
      <c r="F23" s="18" t="str">
        <f>IF(OR(D23&gt;Answers!L38,D23&lt;Answers!L39),"Outlier","Normal")</f>
        <v>Outlier</v>
      </c>
      <c r="G23" s="19" t="str">
        <f t="shared" si="0"/>
        <v>40-50</v>
      </c>
    </row>
    <row r="24" spans="1:7" ht="20" customHeight="1" x14ac:dyDescent="0.35">
      <c r="A24" s="17">
        <v>23</v>
      </c>
      <c r="B24" s="23" t="s">
        <v>105</v>
      </c>
      <c r="C24" s="18" t="s">
        <v>126</v>
      </c>
      <c r="D24" s="18">
        <v>62</v>
      </c>
      <c r="E24" s="18" t="s">
        <v>128</v>
      </c>
      <c r="F24" s="18" t="str">
        <f>IF(OR(D24&gt;Answers!L39,D24&lt;Answers!L40),"Outlier","Normal")</f>
        <v>Outlier</v>
      </c>
      <c r="G24" s="19" t="str">
        <f t="shared" si="0"/>
        <v>40-50</v>
      </c>
    </row>
    <row r="25" spans="1:7" ht="20" customHeight="1" x14ac:dyDescent="0.35">
      <c r="A25" s="17">
        <v>24</v>
      </c>
      <c r="B25" s="23" t="s">
        <v>105</v>
      </c>
      <c r="C25" s="18" t="s">
        <v>126</v>
      </c>
      <c r="D25" s="18">
        <v>47</v>
      </c>
      <c r="E25" s="18" t="s">
        <v>128</v>
      </c>
      <c r="F25" s="18" t="str">
        <f>IF(OR(D25&gt;Answers!L40,D25&lt;Answers!L41),"Outlier","Normal")</f>
        <v>Outlier</v>
      </c>
      <c r="G25" s="19" t="str">
        <f t="shared" si="0"/>
        <v>40-50</v>
      </c>
    </row>
    <row r="26" spans="1:7" ht="20" customHeight="1" x14ac:dyDescent="0.35">
      <c r="A26" s="17">
        <v>25</v>
      </c>
      <c r="B26" s="23" t="s">
        <v>99</v>
      </c>
      <c r="C26" s="18" t="s">
        <v>125</v>
      </c>
      <c r="D26" s="18">
        <v>59</v>
      </c>
      <c r="E26" s="18" t="s">
        <v>128</v>
      </c>
      <c r="F26" s="18" t="str">
        <f>IF(OR(D26&gt;Answers!L41,D26&lt;Answers!L42),"Outlier","Normal")</f>
        <v>Outlier</v>
      </c>
      <c r="G26" s="19" t="str">
        <f t="shared" si="0"/>
        <v>40-50</v>
      </c>
    </row>
    <row r="27" spans="1:7" ht="20" customHeight="1" x14ac:dyDescent="0.35">
      <c r="A27" s="17">
        <v>26</v>
      </c>
      <c r="B27" s="23" t="s">
        <v>100</v>
      </c>
      <c r="C27" s="18" t="s">
        <v>125</v>
      </c>
      <c r="D27" s="18">
        <v>27</v>
      </c>
      <c r="E27" s="18" t="s">
        <v>128</v>
      </c>
      <c r="F27" s="18" t="str">
        <f>IF(OR(D27&gt;Answers!L42,D27&lt;Answers!L43),"Outlier","Normal")</f>
        <v>Outlier</v>
      </c>
      <c r="G27" s="19" t="str">
        <f t="shared" si="0"/>
        <v>20-30</v>
      </c>
    </row>
    <row r="28" spans="1:7" ht="20" customHeight="1" x14ac:dyDescent="0.35">
      <c r="A28" s="17">
        <v>27</v>
      </c>
      <c r="B28" s="23" t="s">
        <v>99</v>
      </c>
      <c r="C28" s="18" t="s">
        <v>126</v>
      </c>
      <c r="D28" s="18">
        <v>66</v>
      </c>
      <c r="E28" s="18" t="s">
        <v>128</v>
      </c>
      <c r="F28" s="18" t="str">
        <f>IF(OR(D28&gt;Answers!L43,D28&lt;Answers!L44),"Outlier","Normal")</f>
        <v>Outlier</v>
      </c>
      <c r="G28" s="19" t="str">
        <f t="shared" si="0"/>
        <v>40-50</v>
      </c>
    </row>
    <row r="29" spans="1:7" ht="20" customHeight="1" x14ac:dyDescent="0.35">
      <c r="A29" s="17">
        <v>28</v>
      </c>
      <c r="B29" s="23" t="s">
        <v>106</v>
      </c>
      <c r="C29" s="18" t="s">
        <v>125</v>
      </c>
      <c r="D29" s="18">
        <v>77</v>
      </c>
      <c r="E29" s="18" t="s">
        <v>128</v>
      </c>
      <c r="F29" s="18" t="str">
        <f>IF(OR(D29&gt;Answers!L44,D29&lt;Answers!L45),"Outlier","Normal")</f>
        <v>Outlier</v>
      </c>
      <c r="G29" s="19" t="str">
        <f t="shared" si="0"/>
        <v>40-50</v>
      </c>
    </row>
    <row r="30" spans="1:7" ht="20" customHeight="1" x14ac:dyDescent="0.35">
      <c r="A30" s="17">
        <v>29</v>
      </c>
      <c r="B30" s="23" t="s">
        <v>105</v>
      </c>
      <c r="C30" s="18" t="s">
        <v>126</v>
      </c>
      <c r="D30" s="18">
        <v>19</v>
      </c>
      <c r="E30" s="18" t="s">
        <v>128</v>
      </c>
      <c r="F30" s="18" t="str">
        <f>IF(OR(D30&gt;Answers!L45,D30&lt;Answers!L46),"Outlier","Normal")</f>
        <v>Outlier</v>
      </c>
      <c r="G30" s="19" t="str">
        <f t="shared" si="0"/>
        <v>&lt;20</v>
      </c>
    </row>
    <row r="31" spans="1:7" ht="20" customHeight="1" x14ac:dyDescent="0.35">
      <c r="A31" s="17">
        <v>30</v>
      </c>
      <c r="B31" s="23" t="s">
        <v>100</v>
      </c>
      <c r="C31" s="18" t="s">
        <v>126</v>
      </c>
      <c r="D31" s="18">
        <v>72</v>
      </c>
      <c r="E31" s="18" t="s">
        <v>128</v>
      </c>
      <c r="F31" s="18" t="str">
        <f>IF(OR(D31&gt;Answers!L46,D31&lt;Answers!L47),"Outlier","Normal")</f>
        <v>Outlier</v>
      </c>
      <c r="G31" s="19" t="str">
        <f t="shared" si="0"/>
        <v>40-50</v>
      </c>
    </row>
    <row r="32" spans="1:7" ht="20" customHeight="1" x14ac:dyDescent="0.35">
      <c r="A32" s="17">
        <v>31</v>
      </c>
      <c r="B32" s="23" t="s">
        <v>99</v>
      </c>
      <c r="C32" s="18" t="s">
        <v>125</v>
      </c>
      <c r="D32" s="18">
        <v>22</v>
      </c>
      <c r="E32" s="18" t="s">
        <v>128</v>
      </c>
      <c r="F32" s="18" t="str">
        <f>IF(OR(D32&gt;Answers!L47,D32&lt;Answers!L48),"Outlier","Normal")</f>
        <v>Outlier</v>
      </c>
      <c r="G32" s="19" t="str">
        <f t="shared" si="0"/>
        <v>20-30</v>
      </c>
    </row>
    <row r="33" spans="1:7" ht="20" customHeight="1" x14ac:dyDescent="0.35">
      <c r="A33" s="17">
        <v>32</v>
      </c>
      <c r="B33" s="23" t="s">
        <v>105</v>
      </c>
      <c r="C33" s="18" t="s">
        <v>126</v>
      </c>
      <c r="D33" s="18">
        <v>55</v>
      </c>
      <c r="E33" s="18" t="s">
        <v>128</v>
      </c>
      <c r="F33" s="18" t="str">
        <f>IF(OR(D33&gt;Answers!L48,D33&lt;Answers!L49),"Outlier","Normal")</f>
        <v>Outlier</v>
      </c>
      <c r="G33" s="19" t="str">
        <f t="shared" si="0"/>
        <v>40-50</v>
      </c>
    </row>
    <row r="34" spans="1:7" ht="20" customHeight="1" x14ac:dyDescent="0.35">
      <c r="A34" s="17">
        <v>33</v>
      </c>
      <c r="B34" s="23" t="s">
        <v>105</v>
      </c>
      <c r="C34" s="18" t="s">
        <v>125</v>
      </c>
      <c r="D34" s="18">
        <v>53</v>
      </c>
      <c r="E34" s="18" t="s">
        <v>128</v>
      </c>
      <c r="F34" s="18" t="str">
        <f>IF(OR(D34&gt;Answers!L49,D34&lt;Answers!L50),"Outlier","Normal")</f>
        <v>Outlier</v>
      </c>
      <c r="G34" s="19" t="str">
        <f t="shared" si="0"/>
        <v>40-50</v>
      </c>
    </row>
    <row r="35" spans="1:7" ht="20" customHeight="1" x14ac:dyDescent="0.35">
      <c r="A35" s="17">
        <v>34</v>
      </c>
      <c r="B35" s="23" t="s">
        <v>101</v>
      </c>
      <c r="C35" s="18" t="s">
        <v>126</v>
      </c>
      <c r="D35" s="18">
        <v>20</v>
      </c>
      <c r="E35" s="18" t="s">
        <v>128</v>
      </c>
      <c r="F35" s="18" t="str">
        <f>IF(OR(D35&gt;Answers!L50,D35&lt;Answers!L51),"Outlier","Normal")</f>
        <v>Outlier</v>
      </c>
      <c r="G35" s="19" t="str">
        <f t="shared" si="0"/>
        <v>20-30</v>
      </c>
    </row>
    <row r="36" spans="1:7" ht="20" customHeight="1" x14ac:dyDescent="0.35">
      <c r="A36" s="17">
        <v>35</v>
      </c>
      <c r="B36" s="23" t="s">
        <v>101</v>
      </c>
      <c r="C36" s="18" t="s">
        <v>125</v>
      </c>
      <c r="D36" s="18">
        <v>19</v>
      </c>
      <c r="E36" s="18" t="s">
        <v>128</v>
      </c>
      <c r="F36" s="18" t="str">
        <f>IF(OR(D36&gt;Answers!L51,D36&lt;Answers!L52),"Outlier","Normal")</f>
        <v>Outlier</v>
      </c>
      <c r="G36" s="19" t="str">
        <f t="shared" si="0"/>
        <v>&lt;20</v>
      </c>
    </row>
    <row r="37" spans="1:7" ht="20" customHeight="1" x14ac:dyDescent="0.35">
      <c r="A37" s="17">
        <v>36</v>
      </c>
      <c r="B37" s="23" t="s">
        <v>99</v>
      </c>
      <c r="C37" s="18" t="s">
        <v>125</v>
      </c>
      <c r="D37" s="18">
        <v>63</v>
      </c>
      <c r="E37" s="18" t="s">
        <v>128</v>
      </c>
      <c r="F37" s="18" t="str">
        <f>IF(OR(D37&gt;Answers!L52,D37&lt;Answers!L53),"Outlier","Normal")</f>
        <v>Outlier</v>
      </c>
      <c r="G37" s="19" t="str">
        <f t="shared" si="0"/>
        <v>40-50</v>
      </c>
    </row>
    <row r="38" spans="1:7" ht="20" customHeight="1" x14ac:dyDescent="0.35">
      <c r="A38" s="17">
        <v>37</v>
      </c>
      <c r="B38" s="23" t="s">
        <v>105</v>
      </c>
      <c r="C38" s="18" t="s">
        <v>125</v>
      </c>
      <c r="D38" s="18">
        <v>35</v>
      </c>
      <c r="E38" s="18" t="s">
        <v>128</v>
      </c>
      <c r="F38" s="18" t="str">
        <f>IF(OR(D38&gt;Answers!L53,D38&lt;Answers!L54),"Outlier","Normal")</f>
        <v>Outlier</v>
      </c>
      <c r="G38" s="19" t="str">
        <f t="shared" si="0"/>
        <v>30-40</v>
      </c>
    </row>
    <row r="39" spans="1:7" ht="20" customHeight="1" x14ac:dyDescent="0.35">
      <c r="A39" s="17">
        <v>38</v>
      </c>
      <c r="B39" s="23" t="s">
        <v>104</v>
      </c>
      <c r="C39" s="18" t="s">
        <v>125</v>
      </c>
      <c r="D39" s="18">
        <v>53</v>
      </c>
      <c r="E39" s="18" t="s">
        <v>128</v>
      </c>
      <c r="F39" s="18" t="str">
        <f>IF(OR(D39&gt;Answers!L54,D39&lt;Answers!L55),"Outlier","Normal")</f>
        <v>Outlier</v>
      </c>
      <c r="G39" s="19" t="str">
        <f t="shared" si="0"/>
        <v>40-50</v>
      </c>
    </row>
    <row r="40" spans="1:7" ht="20" customHeight="1" x14ac:dyDescent="0.35">
      <c r="A40" s="17">
        <v>39</v>
      </c>
      <c r="B40" s="23" t="s">
        <v>99</v>
      </c>
      <c r="C40" s="18" t="s">
        <v>126</v>
      </c>
      <c r="D40" s="18">
        <v>46</v>
      </c>
      <c r="E40" s="18" t="s">
        <v>128</v>
      </c>
      <c r="F40" s="18" t="str">
        <f>IF(OR(D40&gt;Answers!L55,D40&lt;Answers!L56),"Outlier","Normal")</f>
        <v>Outlier</v>
      </c>
      <c r="G40" s="19" t="str">
        <f t="shared" si="0"/>
        <v>40-50</v>
      </c>
    </row>
    <row r="41" spans="1:7" ht="20" customHeight="1" x14ac:dyDescent="0.35">
      <c r="A41" s="17">
        <v>40</v>
      </c>
      <c r="B41" s="23" t="s">
        <v>101</v>
      </c>
      <c r="C41" s="18" t="s">
        <v>126</v>
      </c>
      <c r="D41" s="18">
        <v>37</v>
      </c>
      <c r="E41" s="18" t="s">
        <v>128</v>
      </c>
      <c r="F41" s="18" t="str">
        <f>IF(OR(D41&gt;Answers!L56,D41&lt;Answers!L57),"Outlier","Normal")</f>
        <v>Outlier</v>
      </c>
      <c r="G41" s="19" t="str">
        <f t="shared" si="0"/>
        <v>30-40</v>
      </c>
    </row>
    <row r="42" spans="1:7" ht="20" customHeight="1" x14ac:dyDescent="0.35">
      <c r="A42" s="17">
        <v>41</v>
      </c>
      <c r="B42" s="23" t="s">
        <v>101</v>
      </c>
      <c r="C42" s="18" t="s">
        <v>126</v>
      </c>
      <c r="D42" s="18">
        <v>42</v>
      </c>
      <c r="E42" s="18" t="s">
        <v>128</v>
      </c>
      <c r="F42" s="18" t="str">
        <f>IF(OR(D42&gt;Answers!L57,D42&lt;Answers!L58),"Outlier","Normal")</f>
        <v>Outlier</v>
      </c>
      <c r="G42" s="19" t="str">
        <f t="shared" si="0"/>
        <v>40-50</v>
      </c>
    </row>
    <row r="43" spans="1:7" ht="20" customHeight="1" x14ac:dyDescent="0.35">
      <c r="A43" s="17">
        <v>42</v>
      </c>
      <c r="B43" s="23" t="s">
        <v>105</v>
      </c>
      <c r="C43" s="18" t="s">
        <v>126</v>
      </c>
      <c r="D43" s="18">
        <v>43</v>
      </c>
      <c r="E43" s="18" t="s">
        <v>128</v>
      </c>
      <c r="F43" s="18" t="str">
        <f>IF(OR(D43&gt;Answers!L58,D43&lt;Answers!L59),"Outlier","Normal")</f>
        <v>Outlier</v>
      </c>
      <c r="G43" s="19" t="str">
        <f t="shared" si="0"/>
        <v>40-50</v>
      </c>
    </row>
    <row r="44" spans="1:7" ht="20" customHeight="1" x14ac:dyDescent="0.35">
      <c r="A44" s="17">
        <v>43</v>
      </c>
      <c r="B44" s="23" t="s">
        <v>106</v>
      </c>
      <c r="C44" s="18" t="s">
        <v>126</v>
      </c>
      <c r="D44" s="18">
        <v>55</v>
      </c>
      <c r="E44" s="18" t="s">
        <v>128</v>
      </c>
      <c r="F44" s="18" t="str">
        <f>IF(OR(D44&gt;Answers!L59,D44&lt;Answers!L60),"Outlier","Normal")</f>
        <v>Outlier</v>
      </c>
      <c r="G44" s="19" t="str">
        <f t="shared" si="0"/>
        <v>40-50</v>
      </c>
    </row>
    <row r="45" spans="1:7" ht="20" customHeight="1" x14ac:dyDescent="0.35">
      <c r="A45" s="17">
        <v>44</v>
      </c>
      <c r="B45" s="23" t="s">
        <v>106</v>
      </c>
      <c r="C45" s="18" t="s">
        <v>125</v>
      </c>
      <c r="D45" s="18">
        <v>90</v>
      </c>
      <c r="E45" s="18" t="s">
        <v>128</v>
      </c>
      <c r="F45" s="18" t="str">
        <f>IF(OR(D45&gt;Answers!L60,D45&lt;Answers!L61),"Outlier","Normal")</f>
        <v>Outlier</v>
      </c>
      <c r="G45" s="19" t="str">
        <f t="shared" si="0"/>
        <v>40-50</v>
      </c>
    </row>
    <row r="46" spans="1:7" ht="20" customHeight="1" x14ac:dyDescent="0.35">
      <c r="A46" s="17">
        <v>45</v>
      </c>
      <c r="B46" s="23" t="s">
        <v>99</v>
      </c>
      <c r="C46" s="18" t="s">
        <v>125</v>
      </c>
      <c r="D46" s="18">
        <v>89</v>
      </c>
      <c r="E46" s="18" t="s">
        <v>128</v>
      </c>
      <c r="F46" s="18" t="str">
        <f>IF(OR(D46&gt;Answers!L61,D46&lt;Answers!L62),"Outlier","Normal")</f>
        <v>Outlier</v>
      </c>
      <c r="G46" s="19" t="str">
        <f t="shared" si="0"/>
        <v>40-50</v>
      </c>
    </row>
    <row r="47" spans="1:7" ht="20" customHeight="1" x14ac:dyDescent="0.35">
      <c r="A47" s="17">
        <v>46</v>
      </c>
      <c r="B47" s="23" t="s">
        <v>102</v>
      </c>
      <c r="C47" s="18" t="s">
        <v>126</v>
      </c>
      <c r="D47" s="18">
        <v>66</v>
      </c>
      <c r="E47" s="18" t="s">
        <v>128</v>
      </c>
      <c r="F47" s="18" t="str">
        <f>IF(OR(D47&gt;Answers!L62,D47&lt;Answers!L63),"Outlier","Normal")</f>
        <v>Outlier</v>
      </c>
      <c r="G47" s="19" t="str">
        <f t="shared" si="0"/>
        <v>40-50</v>
      </c>
    </row>
    <row r="48" spans="1:7" ht="20" customHeight="1" x14ac:dyDescent="0.35">
      <c r="A48" s="17">
        <v>47</v>
      </c>
      <c r="B48" s="23" t="s">
        <v>105</v>
      </c>
      <c r="C48" s="18" t="s">
        <v>125</v>
      </c>
      <c r="D48" s="18">
        <v>25</v>
      </c>
      <c r="E48" s="18" t="s">
        <v>128</v>
      </c>
      <c r="F48" s="18" t="str">
        <f>IF(OR(D48&gt;Answers!L63,D48&lt;Answers!L64),"Outlier","Normal")</f>
        <v>Outlier</v>
      </c>
      <c r="G48" s="19" t="str">
        <f t="shared" si="0"/>
        <v>20-30</v>
      </c>
    </row>
    <row r="49" spans="1:7" ht="20" customHeight="1" x14ac:dyDescent="0.35">
      <c r="A49" s="17">
        <v>48</v>
      </c>
      <c r="B49" s="23" t="s">
        <v>99</v>
      </c>
      <c r="C49" s="18" t="s">
        <v>126</v>
      </c>
      <c r="D49" s="18">
        <v>66</v>
      </c>
      <c r="E49" s="18" t="s">
        <v>128</v>
      </c>
      <c r="F49" s="18" t="str">
        <f>IF(OR(D49&gt;Answers!L64,D49&lt;Answers!L65),"Outlier","Normal")</f>
        <v>Outlier</v>
      </c>
      <c r="G49" s="19" t="str">
        <f t="shared" si="0"/>
        <v>40-50</v>
      </c>
    </row>
    <row r="50" spans="1:7" ht="20" customHeight="1" x14ac:dyDescent="0.35">
      <c r="A50" s="17">
        <v>49</v>
      </c>
      <c r="B50" s="23" t="s">
        <v>100</v>
      </c>
      <c r="C50" s="18" t="s">
        <v>126</v>
      </c>
      <c r="D50" s="18">
        <v>30</v>
      </c>
      <c r="E50" s="18" t="s">
        <v>128</v>
      </c>
      <c r="F50" s="18" t="str">
        <f>IF(OR(D50&gt;Answers!L65,D50&lt;Answers!L66),"Outlier","Normal")</f>
        <v>Outlier</v>
      </c>
      <c r="G50" s="19" t="str">
        <f t="shared" si="0"/>
        <v>20-30</v>
      </c>
    </row>
    <row r="51" spans="1:7" ht="20" customHeight="1" x14ac:dyDescent="0.35">
      <c r="A51" s="17">
        <v>50</v>
      </c>
      <c r="B51" s="23" t="s">
        <v>103</v>
      </c>
      <c r="C51" s="18" t="s">
        <v>126</v>
      </c>
      <c r="D51" s="18">
        <v>83</v>
      </c>
      <c r="E51" s="18" t="s">
        <v>128</v>
      </c>
      <c r="F51" s="18" t="str">
        <f>IF(OR(D51&gt;Answers!L66,D51&lt;Answers!L67),"Outlier","Normal")</f>
        <v>Outlier</v>
      </c>
      <c r="G51" s="19" t="str">
        <f t="shared" si="0"/>
        <v>40-50</v>
      </c>
    </row>
    <row r="52" spans="1:7" ht="20" customHeight="1" x14ac:dyDescent="0.35">
      <c r="A52" s="17">
        <v>51</v>
      </c>
      <c r="B52" s="23" t="s">
        <v>99</v>
      </c>
      <c r="C52" s="18" t="s">
        <v>126</v>
      </c>
      <c r="D52" s="18">
        <v>63</v>
      </c>
      <c r="E52" s="18" t="s">
        <v>128</v>
      </c>
      <c r="F52" s="18" t="str">
        <f>IF(OR(D52&gt;Answers!L67,D52&lt;Answers!L68),"Outlier","Normal")</f>
        <v>Outlier</v>
      </c>
      <c r="G52" s="19" t="str">
        <f t="shared" si="0"/>
        <v>40-50</v>
      </c>
    </row>
    <row r="53" spans="1:7" ht="20" customHeight="1" x14ac:dyDescent="0.35">
      <c r="A53" s="17">
        <v>52</v>
      </c>
      <c r="B53" s="23" t="s">
        <v>99</v>
      </c>
      <c r="C53" s="18" t="s">
        <v>126</v>
      </c>
      <c r="D53" s="18">
        <v>75</v>
      </c>
      <c r="E53" s="18" t="s">
        <v>128</v>
      </c>
      <c r="F53" s="18" t="str">
        <f>IF(OR(D53&gt;Answers!L68,D53&lt;Answers!L69),"Outlier","Normal")</f>
        <v>Outlier</v>
      </c>
      <c r="G53" s="19" t="str">
        <f t="shared" si="0"/>
        <v>40-50</v>
      </c>
    </row>
    <row r="54" spans="1:7" ht="20" customHeight="1" x14ac:dyDescent="0.35">
      <c r="A54" s="17">
        <v>53</v>
      </c>
      <c r="B54" s="23" t="s">
        <v>107</v>
      </c>
      <c r="C54" s="18" t="s">
        <v>125</v>
      </c>
      <c r="D54" s="18">
        <v>62</v>
      </c>
      <c r="E54" s="18" t="s">
        <v>128</v>
      </c>
      <c r="F54" s="18" t="str">
        <f>IF(OR(D54&gt;Answers!L69,D54&lt;Answers!L70),"Outlier","Normal")</f>
        <v>Outlier</v>
      </c>
      <c r="G54" s="19" t="str">
        <f t="shared" si="0"/>
        <v>40-50</v>
      </c>
    </row>
    <row r="55" spans="1:7" ht="20" customHeight="1" x14ac:dyDescent="0.35">
      <c r="A55" s="17">
        <v>54</v>
      </c>
      <c r="B55" s="23" t="s">
        <v>113</v>
      </c>
      <c r="C55" s="18" t="s">
        <v>126</v>
      </c>
      <c r="D55" s="18">
        <v>52</v>
      </c>
      <c r="E55" s="18" t="s">
        <v>128</v>
      </c>
      <c r="F55" s="18" t="str">
        <f>IF(OR(D55&gt;Answers!L70,D55&lt;Answers!L71),"Outlier","Normal")</f>
        <v>Outlier</v>
      </c>
      <c r="G55" s="19" t="str">
        <f t="shared" si="0"/>
        <v>40-50</v>
      </c>
    </row>
    <row r="56" spans="1:7" ht="20" customHeight="1" x14ac:dyDescent="0.35">
      <c r="A56" s="17">
        <v>55</v>
      </c>
      <c r="B56" s="23" t="s">
        <v>108</v>
      </c>
      <c r="C56" s="18" t="s">
        <v>126</v>
      </c>
      <c r="D56" s="18">
        <v>32</v>
      </c>
      <c r="E56" s="18" t="s">
        <v>128</v>
      </c>
      <c r="F56" s="18" t="str">
        <f>IF(OR(D56&gt;Answers!L71,D56&lt;Answers!L72),"Outlier","Normal")</f>
        <v>Outlier</v>
      </c>
      <c r="G56" s="19" t="str">
        <f t="shared" si="0"/>
        <v>30-40</v>
      </c>
    </row>
    <row r="57" spans="1:7" ht="20" customHeight="1" x14ac:dyDescent="0.35">
      <c r="A57" s="17">
        <v>56</v>
      </c>
      <c r="B57" s="23" t="s">
        <v>101</v>
      </c>
      <c r="C57" s="18" t="s">
        <v>126</v>
      </c>
      <c r="D57" s="18">
        <v>32</v>
      </c>
      <c r="E57" s="18" t="s">
        <v>128</v>
      </c>
      <c r="F57" s="18" t="str">
        <f>IF(OR(D57&gt;Answers!L72,D57&lt;Answers!L73),"Outlier","Normal")</f>
        <v>Outlier</v>
      </c>
      <c r="G57" s="19" t="str">
        <f t="shared" si="0"/>
        <v>30-40</v>
      </c>
    </row>
    <row r="58" spans="1:7" ht="20" customHeight="1" x14ac:dyDescent="0.35">
      <c r="A58" s="17">
        <v>57</v>
      </c>
      <c r="B58" s="23" t="s">
        <v>113</v>
      </c>
      <c r="C58" s="18" t="s">
        <v>125</v>
      </c>
      <c r="D58" s="18">
        <v>79</v>
      </c>
      <c r="E58" s="18" t="s">
        <v>128</v>
      </c>
      <c r="F58" s="18" t="str">
        <f>IF(OR(D58&gt;Answers!L73,D58&lt;Answers!L74),"Outlier","Normal")</f>
        <v>Outlier</v>
      </c>
      <c r="G58" s="19" t="str">
        <f t="shared" si="0"/>
        <v>40-50</v>
      </c>
    </row>
    <row r="59" spans="1:7" ht="20" customHeight="1" x14ac:dyDescent="0.35">
      <c r="A59" s="17">
        <v>58</v>
      </c>
      <c r="B59" s="23" t="s">
        <v>109</v>
      </c>
      <c r="C59" s="18" t="s">
        <v>125</v>
      </c>
      <c r="D59" s="18">
        <v>29</v>
      </c>
      <c r="E59" s="18" t="s">
        <v>128</v>
      </c>
      <c r="F59" s="18" t="str">
        <f>IF(OR(D59&gt;Answers!L74,D59&lt;Answers!L75),"Outlier","Normal")</f>
        <v>Outlier</v>
      </c>
      <c r="G59" s="19" t="str">
        <f t="shared" si="0"/>
        <v>20-30</v>
      </c>
    </row>
    <row r="60" spans="1:7" ht="20" customHeight="1" x14ac:dyDescent="0.35">
      <c r="A60" s="17">
        <v>59</v>
      </c>
      <c r="B60" s="23" t="s">
        <v>101</v>
      </c>
      <c r="C60" s="18" t="s">
        <v>126</v>
      </c>
      <c r="D60" s="18">
        <v>70</v>
      </c>
      <c r="E60" s="18" t="s">
        <v>128</v>
      </c>
      <c r="F60" s="18" t="str">
        <f>IF(OR(D60&gt;Answers!L75,D60&lt;Answers!L76),"Outlier","Normal")</f>
        <v>Outlier</v>
      </c>
      <c r="G60" s="19" t="str">
        <f t="shared" si="0"/>
        <v>40-50</v>
      </c>
    </row>
    <row r="61" spans="1:7" ht="20" customHeight="1" x14ac:dyDescent="0.35">
      <c r="A61" s="17">
        <v>60</v>
      </c>
      <c r="B61" s="23" t="s">
        <v>99</v>
      </c>
      <c r="C61" s="18" t="s">
        <v>125</v>
      </c>
      <c r="D61" s="18">
        <v>60</v>
      </c>
      <c r="E61" s="18" t="s">
        <v>128</v>
      </c>
      <c r="F61" s="18" t="str">
        <f>IF(OR(D61&gt;Answers!L76,D61&lt;Answers!L77),"Outlier","Normal")</f>
        <v>Outlier</v>
      </c>
      <c r="G61" s="19" t="str">
        <f t="shared" si="0"/>
        <v>40-50</v>
      </c>
    </row>
    <row r="62" spans="1:7" ht="20" customHeight="1" x14ac:dyDescent="0.35">
      <c r="A62" s="17">
        <v>61</v>
      </c>
      <c r="B62" s="23" t="s">
        <v>105</v>
      </c>
      <c r="C62" s="18" t="s">
        <v>126</v>
      </c>
      <c r="D62" s="18">
        <v>47</v>
      </c>
      <c r="E62" s="18" t="s">
        <v>128</v>
      </c>
      <c r="F62" s="18" t="str">
        <f>IF(OR(D62&gt;Answers!L77,D62&lt;Answers!L78),"Outlier","Normal")</f>
        <v>Outlier</v>
      </c>
      <c r="G62" s="19" t="str">
        <f t="shared" si="0"/>
        <v>40-50</v>
      </c>
    </row>
    <row r="63" spans="1:7" ht="20" customHeight="1" x14ac:dyDescent="0.35">
      <c r="A63" s="17">
        <v>62</v>
      </c>
      <c r="B63" s="23" t="s">
        <v>99</v>
      </c>
      <c r="C63" s="18" t="s">
        <v>126</v>
      </c>
      <c r="D63" s="18">
        <v>42</v>
      </c>
      <c r="E63" s="18" t="s">
        <v>128</v>
      </c>
      <c r="F63" s="18" t="str">
        <f>IF(OR(D63&gt;Answers!L78,D63&lt;Answers!L79),"Outlier","Normal")</f>
        <v>Outlier</v>
      </c>
      <c r="G63" s="19" t="str">
        <f t="shared" si="0"/>
        <v>40-50</v>
      </c>
    </row>
    <row r="64" spans="1:7" ht="20" customHeight="1" x14ac:dyDescent="0.35">
      <c r="A64" s="17">
        <v>63</v>
      </c>
      <c r="B64" s="23" t="s">
        <v>103</v>
      </c>
      <c r="C64" s="18" t="s">
        <v>125</v>
      </c>
      <c r="D64" s="18">
        <v>23</v>
      </c>
      <c r="E64" s="18" t="s">
        <v>128</v>
      </c>
      <c r="F64" s="18" t="str">
        <f>IF(OR(D64&gt;Answers!L79,D64&lt;Answers!L80),"Outlier","Normal")</f>
        <v>Outlier</v>
      </c>
      <c r="G64" s="19" t="str">
        <f t="shared" si="0"/>
        <v>20-30</v>
      </c>
    </row>
    <row r="65" spans="1:7" ht="20" customHeight="1" x14ac:dyDescent="0.35">
      <c r="A65" s="17">
        <v>64</v>
      </c>
      <c r="B65" s="23" t="s">
        <v>99</v>
      </c>
      <c r="C65" s="18" t="s">
        <v>125</v>
      </c>
      <c r="D65" s="18">
        <v>74</v>
      </c>
      <c r="E65" s="18" t="s">
        <v>128</v>
      </c>
      <c r="F65" s="18" t="str">
        <f>IF(OR(D65&gt;Answers!L80,D65&lt;Answers!L81),"Outlier","Normal")</f>
        <v>Outlier</v>
      </c>
      <c r="G65" s="19" t="str">
        <f t="shared" si="0"/>
        <v>40-50</v>
      </c>
    </row>
    <row r="66" spans="1:7" ht="20" customHeight="1" x14ac:dyDescent="0.35">
      <c r="A66" s="17">
        <v>65</v>
      </c>
      <c r="B66" s="23" t="s">
        <v>105</v>
      </c>
      <c r="C66" s="18" t="s">
        <v>126</v>
      </c>
      <c r="D66" s="18">
        <v>37</v>
      </c>
      <c r="E66" s="18" t="s">
        <v>128</v>
      </c>
      <c r="F66" s="18" t="str">
        <f>IF(OR(D66&gt;Answers!L81,D66&lt;Answers!L82),"Outlier","Normal")</f>
        <v>Outlier</v>
      </c>
      <c r="G66" s="19" t="str">
        <f t="shared" si="0"/>
        <v>30-40</v>
      </c>
    </row>
    <row r="67" spans="1:7" ht="20" customHeight="1" x14ac:dyDescent="0.35">
      <c r="A67" s="17">
        <v>66</v>
      </c>
      <c r="B67" s="23" t="s">
        <v>101</v>
      </c>
      <c r="C67" s="18" t="s">
        <v>125</v>
      </c>
      <c r="D67" s="18">
        <v>30</v>
      </c>
      <c r="E67" s="18" t="s">
        <v>128</v>
      </c>
      <c r="F67" s="18" t="str">
        <f>IF(OR(D67&gt;Answers!L82,D67&lt;Answers!L83),"Outlier","Normal")</f>
        <v>Outlier</v>
      </c>
      <c r="G67" s="19" t="str">
        <f t="shared" ref="G67:G130" si="1">IF(D67&lt;20,"&lt;20",
IF(D67&lt;=30,"20-30",
IF(D67&lt;=40,"30-40","40-50")))</f>
        <v>20-30</v>
      </c>
    </row>
    <row r="68" spans="1:7" ht="20" customHeight="1" x14ac:dyDescent="0.35">
      <c r="A68" s="17">
        <v>67</v>
      </c>
      <c r="B68" s="23" t="s">
        <v>107</v>
      </c>
      <c r="C68" s="18" t="s">
        <v>125</v>
      </c>
      <c r="D68" s="18">
        <v>51</v>
      </c>
      <c r="E68" s="18" t="s">
        <v>128</v>
      </c>
      <c r="F68" s="18" t="str">
        <f>IF(OR(D68&gt;Answers!L83,D68&lt;Answers!L84),"Outlier","Normal")</f>
        <v>Outlier</v>
      </c>
      <c r="G68" s="19" t="str">
        <f t="shared" si="1"/>
        <v>40-50</v>
      </c>
    </row>
    <row r="69" spans="1:7" ht="20" customHeight="1" x14ac:dyDescent="0.35">
      <c r="A69" s="17">
        <v>68</v>
      </c>
      <c r="B69" s="23" t="s">
        <v>102</v>
      </c>
      <c r="C69" s="18" t="s">
        <v>126</v>
      </c>
      <c r="D69" s="18">
        <v>42</v>
      </c>
      <c r="E69" s="18" t="s">
        <v>128</v>
      </c>
      <c r="F69" s="18" t="str">
        <f>IF(OR(D69&gt;Answers!L84,D69&lt;Answers!L85),"Outlier","Normal")</f>
        <v>Outlier</v>
      </c>
      <c r="G69" s="19" t="str">
        <f t="shared" si="1"/>
        <v>40-50</v>
      </c>
    </row>
    <row r="70" spans="1:7" ht="20" customHeight="1" x14ac:dyDescent="0.35">
      <c r="A70" s="17">
        <v>69</v>
      </c>
      <c r="B70" s="23" t="s">
        <v>99</v>
      </c>
      <c r="C70" s="18" t="s">
        <v>125</v>
      </c>
      <c r="D70" s="18">
        <v>39</v>
      </c>
      <c r="E70" s="18" t="s">
        <v>128</v>
      </c>
      <c r="F70" s="18" t="str">
        <f>IF(OR(D70&gt;Answers!L85,D70&lt;Answers!L86),"Outlier","Normal")</f>
        <v>Outlier</v>
      </c>
      <c r="G70" s="19" t="str">
        <f t="shared" si="1"/>
        <v>30-40</v>
      </c>
    </row>
    <row r="71" spans="1:7" ht="20" customHeight="1" x14ac:dyDescent="0.35">
      <c r="A71" s="17">
        <v>70</v>
      </c>
      <c r="B71" s="23" t="s">
        <v>105</v>
      </c>
      <c r="C71" s="18" t="s">
        <v>125</v>
      </c>
      <c r="D71" s="18">
        <v>38</v>
      </c>
      <c r="E71" s="18" t="s">
        <v>128</v>
      </c>
      <c r="F71" s="18" t="str">
        <f>IF(OR(D71&gt;Answers!L86,D71&lt;Answers!L87),"Outlier","Normal")</f>
        <v>Outlier</v>
      </c>
      <c r="G71" s="19" t="str">
        <f t="shared" si="1"/>
        <v>30-40</v>
      </c>
    </row>
    <row r="72" spans="1:7" ht="20" customHeight="1" x14ac:dyDescent="0.35">
      <c r="A72" s="17">
        <v>71</v>
      </c>
      <c r="B72" s="23" t="s">
        <v>113</v>
      </c>
      <c r="C72" s="18" t="s">
        <v>125</v>
      </c>
      <c r="D72" s="18">
        <v>48</v>
      </c>
      <c r="E72" s="18" t="s">
        <v>128</v>
      </c>
      <c r="F72" s="18" t="str">
        <f>IF(OR(D72&gt;Answers!L87,D72&lt;Answers!L88),"Outlier","Normal")</f>
        <v>Outlier</v>
      </c>
      <c r="G72" s="19" t="str">
        <f t="shared" si="1"/>
        <v>40-50</v>
      </c>
    </row>
    <row r="73" spans="1:7" ht="20" customHeight="1" x14ac:dyDescent="0.35">
      <c r="A73" s="17">
        <v>72</v>
      </c>
      <c r="B73" s="23" t="s">
        <v>105</v>
      </c>
      <c r="C73" s="18" t="s">
        <v>126</v>
      </c>
      <c r="D73" s="18">
        <v>18</v>
      </c>
      <c r="E73" s="18" t="s">
        <v>128</v>
      </c>
      <c r="F73" s="18" t="str">
        <f>IF(OR(D73&gt;Answers!L88,D73&lt;Answers!L89),"Outlier","Normal")</f>
        <v>Outlier</v>
      </c>
      <c r="G73" s="19" t="str">
        <f t="shared" si="1"/>
        <v>&lt;20</v>
      </c>
    </row>
    <row r="74" spans="1:7" ht="20" customHeight="1" x14ac:dyDescent="0.35">
      <c r="A74" s="17">
        <v>73</v>
      </c>
      <c r="B74" s="23" t="s">
        <v>109</v>
      </c>
      <c r="C74" s="18" t="s">
        <v>126</v>
      </c>
      <c r="D74" s="18">
        <v>34</v>
      </c>
      <c r="E74" s="18" t="s">
        <v>128</v>
      </c>
      <c r="F74" s="18" t="str">
        <f>IF(OR(D74&gt;Answers!L89,D74&lt;Answers!L90),"Outlier","Normal")</f>
        <v>Outlier</v>
      </c>
      <c r="G74" s="19" t="str">
        <f t="shared" si="1"/>
        <v>30-40</v>
      </c>
    </row>
    <row r="75" spans="1:7" ht="20" customHeight="1" x14ac:dyDescent="0.35">
      <c r="A75" s="17">
        <v>74</v>
      </c>
      <c r="B75" s="23" t="s">
        <v>99</v>
      </c>
      <c r="C75" s="18" t="s">
        <v>126</v>
      </c>
      <c r="D75" s="18">
        <v>28</v>
      </c>
      <c r="E75" s="18" t="s">
        <v>128</v>
      </c>
      <c r="F75" s="18" t="str">
        <f>IF(OR(D75&gt;Answers!L90,D75&lt;Answers!L91),"Outlier","Normal")</f>
        <v>Outlier</v>
      </c>
      <c r="G75" s="19" t="str">
        <f t="shared" si="1"/>
        <v>20-30</v>
      </c>
    </row>
    <row r="76" spans="1:7" ht="20" customHeight="1" x14ac:dyDescent="0.35">
      <c r="A76" s="17">
        <v>75</v>
      </c>
      <c r="B76" s="23" t="s">
        <v>101</v>
      </c>
      <c r="C76" s="18" t="s">
        <v>126</v>
      </c>
      <c r="D76" s="18">
        <v>36</v>
      </c>
      <c r="E76" s="18" t="s">
        <v>128</v>
      </c>
      <c r="F76" s="18" t="str">
        <f>IF(OR(D76&gt;Answers!L91,D76&lt;Answers!L92),"Outlier","Normal")</f>
        <v>Outlier</v>
      </c>
      <c r="G76" s="19" t="str">
        <f t="shared" si="1"/>
        <v>30-40</v>
      </c>
    </row>
    <row r="77" spans="1:7" ht="20" customHeight="1" x14ac:dyDescent="0.35">
      <c r="A77" s="17">
        <v>76</v>
      </c>
      <c r="B77" s="23" t="s">
        <v>99</v>
      </c>
      <c r="C77" s="18" t="s">
        <v>125</v>
      </c>
      <c r="D77" s="18">
        <v>56</v>
      </c>
      <c r="E77" s="18" t="s">
        <v>128</v>
      </c>
      <c r="F77" s="18" t="str">
        <f>IF(OR(D77&gt;Answers!L92,D77&lt;Answers!L93),"Outlier","Normal")</f>
        <v>Outlier</v>
      </c>
      <c r="G77" s="19" t="str">
        <f t="shared" si="1"/>
        <v>40-50</v>
      </c>
    </row>
    <row r="78" spans="1:7" ht="20" customHeight="1" x14ac:dyDescent="0.35">
      <c r="A78" s="17">
        <v>77</v>
      </c>
      <c r="B78" s="23" t="s">
        <v>99</v>
      </c>
      <c r="C78" s="18" t="s">
        <v>125</v>
      </c>
      <c r="D78" s="18">
        <v>38</v>
      </c>
      <c r="E78" s="18" t="s">
        <v>128</v>
      </c>
      <c r="F78" s="18" t="str">
        <f>IF(OR(D78&gt;Answers!L93,D78&lt;Answers!L94),"Outlier","Normal")</f>
        <v>Outlier</v>
      </c>
      <c r="G78" s="19" t="str">
        <f t="shared" si="1"/>
        <v>30-40</v>
      </c>
    </row>
    <row r="79" spans="1:7" ht="20" customHeight="1" x14ac:dyDescent="0.35">
      <c r="A79" s="17">
        <v>78</v>
      </c>
      <c r="B79" s="23" t="s">
        <v>101</v>
      </c>
      <c r="C79" s="18" t="s">
        <v>125</v>
      </c>
      <c r="D79" s="18">
        <v>68</v>
      </c>
      <c r="E79" s="18" t="s">
        <v>128</v>
      </c>
      <c r="F79" s="18" t="str">
        <f>IF(OR(D79&gt;Answers!L94,D79&lt;Answers!L95),"Outlier","Normal")</f>
        <v>Outlier</v>
      </c>
      <c r="G79" s="19" t="str">
        <f t="shared" si="1"/>
        <v>40-50</v>
      </c>
    </row>
    <row r="80" spans="1:7" ht="20" customHeight="1" x14ac:dyDescent="0.35">
      <c r="A80" s="17">
        <v>79</v>
      </c>
      <c r="B80" s="23" t="s">
        <v>113</v>
      </c>
      <c r="C80" s="18" t="s">
        <v>126</v>
      </c>
      <c r="D80" s="18">
        <v>28</v>
      </c>
      <c r="E80" s="18" t="s">
        <v>128</v>
      </c>
      <c r="F80" s="18" t="str">
        <f>IF(OR(D80&gt;Answers!L95,D80&lt;Answers!L96),"Outlier","Normal")</f>
        <v>Outlier</v>
      </c>
      <c r="G80" s="19" t="str">
        <f t="shared" si="1"/>
        <v>20-30</v>
      </c>
    </row>
    <row r="81" spans="1:7" ht="20" customHeight="1" x14ac:dyDescent="0.35">
      <c r="A81" s="17">
        <v>80</v>
      </c>
      <c r="B81" s="23" t="s">
        <v>99</v>
      </c>
      <c r="C81" s="18" t="s">
        <v>125</v>
      </c>
      <c r="D81" s="18">
        <v>37</v>
      </c>
      <c r="E81" s="18" t="s">
        <v>128</v>
      </c>
      <c r="F81" s="18" t="str">
        <f>IF(OR(D81&gt;Answers!L96,D81&lt;Answers!L97),"Outlier","Normal")</f>
        <v>Outlier</v>
      </c>
      <c r="G81" s="19" t="str">
        <f t="shared" si="1"/>
        <v>30-40</v>
      </c>
    </row>
    <row r="82" spans="1:7" ht="20" customHeight="1" x14ac:dyDescent="0.35">
      <c r="A82" s="17">
        <v>81</v>
      </c>
      <c r="B82" s="23" t="s">
        <v>99</v>
      </c>
      <c r="C82" s="18" t="s">
        <v>125</v>
      </c>
      <c r="D82" s="18">
        <v>86</v>
      </c>
      <c r="E82" s="18" t="s">
        <v>128</v>
      </c>
      <c r="F82" s="18" t="str">
        <f>IF(OR(D82&gt;Answers!L97,D82&lt;Answers!L98),"Outlier","Normal")</f>
        <v>Outlier</v>
      </c>
      <c r="G82" s="19" t="str">
        <f t="shared" si="1"/>
        <v>40-50</v>
      </c>
    </row>
    <row r="83" spans="1:7" ht="20" customHeight="1" x14ac:dyDescent="0.35">
      <c r="A83" s="17">
        <v>82</v>
      </c>
      <c r="B83" s="23" t="s">
        <v>105</v>
      </c>
      <c r="C83" s="18" t="s">
        <v>126</v>
      </c>
      <c r="D83" s="18">
        <v>28</v>
      </c>
      <c r="E83" s="18" t="s">
        <v>128</v>
      </c>
      <c r="F83" s="18" t="str">
        <f>IF(OR(D83&gt;Answers!L98,D83&lt;Answers!L99),"Outlier","Normal")</f>
        <v>Outlier</v>
      </c>
      <c r="G83" s="19" t="str">
        <f t="shared" si="1"/>
        <v>20-30</v>
      </c>
    </row>
    <row r="84" spans="1:7" ht="20" customHeight="1" x14ac:dyDescent="0.35">
      <c r="A84" s="17">
        <v>83</v>
      </c>
      <c r="B84" s="23" t="s">
        <v>107</v>
      </c>
      <c r="C84" s="18" t="s">
        <v>126</v>
      </c>
      <c r="D84" s="18">
        <v>31</v>
      </c>
      <c r="E84" s="18" t="s">
        <v>128</v>
      </c>
      <c r="F84" s="18" t="str">
        <f>IF(OR(D84&gt;Answers!L99,D84&lt;Answers!L100),"Outlier","Normal")</f>
        <v>Outlier</v>
      </c>
      <c r="G84" s="19" t="str">
        <f t="shared" si="1"/>
        <v>30-40</v>
      </c>
    </row>
    <row r="85" spans="1:7" ht="20" customHeight="1" x14ac:dyDescent="0.35">
      <c r="A85" s="17">
        <v>84</v>
      </c>
      <c r="B85" s="23" t="s">
        <v>99</v>
      </c>
      <c r="C85" s="18" t="s">
        <v>125</v>
      </c>
      <c r="D85" s="18">
        <v>85</v>
      </c>
      <c r="E85" s="18" t="s">
        <v>128</v>
      </c>
      <c r="F85" s="18" t="str">
        <f>IF(OR(D85&gt;Answers!L100,D85&lt;Answers!L101),"Outlier","Normal")</f>
        <v>Outlier</v>
      </c>
      <c r="G85" s="19" t="str">
        <f t="shared" si="1"/>
        <v>40-50</v>
      </c>
    </row>
    <row r="86" spans="1:7" ht="20" customHeight="1" x14ac:dyDescent="0.35">
      <c r="A86" s="17">
        <v>85</v>
      </c>
      <c r="B86" s="23" t="s">
        <v>107</v>
      </c>
      <c r="C86" s="18" t="s">
        <v>125</v>
      </c>
      <c r="D86" s="18">
        <v>20</v>
      </c>
      <c r="E86" s="18" t="s">
        <v>128</v>
      </c>
      <c r="F86" s="18" t="str">
        <f>IF(OR(D86&gt;Answers!L101,D86&lt;Answers!L102),"Outlier","Normal")</f>
        <v>Outlier</v>
      </c>
      <c r="G86" s="19" t="str">
        <f t="shared" si="1"/>
        <v>20-30</v>
      </c>
    </row>
    <row r="87" spans="1:7" ht="20" customHeight="1" x14ac:dyDescent="0.35">
      <c r="A87" s="17">
        <v>86</v>
      </c>
      <c r="B87" s="23" t="s">
        <v>107</v>
      </c>
      <c r="C87" s="18" t="s">
        <v>126</v>
      </c>
      <c r="D87" s="18">
        <v>89</v>
      </c>
      <c r="E87" s="18" t="s">
        <v>128</v>
      </c>
      <c r="F87" s="18" t="str">
        <f>IF(OR(D87&gt;Answers!L102,D87&lt;Answers!L103),"Outlier","Normal")</f>
        <v>Outlier</v>
      </c>
      <c r="G87" s="19" t="str">
        <f t="shared" si="1"/>
        <v>40-50</v>
      </c>
    </row>
    <row r="88" spans="1:7" ht="20" customHeight="1" x14ac:dyDescent="0.35">
      <c r="A88" s="17">
        <v>87</v>
      </c>
      <c r="B88" s="23" t="s">
        <v>113</v>
      </c>
      <c r="C88" s="18" t="s">
        <v>125</v>
      </c>
      <c r="D88" s="18">
        <v>62</v>
      </c>
      <c r="E88" s="18" t="s">
        <v>128</v>
      </c>
      <c r="F88" s="18" t="str">
        <f>IF(OR(D88&gt;Answers!L103,D88&lt;Answers!L104),"Outlier","Normal")</f>
        <v>Outlier</v>
      </c>
      <c r="G88" s="19" t="str">
        <f t="shared" si="1"/>
        <v>40-50</v>
      </c>
    </row>
    <row r="89" spans="1:7" ht="20" customHeight="1" x14ac:dyDescent="0.35">
      <c r="A89" s="17">
        <v>88</v>
      </c>
      <c r="B89" s="23" t="s">
        <v>99</v>
      </c>
      <c r="C89" s="18" t="s">
        <v>125</v>
      </c>
      <c r="D89" s="18">
        <v>76</v>
      </c>
      <c r="E89" s="18" t="s">
        <v>128</v>
      </c>
      <c r="F89" s="18" t="str">
        <f>IF(OR(D89&gt;Answers!L104,D89&lt;Answers!L105),"Outlier","Normal")</f>
        <v>Outlier</v>
      </c>
      <c r="G89" s="19" t="str">
        <f t="shared" si="1"/>
        <v>40-50</v>
      </c>
    </row>
    <row r="90" spans="1:7" ht="20" customHeight="1" x14ac:dyDescent="0.35">
      <c r="A90" s="17">
        <v>89</v>
      </c>
      <c r="B90" s="23" t="s">
        <v>107</v>
      </c>
      <c r="C90" s="18" t="s">
        <v>125</v>
      </c>
      <c r="D90" s="18">
        <v>33</v>
      </c>
      <c r="E90" s="18" t="s">
        <v>128</v>
      </c>
      <c r="F90" s="18" t="str">
        <f>IF(OR(D90&gt;Answers!L105,D90&lt;Answers!L106),"Outlier","Normal")</f>
        <v>Outlier</v>
      </c>
      <c r="G90" s="19" t="str">
        <f t="shared" si="1"/>
        <v>30-40</v>
      </c>
    </row>
    <row r="91" spans="1:7" ht="20" customHeight="1" x14ac:dyDescent="0.35">
      <c r="A91" s="17">
        <v>90</v>
      </c>
      <c r="B91" s="23" t="s">
        <v>99</v>
      </c>
      <c r="C91" s="18" t="s">
        <v>126</v>
      </c>
      <c r="D91" s="18">
        <v>48</v>
      </c>
      <c r="E91" s="18" t="s">
        <v>128</v>
      </c>
      <c r="F91" s="18" t="str">
        <f>IF(OR(D91&gt;Answers!L106,D91&lt;Answers!L107),"Outlier","Normal")</f>
        <v>Outlier</v>
      </c>
      <c r="G91" s="19" t="str">
        <f t="shared" si="1"/>
        <v>40-50</v>
      </c>
    </row>
    <row r="92" spans="1:7" ht="20" customHeight="1" x14ac:dyDescent="0.35">
      <c r="A92" s="17">
        <v>91</v>
      </c>
      <c r="B92" s="23" t="s">
        <v>105</v>
      </c>
      <c r="C92" s="18" t="s">
        <v>125</v>
      </c>
      <c r="D92" s="18">
        <v>61</v>
      </c>
      <c r="E92" s="18" t="s">
        <v>128</v>
      </c>
      <c r="F92" s="18" t="str">
        <f>IF(OR(D92&gt;Answers!L107,D92&lt;Answers!L108),"Outlier","Normal")</f>
        <v>Outlier</v>
      </c>
      <c r="G92" s="19" t="str">
        <f t="shared" si="1"/>
        <v>40-50</v>
      </c>
    </row>
    <row r="93" spans="1:7" ht="20" customHeight="1" x14ac:dyDescent="0.35">
      <c r="A93" s="17">
        <v>92</v>
      </c>
      <c r="B93" s="23" t="s">
        <v>108</v>
      </c>
      <c r="C93" s="18" t="s">
        <v>125</v>
      </c>
      <c r="D93" s="18">
        <v>75</v>
      </c>
      <c r="E93" s="18" t="s">
        <v>128</v>
      </c>
      <c r="F93" s="18" t="str">
        <f>IF(OR(D93&gt;Answers!L108,D93&lt;Answers!L109),"Outlier","Normal")</f>
        <v>Outlier</v>
      </c>
      <c r="G93" s="19" t="str">
        <f t="shared" si="1"/>
        <v>40-50</v>
      </c>
    </row>
    <row r="94" spans="1:7" ht="20" customHeight="1" x14ac:dyDescent="0.35">
      <c r="A94" s="17">
        <v>93</v>
      </c>
      <c r="B94" s="23" t="s">
        <v>105</v>
      </c>
      <c r="C94" s="18" t="s">
        <v>125</v>
      </c>
      <c r="D94" s="18">
        <v>87</v>
      </c>
      <c r="E94" s="18" t="s">
        <v>128</v>
      </c>
      <c r="F94" s="18" t="str">
        <f>IF(OR(D94&gt;Answers!L109,D94&lt;Answers!L110),"Outlier","Normal")</f>
        <v>Outlier</v>
      </c>
      <c r="G94" s="19" t="str">
        <f t="shared" si="1"/>
        <v>40-50</v>
      </c>
    </row>
    <row r="95" spans="1:7" ht="20" customHeight="1" x14ac:dyDescent="0.35">
      <c r="A95" s="17">
        <v>94</v>
      </c>
      <c r="B95" s="23" t="s">
        <v>108</v>
      </c>
      <c r="C95" s="18" t="s">
        <v>125</v>
      </c>
      <c r="D95" s="18">
        <v>65</v>
      </c>
      <c r="E95" s="18" t="s">
        <v>128</v>
      </c>
      <c r="F95" s="18" t="str">
        <f>IF(OR(D95&gt;Answers!L110,D95&lt;Answers!L111),"Outlier","Normal")</f>
        <v>Outlier</v>
      </c>
      <c r="G95" s="19" t="str">
        <f t="shared" si="1"/>
        <v>40-50</v>
      </c>
    </row>
    <row r="96" spans="1:7" ht="20" customHeight="1" x14ac:dyDescent="0.35">
      <c r="A96" s="17">
        <v>95</v>
      </c>
      <c r="B96" s="23" t="s">
        <v>113</v>
      </c>
      <c r="C96" s="18" t="s">
        <v>125</v>
      </c>
      <c r="D96" s="18">
        <v>50</v>
      </c>
      <c r="E96" s="18" t="s">
        <v>128</v>
      </c>
      <c r="F96" s="18" t="str">
        <f>IF(OR(D96&gt;Answers!L111,D96&lt;Answers!L112),"Outlier","Normal")</f>
        <v>Outlier</v>
      </c>
      <c r="G96" s="19" t="str">
        <f t="shared" si="1"/>
        <v>40-50</v>
      </c>
    </row>
    <row r="97" spans="1:7" ht="20" customHeight="1" x14ac:dyDescent="0.35">
      <c r="A97" s="17">
        <v>96</v>
      </c>
      <c r="B97" s="23" t="s">
        <v>99</v>
      </c>
      <c r="C97" s="18" t="s">
        <v>125</v>
      </c>
      <c r="D97" s="18">
        <v>43</v>
      </c>
      <c r="E97" s="18" t="s">
        <v>128</v>
      </c>
      <c r="F97" s="18" t="str">
        <f>IF(OR(D97&gt;Answers!L112,D97&lt;Answers!L113),"Outlier","Normal")</f>
        <v>Outlier</v>
      </c>
      <c r="G97" s="19" t="str">
        <f t="shared" si="1"/>
        <v>40-50</v>
      </c>
    </row>
    <row r="98" spans="1:7" ht="20" customHeight="1" x14ac:dyDescent="0.35">
      <c r="A98" s="17">
        <v>97</v>
      </c>
      <c r="B98" s="23" t="s">
        <v>99</v>
      </c>
      <c r="C98" s="18" t="s">
        <v>126</v>
      </c>
      <c r="D98" s="18">
        <v>84</v>
      </c>
      <c r="E98" s="18" t="s">
        <v>128</v>
      </c>
      <c r="F98" s="18" t="str">
        <f>IF(OR(D98&gt;Answers!L113,D98&lt;Answers!L114),"Outlier","Normal")</f>
        <v>Outlier</v>
      </c>
      <c r="G98" s="19" t="str">
        <f t="shared" si="1"/>
        <v>40-50</v>
      </c>
    </row>
    <row r="99" spans="1:7" ht="20" customHeight="1" x14ac:dyDescent="0.35">
      <c r="A99" s="17">
        <v>98</v>
      </c>
      <c r="B99" s="23" t="s">
        <v>108</v>
      </c>
      <c r="C99" s="18" t="s">
        <v>125</v>
      </c>
      <c r="D99" s="18">
        <v>35</v>
      </c>
      <c r="E99" s="18" t="s">
        <v>128</v>
      </c>
      <c r="F99" s="18" t="str">
        <f>IF(OR(D99&gt;Answers!L114,D99&lt;Answers!L115),"Outlier","Normal")</f>
        <v>Outlier</v>
      </c>
      <c r="G99" s="19" t="str">
        <f t="shared" si="1"/>
        <v>30-40</v>
      </c>
    </row>
    <row r="100" spans="1:7" ht="20" customHeight="1" x14ac:dyDescent="0.35">
      <c r="A100" s="17">
        <v>99</v>
      </c>
      <c r="B100" s="23" t="s">
        <v>101</v>
      </c>
      <c r="C100" s="18" t="s">
        <v>126</v>
      </c>
      <c r="D100" s="18">
        <v>79</v>
      </c>
      <c r="E100" s="18" t="s">
        <v>128</v>
      </c>
      <c r="F100" s="18" t="str">
        <f>IF(OR(D100&gt;Answers!L115,D100&lt;Answers!L116),"Outlier","Normal")</f>
        <v>Outlier</v>
      </c>
      <c r="G100" s="19" t="str">
        <f t="shared" si="1"/>
        <v>40-50</v>
      </c>
    </row>
    <row r="101" spans="1:7" ht="20" customHeight="1" x14ac:dyDescent="0.35">
      <c r="A101" s="17">
        <v>100</v>
      </c>
      <c r="B101" s="23" t="s">
        <v>111</v>
      </c>
      <c r="C101" s="18" t="s">
        <v>125</v>
      </c>
      <c r="D101" s="18">
        <v>85</v>
      </c>
      <c r="E101" s="18" t="s">
        <v>128</v>
      </c>
      <c r="F101" s="18" t="str">
        <f>IF(OR(D101&gt;Answers!L116,D101&lt;Answers!L117),"Outlier","Normal")</f>
        <v>Outlier</v>
      </c>
      <c r="G101" s="19" t="str">
        <f t="shared" si="1"/>
        <v>40-50</v>
      </c>
    </row>
    <row r="102" spans="1:7" ht="20" customHeight="1" x14ac:dyDescent="0.35">
      <c r="A102" s="17">
        <v>101</v>
      </c>
      <c r="B102" s="23" t="s">
        <v>99</v>
      </c>
      <c r="C102" s="18" t="s">
        <v>126</v>
      </c>
      <c r="D102" s="18">
        <v>63</v>
      </c>
      <c r="E102" s="18" t="s">
        <v>128</v>
      </c>
      <c r="F102" s="18" t="str">
        <f>IF(OR(D102&gt;Answers!L117,D102&lt;Answers!L118),"Outlier","Normal")</f>
        <v>Outlier</v>
      </c>
      <c r="G102" s="19" t="str">
        <f t="shared" si="1"/>
        <v>40-50</v>
      </c>
    </row>
    <row r="103" spans="1:7" ht="20" customHeight="1" x14ac:dyDescent="0.35">
      <c r="A103" s="17">
        <v>102</v>
      </c>
      <c r="B103" s="23" t="s">
        <v>99</v>
      </c>
      <c r="C103" s="18" t="s">
        <v>126</v>
      </c>
      <c r="D103" s="18">
        <v>43</v>
      </c>
      <c r="E103" s="18" t="s">
        <v>128</v>
      </c>
      <c r="F103" s="18" t="str">
        <f>IF(OR(D103&gt;Answers!L118,D103&lt;Answers!L119),"Outlier","Normal")</f>
        <v>Outlier</v>
      </c>
      <c r="G103" s="19" t="str">
        <f t="shared" si="1"/>
        <v>40-50</v>
      </c>
    </row>
    <row r="104" spans="1:7" ht="20" customHeight="1" x14ac:dyDescent="0.35">
      <c r="A104" s="17">
        <v>103</v>
      </c>
      <c r="B104" s="23" t="s">
        <v>113</v>
      </c>
      <c r="C104" s="18" t="s">
        <v>125</v>
      </c>
      <c r="D104" s="18">
        <v>24</v>
      </c>
      <c r="E104" s="18" t="s">
        <v>128</v>
      </c>
      <c r="F104" s="18" t="str">
        <f>IF(OR(D104&gt;Answers!L119,D104&lt;Answers!L120),"Outlier","Normal")</f>
        <v>Outlier</v>
      </c>
      <c r="G104" s="19" t="str">
        <f t="shared" si="1"/>
        <v>20-30</v>
      </c>
    </row>
    <row r="105" spans="1:7" ht="20" customHeight="1" x14ac:dyDescent="0.35">
      <c r="A105" s="17">
        <v>104</v>
      </c>
      <c r="B105" s="23" t="s">
        <v>101</v>
      </c>
      <c r="C105" s="18" t="s">
        <v>125</v>
      </c>
      <c r="D105" s="18">
        <v>46</v>
      </c>
      <c r="E105" s="18" t="s">
        <v>128</v>
      </c>
      <c r="F105" s="18" t="str">
        <f>IF(OR(D105&gt;Answers!L120,D105&lt;Answers!L121),"Outlier","Normal")</f>
        <v>Outlier</v>
      </c>
      <c r="G105" s="19" t="str">
        <f t="shared" si="1"/>
        <v>40-50</v>
      </c>
    </row>
    <row r="106" spans="1:7" ht="20" customHeight="1" x14ac:dyDescent="0.35">
      <c r="A106" s="17">
        <v>105</v>
      </c>
      <c r="B106" s="23" t="s">
        <v>99</v>
      </c>
      <c r="C106" s="18" t="s">
        <v>125</v>
      </c>
      <c r="D106" s="18">
        <v>80</v>
      </c>
      <c r="E106" s="18" t="s">
        <v>128</v>
      </c>
      <c r="F106" s="18" t="str">
        <f>IF(OR(D106&gt;Answers!L121,D106&lt;Answers!L122),"Outlier","Normal")</f>
        <v>Outlier</v>
      </c>
      <c r="G106" s="19" t="str">
        <f t="shared" si="1"/>
        <v>40-50</v>
      </c>
    </row>
    <row r="107" spans="1:7" ht="20" customHeight="1" x14ac:dyDescent="0.35">
      <c r="A107" s="17">
        <v>106</v>
      </c>
      <c r="B107" s="23" t="s">
        <v>101</v>
      </c>
      <c r="C107" s="18" t="s">
        <v>126</v>
      </c>
      <c r="D107" s="18">
        <v>40</v>
      </c>
      <c r="E107" s="18" t="s">
        <v>128</v>
      </c>
      <c r="F107" s="18" t="str">
        <f>IF(OR(D107&gt;Answers!L122,D107&lt;Answers!L123),"Outlier","Normal")</f>
        <v>Outlier</v>
      </c>
      <c r="G107" s="19" t="str">
        <f t="shared" si="1"/>
        <v>30-40</v>
      </c>
    </row>
    <row r="108" spans="1:7" ht="20" customHeight="1" x14ac:dyDescent="0.35">
      <c r="A108" s="17">
        <v>107</v>
      </c>
      <c r="B108" s="23" t="s">
        <v>99</v>
      </c>
      <c r="C108" s="18" t="s">
        <v>125</v>
      </c>
      <c r="D108" s="18">
        <v>48</v>
      </c>
      <c r="E108" s="18" t="s">
        <v>128</v>
      </c>
      <c r="F108" s="18" t="str">
        <f>IF(OR(D108&gt;Answers!L123,D108&lt;Answers!L124),"Outlier","Normal")</f>
        <v>Outlier</v>
      </c>
      <c r="G108" s="19" t="str">
        <f t="shared" si="1"/>
        <v>40-50</v>
      </c>
    </row>
    <row r="109" spans="1:7" ht="20" customHeight="1" x14ac:dyDescent="0.35">
      <c r="A109" s="17">
        <v>108</v>
      </c>
      <c r="B109" s="23" t="s">
        <v>105</v>
      </c>
      <c r="C109" s="18" t="s">
        <v>125</v>
      </c>
      <c r="D109" s="18">
        <v>63</v>
      </c>
      <c r="E109" s="18" t="s">
        <v>128</v>
      </c>
      <c r="F109" s="18" t="str">
        <f>IF(OR(D109&gt;Answers!L124,D109&lt;Answers!L125),"Outlier","Normal")</f>
        <v>Outlier</v>
      </c>
      <c r="G109" s="19" t="str">
        <f t="shared" si="1"/>
        <v>40-50</v>
      </c>
    </row>
    <row r="110" spans="1:7" ht="20" customHeight="1" x14ac:dyDescent="0.35">
      <c r="A110" s="17">
        <v>109</v>
      </c>
      <c r="B110" s="23" t="s">
        <v>99</v>
      </c>
      <c r="C110" s="18" t="s">
        <v>126</v>
      </c>
      <c r="D110" s="18">
        <v>32</v>
      </c>
      <c r="E110" s="18" t="s">
        <v>128</v>
      </c>
      <c r="F110" s="18" t="str">
        <f>IF(OR(D110&gt;Answers!L125,D110&lt;Answers!L126),"Outlier","Normal")</f>
        <v>Outlier</v>
      </c>
      <c r="G110" s="19" t="str">
        <f t="shared" si="1"/>
        <v>30-40</v>
      </c>
    </row>
    <row r="111" spans="1:7" ht="20" customHeight="1" x14ac:dyDescent="0.35">
      <c r="A111" s="17">
        <v>110</v>
      </c>
      <c r="B111" s="23" t="s">
        <v>99</v>
      </c>
      <c r="C111" s="18" t="s">
        <v>125</v>
      </c>
      <c r="D111" s="18">
        <v>78</v>
      </c>
      <c r="E111" s="18" t="s">
        <v>128</v>
      </c>
      <c r="F111" s="18" t="str">
        <f>IF(OR(D111&gt;Answers!L126,D111&lt;Answers!L127),"Outlier","Normal")</f>
        <v>Outlier</v>
      </c>
      <c r="G111" s="19" t="str">
        <f t="shared" si="1"/>
        <v>40-50</v>
      </c>
    </row>
    <row r="112" spans="1:7" ht="20" customHeight="1" x14ac:dyDescent="0.35">
      <c r="A112" s="17">
        <v>111</v>
      </c>
      <c r="B112" s="23" t="s">
        <v>113</v>
      </c>
      <c r="C112" s="18" t="s">
        <v>126</v>
      </c>
      <c r="D112" s="18">
        <v>27</v>
      </c>
      <c r="E112" s="18" t="s">
        <v>128</v>
      </c>
      <c r="F112" s="18" t="str">
        <f>IF(OR(D112&gt;Answers!L127,D112&lt;Answers!L128),"Outlier","Normal")</f>
        <v>Outlier</v>
      </c>
      <c r="G112" s="19" t="str">
        <f t="shared" si="1"/>
        <v>20-30</v>
      </c>
    </row>
    <row r="113" spans="1:7" ht="20" customHeight="1" x14ac:dyDescent="0.35">
      <c r="A113" s="17">
        <v>112</v>
      </c>
      <c r="B113" s="23" t="s">
        <v>99</v>
      </c>
      <c r="C113" s="18" t="s">
        <v>125</v>
      </c>
      <c r="D113" s="18">
        <v>70</v>
      </c>
      <c r="E113" s="18" t="s">
        <v>128</v>
      </c>
      <c r="F113" s="18" t="str">
        <f>IF(OR(D113&gt;Answers!L128,D113&lt;Answers!L129),"Outlier","Normal")</f>
        <v>Outlier</v>
      </c>
      <c r="G113" s="19" t="str">
        <f t="shared" si="1"/>
        <v>40-50</v>
      </c>
    </row>
    <row r="114" spans="1:7" ht="20" customHeight="1" x14ac:dyDescent="0.35">
      <c r="A114" s="17">
        <v>113</v>
      </c>
      <c r="B114" s="23" t="s">
        <v>99</v>
      </c>
      <c r="C114" s="18" t="s">
        <v>126</v>
      </c>
      <c r="D114" s="18">
        <v>72</v>
      </c>
      <c r="E114" s="18" t="s">
        <v>128</v>
      </c>
      <c r="F114" s="18" t="str">
        <f>IF(OR(D114&gt;Answers!L129,D114&lt;Answers!L130),"Outlier","Normal")</f>
        <v>Outlier</v>
      </c>
      <c r="G114" s="19" t="str">
        <f t="shared" si="1"/>
        <v>40-50</v>
      </c>
    </row>
    <row r="115" spans="1:7" ht="20" customHeight="1" x14ac:dyDescent="0.35">
      <c r="A115" s="17">
        <v>114</v>
      </c>
      <c r="B115" s="23" t="s">
        <v>99</v>
      </c>
      <c r="C115" s="18" t="s">
        <v>125</v>
      </c>
      <c r="D115" s="18">
        <v>38</v>
      </c>
      <c r="E115" s="18" t="s">
        <v>128</v>
      </c>
      <c r="F115" s="18" t="str">
        <f>IF(OR(D115&gt;Answers!L130,D115&lt;Answers!L131),"Outlier","Normal")</f>
        <v>Outlier</v>
      </c>
      <c r="G115" s="19" t="str">
        <f t="shared" si="1"/>
        <v>30-40</v>
      </c>
    </row>
    <row r="116" spans="1:7" ht="20" customHeight="1" x14ac:dyDescent="0.35">
      <c r="A116" s="17">
        <v>115</v>
      </c>
      <c r="B116" s="23" t="s">
        <v>99</v>
      </c>
      <c r="C116" s="18" t="s">
        <v>126</v>
      </c>
      <c r="D116" s="18">
        <v>64</v>
      </c>
      <c r="E116" s="18" t="s">
        <v>128</v>
      </c>
      <c r="F116" s="18" t="str">
        <f>IF(OR(D116&gt;Answers!L131,D116&lt;Answers!L132),"Outlier","Normal")</f>
        <v>Outlier</v>
      </c>
      <c r="G116" s="19" t="str">
        <f t="shared" si="1"/>
        <v>40-50</v>
      </c>
    </row>
    <row r="117" spans="1:7" ht="20" customHeight="1" x14ac:dyDescent="0.35">
      <c r="A117" s="17">
        <v>116</v>
      </c>
      <c r="B117" s="23" t="s">
        <v>108</v>
      </c>
      <c r="C117" s="18" t="s">
        <v>125</v>
      </c>
      <c r="D117" s="18">
        <v>88</v>
      </c>
      <c r="E117" s="18" t="s">
        <v>128</v>
      </c>
      <c r="F117" s="18" t="str">
        <f>IF(OR(D117&gt;Answers!L132,D117&lt;Answers!L133),"Outlier","Normal")</f>
        <v>Outlier</v>
      </c>
      <c r="G117" s="19" t="str">
        <f t="shared" si="1"/>
        <v>40-50</v>
      </c>
    </row>
    <row r="118" spans="1:7" ht="20" customHeight="1" x14ac:dyDescent="0.35">
      <c r="A118" s="17">
        <v>117</v>
      </c>
      <c r="B118" s="23" t="s">
        <v>113</v>
      </c>
      <c r="C118" s="18" t="s">
        <v>126</v>
      </c>
      <c r="D118" s="18">
        <v>28</v>
      </c>
      <c r="E118" s="18" t="s">
        <v>128</v>
      </c>
      <c r="F118" s="18" t="str">
        <f>IF(OR(D118&gt;Answers!L133,D118&lt;Answers!L134),"Outlier","Normal")</f>
        <v>Outlier</v>
      </c>
      <c r="G118" s="19" t="str">
        <f t="shared" si="1"/>
        <v>20-30</v>
      </c>
    </row>
    <row r="119" spans="1:7" ht="20" customHeight="1" x14ac:dyDescent="0.35">
      <c r="A119" s="17">
        <v>118</v>
      </c>
      <c r="B119" s="23" t="s">
        <v>99</v>
      </c>
      <c r="C119" s="18" t="s">
        <v>126</v>
      </c>
      <c r="D119" s="18">
        <v>25</v>
      </c>
      <c r="E119" s="18" t="s">
        <v>128</v>
      </c>
      <c r="F119" s="18" t="str">
        <f>IF(OR(D119&gt;Answers!L134,D119&lt;Answers!L135),"Outlier","Normal")</f>
        <v>Outlier</v>
      </c>
      <c r="G119" s="19" t="str">
        <f t="shared" si="1"/>
        <v>20-30</v>
      </c>
    </row>
    <row r="120" spans="1:7" ht="20" customHeight="1" x14ac:dyDescent="0.35">
      <c r="A120" s="17">
        <v>119</v>
      </c>
      <c r="B120" s="23" t="s">
        <v>101</v>
      </c>
      <c r="C120" s="18" t="s">
        <v>126</v>
      </c>
      <c r="D120" s="18">
        <v>90</v>
      </c>
      <c r="E120" s="18" t="s">
        <v>128</v>
      </c>
      <c r="F120" s="18" t="str">
        <f>IF(OR(D120&gt;Answers!L135,D120&lt;Answers!L136),"Outlier","Normal")</f>
        <v>Outlier</v>
      </c>
      <c r="G120" s="19" t="str">
        <f t="shared" si="1"/>
        <v>40-50</v>
      </c>
    </row>
    <row r="121" spans="1:7" ht="20" customHeight="1" x14ac:dyDescent="0.35">
      <c r="A121" s="17">
        <v>120</v>
      </c>
      <c r="B121" s="23" t="s">
        <v>99</v>
      </c>
      <c r="C121" s="18" t="s">
        <v>125</v>
      </c>
      <c r="D121" s="18">
        <v>77</v>
      </c>
      <c r="E121" s="18" t="s">
        <v>128</v>
      </c>
      <c r="F121" s="18" t="str">
        <f>IF(OR(D121&gt;Answers!L136,D121&lt;Answers!L137),"Outlier","Normal")</f>
        <v>Outlier</v>
      </c>
      <c r="G121" s="19" t="str">
        <f t="shared" si="1"/>
        <v>40-50</v>
      </c>
    </row>
    <row r="122" spans="1:7" ht="20" customHeight="1" x14ac:dyDescent="0.35">
      <c r="A122" s="17">
        <v>121</v>
      </c>
      <c r="B122" s="23" t="s">
        <v>113</v>
      </c>
      <c r="C122" s="18" t="s">
        <v>126</v>
      </c>
      <c r="D122" s="18">
        <v>25</v>
      </c>
      <c r="E122" s="18" t="s">
        <v>128</v>
      </c>
      <c r="F122" s="18" t="str">
        <f>IF(OR(D122&gt;Answers!L137,D122&lt;Answers!L138),"Outlier","Normal")</f>
        <v>Outlier</v>
      </c>
      <c r="G122" s="19" t="str">
        <f t="shared" si="1"/>
        <v>20-30</v>
      </c>
    </row>
    <row r="123" spans="1:7" ht="20" customHeight="1" x14ac:dyDescent="0.35">
      <c r="A123" s="17">
        <v>122</v>
      </c>
      <c r="B123" s="23" t="s">
        <v>105</v>
      </c>
      <c r="C123" s="18" t="s">
        <v>125</v>
      </c>
      <c r="D123" s="18">
        <v>41</v>
      </c>
      <c r="E123" s="18" t="s">
        <v>128</v>
      </c>
      <c r="F123" s="18" t="str">
        <f>IF(OR(D123&gt;Answers!L138,D123&lt;Answers!L139),"Outlier","Normal")</f>
        <v>Outlier</v>
      </c>
      <c r="G123" s="19" t="str">
        <f t="shared" si="1"/>
        <v>40-50</v>
      </c>
    </row>
    <row r="124" spans="1:7" ht="20" customHeight="1" x14ac:dyDescent="0.35">
      <c r="A124" s="17">
        <v>123</v>
      </c>
      <c r="B124" s="23" t="s">
        <v>102</v>
      </c>
      <c r="C124" s="18" t="s">
        <v>126</v>
      </c>
      <c r="D124" s="18">
        <v>69</v>
      </c>
      <c r="E124" s="18" t="s">
        <v>128</v>
      </c>
      <c r="F124" s="18" t="str">
        <f>IF(OR(D124&gt;Answers!L139,D124&lt;Answers!L140),"Outlier","Normal")</f>
        <v>Outlier</v>
      </c>
      <c r="G124" s="19" t="str">
        <f t="shared" si="1"/>
        <v>40-50</v>
      </c>
    </row>
    <row r="125" spans="1:7" ht="20" customHeight="1" x14ac:dyDescent="0.35">
      <c r="A125" s="17">
        <v>124</v>
      </c>
      <c r="B125" s="23" t="s">
        <v>113</v>
      </c>
      <c r="C125" s="18" t="s">
        <v>126</v>
      </c>
      <c r="D125" s="18">
        <v>52</v>
      </c>
      <c r="E125" s="18" t="s">
        <v>128</v>
      </c>
      <c r="F125" s="18" t="str">
        <f>IF(OR(D125&gt;Answers!L140,D125&lt;Answers!L141),"Outlier","Normal")</f>
        <v>Outlier</v>
      </c>
      <c r="G125" s="19" t="str">
        <f t="shared" si="1"/>
        <v>40-50</v>
      </c>
    </row>
    <row r="126" spans="1:7" ht="20" customHeight="1" x14ac:dyDescent="0.35">
      <c r="A126" s="17">
        <v>125</v>
      </c>
      <c r="B126" s="23" t="s">
        <v>105</v>
      </c>
      <c r="C126" s="18" t="s">
        <v>126</v>
      </c>
      <c r="D126" s="18">
        <v>58</v>
      </c>
      <c r="E126" s="18" t="s">
        <v>128</v>
      </c>
      <c r="F126" s="18" t="str">
        <f>IF(OR(D126&gt;Answers!L141,D126&lt;Answers!L142),"Outlier","Normal")</f>
        <v>Outlier</v>
      </c>
      <c r="G126" s="19" t="str">
        <f t="shared" si="1"/>
        <v>40-50</v>
      </c>
    </row>
    <row r="127" spans="1:7" ht="20" customHeight="1" x14ac:dyDescent="0.35">
      <c r="A127" s="17">
        <v>126</v>
      </c>
      <c r="B127" s="23" t="s">
        <v>99</v>
      </c>
      <c r="C127" s="18" t="s">
        <v>126</v>
      </c>
      <c r="D127" s="18">
        <v>67</v>
      </c>
      <c r="E127" s="18" t="s">
        <v>128</v>
      </c>
      <c r="F127" s="18" t="str">
        <f>IF(OR(D127&gt;Answers!L142,D127&lt;Answers!L143),"Outlier","Normal")</f>
        <v>Outlier</v>
      </c>
      <c r="G127" s="19" t="str">
        <f t="shared" si="1"/>
        <v>40-50</v>
      </c>
    </row>
    <row r="128" spans="1:7" ht="20" customHeight="1" x14ac:dyDescent="0.35">
      <c r="A128" s="17">
        <v>127</v>
      </c>
      <c r="B128" s="23" t="s">
        <v>108</v>
      </c>
      <c r="C128" s="18" t="s">
        <v>126</v>
      </c>
      <c r="D128" s="18">
        <v>57</v>
      </c>
      <c r="E128" s="18" t="s">
        <v>128</v>
      </c>
      <c r="F128" s="18" t="str">
        <f>IF(OR(D128&gt;Answers!L143,D128&lt;Answers!L144),"Outlier","Normal")</f>
        <v>Outlier</v>
      </c>
      <c r="G128" s="19" t="str">
        <f t="shared" si="1"/>
        <v>40-50</v>
      </c>
    </row>
    <row r="129" spans="1:7" ht="20" customHeight="1" x14ac:dyDescent="0.35">
      <c r="A129" s="17">
        <v>128</v>
      </c>
      <c r="B129" s="23" t="s">
        <v>99</v>
      </c>
      <c r="C129" s="18" t="s">
        <v>126</v>
      </c>
      <c r="D129" s="18">
        <v>55</v>
      </c>
      <c r="E129" s="18" t="s">
        <v>128</v>
      </c>
      <c r="F129" s="18" t="str">
        <f>IF(OR(D129&gt;Answers!L144,D129&lt;Answers!L145),"Outlier","Normal")</f>
        <v>Outlier</v>
      </c>
      <c r="G129" s="19" t="str">
        <f t="shared" si="1"/>
        <v>40-50</v>
      </c>
    </row>
    <row r="130" spans="1:7" ht="20" customHeight="1" x14ac:dyDescent="0.35">
      <c r="A130" s="17">
        <v>129</v>
      </c>
      <c r="B130" s="23" t="s">
        <v>99</v>
      </c>
      <c r="C130" s="18" t="s">
        <v>126</v>
      </c>
      <c r="D130" s="18">
        <v>21</v>
      </c>
      <c r="E130" s="18" t="s">
        <v>128</v>
      </c>
      <c r="F130" s="18" t="str">
        <f>IF(OR(D130&gt;Answers!L145,D130&lt;Answers!L146),"Outlier","Normal")</f>
        <v>Outlier</v>
      </c>
      <c r="G130" s="19" t="str">
        <f t="shared" si="1"/>
        <v>20-30</v>
      </c>
    </row>
    <row r="131" spans="1:7" ht="20" customHeight="1" x14ac:dyDescent="0.35">
      <c r="A131" s="17">
        <v>130</v>
      </c>
      <c r="B131" s="23" t="s">
        <v>99</v>
      </c>
      <c r="C131" s="18" t="s">
        <v>126</v>
      </c>
      <c r="D131" s="18">
        <v>50</v>
      </c>
      <c r="E131" s="18" t="s">
        <v>128</v>
      </c>
      <c r="F131" s="18" t="str">
        <f>IF(OR(D131&gt;Answers!L146,D131&lt;Answers!L147),"Outlier","Normal")</f>
        <v>Outlier</v>
      </c>
      <c r="G131" s="19" t="str">
        <f t="shared" ref="G131:G194" si="2">IF(D131&lt;20,"&lt;20",
IF(D131&lt;=30,"20-30",
IF(D131&lt;=40,"30-40","40-50")))</f>
        <v>40-50</v>
      </c>
    </row>
    <row r="132" spans="1:7" ht="20" customHeight="1" x14ac:dyDescent="0.35">
      <c r="A132" s="17">
        <v>131</v>
      </c>
      <c r="B132" s="23" t="s">
        <v>107</v>
      </c>
      <c r="C132" s="18" t="s">
        <v>126</v>
      </c>
      <c r="D132" s="18">
        <v>90</v>
      </c>
      <c r="E132" s="18" t="s">
        <v>128</v>
      </c>
      <c r="F132" s="18" t="str">
        <f>IF(OR(D132&gt;Answers!L147,D132&lt;Answers!L148),"Outlier","Normal")</f>
        <v>Outlier</v>
      </c>
      <c r="G132" s="19" t="str">
        <f t="shared" si="2"/>
        <v>40-50</v>
      </c>
    </row>
    <row r="133" spans="1:7" ht="20" customHeight="1" x14ac:dyDescent="0.35">
      <c r="A133" s="17">
        <v>132</v>
      </c>
      <c r="B133" s="23" t="s">
        <v>105</v>
      </c>
      <c r="C133" s="18" t="s">
        <v>126</v>
      </c>
      <c r="D133" s="18">
        <v>50</v>
      </c>
      <c r="E133" s="18" t="s">
        <v>128</v>
      </c>
      <c r="F133" s="18" t="str">
        <f>IF(OR(D133&gt;Answers!L148,D133&lt;Answers!L149),"Outlier","Normal")</f>
        <v>Outlier</v>
      </c>
      <c r="G133" s="19" t="str">
        <f t="shared" si="2"/>
        <v>40-50</v>
      </c>
    </row>
    <row r="134" spans="1:7" ht="20" customHeight="1" x14ac:dyDescent="0.35">
      <c r="A134" s="17">
        <v>133</v>
      </c>
      <c r="B134" s="23" t="s">
        <v>108</v>
      </c>
      <c r="C134" s="18" t="s">
        <v>126</v>
      </c>
      <c r="D134" s="18">
        <v>71</v>
      </c>
      <c r="E134" s="18" t="s">
        <v>128</v>
      </c>
      <c r="F134" s="18" t="str">
        <f>IF(OR(D134&gt;Answers!L149,D134&lt;Answers!L150),"Outlier","Normal")</f>
        <v>Outlier</v>
      </c>
      <c r="G134" s="19" t="str">
        <f t="shared" si="2"/>
        <v>40-50</v>
      </c>
    </row>
    <row r="135" spans="1:7" ht="20" customHeight="1" x14ac:dyDescent="0.35">
      <c r="A135" s="17">
        <v>134</v>
      </c>
      <c r="B135" s="23" t="s">
        <v>101</v>
      </c>
      <c r="C135" s="18" t="s">
        <v>125</v>
      </c>
      <c r="D135" s="18">
        <v>82</v>
      </c>
      <c r="E135" s="18" t="s">
        <v>128</v>
      </c>
      <c r="F135" s="18" t="str">
        <f>IF(OR(D135&gt;Answers!L150,D135&lt;Answers!L151),"Outlier","Normal")</f>
        <v>Outlier</v>
      </c>
      <c r="G135" s="19" t="str">
        <f t="shared" si="2"/>
        <v>40-50</v>
      </c>
    </row>
    <row r="136" spans="1:7" ht="20" customHeight="1" x14ac:dyDescent="0.35">
      <c r="A136" s="17">
        <v>135</v>
      </c>
      <c r="B136" s="23" t="s">
        <v>105</v>
      </c>
      <c r="C136" s="18" t="s">
        <v>126</v>
      </c>
      <c r="D136" s="18">
        <v>27</v>
      </c>
      <c r="E136" s="18" t="s">
        <v>128</v>
      </c>
      <c r="F136" s="18" t="str">
        <f>IF(OR(D136&gt;Answers!L151,D136&lt;Answers!L152),"Outlier","Normal")</f>
        <v>Outlier</v>
      </c>
      <c r="G136" s="19" t="str">
        <f t="shared" si="2"/>
        <v>20-30</v>
      </c>
    </row>
    <row r="137" spans="1:7" ht="20" customHeight="1" x14ac:dyDescent="0.35">
      <c r="A137" s="17">
        <v>136</v>
      </c>
      <c r="B137" s="23" t="s">
        <v>99</v>
      </c>
      <c r="C137" s="18" t="s">
        <v>126</v>
      </c>
      <c r="D137" s="18">
        <v>36</v>
      </c>
      <c r="E137" s="18" t="s">
        <v>128</v>
      </c>
      <c r="F137" s="18" t="str">
        <f>IF(OR(D137&gt;Answers!L152,D137&lt;Answers!L153),"Outlier","Normal")</f>
        <v>Outlier</v>
      </c>
      <c r="G137" s="19" t="str">
        <f t="shared" si="2"/>
        <v>30-40</v>
      </c>
    </row>
    <row r="138" spans="1:7" ht="20" customHeight="1" x14ac:dyDescent="0.35">
      <c r="A138" s="17">
        <v>137</v>
      </c>
      <c r="B138" s="23" t="s">
        <v>113</v>
      </c>
      <c r="C138" s="18" t="s">
        <v>125</v>
      </c>
      <c r="D138" s="18">
        <v>25</v>
      </c>
      <c r="E138" s="18" t="s">
        <v>128</v>
      </c>
      <c r="F138" s="18" t="str">
        <f>IF(OR(D138&gt;Answers!L153,D138&lt;Answers!L154),"Outlier","Normal")</f>
        <v>Outlier</v>
      </c>
      <c r="G138" s="19" t="str">
        <f t="shared" si="2"/>
        <v>20-30</v>
      </c>
    </row>
    <row r="139" spans="1:7" ht="20" customHeight="1" x14ac:dyDescent="0.35">
      <c r="A139" s="17">
        <v>138</v>
      </c>
      <c r="B139" s="23" t="s">
        <v>99</v>
      </c>
      <c r="C139" s="18" t="s">
        <v>126</v>
      </c>
      <c r="D139" s="18">
        <v>27</v>
      </c>
      <c r="E139" s="18" t="s">
        <v>128</v>
      </c>
      <c r="F139" s="18" t="str">
        <f>IF(OR(D139&gt;Answers!L154,D139&lt;Answers!L155),"Outlier","Normal")</f>
        <v>Outlier</v>
      </c>
      <c r="G139" s="19" t="str">
        <f t="shared" si="2"/>
        <v>20-30</v>
      </c>
    </row>
    <row r="140" spans="1:7" ht="20" customHeight="1" x14ac:dyDescent="0.35">
      <c r="A140" s="17">
        <v>139</v>
      </c>
      <c r="B140" s="23" t="s">
        <v>99</v>
      </c>
      <c r="C140" s="18" t="s">
        <v>126</v>
      </c>
      <c r="D140" s="18">
        <v>75</v>
      </c>
      <c r="E140" s="18" t="s">
        <v>128</v>
      </c>
      <c r="F140" s="18" t="str">
        <f>IF(OR(D140&gt;Answers!L155,D140&lt;Answers!L156),"Outlier","Normal")</f>
        <v>Outlier</v>
      </c>
      <c r="G140" s="19" t="str">
        <f t="shared" si="2"/>
        <v>40-50</v>
      </c>
    </row>
    <row r="141" spans="1:7" ht="20" customHeight="1" x14ac:dyDescent="0.35">
      <c r="A141" s="17">
        <v>140</v>
      </c>
      <c r="B141" s="23" t="s">
        <v>99</v>
      </c>
      <c r="C141" s="18" t="s">
        <v>125</v>
      </c>
      <c r="D141" s="18">
        <v>58</v>
      </c>
      <c r="E141" s="18" t="s">
        <v>128</v>
      </c>
      <c r="F141" s="18" t="str">
        <f>IF(OR(D141&gt;Answers!L156,D141&lt;Answers!L157),"Outlier","Normal")</f>
        <v>Outlier</v>
      </c>
      <c r="G141" s="19" t="str">
        <f t="shared" si="2"/>
        <v>40-50</v>
      </c>
    </row>
    <row r="142" spans="1:7" ht="20" customHeight="1" x14ac:dyDescent="0.35">
      <c r="A142" s="17">
        <v>141</v>
      </c>
      <c r="B142" s="23" t="s">
        <v>99</v>
      </c>
      <c r="C142" s="18" t="s">
        <v>125</v>
      </c>
      <c r="D142" s="18">
        <v>38</v>
      </c>
      <c r="E142" s="18" t="s">
        <v>128</v>
      </c>
      <c r="F142" s="18" t="str">
        <f>IF(OR(D142&gt;Answers!L157,D142&lt;Answers!L158),"Outlier","Normal")</f>
        <v>Outlier</v>
      </c>
      <c r="G142" s="19" t="str">
        <f t="shared" si="2"/>
        <v>30-40</v>
      </c>
    </row>
    <row r="143" spans="1:7" ht="20" customHeight="1" x14ac:dyDescent="0.35">
      <c r="A143" s="17">
        <v>142</v>
      </c>
      <c r="B143" s="23" t="s">
        <v>113</v>
      </c>
      <c r="C143" s="18" t="s">
        <v>125</v>
      </c>
      <c r="D143" s="18">
        <v>77</v>
      </c>
      <c r="E143" s="18" t="s">
        <v>128</v>
      </c>
      <c r="F143" s="18" t="str">
        <f>IF(OR(D143&gt;Answers!L158,D143&lt;Answers!L159),"Outlier","Normal")</f>
        <v>Outlier</v>
      </c>
      <c r="G143" s="19" t="str">
        <f t="shared" si="2"/>
        <v>40-50</v>
      </c>
    </row>
    <row r="144" spans="1:7" ht="20" customHeight="1" x14ac:dyDescent="0.35">
      <c r="A144" s="17">
        <v>143</v>
      </c>
      <c r="B144" s="23" t="s">
        <v>99</v>
      </c>
      <c r="C144" s="18" t="s">
        <v>125</v>
      </c>
      <c r="D144" s="18">
        <v>46</v>
      </c>
      <c r="E144" s="18" t="s">
        <v>128</v>
      </c>
      <c r="F144" s="18" t="str">
        <f>IF(OR(D144&gt;Answers!L159,D144&lt;Answers!L160),"Outlier","Normal")</f>
        <v>Outlier</v>
      </c>
      <c r="G144" s="19" t="str">
        <f t="shared" si="2"/>
        <v>40-50</v>
      </c>
    </row>
    <row r="145" spans="1:7" ht="20" customHeight="1" x14ac:dyDescent="0.35">
      <c r="A145" s="17">
        <v>144</v>
      </c>
      <c r="B145" s="23" t="s">
        <v>108</v>
      </c>
      <c r="C145" s="18" t="s">
        <v>125</v>
      </c>
      <c r="D145" s="18">
        <v>27</v>
      </c>
      <c r="E145" s="18" t="s">
        <v>128</v>
      </c>
      <c r="F145" s="18" t="str">
        <f>IF(OR(D145&gt;Answers!L160,D145&lt;Answers!L161),"Outlier","Normal")</f>
        <v>Outlier</v>
      </c>
      <c r="G145" s="19" t="str">
        <f t="shared" si="2"/>
        <v>20-30</v>
      </c>
    </row>
    <row r="146" spans="1:7" ht="20" customHeight="1" x14ac:dyDescent="0.35">
      <c r="A146" s="17">
        <v>145</v>
      </c>
      <c r="B146" s="23" t="s">
        <v>107</v>
      </c>
      <c r="C146" s="18" t="s">
        <v>125</v>
      </c>
      <c r="D146" s="18">
        <v>18</v>
      </c>
      <c r="E146" s="18" t="s">
        <v>128</v>
      </c>
      <c r="F146" s="18" t="str">
        <f>IF(OR(D146&gt;Answers!L161,D146&lt;Answers!L162),"Outlier","Normal")</f>
        <v>Outlier</v>
      </c>
      <c r="G146" s="19" t="str">
        <f t="shared" si="2"/>
        <v>&lt;20</v>
      </c>
    </row>
    <row r="147" spans="1:7" ht="20" customHeight="1" x14ac:dyDescent="0.35">
      <c r="A147" s="17">
        <v>146</v>
      </c>
      <c r="B147" s="23" t="s">
        <v>103</v>
      </c>
      <c r="C147" s="18" t="s">
        <v>125</v>
      </c>
      <c r="D147" s="18">
        <v>85</v>
      </c>
      <c r="E147" s="18" t="s">
        <v>128</v>
      </c>
      <c r="F147" s="18" t="str">
        <f>IF(OR(D147&gt;Answers!L162,D147&lt;Answers!L163),"Outlier","Normal")</f>
        <v>Outlier</v>
      </c>
      <c r="G147" s="19" t="str">
        <f t="shared" si="2"/>
        <v>40-50</v>
      </c>
    </row>
    <row r="148" spans="1:7" ht="20" customHeight="1" x14ac:dyDescent="0.35">
      <c r="A148" s="17">
        <v>147</v>
      </c>
      <c r="B148" s="23" t="s">
        <v>99</v>
      </c>
      <c r="C148" s="18" t="s">
        <v>126</v>
      </c>
      <c r="D148" s="18">
        <v>29</v>
      </c>
      <c r="E148" s="18" t="s">
        <v>128</v>
      </c>
      <c r="F148" s="18" t="str">
        <f>IF(OR(D148&gt;Answers!L163,D148&lt;Answers!L164),"Outlier","Normal")</f>
        <v>Outlier</v>
      </c>
      <c r="G148" s="19" t="str">
        <f t="shared" si="2"/>
        <v>20-30</v>
      </c>
    </row>
    <row r="149" spans="1:7" ht="20" customHeight="1" x14ac:dyDescent="0.35">
      <c r="A149" s="17">
        <v>148</v>
      </c>
      <c r="B149" s="23" t="s">
        <v>105</v>
      </c>
      <c r="C149" s="18" t="s">
        <v>126</v>
      </c>
      <c r="D149" s="18">
        <v>33</v>
      </c>
      <c r="E149" s="18" t="s">
        <v>128</v>
      </c>
      <c r="F149" s="18" t="str">
        <f>IF(OR(D149&gt;Answers!L164,D149&lt;Answers!L165),"Outlier","Normal")</f>
        <v>Outlier</v>
      </c>
      <c r="G149" s="19" t="str">
        <f t="shared" si="2"/>
        <v>30-40</v>
      </c>
    </row>
    <row r="150" spans="1:7" ht="20" customHeight="1" x14ac:dyDescent="0.35">
      <c r="A150" s="17">
        <v>149</v>
      </c>
      <c r="B150" s="23" t="s">
        <v>108</v>
      </c>
      <c r="C150" s="18" t="s">
        <v>126</v>
      </c>
      <c r="D150" s="18">
        <v>73</v>
      </c>
      <c r="E150" s="18" t="s">
        <v>128</v>
      </c>
      <c r="F150" s="18" t="str">
        <f>IF(OR(D150&gt;Answers!L165,D150&lt;Answers!L166),"Outlier","Normal")</f>
        <v>Outlier</v>
      </c>
      <c r="G150" s="19" t="str">
        <f t="shared" si="2"/>
        <v>40-50</v>
      </c>
    </row>
    <row r="151" spans="1:7" ht="20" customHeight="1" x14ac:dyDescent="0.35">
      <c r="A151" s="17">
        <v>150</v>
      </c>
      <c r="B151" s="23" t="s">
        <v>99</v>
      </c>
      <c r="C151" s="18" t="s">
        <v>126</v>
      </c>
      <c r="D151" s="18">
        <v>31</v>
      </c>
      <c r="E151" s="18" t="s">
        <v>128</v>
      </c>
      <c r="F151" s="18" t="str">
        <f>IF(OR(D151&gt;Answers!L166,D151&lt;Answers!L167),"Outlier","Normal")</f>
        <v>Outlier</v>
      </c>
      <c r="G151" s="19" t="str">
        <f t="shared" si="2"/>
        <v>30-40</v>
      </c>
    </row>
    <row r="152" spans="1:7" ht="20" customHeight="1" x14ac:dyDescent="0.35">
      <c r="A152" s="17">
        <v>151</v>
      </c>
      <c r="B152" s="23" t="s">
        <v>109</v>
      </c>
      <c r="C152" s="18" t="s">
        <v>125</v>
      </c>
      <c r="D152" s="18">
        <v>76</v>
      </c>
      <c r="E152" s="18" t="s">
        <v>128</v>
      </c>
      <c r="F152" s="18" t="str">
        <f>IF(OR(D152&gt;Answers!L167,D152&lt;Answers!L168),"Outlier","Normal")</f>
        <v>Outlier</v>
      </c>
      <c r="G152" s="19" t="str">
        <f t="shared" si="2"/>
        <v>40-50</v>
      </c>
    </row>
    <row r="153" spans="1:7" ht="20" customHeight="1" x14ac:dyDescent="0.35">
      <c r="A153" s="17">
        <v>152</v>
      </c>
      <c r="B153" s="23" t="s">
        <v>107</v>
      </c>
      <c r="C153" s="18" t="s">
        <v>126</v>
      </c>
      <c r="D153" s="18">
        <v>26</v>
      </c>
      <c r="E153" s="18" t="s">
        <v>128</v>
      </c>
      <c r="F153" s="18" t="str">
        <f>IF(OR(D153&gt;Answers!L168,D153&lt;Answers!L169),"Outlier","Normal")</f>
        <v>Outlier</v>
      </c>
      <c r="G153" s="19" t="str">
        <f t="shared" si="2"/>
        <v>20-30</v>
      </c>
    </row>
    <row r="154" spans="1:7" ht="20" customHeight="1" x14ac:dyDescent="0.35">
      <c r="A154" s="17">
        <v>153</v>
      </c>
      <c r="B154" s="23" t="s">
        <v>99</v>
      </c>
      <c r="C154" s="18" t="s">
        <v>125</v>
      </c>
      <c r="D154" s="18">
        <v>19</v>
      </c>
      <c r="E154" s="18" t="s">
        <v>128</v>
      </c>
      <c r="F154" s="18" t="str">
        <f>IF(OR(D154&gt;Answers!L169,D154&lt;Answers!L170),"Outlier","Normal")</f>
        <v>Outlier</v>
      </c>
      <c r="G154" s="19" t="str">
        <f t="shared" si="2"/>
        <v>&lt;20</v>
      </c>
    </row>
    <row r="155" spans="1:7" ht="20" customHeight="1" x14ac:dyDescent="0.35">
      <c r="A155" s="17">
        <v>154</v>
      </c>
      <c r="B155" s="23" t="s">
        <v>107</v>
      </c>
      <c r="C155" s="18" t="s">
        <v>125</v>
      </c>
      <c r="D155" s="18">
        <v>37</v>
      </c>
      <c r="E155" s="18" t="s">
        <v>128</v>
      </c>
      <c r="F155" s="18" t="str">
        <f>IF(OR(D155&gt;Answers!L170,D155&lt;Answers!L171),"Outlier","Normal")</f>
        <v>Outlier</v>
      </c>
      <c r="G155" s="19" t="str">
        <f t="shared" si="2"/>
        <v>30-40</v>
      </c>
    </row>
    <row r="156" spans="1:7" ht="20" customHeight="1" x14ac:dyDescent="0.35">
      <c r="A156" s="17">
        <v>155</v>
      </c>
      <c r="B156" s="23" t="s">
        <v>113</v>
      </c>
      <c r="C156" s="18" t="s">
        <v>125</v>
      </c>
      <c r="D156" s="18">
        <v>56</v>
      </c>
      <c r="E156" s="18" t="s">
        <v>128</v>
      </c>
      <c r="F156" s="18" t="str">
        <f>IF(OR(D156&gt;Answers!L171,D156&lt;Answers!L172),"Outlier","Normal")</f>
        <v>Outlier</v>
      </c>
      <c r="G156" s="19" t="str">
        <f t="shared" si="2"/>
        <v>40-50</v>
      </c>
    </row>
    <row r="157" spans="1:7" ht="20" customHeight="1" x14ac:dyDescent="0.35">
      <c r="A157" s="17">
        <v>156</v>
      </c>
      <c r="B157" s="23" t="s">
        <v>100</v>
      </c>
      <c r="C157" s="18" t="s">
        <v>126</v>
      </c>
      <c r="D157" s="18">
        <v>32</v>
      </c>
      <c r="E157" s="18" t="s">
        <v>128</v>
      </c>
      <c r="F157" s="18" t="str">
        <f>IF(OR(D157&gt;Answers!L172,D157&lt;Answers!L173),"Outlier","Normal")</f>
        <v>Outlier</v>
      </c>
      <c r="G157" s="19" t="str">
        <f t="shared" si="2"/>
        <v>30-40</v>
      </c>
    </row>
    <row r="158" spans="1:7" ht="20" customHeight="1" x14ac:dyDescent="0.35">
      <c r="A158" s="17">
        <v>157</v>
      </c>
      <c r="B158" s="23" t="s">
        <v>101</v>
      </c>
      <c r="C158" s="18" t="s">
        <v>126</v>
      </c>
      <c r="D158" s="18">
        <v>50</v>
      </c>
      <c r="E158" s="18" t="s">
        <v>128</v>
      </c>
      <c r="F158" s="18" t="str">
        <f>IF(OR(D158&gt;Answers!L173,D158&lt;Answers!L174),"Outlier","Normal")</f>
        <v>Outlier</v>
      </c>
      <c r="G158" s="19" t="str">
        <f t="shared" si="2"/>
        <v>40-50</v>
      </c>
    </row>
    <row r="159" spans="1:7" ht="20" customHeight="1" x14ac:dyDescent="0.35">
      <c r="A159" s="17">
        <v>158</v>
      </c>
      <c r="B159" s="23" t="s">
        <v>99</v>
      </c>
      <c r="C159" s="18" t="s">
        <v>126</v>
      </c>
      <c r="D159" s="18">
        <v>41</v>
      </c>
      <c r="E159" s="18" t="s">
        <v>128</v>
      </c>
      <c r="F159" s="18" t="str">
        <f>IF(OR(D159&gt;Answers!L174,D159&lt;Answers!L175),"Outlier","Normal")</f>
        <v>Outlier</v>
      </c>
      <c r="G159" s="19" t="str">
        <f t="shared" si="2"/>
        <v>40-50</v>
      </c>
    </row>
    <row r="160" spans="1:7" ht="20" customHeight="1" x14ac:dyDescent="0.35">
      <c r="A160" s="17">
        <v>159</v>
      </c>
      <c r="B160" s="23" t="s">
        <v>99</v>
      </c>
      <c r="C160" s="18" t="s">
        <v>125</v>
      </c>
      <c r="D160" s="18">
        <v>25</v>
      </c>
      <c r="E160" s="18" t="s">
        <v>128</v>
      </c>
      <c r="F160" s="18" t="str">
        <f>IF(OR(D160&gt;Answers!L175,D160&lt;Answers!L176),"Outlier","Normal")</f>
        <v>Outlier</v>
      </c>
      <c r="G160" s="19" t="str">
        <f t="shared" si="2"/>
        <v>20-30</v>
      </c>
    </row>
    <row r="161" spans="1:7" ht="20" customHeight="1" x14ac:dyDescent="0.35">
      <c r="A161" s="17">
        <v>160</v>
      </c>
      <c r="B161" s="23" t="s">
        <v>99</v>
      </c>
      <c r="C161" s="18" t="s">
        <v>125</v>
      </c>
      <c r="D161" s="18">
        <v>48</v>
      </c>
      <c r="E161" s="18" t="s">
        <v>128</v>
      </c>
      <c r="F161" s="18" t="str">
        <f>IF(OR(D161&gt;Answers!L176,D161&lt;Answers!L177),"Outlier","Normal")</f>
        <v>Outlier</v>
      </c>
      <c r="G161" s="19" t="str">
        <f t="shared" si="2"/>
        <v>40-50</v>
      </c>
    </row>
    <row r="162" spans="1:7" ht="20" customHeight="1" x14ac:dyDescent="0.35">
      <c r="A162" s="17">
        <v>161</v>
      </c>
      <c r="B162" s="23" t="s">
        <v>100</v>
      </c>
      <c r="C162" s="18" t="s">
        <v>126</v>
      </c>
      <c r="D162" s="18">
        <v>68</v>
      </c>
      <c r="E162" s="18" t="s">
        <v>128</v>
      </c>
      <c r="F162" s="18" t="str">
        <f>IF(OR(D162&gt;Answers!L177,D162&lt;Answers!L178),"Outlier","Normal")</f>
        <v>Outlier</v>
      </c>
      <c r="G162" s="19" t="str">
        <f t="shared" si="2"/>
        <v>40-50</v>
      </c>
    </row>
    <row r="163" spans="1:7" ht="20" customHeight="1" x14ac:dyDescent="0.35">
      <c r="A163" s="17">
        <v>162</v>
      </c>
      <c r="B163" s="23" t="s">
        <v>99</v>
      </c>
      <c r="C163" s="18" t="s">
        <v>126</v>
      </c>
      <c r="D163" s="18">
        <v>63</v>
      </c>
      <c r="E163" s="18" t="s">
        <v>128</v>
      </c>
      <c r="F163" s="18" t="str">
        <f>IF(OR(D163&gt;Answers!L178,D163&lt;Answers!L179),"Outlier","Normal")</f>
        <v>Outlier</v>
      </c>
      <c r="G163" s="19" t="str">
        <f t="shared" si="2"/>
        <v>40-50</v>
      </c>
    </row>
    <row r="164" spans="1:7" ht="20" customHeight="1" x14ac:dyDescent="0.35">
      <c r="A164" s="17">
        <v>163</v>
      </c>
      <c r="B164" s="23" t="s">
        <v>99</v>
      </c>
      <c r="C164" s="18" t="s">
        <v>126</v>
      </c>
      <c r="D164" s="18">
        <v>81</v>
      </c>
      <c r="E164" s="18" t="s">
        <v>128</v>
      </c>
      <c r="F164" s="18" t="str">
        <f>IF(OR(D164&gt;Answers!L179,D164&lt;Answers!L180),"Outlier","Normal")</f>
        <v>Outlier</v>
      </c>
      <c r="G164" s="19" t="str">
        <f t="shared" si="2"/>
        <v>40-50</v>
      </c>
    </row>
    <row r="165" spans="1:7" ht="20" customHeight="1" x14ac:dyDescent="0.35">
      <c r="A165" s="17">
        <v>164</v>
      </c>
      <c r="B165" s="23" t="s">
        <v>99</v>
      </c>
      <c r="C165" s="18" t="s">
        <v>125</v>
      </c>
      <c r="D165" s="18">
        <v>36</v>
      </c>
      <c r="E165" s="18" t="s">
        <v>128</v>
      </c>
      <c r="F165" s="18" t="str">
        <f>IF(OR(D165&gt;Answers!L180,D165&lt;Answers!L181),"Outlier","Normal")</f>
        <v>Outlier</v>
      </c>
      <c r="G165" s="19" t="str">
        <f t="shared" si="2"/>
        <v>30-40</v>
      </c>
    </row>
    <row r="166" spans="1:7" ht="20" customHeight="1" x14ac:dyDescent="0.35">
      <c r="A166" s="17">
        <v>165</v>
      </c>
      <c r="B166" s="23" t="s">
        <v>110</v>
      </c>
      <c r="C166" s="18" t="s">
        <v>125</v>
      </c>
      <c r="D166" s="18">
        <v>32</v>
      </c>
      <c r="E166" s="18" t="s">
        <v>128</v>
      </c>
      <c r="F166" s="18" t="str">
        <f>IF(OR(D166&gt;Answers!L181,D166&lt;Answers!L182),"Outlier","Normal")</f>
        <v>Outlier</v>
      </c>
      <c r="G166" s="19" t="str">
        <f t="shared" si="2"/>
        <v>30-40</v>
      </c>
    </row>
    <row r="167" spans="1:7" ht="20" customHeight="1" x14ac:dyDescent="0.35">
      <c r="A167" s="17">
        <v>166</v>
      </c>
      <c r="B167" s="23" t="s">
        <v>100</v>
      </c>
      <c r="C167" s="18" t="s">
        <v>125</v>
      </c>
      <c r="D167" s="18">
        <v>27</v>
      </c>
      <c r="E167" s="18" t="s">
        <v>128</v>
      </c>
      <c r="F167" s="18" t="str">
        <f>IF(OR(D167&gt;Answers!L182,D167&lt;Answers!L183),"Outlier","Normal")</f>
        <v>Outlier</v>
      </c>
      <c r="G167" s="19" t="str">
        <f t="shared" si="2"/>
        <v>20-30</v>
      </c>
    </row>
    <row r="168" spans="1:7" ht="20" customHeight="1" x14ac:dyDescent="0.35">
      <c r="A168" s="17">
        <v>167</v>
      </c>
      <c r="B168" s="23" t="s">
        <v>101</v>
      </c>
      <c r="C168" s="18" t="s">
        <v>126</v>
      </c>
      <c r="D168" s="18">
        <v>27</v>
      </c>
      <c r="E168" s="18" t="s">
        <v>128</v>
      </c>
      <c r="F168" s="18" t="str">
        <f>IF(OR(D168&gt;Answers!L183,D168&lt;Answers!L184),"Outlier","Normal")</f>
        <v>Outlier</v>
      </c>
      <c r="G168" s="19" t="str">
        <f t="shared" si="2"/>
        <v>20-30</v>
      </c>
    </row>
    <row r="169" spans="1:7" ht="20" customHeight="1" x14ac:dyDescent="0.35">
      <c r="A169" s="17">
        <v>168</v>
      </c>
      <c r="B169" s="23" t="s">
        <v>100</v>
      </c>
      <c r="C169" s="18" t="s">
        <v>126</v>
      </c>
      <c r="D169" s="18">
        <v>55</v>
      </c>
      <c r="E169" s="18" t="s">
        <v>128</v>
      </c>
      <c r="F169" s="18" t="str">
        <f>IF(OR(D169&gt;Answers!L184,D169&lt;Answers!L185),"Outlier","Normal")</f>
        <v>Outlier</v>
      </c>
      <c r="G169" s="19" t="str">
        <f t="shared" si="2"/>
        <v>40-50</v>
      </c>
    </row>
    <row r="170" spans="1:7" ht="20" customHeight="1" x14ac:dyDescent="0.35">
      <c r="A170" s="17">
        <v>169</v>
      </c>
      <c r="B170" s="23" t="s">
        <v>100</v>
      </c>
      <c r="C170" s="18" t="s">
        <v>126</v>
      </c>
      <c r="D170" s="18">
        <v>42</v>
      </c>
      <c r="E170" s="18" t="s">
        <v>128</v>
      </c>
      <c r="F170" s="18" t="str">
        <f>IF(OR(D170&gt;Answers!L185,D170&lt;Answers!L186),"Outlier","Normal")</f>
        <v>Outlier</v>
      </c>
      <c r="G170" s="19" t="str">
        <f t="shared" si="2"/>
        <v>40-50</v>
      </c>
    </row>
    <row r="171" spans="1:7" ht="20" customHeight="1" x14ac:dyDescent="0.35">
      <c r="A171" s="17">
        <v>170</v>
      </c>
      <c r="B171" s="23" t="s">
        <v>107</v>
      </c>
      <c r="C171" s="18" t="s">
        <v>125</v>
      </c>
      <c r="D171" s="18">
        <v>83</v>
      </c>
      <c r="E171" s="18" t="s">
        <v>128</v>
      </c>
      <c r="F171" s="18" t="str">
        <f>IF(OR(D171&gt;Answers!L186,D171&lt;Answers!L187),"Outlier","Normal")</f>
        <v>Outlier</v>
      </c>
      <c r="G171" s="19" t="str">
        <f t="shared" si="2"/>
        <v>40-50</v>
      </c>
    </row>
    <row r="172" spans="1:7" ht="20" customHeight="1" x14ac:dyDescent="0.35">
      <c r="A172" s="17">
        <v>171</v>
      </c>
      <c r="B172" s="23" t="s">
        <v>99</v>
      </c>
      <c r="C172" s="18" t="s">
        <v>125</v>
      </c>
      <c r="D172" s="18">
        <v>31</v>
      </c>
      <c r="E172" s="18" t="s">
        <v>128</v>
      </c>
      <c r="F172" s="18" t="str">
        <f>IF(OR(D172&gt;Answers!L187,D172&lt;Answers!L188),"Outlier","Normal")</f>
        <v>Outlier</v>
      </c>
      <c r="G172" s="19" t="str">
        <f t="shared" si="2"/>
        <v>30-40</v>
      </c>
    </row>
    <row r="173" spans="1:7" ht="20" customHeight="1" x14ac:dyDescent="0.35">
      <c r="A173" s="17">
        <v>172</v>
      </c>
      <c r="B173" s="23" t="s">
        <v>99</v>
      </c>
      <c r="C173" s="18" t="s">
        <v>125</v>
      </c>
      <c r="D173" s="18">
        <v>36</v>
      </c>
      <c r="E173" s="18" t="s">
        <v>128</v>
      </c>
      <c r="F173" s="18" t="str">
        <f>IF(OR(D173&gt;Answers!L188,D173&lt;Answers!L189),"Outlier","Normal")</f>
        <v>Outlier</v>
      </c>
      <c r="G173" s="19" t="str">
        <f t="shared" si="2"/>
        <v>30-40</v>
      </c>
    </row>
    <row r="174" spans="1:7" ht="20" customHeight="1" x14ac:dyDescent="0.35">
      <c r="A174" s="17">
        <v>173</v>
      </c>
      <c r="B174" s="23" t="s">
        <v>113</v>
      </c>
      <c r="C174" s="18" t="s">
        <v>125</v>
      </c>
      <c r="D174" s="18">
        <v>59</v>
      </c>
      <c r="E174" s="18" t="s">
        <v>128</v>
      </c>
      <c r="F174" s="18" t="str">
        <f>IF(OR(D174&gt;Answers!L189,D174&lt;Answers!L190),"Outlier","Normal")</f>
        <v>Outlier</v>
      </c>
      <c r="G174" s="19" t="str">
        <f t="shared" si="2"/>
        <v>40-50</v>
      </c>
    </row>
    <row r="175" spans="1:7" ht="20" customHeight="1" x14ac:dyDescent="0.35">
      <c r="A175" s="17">
        <v>174</v>
      </c>
      <c r="B175" s="23" t="s">
        <v>107</v>
      </c>
      <c r="C175" s="18" t="s">
        <v>125</v>
      </c>
      <c r="D175" s="18">
        <v>68</v>
      </c>
      <c r="E175" s="18" t="s">
        <v>128</v>
      </c>
      <c r="F175" s="18" t="str">
        <f>IF(OR(D175&gt;Answers!L190,D175&lt;Answers!L191),"Outlier","Normal")</f>
        <v>Outlier</v>
      </c>
      <c r="G175" s="19" t="str">
        <f t="shared" si="2"/>
        <v>40-50</v>
      </c>
    </row>
    <row r="176" spans="1:7" ht="20" customHeight="1" x14ac:dyDescent="0.35">
      <c r="A176" s="17">
        <v>175</v>
      </c>
      <c r="B176" s="23" t="s">
        <v>99</v>
      </c>
      <c r="C176" s="18" t="s">
        <v>125</v>
      </c>
      <c r="D176" s="18">
        <v>70</v>
      </c>
      <c r="E176" s="18" t="s">
        <v>128</v>
      </c>
      <c r="F176" s="18" t="str">
        <f>IF(OR(D176&gt;Answers!L191,D176&lt;Answers!L192),"Outlier","Normal")</f>
        <v>Outlier</v>
      </c>
      <c r="G176" s="19" t="str">
        <f t="shared" si="2"/>
        <v>40-50</v>
      </c>
    </row>
    <row r="177" spans="1:7" ht="20" customHeight="1" x14ac:dyDescent="0.35">
      <c r="A177" s="17">
        <v>176</v>
      </c>
      <c r="B177" s="23" t="s">
        <v>100</v>
      </c>
      <c r="C177" s="18" t="s">
        <v>125</v>
      </c>
      <c r="D177" s="18">
        <v>46</v>
      </c>
      <c r="E177" s="18" t="s">
        <v>128</v>
      </c>
      <c r="F177" s="18" t="str">
        <f>IF(OR(D177&gt;Answers!L192,D177&lt;Answers!L193),"Outlier","Normal")</f>
        <v>Outlier</v>
      </c>
      <c r="G177" s="19" t="str">
        <f t="shared" si="2"/>
        <v>40-50</v>
      </c>
    </row>
    <row r="178" spans="1:7" ht="20" customHeight="1" x14ac:dyDescent="0.35">
      <c r="A178" s="17">
        <v>177</v>
      </c>
      <c r="B178" s="23" t="s">
        <v>113</v>
      </c>
      <c r="C178" s="18" t="s">
        <v>125</v>
      </c>
      <c r="D178" s="18">
        <v>75</v>
      </c>
      <c r="E178" s="18" t="s">
        <v>128</v>
      </c>
      <c r="F178" s="18" t="str">
        <f>IF(OR(D178&gt;Answers!L193,D178&lt;Answers!L194),"Outlier","Normal")</f>
        <v>Outlier</v>
      </c>
      <c r="G178" s="19" t="str">
        <f t="shared" si="2"/>
        <v>40-50</v>
      </c>
    </row>
    <row r="179" spans="1:7" ht="20" customHeight="1" x14ac:dyDescent="0.35">
      <c r="A179" s="17">
        <v>178</v>
      </c>
      <c r="B179" s="23" t="s">
        <v>113</v>
      </c>
      <c r="C179" s="18" t="s">
        <v>126</v>
      </c>
      <c r="D179" s="18">
        <v>24</v>
      </c>
      <c r="E179" s="18" t="s">
        <v>128</v>
      </c>
      <c r="F179" s="18" t="str">
        <f>IF(OR(D179&gt;Answers!L194,D179&lt;Answers!L195),"Outlier","Normal")</f>
        <v>Outlier</v>
      </c>
      <c r="G179" s="19" t="str">
        <f t="shared" si="2"/>
        <v>20-30</v>
      </c>
    </row>
    <row r="180" spans="1:7" ht="20" customHeight="1" x14ac:dyDescent="0.35">
      <c r="A180" s="17">
        <v>179</v>
      </c>
      <c r="B180" s="23" t="s">
        <v>100</v>
      </c>
      <c r="C180" s="18" t="s">
        <v>126</v>
      </c>
      <c r="D180" s="18">
        <v>27</v>
      </c>
      <c r="E180" s="18" t="s">
        <v>128</v>
      </c>
      <c r="F180" s="18" t="str">
        <f>IF(OR(D180&gt;Answers!L195,D180&lt;Answers!L196),"Outlier","Normal")</f>
        <v>Outlier</v>
      </c>
      <c r="G180" s="19" t="str">
        <f t="shared" si="2"/>
        <v>20-30</v>
      </c>
    </row>
    <row r="181" spans="1:7" ht="20" customHeight="1" x14ac:dyDescent="0.35">
      <c r="A181" s="17">
        <v>180</v>
      </c>
      <c r="B181" s="23" t="s">
        <v>99</v>
      </c>
      <c r="C181" s="18" t="s">
        <v>126</v>
      </c>
      <c r="D181" s="18">
        <v>81</v>
      </c>
      <c r="E181" s="18" t="s">
        <v>128</v>
      </c>
      <c r="F181" s="18" t="str">
        <f>IF(OR(D181&gt;Answers!L196,D181&lt;Answers!L197),"Outlier","Normal")</f>
        <v>Outlier</v>
      </c>
      <c r="G181" s="19" t="str">
        <f t="shared" si="2"/>
        <v>40-50</v>
      </c>
    </row>
    <row r="182" spans="1:7" ht="20" customHeight="1" x14ac:dyDescent="0.35">
      <c r="A182" s="17">
        <v>181</v>
      </c>
      <c r="B182" s="23" t="s">
        <v>104</v>
      </c>
      <c r="C182" s="18" t="s">
        <v>126</v>
      </c>
      <c r="D182" s="18">
        <v>28</v>
      </c>
      <c r="E182" s="18" t="s">
        <v>128</v>
      </c>
      <c r="F182" s="18" t="str">
        <f>IF(OR(D182&gt;Answers!L197,D182&lt;Answers!L198),"Outlier","Normal")</f>
        <v>Outlier</v>
      </c>
      <c r="G182" s="19" t="str">
        <f t="shared" si="2"/>
        <v>20-30</v>
      </c>
    </row>
    <row r="183" spans="1:7" ht="20" customHeight="1" x14ac:dyDescent="0.35">
      <c r="A183" s="17">
        <v>182</v>
      </c>
      <c r="B183" s="23" t="s">
        <v>101</v>
      </c>
      <c r="C183" s="18" t="s">
        <v>125</v>
      </c>
      <c r="D183" s="18">
        <v>77</v>
      </c>
      <c r="E183" s="18" t="s">
        <v>128</v>
      </c>
      <c r="F183" s="18" t="str">
        <f>IF(OR(D183&gt;Answers!L198,D183&lt;Answers!L199),"Outlier","Normal")</f>
        <v>Outlier</v>
      </c>
      <c r="G183" s="19" t="str">
        <f t="shared" si="2"/>
        <v>40-50</v>
      </c>
    </row>
    <row r="184" spans="1:7" ht="20" customHeight="1" x14ac:dyDescent="0.35">
      <c r="A184" s="17">
        <v>183</v>
      </c>
      <c r="B184" s="23" t="s">
        <v>113</v>
      </c>
      <c r="C184" s="18" t="s">
        <v>125</v>
      </c>
      <c r="D184" s="18">
        <v>66</v>
      </c>
      <c r="E184" s="18" t="s">
        <v>128</v>
      </c>
      <c r="F184" s="18" t="str">
        <f>IF(OR(D184&gt;Answers!L199,D184&lt;Answers!L200),"Outlier","Normal")</f>
        <v>Outlier</v>
      </c>
      <c r="G184" s="19" t="str">
        <f t="shared" si="2"/>
        <v>40-50</v>
      </c>
    </row>
    <row r="185" spans="1:7" ht="20" customHeight="1" x14ac:dyDescent="0.35">
      <c r="A185" s="17">
        <v>184</v>
      </c>
      <c r="B185" s="23" t="s">
        <v>106</v>
      </c>
      <c r="C185" s="18" t="s">
        <v>125</v>
      </c>
      <c r="D185" s="18">
        <v>79</v>
      </c>
      <c r="E185" s="18" t="s">
        <v>128</v>
      </c>
      <c r="F185" s="18" t="str">
        <f>IF(OR(D185&gt;Answers!L200,D185&lt;Answers!L201),"Outlier","Normal")</f>
        <v>Outlier</v>
      </c>
      <c r="G185" s="19" t="str">
        <f t="shared" si="2"/>
        <v>40-50</v>
      </c>
    </row>
    <row r="186" spans="1:7" ht="20" customHeight="1" x14ac:dyDescent="0.35">
      <c r="A186" s="17">
        <v>185</v>
      </c>
      <c r="B186" s="23" t="s">
        <v>104</v>
      </c>
      <c r="C186" s="18" t="s">
        <v>125</v>
      </c>
      <c r="D186" s="18">
        <v>86</v>
      </c>
      <c r="E186" s="18" t="s">
        <v>128</v>
      </c>
      <c r="F186" s="18" t="str">
        <f>IF(OR(D186&gt;Answers!L201,D186&lt;Answers!L202),"Outlier","Normal")</f>
        <v>Outlier</v>
      </c>
      <c r="G186" s="19" t="str">
        <f t="shared" si="2"/>
        <v>40-50</v>
      </c>
    </row>
    <row r="187" spans="1:7" ht="20" customHeight="1" x14ac:dyDescent="0.35">
      <c r="A187" s="17">
        <v>186</v>
      </c>
      <c r="B187" s="23" t="s">
        <v>106</v>
      </c>
      <c r="C187" s="18" t="s">
        <v>126</v>
      </c>
      <c r="D187" s="18">
        <v>63</v>
      </c>
      <c r="E187" s="18" t="s">
        <v>128</v>
      </c>
      <c r="F187" s="18" t="str">
        <f>IF(OR(D187&gt;Answers!L202,D187&lt;Answers!L203),"Outlier","Normal")</f>
        <v>Outlier</v>
      </c>
      <c r="G187" s="19" t="str">
        <f t="shared" si="2"/>
        <v>40-50</v>
      </c>
    </row>
    <row r="188" spans="1:7" ht="20" customHeight="1" x14ac:dyDescent="0.35">
      <c r="A188" s="17">
        <v>187</v>
      </c>
      <c r="B188" s="23" t="s">
        <v>100</v>
      </c>
      <c r="C188" s="18" t="s">
        <v>126</v>
      </c>
      <c r="D188" s="18">
        <v>68</v>
      </c>
      <c r="E188" s="18" t="s">
        <v>128</v>
      </c>
      <c r="F188" s="18" t="str">
        <f>IF(OR(D188&gt;Answers!L203,D188&lt;Answers!L204),"Outlier","Normal")</f>
        <v>Outlier</v>
      </c>
      <c r="G188" s="19" t="str">
        <f t="shared" si="2"/>
        <v>40-50</v>
      </c>
    </row>
    <row r="189" spans="1:7" ht="20" customHeight="1" x14ac:dyDescent="0.35">
      <c r="A189" s="17">
        <v>188</v>
      </c>
      <c r="B189" s="23" t="s">
        <v>113</v>
      </c>
      <c r="C189" s="18" t="s">
        <v>126</v>
      </c>
      <c r="D189" s="18">
        <v>72</v>
      </c>
      <c r="E189" s="18" t="s">
        <v>128</v>
      </c>
      <c r="F189" s="18" t="str">
        <f>IF(OR(D189&gt;Answers!L204,D189&lt;Answers!L205),"Outlier","Normal")</f>
        <v>Outlier</v>
      </c>
      <c r="G189" s="19" t="str">
        <f t="shared" si="2"/>
        <v>40-50</v>
      </c>
    </row>
    <row r="190" spans="1:7" ht="20" customHeight="1" x14ac:dyDescent="0.35">
      <c r="A190" s="17">
        <v>189</v>
      </c>
      <c r="B190" s="23" t="s">
        <v>99</v>
      </c>
      <c r="C190" s="18" t="s">
        <v>126</v>
      </c>
      <c r="D190" s="18">
        <v>59</v>
      </c>
      <c r="E190" s="18" t="s">
        <v>128</v>
      </c>
      <c r="F190" s="18" t="str">
        <f>IF(OR(D190&gt;Answers!L205,D190&lt;Answers!L206),"Outlier","Normal")</f>
        <v>Outlier</v>
      </c>
      <c r="G190" s="19" t="str">
        <f t="shared" si="2"/>
        <v>40-50</v>
      </c>
    </row>
    <row r="191" spans="1:7" ht="20" customHeight="1" x14ac:dyDescent="0.35">
      <c r="A191" s="17">
        <v>190</v>
      </c>
      <c r="B191" s="23" t="s">
        <v>100</v>
      </c>
      <c r="C191" s="18" t="s">
        <v>125</v>
      </c>
      <c r="D191" s="18">
        <v>71</v>
      </c>
      <c r="E191" s="18" t="s">
        <v>128</v>
      </c>
      <c r="F191" s="18" t="str">
        <f>IF(OR(D191&gt;Answers!L206,D191&lt;Answers!L207),"Outlier","Normal")</f>
        <v>Outlier</v>
      </c>
      <c r="G191" s="19" t="str">
        <f t="shared" si="2"/>
        <v>40-50</v>
      </c>
    </row>
    <row r="192" spans="1:7" ht="20" customHeight="1" x14ac:dyDescent="0.35">
      <c r="A192" s="17">
        <v>191</v>
      </c>
      <c r="B192" s="23" t="s">
        <v>109</v>
      </c>
      <c r="C192" s="18" t="s">
        <v>126</v>
      </c>
      <c r="D192" s="18">
        <v>23</v>
      </c>
      <c r="E192" s="18" t="s">
        <v>128</v>
      </c>
      <c r="F192" s="18" t="str">
        <f>IF(OR(D192&gt;Answers!L207,D192&lt;Answers!L208),"Outlier","Normal")</f>
        <v>Outlier</v>
      </c>
      <c r="G192" s="19" t="str">
        <f t="shared" si="2"/>
        <v>20-30</v>
      </c>
    </row>
    <row r="193" spans="1:7" ht="20" customHeight="1" x14ac:dyDescent="0.35">
      <c r="A193" s="17">
        <v>192</v>
      </c>
      <c r="B193" s="23" t="s">
        <v>99</v>
      </c>
      <c r="C193" s="18" t="s">
        <v>126</v>
      </c>
      <c r="D193" s="18">
        <v>66</v>
      </c>
      <c r="E193" s="18" t="s">
        <v>128</v>
      </c>
      <c r="F193" s="18" t="str">
        <f>IF(OR(D193&gt;Answers!L208,D193&lt;Answers!L209),"Outlier","Normal")</f>
        <v>Outlier</v>
      </c>
      <c r="G193" s="19" t="str">
        <f t="shared" si="2"/>
        <v>40-50</v>
      </c>
    </row>
    <row r="194" spans="1:7" ht="20" customHeight="1" x14ac:dyDescent="0.35">
      <c r="A194" s="17">
        <v>193</v>
      </c>
      <c r="B194" s="23" t="s">
        <v>113</v>
      </c>
      <c r="C194" s="18" t="s">
        <v>126</v>
      </c>
      <c r="D194" s="18">
        <v>84</v>
      </c>
      <c r="E194" s="18" t="s">
        <v>128</v>
      </c>
      <c r="F194" s="18" t="str">
        <f>IF(OR(D194&gt;Answers!L209,D194&lt;Answers!L210),"Outlier","Normal")</f>
        <v>Outlier</v>
      </c>
      <c r="G194" s="19" t="str">
        <f t="shared" si="2"/>
        <v>40-50</v>
      </c>
    </row>
    <row r="195" spans="1:7" ht="20" customHeight="1" x14ac:dyDescent="0.35">
      <c r="A195" s="17">
        <v>194</v>
      </c>
      <c r="B195" s="23" t="s">
        <v>113</v>
      </c>
      <c r="C195" s="18" t="s">
        <v>126</v>
      </c>
      <c r="D195" s="18">
        <v>64</v>
      </c>
      <c r="E195" s="18" t="s">
        <v>128</v>
      </c>
      <c r="F195" s="18" t="str">
        <f>IF(OR(D195&gt;Answers!L210,D195&lt;Answers!L211),"Outlier","Normal")</f>
        <v>Outlier</v>
      </c>
      <c r="G195" s="19" t="str">
        <f t="shared" ref="G195:G258" si="3">IF(D195&lt;20,"&lt;20",
IF(D195&lt;=30,"20-30",
IF(D195&lt;=40,"30-40","40-50")))</f>
        <v>40-50</v>
      </c>
    </row>
    <row r="196" spans="1:7" ht="20" customHeight="1" x14ac:dyDescent="0.35">
      <c r="A196" s="17">
        <v>195</v>
      </c>
      <c r="B196" s="23" t="s">
        <v>99</v>
      </c>
      <c r="C196" s="18" t="s">
        <v>126</v>
      </c>
      <c r="D196" s="18">
        <v>51</v>
      </c>
      <c r="E196" s="18" t="s">
        <v>128</v>
      </c>
      <c r="F196" s="18" t="str">
        <f>IF(OR(D196&gt;Answers!L211,D196&lt;Answers!L212),"Outlier","Normal")</f>
        <v>Outlier</v>
      </c>
      <c r="G196" s="19" t="str">
        <f t="shared" si="3"/>
        <v>40-50</v>
      </c>
    </row>
    <row r="197" spans="1:7" ht="20" customHeight="1" x14ac:dyDescent="0.35">
      <c r="A197" s="17">
        <v>196</v>
      </c>
      <c r="B197" s="23" t="s">
        <v>99</v>
      </c>
      <c r="C197" s="18" t="s">
        <v>125</v>
      </c>
      <c r="D197" s="18">
        <v>77</v>
      </c>
      <c r="E197" s="18" t="s">
        <v>128</v>
      </c>
      <c r="F197" s="18" t="str">
        <f>IF(OR(D197&gt;Answers!L212,D197&lt;Answers!L213),"Outlier","Normal")</f>
        <v>Outlier</v>
      </c>
      <c r="G197" s="19" t="str">
        <f t="shared" si="3"/>
        <v>40-50</v>
      </c>
    </row>
    <row r="198" spans="1:7" ht="20" customHeight="1" x14ac:dyDescent="0.35">
      <c r="A198" s="17">
        <v>197</v>
      </c>
      <c r="B198" s="23" t="s">
        <v>99</v>
      </c>
      <c r="C198" s="18" t="s">
        <v>125</v>
      </c>
      <c r="D198" s="18">
        <v>38</v>
      </c>
      <c r="E198" s="18" t="s">
        <v>128</v>
      </c>
      <c r="F198" s="18" t="str">
        <f>IF(OR(D198&gt;Answers!L213,D198&lt;Answers!L214),"Outlier","Normal")</f>
        <v>Outlier</v>
      </c>
      <c r="G198" s="19" t="str">
        <f t="shared" si="3"/>
        <v>30-40</v>
      </c>
    </row>
    <row r="199" spans="1:7" ht="20" customHeight="1" x14ac:dyDescent="0.35">
      <c r="A199" s="17">
        <v>198</v>
      </c>
      <c r="B199" s="23" t="s">
        <v>99</v>
      </c>
      <c r="C199" s="18" t="s">
        <v>125</v>
      </c>
      <c r="D199" s="18">
        <v>30</v>
      </c>
      <c r="E199" s="18" t="s">
        <v>128</v>
      </c>
      <c r="F199" s="18" t="str">
        <f>IF(OR(D199&gt;Answers!L214,D199&lt;Answers!L215),"Outlier","Normal")</f>
        <v>Outlier</v>
      </c>
      <c r="G199" s="19" t="str">
        <f t="shared" si="3"/>
        <v>20-30</v>
      </c>
    </row>
    <row r="200" spans="1:7" ht="20" customHeight="1" x14ac:dyDescent="0.35">
      <c r="A200" s="17">
        <v>199</v>
      </c>
      <c r="B200" s="23" t="s">
        <v>101</v>
      </c>
      <c r="C200" s="18" t="s">
        <v>126</v>
      </c>
      <c r="D200" s="18">
        <v>67</v>
      </c>
      <c r="E200" s="18" t="s">
        <v>128</v>
      </c>
      <c r="F200" s="18" t="str">
        <f>IF(OR(D200&gt;Answers!L215,D200&lt;Answers!L216),"Outlier","Normal")</f>
        <v>Outlier</v>
      </c>
      <c r="G200" s="19" t="str">
        <f t="shared" si="3"/>
        <v>40-50</v>
      </c>
    </row>
    <row r="201" spans="1:7" ht="20" customHeight="1" x14ac:dyDescent="0.35">
      <c r="A201" s="17">
        <v>200</v>
      </c>
      <c r="B201" s="23" t="s">
        <v>107</v>
      </c>
      <c r="C201" s="18" t="s">
        <v>125</v>
      </c>
      <c r="D201" s="18">
        <v>27</v>
      </c>
      <c r="E201" s="18" t="s">
        <v>128</v>
      </c>
      <c r="F201" s="18" t="str">
        <f>IF(OR(D201&gt;Answers!L216,D201&lt;Answers!L217),"Outlier","Normal")</f>
        <v>Outlier</v>
      </c>
      <c r="G201" s="19" t="str">
        <f t="shared" si="3"/>
        <v>20-30</v>
      </c>
    </row>
    <row r="202" spans="1:7" ht="20" customHeight="1" x14ac:dyDescent="0.35">
      <c r="A202" s="17">
        <v>201</v>
      </c>
      <c r="B202" s="23" t="s">
        <v>101</v>
      </c>
      <c r="C202" s="18" t="s">
        <v>126</v>
      </c>
      <c r="D202" s="18">
        <v>50</v>
      </c>
      <c r="E202" s="18" t="s">
        <v>128</v>
      </c>
      <c r="F202" s="18" t="str">
        <f>IF(OR(D202&gt;Answers!L217,D202&lt;Answers!L218),"Outlier","Normal")</f>
        <v>Outlier</v>
      </c>
      <c r="G202" s="19" t="str">
        <f t="shared" si="3"/>
        <v>40-50</v>
      </c>
    </row>
    <row r="203" spans="1:7" ht="20" customHeight="1" x14ac:dyDescent="0.35">
      <c r="A203" s="17">
        <v>202</v>
      </c>
      <c r="B203" s="23" t="s">
        <v>99</v>
      </c>
      <c r="C203" s="18" t="s">
        <v>125</v>
      </c>
      <c r="D203" s="18">
        <v>86</v>
      </c>
      <c r="E203" s="18" t="s">
        <v>128</v>
      </c>
      <c r="F203" s="18" t="str">
        <f>IF(OR(D203&gt;Answers!L218,D203&lt;Answers!L219),"Outlier","Normal")</f>
        <v>Outlier</v>
      </c>
      <c r="G203" s="19" t="str">
        <f t="shared" si="3"/>
        <v>40-50</v>
      </c>
    </row>
    <row r="204" spans="1:7" ht="20" customHeight="1" x14ac:dyDescent="0.35">
      <c r="A204" s="17">
        <v>203</v>
      </c>
      <c r="B204" s="23" t="s">
        <v>102</v>
      </c>
      <c r="C204" s="18" t="s">
        <v>126</v>
      </c>
      <c r="D204" s="18">
        <v>75</v>
      </c>
      <c r="E204" s="18" t="s">
        <v>128</v>
      </c>
      <c r="F204" s="18" t="str">
        <f>IF(OR(D204&gt;Answers!L219,D204&lt;Answers!L220),"Outlier","Normal")</f>
        <v>Outlier</v>
      </c>
      <c r="G204" s="19" t="str">
        <f t="shared" si="3"/>
        <v>40-50</v>
      </c>
    </row>
    <row r="205" spans="1:7" ht="20" customHeight="1" x14ac:dyDescent="0.35">
      <c r="A205" s="17">
        <v>204</v>
      </c>
      <c r="B205" s="23" t="s">
        <v>100</v>
      </c>
      <c r="C205" s="18" t="s">
        <v>125</v>
      </c>
      <c r="D205" s="18">
        <v>89</v>
      </c>
      <c r="E205" s="18" t="s">
        <v>128</v>
      </c>
      <c r="F205" s="18" t="str">
        <f>IF(OR(D205&gt;Answers!L220,D205&lt;Answers!L221),"Outlier","Normal")</f>
        <v>Outlier</v>
      </c>
      <c r="G205" s="19" t="str">
        <f t="shared" si="3"/>
        <v>40-50</v>
      </c>
    </row>
    <row r="206" spans="1:7" ht="20" customHeight="1" x14ac:dyDescent="0.35">
      <c r="A206" s="17">
        <v>205</v>
      </c>
      <c r="B206" s="23" t="s">
        <v>107</v>
      </c>
      <c r="C206" s="18" t="s">
        <v>126</v>
      </c>
      <c r="D206" s="18">
        <v>45</v>
      </c>
      <c r="E206" s="18" t="s">
        <v>128</v>
      </c>
      <c r="F206" s="18" t="str">
        <f>IF(OR(D206&gt;Answers!L221,D206&lt;Answers!L222),"Outlier","Normal")</f>
        <v>Outlier</v>
      </c>
      <c r="G206" s="19" t="str">
        <f t="shared" si="3"/>
        <v>40-50</v>
      </c>
    </row>
    <row r="207" spans="1:7" ht="20" customHeight="1" x14ac:dyDescent="0.35">
      <c r="A207" s="17">
        <v>206</v>
      </c>
      <c r="B207" s="23" t="s">
        <v>99</v>
      </c>
      <c r="C207" s="18" t="s">
        <v>126</v>
      </c>
      <c r="D207" s="18">
        <v>56</v>
      </c>
      <c r="E207" s="18" t="s">
        <v>128</v>
      </c>
      <c r="F207" s="18" t="str">
        <f>IF(OR(D207&gt;Answers!L222,D207&lt;Answers!L223),"Outlier","Normal")</f>
        <v>Outlier</v>
      </c>
      <c r="G207" s="19" t="str">
        <f t="shared" si="3"/>
        <v>40-50</v>
      </c>
    </row>
    <row r="208" spans="1:7" ht="20" customHeight="1" x14ac:dyDescent="0.35">
      <c r="A208" s="17">
        <v>207</v>
      </c>
      <c r="B208" s="23" t="s">
        <v>108</v>
      </c>
      <c r="C208" s="18" t="s">
        <v>125</v>
      </c>
      <c r="D208" s="18">
        <v>76</v>
      </c>
      <c r="E208" s="18" t="s">
        <v>128</v>
      </c>
      <c r="F208" s="18" t="str">
        <f>IF(OR(D208&gt;Answers!L223,D208&lt;Answers!L224),"Outlier","Normal")</f>
        <v>Outlier</v>
      </c>
      <c r="G208" s="19" t="str">
        <f t="shared" si="3"/>
        <v>40-50</v>
      </c>
    </row>
    <row r="209" spans="1:7" ht="20" customHeight="1" x14ac:dyDescent="0.35">
      <c r="A209" s="17">
        <v>208</v>
      </c>
      <c r="B209" s="23" t="s">
        <v>99</v>
      </c>
      <c r="C209" s="18" t="s">
        <v>126</v>
      </c>
      <c r="D209" s="18">
        <v>19</v>
      </c>
      <c r="E209" s="18" t="s">
        <v>128</v>
      </c>
      <c r="F209" s="18" t="str">
        <f>IF(OR(D209&gt;Answers!L224,D209&lt;Answers!L225),"Outlier","Normal")</f>
        <v>Outlier</v>
      </c>
      <c r="G209" s="19" t="str">
        <f t="shared" si="3"/>
        <v>&lt;20</v>
      </c>
    </row>
    <row r="210" spans="1:7" ht="20" customHeight="1" x14ac:dyDescent="0.35">
      <c r="A210" s="17">
        <v>209</v>
      </c>
      <c r="B210" s="23" t="s">
        <v>100</v>
      </c>
      <c r="C210" s="18" t="s">
        <v>125</v>
      </c>
      <c r="D210" s="18">
        <v>79</v>
      </c>
      <c r="E210" s="18" t="s">
        <v>128</v>
      </c>
      <c r="F210" s="18" t="str">
        <f>IF(OR(D210&gt;Answers!L225,D210&lt;Answers!L226),"Outlier","Normal")</f>
        <v>Outlier</v>
      </c>
      <c r="G210" s="19" t="str">
        <f t="shared" si="3"/>
        <v>40-50</v>
      </c>
    </row>
    <row r="211" spans="1:7" ht="20" customHeight="1" x14ac:dyDescent="0.35">
      <c r="A211" s="17">
        <v>210</v>
      </c>
      <c r="B211" s="23" t="s">
        <v>99</v>
      </c>
      <c r="C211" s="18" t="s">
        <v>125</v>
      </c>
      <c r="D211" s="18">
        <v>59</v>
      </c>
      <c r="E211" s="18" t="s">
        <v>128</v>
      </c>
      <c r="F211" s="18" t="str">
        <f>IF(OR(D211&gt;Answers!L226,D211&lt;Answers!L227),"Outlier","Normal")</f>
        <v>Outlier</v>
      </c>
      <c r="G211" s="19" t="str">
        <f t="shared" si="3"/>
        <v>40-50</v>
      </c>
    </row>
    <row r="212" spans="1:7" ht="20" customHeight="1" x14ac:dyDescent="0.35">
      <c r="A212" s="17">
        <v>211</v>
      </c>
      <c r="B212" s="23" t="s">
        <v>100</v>
      </c>
      <c r="C212" s="18" t="s">
        <v>126</v>
      </c>
      <c r="D212" s="18">
        <v>79</v>
      </c>
      <c r="E212" s="18" t="s">
        <v>128</v>
      </c>
      <c r="F212" s="18" t="str">
        <f>IF(OR(D212&gt;Answers!L227,D212&lt;Answers!L228),"Outlier","Normal")</f>
        <v>Outlier</v>
      </c>
      <c r="G212" s="19" t="str">
        <f t="shared" si="3"/>
        <v>40-50</v>
      </c>
    </row>
    <row r="213" spans="1:7" ht="20" customHeight="1" x14ac:dyDescent="0.35">
      <c r="A213" s="17">
        <v>212</v>
      </c>
      <c r="B213" s="23" t="s">
        <v>109</v>
      </c>
      <c r="C213" s="18" t="s">
        <v>126</v>
      </c>
      <c r="D213" s="18">
        <v>19</v>
      </c>
      <c r="E213" s="18" t="s">
        <v>128</v>
      </c>
      <c r="F213" s="18" t="str">
        <f>IF(OR(D213&gt;Answers!L228,D213&lt;Answers!L229),"Outlier","Normal")</f>
        <v>Outlier</v>
      </c>
      <c r="G213" s="19" t="str">
        <f t="shared" si="3"/>
        <v>&lt;20</v>
      </c>
    </row>
    <row r="214" spans="1:7" ht="20" customHeight="1" x14ac:dyDescent="0.35">
      <c r="A214" s="17">
        <v>213</v>
      </c>
      <c r="B214" s="23" t="s">
        <v>99</v>
      </c>
      <c r="C214" s="18" t="s">
        <v>126</v>
      </c>
      <c r="D214" s="18">
        <v>52</v>
      </c>
      <c r="E214" s="18" t="s">
        <v>128</v>
      </c>
      <c r="F214" s="18" t="str">
        <f>IF(OR(D214&gt;Answers!L229,D214&lt;Answers!L230),"Outlier","Normal")</f>
        <v>Outlier</v>
      </c>
      <c r="G214" s="19" t="str">
        <f t="shared" si="3"/>
        <v>40-50</v>
      </c>
    </row>
    <row r="215" spans="1:7" ht="20" customHeight="1" x14ac:dyDescent="0.35">
      <c r="A215" s="17">
        <v>214</v>
      </c>
      <c r="B215" s="23" t="s">
        <v>99</v>
      </c>
      <c r="C215" s="18" t="s">
        <v>126</v>
      </c>
      <c r="D215" s="18">
        <v>18</v>
      </c>
      <c r="E215" s="18" t="s">
        <v>128</v>
      </c>
      <c r="F215" s="18" t="str">
        <f>IF(OR(D215&gt;Answers!L230,D215&lt;Answers!L231),"Outlier","Normal")</f>
        <v>Outlier</v>
      </c>
      <c r="G215" s="19" t="str">
        <f t="shared" si="3"/>
        <v>&lt;20</v>
      </c>
    </row>
    <row r="216" spans="1:7" ht="20" customHeight="1" x14ac:dyDescent="0.35">
      <c r="A216" s="17">
        <v>215</v>
      </c>
      <c r="B216" s="23" t="s">
        <v>99</v>
      </c>
      <c r="C216" s="18" t="s">
        <v>125</v>
      </c>
      <c r="D216" s="18">
        <v>60</v>
      </c>
      <c r="E216" s="18" t="s">
        <v>128</v>
      </c>
      <c r="F216" s="18" t="str">
        <f>IF(OR(D216&gt;Answers!L231,D216&lt;Answers!L232),"Outlier","Normal")</f>
        <v>Outlier</v>
      </c>
      <c r="G216" s="19" t="str">
        <f t="shared" si="3"/>
        <v>40-50</v>
      </c>
    </row>
    <row r="217" spans="1:7" ht="20" customHeight="1" x14ac:dyDescent="0.35">
      <c r="A217" s="17">
        <v>216</v>
      </c>
      <c r="B217" s="23" t="s">
        <v>113</v>
      </c>
      <c r="C217" s="18" t="s">
        <v>125</v>
      </c>
      <c r="D217" s="18">
        <v>45</v>
      </c>
      <c r="E217" s="18" t="s">
        <v>128</v>
      </c>
      <c r="F217" s="18" t="str">
        <f>IF(OR(D217&gt;Answers!L232,D217&lt;Answers!L233),"Outlier","Normal")</f>
        <v>Outlier</v>
      </c>
      <c r="G217" s="19" t="str">
        <f t="shared" si="3"/>
        <v>40-50</v>
      </c>
    </row>
    <row r="218" spans="1:7" ht="20" customHeight="1" x14ac:dyDescent="0.35">
      <c r="A218" s="17">
        <v>217</v>
      </c>
      <c r="B218" s="23" t="s">
        <v>99</v>
      </c>
      <c r="C218" s="18" t="s">
        <v>126</v>
      </c>
      <c r="D218" s="18">
        <v>60</v>
      </c>
      <c r="E218" s="18" t="s">
        <v>128</v>
      </c>
      <c r="F218" s="18" t="str">
        <f>IF(OR(D218&gt;Answers!L233,D218&lt;Answers!L234),"Outlier","Normal")</f>
        <v>Outlier</v>
      </c>
      <c r="G218" s="19" t="str">
        <f t="shared" si="3"/>
        <v>40-50</v>
      </c>
    </row>
    <row r="219" spans="1:7" ht="20" customHeight="1" x14ac:dyDescent="0.35">
      <c r="A219" s="17">
        <v>218</v>
      </c>
      <c r="B219" s="23" t="s">
        <v>100</v>
      </c>
      <c r="C219" s="18" t="s">
        <v>126</v>
      </c>
      <c r="D219" s="18">
        <v>34</v>
      </c>
      <c r="E219" s="18" t="s">
        <v>128</v>
      </c>
      <c r="F219" s="18" t="str">
        <f>IF(OR(D219&gt;Answers!L234,D219&lt;Answers!L235),"Outlier","Normal")</f>
        <v>Outlier</v>
      </c>
      <c r="G219" s="19" t="str">
        <f t="shared" si="3"/>
        <v>30-40</v>
      </c>
    </row>
    <row r="220" spans="1:7" ht="20" customHeight="1" x14ac:dyDescent="0.35">
      <c r="A220" s="17">
        <v>219</v>
      </c>
      <c r="B220" s="23" t="s">
        <v>99</v>
      </c>
      <c r="C220" s="18" t="s">
        <v>125</v>
      </c>
      <c r="D220" s="18">
        <v>36</v>
      </c>
      <c r="E220" s="18" t="s">
        <v>128</v>
      </c>
      <c r="F220" s="18" t="str">
        <f>IF(OR(D220&gt;Answers!L235,D220&lt;Answers!L236),"Outlier","Normal")</f>
        <v>Outlier</v>
      </c>
      <c r="G220" s="19" t="str">
        <f t="shared" si="3"/>
        <v>30-40</v>
      </c>
    </row>
    <row r="221" spans="1:7" ht="20" customHeight="1" x14ac:dyDescent="0.35">
      <c r="A221" s="17">
        <v>220</v>
      </c>
      <c r="B221" s="23" t="s">
        <v>101</v>
      </c>
      <c r="C221" s="18" t="s">
        <v>125</v>
      </c>
      <c r="D221" s="18">
        <v>71</v>
      </c>
      <c r="E221" s="18" t="s">
        <v>128</v>
      </c>
      <c r="F221" s="18" t="str">
        <f>IF(OR(D221&gt;Answers!L236,D221&lt;Answers!L237),"Outlier","Normal")</f>
        <v>Outlier</v>
      </c>
      <c r="G221" s="19" t="str">
        <f t="shared" si="3"/>
        <v>40-50</v>
      </c>
    </row>
    <row r="222" spans="1:7" ht="20" customHeight="1" x14ac:dyDescent="0.35">
      <c r="A222" s="17">
        <v>221</v>
      </c>
      <c r="B222" s="23" t="s">
        <v>101</v>
      </c>
      <c r="C222" s="18" t="s">
        <v>125</v>
      </c>
      <c r="D222" s="18">
        <v>64</v>
      </c>
      <c r="E222" s="18" t="s">
        <v>128</v>
      </c>
      <c r="F222" s="18" t="str">
        <f>IF(OR(D222&gt;Answers!L237,D222&lt;Answers!L238),"Outlier","Normal")</f>
        <v>Outlier</v>
      </c>
      <c r="G222" s="19" t="str">
        <f t="shared" si="3"/>
        <v>40-50</v>
      </c>
    </row>
    <row r="223" spans="1:7" ht="20" customHeight="1" x14ac:dyDescent="0.35">
      <c r="A223" s="17">
        <v>222</v>
      </c>
      <c r="B223" s="23" t="s">
        <v>103</v>
      </c>
      <c r="C223" s="18" t="s">
        <v>125</v>
      </c>
      <c r="D223" s="18">
        <v>37</v>
      </c>
      <c r="E223" s="18" t="s">
        <v>128</v>
      </c>
      <c r="F223" s="18" t="str">
        <f>IF(OR(D223&gt;Answers!L238,D223&lt;Answers!L239),"Outlier","Normal")</f>
        <v>Outlier</v>
      </c>
      <c r="G223" s="19" t="str">
        <f t="shared" si="3"/>
        <v>30-40</v>
      </c>
    </row>
    <row r="224" spans="1:7" ht="20" customHeight="1" x14ac:dyDescent="0.35">
      <c r="A224" s="17">
        <v>223</v>
      </c>
      <c r="B224" s="23" t="s">
        <v>113</v>
      </c>
      <c r="C224" s="18" t="s">
        <v>125</v>
      </c>
      <c r="D224" s="18">
        <v>41</v>
      </c>
      <c r="E224" s="18" t="s">
        <v>128</v>
      </c>
      <c r="F224" s="18" t="str">
        <f>IF(OR(D224&gt;Answers!L239,D224&lt;Answers!L240),"Outlier","Normal")</f>
        <v>Outlier</v>
      </c>
      <c r="G224" s="19" t="str">
        <f t="shared" si="3"/>
        <v>40-50</v>
      </c>
    </row>
    <row r="225" spans="1:7" ht="20" customHeight="1" x14ac:dyDescent="0.35">
      <c r="A225" s="17">
        <v>224</v>
      </c>
      <c r="B225" s="23" t="s">
        <v>113</v>
      </c>
      <c r="C225" s="18" t="s">
        <v>125</v>
      </c>
      <c r="D225" s="18">
        <v>64</v>
      </c>
      <c r="E225" s="18" t="s">
        <v>128</v>
      </c>
      <c r="F225" s="18" t="str">
        <f>IF(OR(D225&gt;Answers!L240,D225&lt;Answers!L241),"Outlier","Normal")</f>
        <v>Outlier</v>
      </c>
      <c r="G225" s="19" t="str">
        <f t="shared" si="3"/>
        <v>40-50</v>
      </c>
    </row>
    <row r="226" spans="1:7" ht="20" customHeight="1" x14ac:dyDescent="0.35">
      <c r="A226" s="17">
        <v>225</v>
      </c>
      <c r="B226" s="23" t="s">
        <v>106</v>
      </c>
      <c r="C226" s="18" t="s">
        <v>126</v>
      </c>
      <c r="D226" s="18">
        <v>83</v>
      </c>
      <c r="E226" s="18" t="s">
        <v>128</v>
      </c>
      <c r="F226" s="18" t="str">
        <f>IF(OR(D226&gt;Answers!L241,D226&lt;Answers!L242),"Outlier","Normal")</f>
        <v>Outlier</v>
      </c>
      <c r="G226" s="19" t="str">
        <f t="shared" si="3"/>
        <v>40-50</v>
      </c>
    </row>
    <row r="227" spans="1:7" ht="20" customHeight="1" x14ac:dyDescent="0.35">
      <c r="A227" s="17">
        <v>226</v>
      </c>
      <c r="B227" s="23" t="s">
        <v>99</v>
      </c>
      <c r="C227" s="18" t="s">
        <v>125</v>
      </c>
      <c r="D227" s="18">
        <v>31</v>
      </c>
      <c r="E227" s="18" t="s">
        <v>128</v>
      </c>
      <c r="F227" s="18" t="str">
        <f>IF(OR(D227&gt;Answers!L242,D227&lt;Answers!L243),"Outlier","Normal")</f>
        <v>Outlier</v>
      </c>
      <c r="G227" s="19" t="str">
        <f t="shared" si="3"/>
        <v>30-40</v>
      </c>
    </row>
    <row r="228" spans="1:7" ht="20" customHeight="1" x14ac:dyDescent="0.35">
      <c r="A228" s="17">
        <v>227</v>
      </c>
      <c r="B228" s="23" t="s">
        <v>99</v>
      </c>
      <c r="C228" s="18" t="s">
        <v>126</v>
      </c>
      <c r="D228" s="18">
        <v>77</v>
      </c>
      <c r="E228" s="18" t="s">
        <v>128</v>
      </c>
      <c r="F228" s="18" t="str">
        <f>IF(OR(D228&gt;Answers!L243,D228&lt;Answers!L244),"Outlier","Normal")</f>
        <v>Outlier</v>
      </c>
      <c r="G228" s="19" t="str">
        <f t="shared" si="3"/>
        <v>40-50</v>
      </c>
    </row>
    <row r="229" spans="1:7" ht="20" customHeight="1" x14ac:dyDescent="0.35">
      <c r="A229" s="17">
        <v>228</v>
      </c>
      <c r="B229" s="23" t="s">
        <v>100</v>
      </c>
      <c r="C229" s="18" t="s">
        <v>126</v>
      </c>
      <c r="D229" s="18">
        <v>34</v>
      </c>
      <c r="E229" s="18" t="s">
        <v>128</v>
      </c>
      <c r="F229" s="18" t="str">
        <f>IF(OR(D229&gt;Answers!L244,D229&lt;Answers!L245),"Outlier","Normal")</f>
        <v>Outlier</v>
      </c>
      <c r="G229" s="19" t="str">
        <f t="shared" si="3"/>
        <v>30-40</v>
      </c>
    </row>
    <row r="230" spans="1:7" ht="20" customHeight="1" x14ac:dyDescent="0.35">
      <c r="A230" s="17">
        <v>229</v>
      </c>
      <c r="B230" s="23" t="s">
        <v>100</v>
      </c>
      <c r="C230" s="18" t="s">
        <v>125</v>
      </c>
      <c r="D230" s="18">
        <v>54</v>
      </c>
      <c r="E230" s="18" t="s">
        <v>128</v>
      </c>
      <c r="F230" s="18" t="str">
        <f>IF(OR(D230&gt;Answers!L245,D230&lt;Answers!L246),"Outlier","Normal")</f>
        <v>Outlier</v>
      </c>
      <c r="G230" s="19" t="str">
        <f t="shared" si="3"/>
        <v>40-50</v>
      </c>
    </row>
    <row r="231" spans="1:7" ht="20" customHeight="1" x14ac:dyDescent="0.35">
      <c r="A231" s="17">
        <v>230</v>
      </c>
      <c r="B231" s="23" t="s">
        <v>99</v>
      </c>
      <c r="C231" s="18" t="s">
        <v>125</v>
      </c>
      <c r="D231" s="18">
        <v>79</v>
      </c>
      <c r="E231" s="18" t="s">
        <v>128</v>
      </c>
      <c r="F231" s="18" t="str">
        <f>IF(OR(D231&gt;Answers!L246,D231&lt;Answers!L247),"Outlier","Normal")</f>
        <v>Outlier</v>
      </c>
      <c r="G231" s="19" t="str">
        <f t="shared" si="3"/>
        <v>40-50</v>
      </c>
    </row>
    <row r="232" spans="1:7" ht="20" customHeight="1" x14ac:dyDescent="0.35">
      <c r="A232" s="17">
        <v>231</v>
      </c>
      <c r="B232" s="23" t="s">
        <v>99</v>
      </c>
      <c r="C232" s="18" t="s">
        <v>125</v>
      </c>
      <c r="D232" s="18">
        <v>41</v>
      </c>
      <c r="E232" s="18" t="s">
        <v>128</v>
      </c>
      <c r="F232" s="18" t="str">
        <f>IF(OR(D232&gt;Answers!L247,D232&lt;Answers!L248),"Outlier","Normal")</f>
        <v>Outlier</v>
      </c>
      <c r="G232" s="19" t="str">
        <f t="shared" si="3"/>
        <v>40-50</v>
      </c>
    </row>
    <row r="233" spans="1:7" ht="20" customHeight="1" x14ac:dyDescent="0.35">
      <c r="A233" s="17">
        <v>232</v>
      </c>
      <c r="B233" s="23" t="s">
        <v>99</v>
      </c>
      <c r="C233" s="18" t="s">
        <v>126</v>
      </c>
      <c r="D233" s="18">
        <v>45</v>
      </c>
      <c r="E233" s="18" t="s">
        <v>128</v>
      </c>
      <c r="F233" s="18" t="str">
        <f>IF(OR(D233&gt;Answers!L248,D233&lt;Answers!L249),"Outlier","Normal")</f>
        <v>Outlier</v>
      </c>
      <c r="G233" s="19" t="str">
        <f t="shared" si="3"/>
        <v>40-50</v>
      </c>
    </row>
    <row r="234" spans="1:7" ht="20" customHeight="1" x14ac:dyDescent="0.35">
      <c r="A234" s="17">
        <v>233</v>
      </c>
      <c r="B234" s="23" t="s">
        <v>107</v>
      </c>
      <c r="C234" s="18" t="s">
        <v>126</v>
      </c>
      <c r="D234" s="18">
        <v>30</v>
      </c>
      <c r="E234" s="18" t="s">
        <v>128</v>
      </c>
      <c r="F234" s="18" t="str">
        <f>IF(OR(D234&gt;Answers!L249,D234&lt;Answers!L250),"Outlier","Normal")</f>
        <v>Outlier</v>
      </c>
      <c r="G234" s="19" t="str">
        <f t="shared" si="3"/>
        <v>20-30</v>
      </c>
    </row>
    <row r="235" spans="1:7" ht="20" customHeight="1" x14ac:dyDescent="0.35">
      <c r="A235" s="17">
        <v>234</v>
      </c>
      <c r="B235" s="23" t="s">
        <v>104</v>
      </c>
      <c r="C235" s="18" t="s">
        <v>125</v>
      </c>
      <c r="D235" s="18">
        <v>37</v>
      </c>
      <c r="E235" s="18" t="s">
        <v>128</v>
      </c>
      <c r="F235" s="18" t="str">
        <f>IF(OR(D235&gt;Answers!L250,D235&lt;Answers!L251),"Outlier","Normal")</f>
        <v>Outlier</v>
      </c>
      <c r="G235" s="19" t="str">
        <f t="shared" si="3"/>
        <v>30-40</v>
      </c>
    </row>
    <row r="236" spans="1:7" ht="20" customHeight="1" x14ac:dyDescent="0.35">
      <c r="A236" s="17">
        <v>235</v>
      </c>
      <c r="B236" s="23" t="s">
        <v>99</v>
      </c>
      <c r="C236" s="18" t="s">
        <v>125</v>
      </c>
      <c r="D236" s="18">
        <v>41</v>
      </c>
      <c r="E236" s="18" t="s">
        <v>128</v>
      </c>
      <c r="F236" s="18" t="str">
        <f>IF(OR(D236&gt;Answers!L251,D236&lt;Answers!L252),"Outlier","Normal")</f>
        <v>Outlier</v>
      </c>
      <c r="G236" s="19" t="str">
        <f t="shared" si="3"/>
        <v>40-50</v>
      </c>
    </row>
    <row r="237" spans="1:7" ht="20" customHeight="1" x14ac:dyDescent="0.35">
      <c r="A237" s="17">
        <v>236</v>
      </c>
      <c r="B237" s="23" t="s">
        <v>99</v>
      </c>
      <c r="C237" s="18" t="s">
        <v>126</v>
      </c>
      <c r="D237" s="18">
        <v>80</v>
      </c>
      <c r="E237" s="18" t="s">
        <v>128</v>
      </c>
      <c r="F237" s="18" t="str">
        <f>IF(OR(D237&gt;Answers!L252,D237&lt;Answers!L253),"Outlier","Normal")</f>
        <v>Outlier</v>
      </c>
      <c r="G237" s="19" t="str">
        <f t="shared" si="3"/>
        <v>40-50</v>
      </c>
    </row>
    <row r="238" spans="1:7" ht="20" customHeight="1" x14ac:dyDescent="0.35">
      <c r="A238" s="17">
        <v>237</v>
      </c>
      <c r="B238" s="23" t="s">
        <v>100</v>
      </c>
      <c r="C238" s="18" t="s">
        <v>126</v>
      </c>
      <c r="D238" s="18">
        <v>57</v>
      </c>
      <c r="E238" s="18" t="s">
        <v>128</v>
      </c>
      <c r="F238" s="18" t="str">
        <f>IF(OR(D238&gt;Answers!L253,D238&lt;Answers!L254),"Outlier","Normal")</f>
        <v>Outlier</v>
      </c>
      <c r="G238" s="19" t="str">
        <f t="shared" si="3"/>
        <v>40-50</v>
      </c>
    </row>
    <row r="239" spans="1:7" ht="20" customHeight="1" x14ac:dyDescent="0.35">
      <c r="A239" s="17">
        <v>238</v>
      </c>
      <c r="B239" s="23" t="s">
        <v>107</v>
      </c>
      <c r="C239" s="18" t="s">
        <v>125</v>
      </c>
      <c r="D239" s="18">
        <v>41</v>
      </c>
      <c r="E239" s="18" t="s">
        <v>128</v>
      </c>
      <c r="F239" s="18" t="str">
        <f>IF(OR(D239&gt;Answers!L254,D239&lt;Answers!L255),"Outlier","Normal")</f>
        <v>Outlier</v>
      </c>
      <c r="G239" s="19" t="str">
        <f t="shared" si="3"/>
        <v>40-50</v>
      </c>
    </row>
    <row r="240" spans="1:7" ht="20" customHeight="1" x14ac:dyDescent="0.35">
      <c r="A240" s="17">
        <v>239</v>
      </c>
      <c r="B240" s="23" t="s">
        <v>113</v>
      </c>
      <c r="C240" s="18" t="s">
        <v>126</v>
      </c>
      <c r="D240" s="18">
        <v>77</v>
      </c>
      <c r="E240" s="18" t="s">
        <v>128</v>
      </c>
      <c r="F240" s="18" t="str">
        <f>IF(OR(D240&gt;Answers!L255,D240&lt;Answers!L256),"Outlier","Normal")</f>
        <v>Outlier</v>
      </c>
      <c r="G240" s="19" t="str">
        <f t="shared" si="3"/>
        <v>40-50</v>
      </c>
    </row>
    <row r="241" spans="1:7" ht="20" customHeight="1" x14ac:dyDescent="0.35">
      <c r="A241" s="17">
        <v>240</v>
      </c>
      <c r="B241" s="23" t="s">
        <v>99</v>
      </c>
      <c r="C241" s="18" t="s">
        <v>125</v>
      </c>
      <c r="D241" s="18">
        <v>63</v>
      </c>
      <c r="E241" s="18" t="s">
        <v>128</v>
      </c>
      <c r="F241" s="18" t="str">
        <f>IF(OR(D241&gt;Answers!L256,D241&lt;Answers!L257),"Outlier","Normal")</f>
        <v>Outlier</v>
      </c>
      <c r="G241" s="19" t="str">
        <f t="shared" si="3"/>
        <v>40-50</v>
      </c>
    </row>
    <row r="242" spans="1:7" ht="20" customHeight="1" x14ac:dyDescent="0.35">
      <c r="A242" s="17">
        <v>241</v>
      </c>
      <c r="B242" s="23" t="s">
        <v>99</v>
      </c>
      <c r="C242" s="18" t="s">
        <v>126</v>
      </c>
      <c r="D242" s="18">
        <v>22</v>
      </c>
      <c r="E242" s="18" t="s">
        <v>128</v>
      </c>
      <c r="F242" s="18" t="str">
        <f>IF(OR(D242&gt;Answers!L257,D242&lt;Answers!L258),"Outlier","Normal")</f>
        <v>Outlier</v>
      </c>
      <c r="G242" s="19" t="str">
        <f t="shared" si="3"/>
        <v>20-30</v>
      </c>
    </row>
    <row r="243" spans="1:7" ht="20" customHeight="1" x14ac:dyDescent="0.35">
      <c r="A243" s="17">
        <v>242</v>
      </c>
      <c r="B243" s="23" t="s">
        <v>99</v>
      </c>
      <c r="C243" s="18" t="s">
        <v>126</v>
      </c>
      <c r="D243" s="18">
        <v>87</v>
      </c>
      <c r="E243" s="18" t="s">
        <v>128</v>
      </c>
      <c r="F243" s="18" t="str">
        <f>IF(OR(D243&gt;Answers!L258,D243&lt;Answers!L259),"Outlier","Normal")</f>
        <v>Outlier</v>
      </c>
      <c r="G243" s="19" t="str">
        <f t="shared" si="3"/>
        <v>40-50</v>
      </c>
    </row>
    <row r="244" spans="1:7" ht="20" customHeight="1" x14ac:dyDescent="0.35">
      <c r="A244" s="17">
        <v>243</v>
      </c>
      <c r="B244" s="23" t="s">
        <v>99</v>
      </c>
      <c r="C244" s="18" t="s">
        <v>125</v>
      </c>
      <c r="D244" s="18">
        <v>18</v>
      </c>
      <c r="E244" s="18" t="s">
        <v>128</v>
      </c>
      <c r="F244" s="18" t="str">
        <f>IF(OR(D244&gt;Answers!L259,D244&lt;Answers!L260),"Outlier","Normal")</f>
        <v>Outlier</v>
      </c>
      <c r="G244" s="19" t="str">
        <f t="shared" si="3"/>
        <v>&lt;20</v>
      </c>
    </row>
    <row r="245" spans="1:7" ht="20" customHeight="1" x14ac:dyDescent="0.35">
      <c r="A245" s="17">
        <v>244</v>
      </c>
      <c r="B245" s="23" t="s">
        <v>106</v>
      </c>
      <c r="C245" s="18" t="s">
        <v>126</v>
      </c>
      <c r="D245" s="18">
        <v>69</v>
      </c>
      <c r="E245" s="18" t="s">
        <v>128</v>
      </c>
      <c r="F245" s="18" t="str">
        <f>IF(OR(D245&gt;Answers!L260,D245&lt;Answers!L261),"Outlier","Normal")</f>
        <v>Outlier</v>
      </c>
      <c r="G245" s="19" t="str">
        <f t="shared" si="3"/>
        <v>40-50</v>
      </c>
    </row>
    <row r="246" spans="1:7" ht="20" customHeight="1" x14ac:dyDescent="0.35">
      <c r="A246" s="17">
        <v>245</v>
      </c>
      <c r="B246" s="23" t="s">
        <v>113</v>
      </c>
      <c r="C246" s="18" t="s">
        <v>125</v>
      </c>
      <c r="D246" s="18">
        <v>63</v>
      </c>
      <c r="E246" s="18" t="s">
        <v>128</v>
      </c>
      <c r="F246" s="18" t="str">
        <f>IF(OR(D246&gt;Answers!L261,D246&lt;Answers!L262),"Outlier","Normal")</f>
        <v>Outlier</v>
      </c>
      <c r="G246" s="19" t="str">
        <f t="shared" si="3"/>
        <v>40-50</v>
      </c>
    </row>
    <row r="247" spans="1:7" ht="20" customHeight="1" x14ac:dyDescent="0.35">
      <c r="A247" s="17">
        <v>246</v>
      </c>
      <c r="B247" s="23" t="s">
        <v>100</v>
      </c>
      <c r="C247" s="18" t="s">
        <v>126</v>
      </c>
      <c r="D247" s="18">
        <v>67</v>
      </c>
      <c r="E247" s="18" t="s">
        <v>128</v>
      </c>
      <c r="F247" s="18" t="str">
        <f>IF(OR(D247&gt;Answers!L262,D247&lt;Answers!L263),"Outlier","Normal")</f>
        <v>Outlier</v>
      </c>
      <c r="G247" s="19" t="str">
        <f t="shared" si="3"/>
        <v>40-50</v>
      </c>
    </row>
    <row r="248" spans="1:7" ht="20" customHeight="1" x14ac:dyDescent="0.35">
      <c r="A248" s="17">
        <v>247</v>
      </c>
      <c r="B248" s="23" t="s">
        <v>100</v>
      </c>
      <c r="C248" s="18" t="s">
        <v>125</v>
      </c>
      <c r="D248" s="18">
        <v>45</v>
      </c>
      <c r="E248" s="18" t="s">
        <v>128</v>
      </c>
      <c r="F248" s="18" t="str">
        <f>IF(OR(D248&gt;Answers!L263,D248&lt;Answers!L264),"Outlier","Normal")</f>
        <v>Outlier</v>
      </c>
      <c r="G248" s="19" t="str">
        <f t="shared" si="3"/>
        <v>40-50</v>
      </c>
    </row>
    <row r="249" spans="1:7" ht="20" customHeight="1" x14ac:dyDescent="0.35">
      <c r="A249" s="17">
        <v>248</v>
      </c>
      <c r="B249" s="23" t="s">
        <v>99</v>
      </c>
      <c r="C249" s="18" t="s">
        <v>126</v>
      </c>
      <c r="D249" s="18">
        <v>47</v>
      </c>
      <c r="E249" s="18" t="s">
        <v>128</v>
      </c>
      <c r="F249" s="18" t="str">
        <f>IF(OR(D249&gt;Answers!L264,D249&lt;Answers!L265),"Outlier","Normal")</f>
        <v>Outlier</v>
      </c>
      <c r="G249" s="19" t="str">
        <f t="shared" si="3"/>
        <v>40-50</v>
      </c>
    </row>
    <row r="250" spans="1:7" ht="20" customHeight="1" x14ac:dyDescent="0.35">
      <c r="A250" s="17">
        <v>249</v>
      </c>
      <c r="B250" s="23" t="s">
        <v>99</v>
      </c>
      <c r="C250" s="18" t="s">
        <v>125</v>
      </c>
      <c r="D250" s="18">
        <v>58</v>
      </c>
      <c r="E250" s="18" t="s">
        <v>128</v>
      </c>
      <c r="F250" s="18" t="str">
        <f>IF(OR(D250&gt;Answers!L265,D250&lt;Answers!L266),"Outlier","Normal")</f>
        <v>Outlier</v>
      </c>
      <c r="G250" s="19" t="str">
        <f t="shared" si="3"/>
        <v>40-50</v>
      </c>
    </row>
    <row r="251" spans="1:7" ht="20" customHeight="1" x14ac:dyDescent="0.35">
      <c r="A251" s="17">
        <v>250</v>
      </c>
      <c r="B251" s="23" t="s">
        <v>113</v>
      </c>
      <c r="C251" s="18" t="s">
        <v>126</v>
      </c>
      <c r="D251" s="18">
        <v>51</v>
      </c>
      <c r="E251" s="18" t="s">
        <v>128</v>
      </c>
      <c r="F251" s="18" t="str">
        <f>IF(OR(D251&gt;Answers!L266,D251&lt;Answers!L267),"Outlier","Normal")</f>
        <v>Outlier</v>
      </c>
      <c r="G251" s="19" t="str">
        <f t="shared" si="3"/>
        <v>40-50</v>
      </c>
    </row>
    <row r="252" spans="1:7" ht="20" customHeight="1" x14ac:dyDescent="0.35">
      <c r="A252" s="17">
        <v>251</v>
      </c>
      <c r="B252" s="23" t="s">
        <v>100</v>
      </c>
      <c r="C252" s="18" t="s">
        <v>125</v>
      </c>
      <c r="D252" s="18">
        <v>49</v>
      </c>
      <c r="E252" s="18" t="s">
        <v>128</v>
      </c>
      <c r="F252" s="18" t="str">
        <f>IF(OR(D252&gt;Answers!L267,D252&lt;Answers!L268),"Outlier","Normal")</f>
        <v>Outlier</v>
      </c>
      <c r="G252" s="19" t="str">
        <f t="shared" si="3"/>
        <v>40-50</v>
      </c>
    </row>
    <row r="253" spans="1:7" ht="20" customHeight="1" x14ac:dyDescent="0.35">
      <c r="A253" s="17">
        <v>252</v>
      </c>
      <c r="B253" s="23" t="s">
        <v>99</v>
      </c>
      <c r="C253" s="18" t="s">
        <v>126</v>
      </c>
      <c r="D253" s="18">
        <v>89</v>
      </c>
      <c r="E253" s="18" t="s">
        <v>128</v>
      </c>
      <c r="F253" s="18" t="str">
        <f>IF(OR(D253&gt;Answers!L268,D253&lt;Answers!L269),"Outlier","Normal")</f>
        <v>Outlier</v>
      </c>
      <c r="G253" s="19" t="str">
        <f t="shared" si="3"/>
        <v>40-50</v>
      </c>
    </row>
    <row r="254" spans="1:7" ht="20" customHeight="1" x14ac:dyDescent="0.35">
      <c r="A254" s="17">
        <v>253</v>
      </c>
      <c r="B254" s="23" t="s">
        <v>100</v>
      </c>
      <c r="C254" s="18" t="s">
        <v>126</v>
      </c>
      <c r="D254" s="18">
        <v>67</v>
      </c>
      <c r="E254" s="18" t="s">
        <v>128</v>
      </c>
      <c r="F254" s="18" t="str">
        <f>IF(OR(D254&gt;Answers!L269,D254&lt;Answers!L270),"Outlier","Normal")</f>
        <v>Outlier</v>
      </c>
      <c r="G254" s="19" t="str">
        <f t="shared" si="3"/>
        <v>40-50</v>
      </c>
    </row>
    <row r="255" spans="1:7" ht="20" customHeight="1" x14ac:dyDescent="0.35">
      <c r="A255" s="17">
        <v>254</v>
      </c>
      <c r="B255" s="23" t="s">
        <v>100</v>
      </c>
      <c r="C255" s="18" t="s">
        <v>126</v>
      </c>
      <c r="D255" s="18">
        <v>88</v>
      </c>
      <c r="E255" s="18" t="s">
        <v>128</v>
      </c>
      <c r="F255" s="18" t="str">
        <f>IF(OR(D255&gt;Answers!L270,D255&lt;Answers!L271),"Outlier","Normal")</f>
        <v>Outlier</v>
      </c>
      <c r="G255" s="19" t="str">
        <f t="shared" si="3"/>
        <v>40-50</v>
      </c>
    </row>
    <row r="256" spans="1:7" ht="20" customHeight="1" x14ac:dyDescent="0.35">
      <c r="A256" s="17">
        <v>255</v>
      </c>
      <c r="B256" s="23" t="s">
        <v>107</v>
      </c>
      <c r="C256" s="18" t="s">
        <v>125</v>
      </c>
      <c r="D256" s="18">
        <v>62</v>
      </c>
      <c r="E256" s="18" t="s">
        <v>128</v>
      </c>
      <c r="F256" s="18" t="str">
        <f>IF(OR(D256&gt;Answers!L271,D256&lt;Answers!L272),"Outlier","Normal")</f>
        <v>Outlier</v>
      </c>
      <c r="G256" s="19" t="str">
        <f t="shared" si="3"/>
        <v>40-50</v>
      </c>
    </row>
    <row r="257" spans="1:7" ht="20" customHeight="1" x14ac:dyDescent="0.35">
      <c r="A257" s="17">
        <v>256</v>
      </c>
      <c r="B257" s="23" t="s">
        <v>101</v>
      </c>
      <c r="C257" s="18" t="s">
        <v>125</v>
      </c>
      <c r="D257" s="18">
        <v>72</v>
      </c>
      <c r="E257" s="18" t="s">
        <v>128</v>
      </c>
      <c r="F257" s="18" t="str">
        <f>IF(OR(D257&gt;Answers!L272,D257&lt;Answers!L273),"Outlier","Normal")</f>
        <v>Outlier</v>
      </c>
      <c r="G257" s="19" t="str">
        <f t="shared" si="3"/>
        <v>40-50</v>
      </c>
    </row>
    <row r="258" spans="1:7" ht="20" customHeight="1" x14ac:dyDescent="0.35">
      <c r="A258" s="17">
        <v>257</v>
      </c>
      <c r="B258" s="23" t="s">
        <v>99</v>
      </c>
      <c r="C258" s="18" t="s">
        <v>125</v>
      </c>
      <c r="D258" s="18">
        <v>32</v>
      </c>
      <c r="E258" s="18" t="s">
        <v>128</v>
      </c>
      <c r="F258" s="18" t="str">
        <f>IF(OR(D258&gt;Answers!L273,D258&lt;Answers!L274),"Outlier","Normal")</f>
        <v>Outlier</v>
      </c>
      <c r="G258" s="19" t="str">
        <f t="shared" si="3"/>
        <v>30-40</v>
      </c>
    </row>
    <row r="259" spans="1:7" ht="20" customHeight="1" x14ac:dyDescent="0.35">
      <c r="A259" s="17">
        <v>258</v>
      </c>
      <c r="B259" s="23" t="s">
        <v>113</v>
      </c>
      <c r="C259" s="18" t="s">
        <v>126</v>
      </c>
      <c r="D259" s="18">
        <v>40</v>
      </c>
      <c r="E259" s="18" t="s">
        <v>128</v>
      </c>
      <c r="F259" s="18" t="str">
        <f>IF(OR(D259&gt;Answers!L274,D259&lt;Answers!L275),"Outlier","Normal")</f>
        <v>Outlier</v>
      </c>
      <c r="G259" s="19" t="str">
        <f t="shared" ref="G259:G322" si="4">IF(D259&lt;20,"&lt;20",
IF(D259&lt;=30,"20-30",
IF(D259&lt;=40,"30-40","40-50")))</f>
        <v>30-40</v>
      </c>
    </row>
    <row r="260" spans="1:7" ht="20" customHeight="1" x14ac:dyDescent="0.35">
      <c r="A260" s="17">
        <v>259</v>
      </c>
      <c r="B260" s="23" t="s">
        <v>113</v>
      </c>
      <c r="C260" s="18" t="s">
        <v>125</v>
      </c>
      <c r="D260" s="18">
        <v>58</v>
      </c>
      <c r="E260" s="18" t="s">
        <v>128</v>
      </c>
      <c r="F260" s="18" t="str">
        <f>IF(OR(D260&gt;Answers!L275,D260&lt;Answers!L276),"Outlier","Normal")</f>
        <v>Outlier</v>
      </c>
      <c r="G260" s="19" t="str">
        <f t="shared" si="4"/>
        <v>40-50</v>
      </c>
    </row>
    <row r="261" spans="1:7" ht="20" customHeight="1" x14ac:dyDescent="0.35">
      <c r="A261" s="17">
        <v>260</v>
      </c>
      <c r="B261" s="23" t="s">
        <v>99</v>
      </c>
      <c r="C261" s="18" t="s">
        <v>126</v>
      </c>
      <c r="D261" s="18">
        <v>88</v>
      </c>
      <c r="E261" s="18" t="s">
        <v>128</v>
      </c>
      <c r="F261" s="18" t="str">
        <f>IF(OR(D261&gt;Answers!L276,D261&lt;Answers!L277),"Outlier","Normal")</f>
        <v>Outlier</v>
      </c>
      <c r="G261" s="19" t="str">
        <f t="shared" si="4"/>
        <v>40-50</v>
      </c>
    </row>
    <row r="262" spans="1:7" ht="20" customHeight="1" x14ac:dyDescent="0.35">
      <c r="A262" s="17">
        <v>261</v>
      </c>
      <c r="B262" s="23" t="s">
        <v>100</v>
      </c>
      <c r="C262" s="18" t="s">
        <v>125</v>
      </c>
      <c r="D262" s="18">
        <v>21</v>
      </c>
      <c r="E262" s="18" t="s">
        <v>128</v>
      </c>
      <c r="F262" s="18" t="str">
        <f>IF(OR(D262&gt;Answers!L277,D262&lt;Answers!L278),"Outlier","Normal")</f>
        <v>Outlier</v>
      </c>
      <c r="G262" s="19" t="str">
        <f t="shared" si="4"/>
        <v>20-30</v>
      </c>
    </row>
    <row r="263" spans="1:7" ht="20" customHeight="1" x14ac:dyDescent="0.35">
      <c r="A263" s="17">
        <v>262</v>
      </c>
      <c r="B263" s="23" t="s">
        <v>102</v>
      </c>
      <c r="C263" s="18" t="s">
        <v>125</v>
      </c>
      <c r="D263" s="18">
        <v>78</v>
      </c>
      <c r="E263" s="18" t="s">
        <v>128</v>
      </c>
      <c r="F263" s="18" t="str">
        <f>IF(OR(D263&gt;Answers!L278,D263&lt;Answers!L279),"Outlier","Normal")</f>
        <v>Outlier</v>
      </c>
      <c r="G263" s="19" t="str">
        <f t="shared" si="4"/>
        <v>40-50</v>
      </c>
    </row>
    <row r="264" spans="1:7" ht="20" customHeight="1" x14ac:dyDescent="0.35">
      <c r="A264" s="17">
        <v>263</v>
      </c>
      <c r="B264" s="23" t="s">
        <v>99</v>
      </c>
      <c r="C264" s="18" t="s">
        <v>126</v>
      </c>
      <c r="D264" s="18">
        <v>76</v>
      </c>
      <c r="E264" s="18" t="s">
        <v>128</v>
      </c>
      <c r="F264" s="18" t="str">
        <f>IF(OR(D264&gt;Answers!L279,D264&lt;Answers!L280),"Outlier","Normal")</f>
        <v>Outlier</v>
      </c>
      <c r="G264" s="19" t="str">
        <f t="shared" si="4"/>
        <v>40-50</v>
      </c>
    </row>
    <row r="265" spans="1:7" ht="20" customHeight="1" x14ac:dyDescent="0.35">
      <c r="A265" s="17">
        <v>264</v>
      </c>
      <c r="B265" s="23" t="s">
        <v>99</v>
      </c>
      <c r="C265" s="18" t="s">
        <v>125</v>
      </c>
      <c r="D265" s="18">
        <v>46</v>
      </c>
      <c r="E265" s="18" t="s">
        <v>128</v>
      </c>
      <c r="F265" s="18" t="str">
        <f>IF(OR(D265&gt;Answers!L280,D265&lt;Answers!L281),"Outlier","Normal")</f>
        <v>Outlier</v>
      </c>
      <c r="G265" s="19" t="str">
        <f t="shared" si="4"/>
        <v>40-50</v>
      </c>
    </row>
    <row r="266" spans="1:7" ht="20" customHeight="1" x14ac:dyDescent="0.35">
      <c r="A266" s="17">
        <v>265</v>
      </c>
      <c r="B266" s="23" t="s">
        <v>101</v>
      </c>
      <c r="C266" s="18" t="s">
        <v>125</v>
      </c>
      <c r="D266" s="18">
        <v>66</v>
      </c>
      <c r="E266" s="18" t="s">
        <v>128</v>
      </c>
      <c r="F266" s="18" t="str">
        <f>IF(OR(D266&gt;Answers!L281,D266&lt;Answers!L282),"Outlier","Normal")</f>
        <v>Outlier</v>
      </c>
      <c r="G266" s="19" t="str">
        <f t="shared" si="4"/>
        <v>40-50</v>
      </c>
    </row>
    <row r="267" spans="1:7" ht="20" customHeight="1" x14ac:dyDescent="0.35">
      <c r="A267" s="17">
        <v>266</v>
      </c>
      <c r="B267" s="23" t="s">
        <v>99</v>
      </c>
      <c r="C267" s="18" t="s">
        <v>126</v>
      </c>
      <c r="D267" s="18">
        <v>37</v>
      </c>
      <c r="E267" s="18" t="s">
        <v>128</v>
      </c>
      <c r="F267" s="18" t="str">
        <f>IF(OR(D267&gt;Answers!L282,D267&lt;Answers!L283),"Outlier","Normal")</f>
        <v>Outlier</v>
      </c>
      <c r="G267" s="19" t="str">
        <f t="shared" si="4"/>
        <v>30-40</v>
      </c>
    </row>
    <row r="268" spans="1:7" ht="20" customHeight="1" x14ac:dyDescent="0.35">
      <c r="A268" s="17">
        <v>267</v>
      </c>
      <c r="B268" s="23" t="s">
        <v>99</v>
      </c>
      <c r="C268" s="18" t="s">
        <v>126</v>
      </c>
      <c r="D268" s="18">
        <v>31</v>
      </c>
      <c r="E268" s="18" t="s">
        <v>128</v>
      </c>
      <c r="F268" s="18" t="str">
        <f>IF(OR(D268&gt;Answers!L283,D268&lt;Answers!L284),"Outlier","Normal")</f>
        <v>Outlier</v>
      </c>
      <c r="G268" s="19" t="str">
        <f t="shared" si="4"/>
        <v>30-40</v>
      </c>
    </row>
    <row r="269" spans="1:7" ht="20" customHeight="1" x14ac:dyDescent="0.35">
      <c r="A269" s="17">
        <v>268</v>
      </c>
      <c r="B269" s="23" t="s">
        <v>113</v>
      </c>
      <c r="C269" s="18" t="s">
        <v>125</v>
      </c>
      <c r="D269" s="18">
        <v>47</v>
      </c>
      <c r="E269" s="18" t="s">
        <v>128</v>
      </c>
      <c r="F269" s="18" t="str">
        <f>IF(OR(D269&gt;Answers!L284,D269&lt;Answers!L285),"Outlier","Normal")</f>
        <v>Outlier</v>
      </c>
      <c r="G269" s="19" t="str">
        <f t="shared" si="4"/>
        <v>40-50</v>
      </c>
    </row>
    <row r="270" spans="1:7" ht="20" customHeight="1" x14ac:dyDescent="0.35">
      <c r="A270" s="17">
        <v>269</v>
      </c>
      <c r="B270" s="23" t="s">
        <v>99</v>
      </c>
      <c r="C270" s="18" t="s">
        <v>126</v>
      </c>
      <c r="D270" s="18">
        <v>86</v>
      </c>
      <c r="E270" s="18" t="s">
        <v>128</v>
      </c>
      <c r="F270" s="18" t="str">
        <f>IF(OR(D270&gt;Answers!L285,D270&lt;Answers!L286),"Outlier","Normal")</f>
        <v>Outlier</v>
      </c>
      <c r="G270" s="19" t="str">
        <f t="shared" si="4"/>
        <v>40-50</v>
      </c>
    </row>
    <row r="271" spans="1:7" ht="20" customHeight="1" x14ac:dyDescent="0.35">
      <c r="A271" s="17">
        <v>270</v>
      </c>
      <c r="B271" s="23" t="s">
        <v>101</v>
      </c>
      <c r="C271" s="18" t="s">
        <v>126</v>
      </c>
      <c r="D271" s="18">
        <v>74</v>
      </c>
      <c r="E271" s="18" t="s">
        <v>128</v>
      </c>
      <c r="F271" s="18" t="str">
        <f>IF(OR(D271&gt;Answers!L286,D271&lt;Answers!L287),"Outlier","Normal")</f>
        <v>Outlier</v>
      </c>
      <c r="G271" s="19" t="str">
        <f t="shared" si="4"/>
        <v>40-50</v>
      </c>
    </row>
    <row r="272" spans="1:7" ht="20" customHeight="1" x14ac:dyDescent="0.35">
      <c r="A272" s="17">
        <v>271</v>
      </c>
      <c r="B272" s="23" t="s">
        <v>99</v>
      </c>
      <c r="C272" s="18" t="s">
        <v>125</v>
      </c>
      <c r="D272" s="18">
        <v>68</v>
      </c>
      <c r="E272" s="18" t="s">
        <v>128</v>
      </c>
      <c r="F272" s="18" t="str">
        <f>IF(OR(D272&gt;Answers!L287,D272&lt;Answers!L288),"Outlier","Normal")</f>
        <v>Outlier</v>
      </c>
      <c r="G272" s="19" t="str">
        <f t="shared" si="4"/>
        <v>40-50</v>
      </c>
    </row>
    <row r="273" spans="1:7" ht="20" customHeight="1" x14ac:dyDescent="0.35">
      <c r="A273" s="17">
        <v>272</v>
      </c>
      <c r="B273" s="23" t="s">
        <v>100</v>
      </c>
      <c r="C273" s="18" t="s">
        <v>125</v>
      </c>
      <c r="D273" s="18">
        <v>43</v>
      </c>
      <c r="E273" s="18" t="s">
        <v>128</v>
      </c>
      <c r="F273" s="18" t="str">
        <f>IF(OR(D273&gt;Answers!L288,D273&lt;Answers!L289),"Outlier","Normal")</f>
        <v>Outlier</v>
      </c>
      <c r="G273" s="19" t="str">
        <f t="shared" si="4"/>
        <v>40-50</v>
      </c>
    </row>
    <row r="274" spans="1:7" ht="20" customHeight="1" x14ac:dyDescent="0.35">
      <c r="A274" s="17">
        <v>273</v>
      </c>
      <c r="B274" s="23" t="s">
        <v>99</v>
      </c>
      <c r="C274" s="18" t="s">
        <v>125</v>
      </c>
      <c r="D274" s="18">
        <v>34</v>
      </c>
      <c r="E274" s="18" t="s">
        <v>128</v>
      </c>
      <c r="F274" s="18" t="str">
        <f>IF(OR(D274&gt;Answers!L289,D274&lt;Answers!L290),"Outlier","Normal")</f>
        <v>Outlier</v>
      </c>
      <c r="G274" s="19" t="str">
        <f t="shared" si="4"/>
        <v>30-40</v>
      </c>
    </row>
    <row r="275" spans="1:7" ht="20" customHeight="1" x14ac:dyDescent="0.35">
      <c r="A275" s="17">
        <v>274</v>
      </c>
      <c r="B275" s="23" t="s">
        <v>99</v>
      </c>
      <c r="C275" s="18" t="s">
        <v>125</v>
      </c>
      <c r="D275" s="18">
        <v>44</v>
      </c>
      <c r="E275" s="18" t="s">
        <v>128</v>
      </c>
      <c r="F275" s="18" t="str">
        <f>IF(OR(D275&gt;Answers!L290,D275&lt;Answers!L291),"Outlier","Normal")</f>
        <v>Outlier</v>
      </c>
      <c r="G275" s="19" t="str">
        <f t="shared" si="4"/>
        <v>40-50</v>
      </c>
    </row>
    <row r="276" spans="1:7" ht="20" customHeight="1" x14ac:dyDescent="0.35">
      <c r="A276" s="17">
        <v>275</v>
      </c>
      <c r="B276" s="23" t="s">
        <v>107</v>
      </c>
      <c r="C276" s="18" t="s">
        <v>126</v>
      </c>
      <c r="D276" s="18">
        <v>42</v>
      </c>
      <c r="E276" s="18" t="s">
        <v>128</v>
      </c>
      <c r="F276" s="18" t="str">
        <f>IF(OR(D276&gt;Answers!L291,D276&lt;Answers!L292),"Outlier","Normal")</f>
        <v>Outlier</v>
      </c>
      <c r="G276" s="19" t="str">
        <f t="shared" si="4"/>
        <v>40-50</v>
      </c>
    </row>
    <row r="277" spans="1:7" ht="20" customHeight="1" x14ac:dyDescent="0.35">
      <c r="A277" s="17">
        <v>276</v>
      </c>
      <c r="B277" s="23" t="s">
        <v>113</v>
      </c>
      <c r="C277" s="18" t="s">
        <v>126</v>
      </c>
      <c r="D277" s="18">
        <v>59</v>
      </c>
      <c r="E277" s="18" t="s">
        <v>128</v>
      </c>
      <c r="F277" s="18" t="str">
        <f>IF(OR(D277&gt;Answers!L292,D277&lt;Answers!L293),"Outlier","Normal")</f>
        <v>Outlier</v>
      </c>
      <c r="G277" s="19" t="str">
        <f t="shared" si="4"/>
        <v>40-50</v>
      </c>
    </row>
    <row r="278" spans="1:7" ht="20" customHeight="1" x14ac:dyDescent="0.35">
      <c r="A278" s="17">
        <v>277</v>
      </c>
      <c r="B278" s="23" t="s">
        <v>99</v>
      </c>
      <c r="C278" s="18" t="s">
        <v>126</v>
      </c>
      <c r="D278" s="18">
        <v>85</v>
      </c>
      <c r="E278" s="18" t="s">
        <v>128</v>
      </c>
      <c r="F278" s="18" t="str">
        <f>IF(OR(D278&gt;Answers!L293,D278&lt;Answers!L294),"Outlier","Normal")</f>
        <v>Outlier</v>
      </c>
      <c r="G278" s="19" t="str">
        <f t="shared" si="4"/>
        <v>40-50</v>
      </c>
    </row>
    <row r="279" spans="1:7" ht="20" customHeight="1" x14ac:dyDescent="0.35">
      <c r="A279" s="17">
        <v>278</v>
      </c>
      <c r="B279" s="23" t="s">
        <v>99</v>
      </c>
      <c r="C279" s="18" t="s">
        <v>126</v>
      </c>
      <c r="D279" s="18">
        <v>26</v>
      </c>
      <c r="E279" s="18" t="s">
        <v>128</v>
      </c>
      <c r="F279" s="18" t="str">
        <f>IF(OR(D279&gt;Answers!L294,D279&lt;Answers!L295),"Outlier","Normal")</f>
        <v>Outlier</v>
      </c>
      <c r="G279" s="19" t="str">
        <f t="shared" si="4"/>
        <v>20-30</v>
      </c>
    </row>
    <row r="280" spans="1:7" ht="20" customHeight="1" x14ac:dyDescent="0.35">
      <c r="A280" s="17">
        <v>279</v>
      </c>
      <c r="B280" s="23" t="s">
        <v>113</v>
      </c>
      <c r="C280" s="18" t="s">
        <v>125</v>
      </c>
      <c r="D280" s="18">
        <v>80</v>
      </c>
      <c r="E280" s="18" t="s">
        <v>128</v>
      </c>
      <c r="F280" s="18" t="str">
        <f>IF(OR(D280&gt;Answers!L295,D280&lt;Answers!L296),"Outlier","Normal")</f>
        <v>Outlier</v>
      </c>
      <c r="G280" s="19" t="str">
        <f t="shared" si="4"/>
        <v>40-50</v>
      </c>
    </row>
    <row r="281" spans="1:7" ht="20" customHeight="1" x14ac:dyDescent="0.35">
      <c r="A281" s="17">
        <v>280</v>
      </c>
      <c r="B281" s="23" t="s">
        <v>99</v>
      </c>
      <c r="C281" s="18" t="s">
        <v>125</v>
      </c>
      <c r="D281" s="18">
        <v>51</v>
      </c>
      <c r="E281" s="18" t="s">
        <v>128</v>
      </c>
      <c r="F281" s="18" t="str">
        <f>IF(OR(D281&gt;Answers!L296,D281&lt;Answers!L297),"Outlier","Normal")</f>
        <v>Outlier</v>
      </c>
      <c r="G281" s="19" t="str">
        <f t="shared" si="4"/>
        <v>40-50</v>
      </c>
    </row>
    <row r="282" spans="1:7" ht="20" customHeight="1" x14ac:dyDescent="0.35">
      <c r="A282" s="17">
        <v>281</v>
      </c>
      <c r="B282" s="23" t="s">
        <v>99</v>
      </c>
      <c r="C282" s="18" t="s">
        <v>125</v>
      </c>
      <c r="D282" s="18">
        <v>75</v>
      </c>
      <c r="E282" s="18" t="s">
        <v>128</v>
      </c>
      <c r="F282" s="18" t="str">
        <f>IF(OR(D282&gt;Answers!L297,D282&lt;Answers!L298),"Outlier","Normal")</f>
        <v>Outlier</v>
      </c>
      <c r="G282" s="19" t="str">
        <f t="shared" si="4"/>
        <v>40-50</v>
      </c>
    </row>
    <row r="283" spans="1:7" ht="20" customHeight="1" x14ac:dyDescent="0.35">
      <c r="A283" s="17">
        <v>282</v>
      </c>
      <c r="B283" s="23" t="s">
        <v>99</v>
      </c>
      <c r="C283" s="18" t="s">
        <v>126</v>
      </c>
      <c r="D283" s="18">
        <v>43</v>
      </c>
      <c r="E283" s="18" t="s">
        <v>128</v>
      </c>
      <c r="F283" s="18" t="str">
        <f>IF(OR(D283&gt;Answers!L298,D283&lt;Answers!L299),"Outlier","Normal")</f>
        <v>Outlier</v>
      </c>
      <c r="G283" s="19" t="str">
        <f t="shared" si="4"/>
        <v>40-50</v>
      </c>
    </row>
    <row r="284" spans="1:7" ht="20" customHeight="1" x14ac:dyDescent="0.35">
      <c r="A284" s="17">
        <v>283</v>
      </c>
      <c r="B284" s="23" t="s">
        <v>99</v>
      </c>
      <c r="C284" s="18" t="s">
        <v>125</v>
      </c>
      <c r="D284" s="18">
        <v>18</v>
      </c>
      <c r="E284" s="18" t="s">
        <v>128</v>
      </c>
      <c r="F284" s="18" t="str">
        <f>IF(OR(D284&gt;Answers!L299,D284&lt;Answers!L300),"Outlier","Normal")</f>
        <v>Outlier</v>
      </c>
      <c r="G284" s="19" t="str">
        <f t="shared" si="4"/>
        <v>&lt;20</v>
      </c>
    </row>
    <row r="285" spans="1:7" ht="20" customHeight="1" x14ac:dyDescent="0.35">
      <c r="A285" s="17">
        <v>284</v>
      </c>
      <c r="B285" s="23" t="s">
        <v>99</v>
      </c>
      <c r="C285" s="18" t="s">
        <v>125</v>
      </c>
      <c r="D285" s="18">
        <v>82</v>
      </c>
      <c r="E285" s="18" t="s">
        <v>128</v>
      </c>
      <c r="F285" s="18" t="str">
        <f>IF(OR(D285&gt;Answers!L300,D285&lt;Answers!L301),"Outlier","Normal")</f>
        <v>Outlier</v>
      </c>
      <c r="G285" s="19" t="str">
        <f t="shared" si="4"/>
        <v>40-50</v>
      </c>
    </row>
    <row r="286" spans="1:7" ht="20" customHeight="1" x14ac:dyDescent="0.35">
      <c r="A286" s="17">
        <v>285</v>
      </c>
      <c r="B286" s="23" t="s">
        <v>101</v>
      </c>
      <c r="C286" s="18" t="s">
        <v>125</v>
      </c>
      <c r="D286" s="18">
        <v>36</v>
      </c>
      <c r="E286" s="18" t="s">
        <v>128</v>
      </c>
      <c r="F286" s="18" t="str">
        <f>IF(OR(D286&gt;Answers!L301,D286&lt;Answers!L302),"Outlier","Normal")</f>
        <v>Outlier</v>
      </c>
      <c r="G286" s="19" t="str">
        <f t="shared" si="4"/>
        <v>30-40</v>
      </c>
    </row>
    <row r="287" spans="1:7" ht="20" customHeight="1" x14ac:dyDescent="0.35">
      <c r="A287" s="17">
        <v>286</v>
      </c>
      <c r="B287" s="23" t="s">
        <v>99</v>
      </c>
      <c r="C287" s="18" t="s">
        <v>125</v>
      </c>
      <c r="D287" s="18">
        <v>79</v>
      </c>
      <c r="E287" s="18" t="s">
        <v>128</v>
      </c>
      <c r="F287" s="18" t="str">
        <f>IF(OR(D287&gt;Answers!L302,D287&lt;Answers!L303),"Outlier","Normal")</f>
        <v>Outlier</v>
      </c>
      <c r="G287" s="19" t="str">
        <f t="shared" si="4"/>
        <v>40-50</v>
      </c>
    </row>
    <row r="288" spans="1:7" ht="20" customHeight="1" x14ac:dyDescent="0.35">
      <c r="A288" s="17">
        <v>287</v>
      </c>
      <c r="B288" s="23" t="s">
        <v>106</v>
      </c>
      <c r="C288" s="18" t="s">
        <v>125</v>
      </c>
      <c r="D288" s="18">
        <v>86</v>
      </c>
      <c r="E288" s="18" t="s">
        <v>128</v>
      </c>
      <c r="F288" s="18" t="str">
        <f>IF(OR(D288&gt;Answers!L303,D288&lt;Answers!L304),"Outlier","Normal")</f>
        <v>Outlier</v>
      </c>
      <c r="G288" s="19" t="str">
        <f t="shared" si="4"/>
        <v>40-50</v>
      </c>
    </row>
    <row r="289" spans="1:7" ht="20" customHeight="1" x14ac:dyDescent="0.35">
      <c r="A289" s="17">
        <v>288</v>
      </c>
      <c r="B289" s="23" t="s">
        <v>99</v>
      </c>
      <c r="C289" s="18" t="s">
        <v>125</v>
      </c>
      <c r="D289" s="18">
        <v>38</v>
      </c>
      <c r="E289" s="18" t="s">
        <v>128</v>
      </c>
      <c r="F289" s="18" t="str">
        <f>IF(OR(D289&gt;Answers!L304,D289&lt;Answers!L305),"Outlier","Normal")</f>
        <v>Outlier</v>
      </c>
      <c r="G289" s="19" t="str">
        <f t="shared" si="4"/>
        <v>30-40</v>
      </c>
    </row>
    <row r="290" spans="1:7" ht="20" customHeight="1" x14ac:dyDescent="0.35">
      <c r="A290" s="17">
        <v>289</v>
      </c>
      <c r="B290" s="23" t="s">
        <v>100</v>
      </c>
      <c r="C290" s="18" t="s">
        <v>125</v>
      </c>
      <c r="D290" s="18">
        <v>82</v>
      </c>
      <c r="E290" s="18" t="s">
        <v>128</v>
      </c>
      <c r="F290" s="18" t="str">
        <f>IF(OR(D290&gt;Answers!L305,D290&lt;Answers!L306),"Outlier","Normal")</f>
        <v>Outlier</v>
      </c>
      <c r="G290" s="19" t="str">
        <f t="shared" si="4"/>
        <v>40-50</v>
      </c>
    </row>
    <row r="291" spans="1:7" ht="20" customHeight="1" x14ac:dyDescent="0.35">
      <c r="A291" s="17">
        <v>290</v>
      </c>
      <c r="B291" s="23" t="s">
        <v>105</v>
      </c>
      <c r="C291" s="18" t="s">
        <v>126</v>
      </c>
      <c r="D291" s="18">
        <v>71</v>
      </c>
      <c r="E291" s="18" t="s">
        <v>128</v>
      </c>
      <c r="F291" s="18" t="str">
        <f>IF(OR(D291&gt;Answers!L306,D291&lt;Answers!L307),"Outlier","Normal")</f>
        <v>Outlier</v>
      </c>
      <c r="G291" s="19" t="str">
        <f t="shared" si="4"/>
        <v>40-50</v>
      </c>
    </row>
    <row r="292" spans="1:7" ht="20" customHeight="1" x14ac:dyDescent="0.35">
      <c r="A292" s="17">
        <v>291</v>
      </c>
      <c r="B292" s="23" t="s">
        <v>113</v>
      </c>
      <c r="C292" s="18" t="s">
        <v>126</v>
      </c>
      <c r="D292" s="18">
        <v>44</v>
      </c>
      <c r="E292" s="18" t="s">
        <v>128</v>
      </c>
      <c r="F292" s="18" t="str">
        <f>IF(OR(D292&gt;Answers!L307,D292&lt;Answers!L308),"Outlier","Normal")</f>
        <v>Outlier</v>
      </c>
      <c r="G292" s="19" t="str">
        <f t="shared" si="4"/>
        <v>40-50</v>
      </c>
    </row>
    <row r="293" spans="1:7" ht="20" customHeight="1" x14ac:dyDescent="0.35">
      <c r="A293" s="17">
        <v>292</v>
      </c>
      <c r="B293" s="23" t="s">
        <v>113</v>
      </c>
      <c r="C293" s="18" t="s">
        <v>125</v>
      </c>
      <c r="D293" s="18">
        <v>66</v>
      </c>
      <c r="E293" s="18" t="s">
        <v>128</v>
      </c>
      <c r="F293" s="18" t="str">
        <f>IF(OR(D293&gt;Answers!L308,D293&lt;Answers!L309),"Outlier","Normal")</f>
        <v>Outlier</v>
      </c>
      <c r="G293" s="19" t="str">
        <f t="shared" si="4"/>
        <v>40-50</v>
      </c>
    </row>
    <row r="294" spans="1:7" ht="20" customHeight="1" x14ac:dyDescent="0.35">
      <c r="A294" s="17">
        <v>293</v>
      </c>
      <c r="B294" s="23" t="s">
        <v>113</v>
      </c>
      <c r="C294" s="18" t="s">
        <v>126</v>
      </c>
      <c r="D294" s="18">
        <v>76</v>
      </c>
      <c r="E294" s="18" t="s">
        <v>128</v>
      </c>
      <c r="F294" s="18" t="str">
        <f>IF(OR(D294&gt;Answers!L309,D294&lt;Answers!L310),"Outlier","Normal")</f>
        <v>Outlier</v>
      </c>
      <c r="G294" s="19" t="str">
        <f t="shared" si="4"/>
        <v>40-50</v>
      </c>
    </row>
    <row r="295" spans="1:7" ht="20" customHeight="1" x14ac:dyDescent="0.35">
      <c r="A295" s="17">
        <v>294</v>
      </c>
      <c r="B295" s="23" t="s">
        <v>100</v>
      </c>
      <c r="C295" s="18" t="s">
        <v>126</v>
      </c>
      <c r="D295" s="18">
        <v>30</v>
      </c>
      <c r="E295" s="18" t="s">
        <v>128</v>
      </c>
      <c r="F295" s="18" t="str">
        <f>IF(OR(D295&gt;Answers!L310,D295&lt;Answers!L311),"Outlier","Normal")</f>
        <v>Outlier</v>
      </c>
      <c r="G295" s="19" t="str">
        <f t="shared" si="4"/>
        <v>20-30</v>
      </c>
    </row>
    <row r="296" spans="1:7" ht="20" customHeight="1" x14ac:dyDescent="0.35">
      <c r="A296" s="17">
        <v>295</v>
      </c>
      <c r="B296" s="23" t="s">
        <v>113</v>
      </c>
      <c r="C296" s="18" t="s">
        <v>126</v>
      </c>
      <c r="D296" s="18">
        <v>44</v>
      </c>
      <c r="E296" s="18" t="s">
        <v>128</v>
      </c>
      <c r="F296" s="18" t="str">
        <f>IF(OR(D296&gt;Answers!L311,D296&lt;Answers!L312),"Outlier","Normal")</f>
        <v>Outlier</v>
      </c>
      <c r="G296" s="19" t="str">
        <f t="shared" si="4"/>
        <v>40-50</v>
      </c>
    </row>
    <row r="297" spans="1:7" ht="20" customHeight="1" x14ac:dyDescent="0.35">
      <c r="A297" s="17">
        <v>296</v>
      </c>
      <c r="B297" s="23" t="s">
        <v>108</v>
      </c>
      <c r="C297" s="18" t="s">
        <v>126</v>
      </c>
      <c r="D297" s="18">
        <v>70</v>
      </c>
      <c r="E297" s="18" t="s">
        <v>128</v>
      </c>
      <c r="F297" s="18" t="str">
        <f>IF(OR(D297&gt;Answers!L312,D297&lt;Answers!L313),"Outlier","Normal")</f>
        <v>Outlier</v>
      </c>
      <c r="G297" s="19" t="str">
        <f t="shared" si="4"/>
        <v>40-50</v>
      </c>
    </row>
    <row r="298" spans="1:7" ht="20" customHeight="1" x14ac:dyDescent="0.35">
      <c r="A298" s="17">
        <v>297</v>
      </c>
      <c r="B298" s="23" t="s">
        <v>113</v>
      </c>
      <c r="C298" s="18" t="s">
        <v>125</v>
      </c>
      <c r="D298" s="18">
        <v>25</v>
      </c>
      <c r="E298" s="18" t="s">
        <v>128</v>
      </c>
      <c r="F298" s="18" t="str">
        <f>IF(OR(D298&gt;Answers!L313,D298&lt;Answers!L314),"Outlier","Normal")</f>
        <v>Outlier</v>
      </c>
      <c r="G298" s="19" t="str">
        <f t="shared" si="4"/>
        <v>20-30</v>
      </c>
    </row>
    <row r="299" spans="1:7" ht="20" customHeight="1" x14ac:dyDescent="0.35">
      <c r="A299" s="17">
        <v>298</v>
      </c>
      <c r="B299" s="23" t="s">
        <v>105</v>
      </c>
      <c r="C299" s="18" t="s">
        <v>125</v>
      </c>
      <c r="D299" s="18">
        <v>34</v>
      </c>
      <c r="E299" s="18" t="s">
        <v>128</v>
      </c>
      <c r="F299" s="18" t="str">
        <f>IF(OR(D299&gt;Answers!L314,D299&lt;Answers!L315),"Outlier","Normal")</f>
        <v>Outlier</v>
      </c>
      <c r="G299" s="19" t="str">
        <f t="shared" si="4"/>
        <v>30-40</v>
      </c>
    </row>
    <row r="300" spans="1:7" ht="20" customHeight="1" x14ac:dyDescent="0.35">
      <c r="A300" s="17">
        <v>299</v>
      </c>
      <c r="B300" s="23" t="s">
        <v>113</v>
      </c>
      <c r="C300" s="18" t="s">
        <v>125</v>
      </c>
      <c r="D300" s="18">
        <v>58</v>
      </c>
      <c r="E300" s="18" t="s">
        <v>128</v>
      </c>
      <c r="F300" s="18" t="str">
        <f>IF(OR(D300&gt;Answers!L315,D300&lt;Answers!L316),"Outlier","Normal")</f>
        <v>Outlier</v>
      </c>
      <c r="G300" s="19" t="str">
        <f t="shared" si="4"/>
        <v>40-50</v>
      </c>
    </row>
    <row r="301" spans="1:7" ht="20" customHeight="1" x14ac:dyDescent="0.35">
      <c r="A301" s="17">
        <v>300</v>
      </c>
      <c r="B301" s="23" t="s">
        <v>113</v>
      </c>
      <c r="C301" s="18" t="s">
        <v>126</v>
      </c>
      <c r="D301" s="18">
        <v>66</v>
      </c>
      <c r="E301" s="18" t="s">
        <v>128</v>
      </c>
      <c r="F301" s="18" t="str">
        <f>IF(OR(D301&gt;Answers!L316,D301&lt;Answers!L317),"Outlier","Normal")</f>
        <v>Outlier</v>
      </c>
      <c r="G301" s="19" t="str">
        <f t="shared" si="4"/>
        <v>40-50</v>
      </c>
    </row>
    <row r="302" spans="1:7" ht="20" customHeight="1" x14ac:dyDescent="0.35">
      <c r="A302" s="17">
        <v>301</v>
      </c>
      <c r="B302" s="23" t="s">
        <v>113</v>
      </c>
      <c r="C302" s="18" t="s">
        <v>125</v>
      </c>
      <c r="D302" s="18">
        <v>46</v>
      </c>
      <c r="E302" s="18" t="s">
        <v>128</v>
      </c>
      <c r="F302" s="18" t="str">
        <f>IF(OR(D302&gt;Answers!L317,D302&lt;Answers!L318),"Outlier","Normal")</f>
        <v>Outlier</v>
      </c>
      <c r="G302" s="19" t="str">
        <f t="shared" si="4"/>
        <v>40-50</v>
      </c>
    </row>
    <row r="303" spans="1:7" ht="20" customHeight="1" x14ac:dyDescent="0.35">
      <c r="A303" s="17">
        <v>302</v>
      </c>
      <c r="B303" s="23" t="s">
        <v>109</v>
      </c>
      <c r="C303" s="18" t="s">
        <v>126</v>
      </c>
      <c r="D303" s="18">
        <v>29</v>
      </c>
      <c r="E303" s="18" t="s">
        <v>128</v>
      </c>
      <c r="F303" s="18" t="str">
        <f>IF(OR(D303&gt;Answers!L318,D303&lt;Answers!L319),"Outlier","Normal")</f>
        <v>Outlier</v>
      </c>
      <c r="G303" s="19" t="str">
        <f t="shared" si="4"/>
        <v>20-30</v>
      </c>
    </row>
    <row r="304" spans="1:7" ht="20" customHeight="1" x14ac:dyDescent="0.35">
      <c r="A304" s="17">
        <v>303</v>
      </c>
      <c r="B304" s="23" t="s">
        <v>113</v>
      </c>
      <c r="C304" s="18" t="s">
        <v>126</v>
      </c>
      <c r="D304" s="18">
        <v>73</v>
      </c>
      <c r="E304" s="18" t="s">
        <v>128</v>
      </c>
      <c r="F304" s="18" t="str">
        <f>IF(OR(D304&gt;Answers!L319,D304&lt;Answers!L320),"Outlier","Normal")</f>
        <v>Outlier</v>
      </c>
      <c r="G304" s="19" t="str">
        <f t="shared" si="4"/>
        <v>40-50</v>
      </c>
    </row>
    <row r="305" spans="1:7" ht="20" customHeight="1" x14ac:dyDescent="0.35">
      <c r="A305" s="17">
        <v>304</v>
      </c>
      <c r="B305" s="23" t="s">
        <v>113</v>
      </c>
      <c r="C305" s="18" t="s">
        <v>126</v>
      </c>
      <c r="D305" s="18">
        <v>71</v>
      </c>
      <c r="E305" s="18" t="s">
        <v>128</v>
      </c>
      <c r="F305" s="18" t="str">
        <f>IF(OR(D305&gt;Answers!L320,D305&lt;Answers!L321),"Outlier","Normal")</f>
        <v>Outlier</v>
      </c>
      <c r="G305" s="19" t="str">
        <f t="shared" si="4"/>
        <v>40-50</v>
      </c>
    </row>
    <row r="306" spans="1:7" ht="20" customHeight="1" x14ac:dyDescent="0.35">
      <c r="A306" s="17">
        <v>305</v>
      </c>
      <c r="B306" s="23" t="s">
        <v>101</v>
      </c>
      <c r="C306" s="18" t="s">
        <v>126</v>
      </c>
      <c r="D306" s="18">
        <v>58</v>
      </c>
      <c r="E306" s="18" t="s">
        <v>128</v>
      </c>
      <c r="F306" s="18" t="str">
        <f>IF(OR(D306&gt;Answers!L321,D306&lt;Answers!L322),"Outlier","Normal")</f>
        <v>Outlier</v>
      </c>
      <c r="G306" s="19" t="str">
        <f t="shared" si="4"/>
        <v>40-50</v>
      </c>
    </row>
    <row r="307" spans="1:7" ht="20" customHeight="1" x14ac:dyDescent="0.35">
      <c r="A307" s="17">
        <v>306</v>
      </c>
      <c r="B307" s="23" t="s">
        <v>113</v>
      </c>
      <c r="C307" s="18" t="s">
        <v>126</v>
      </c>
      <c r="D307" s="18">
        <v>20</v>
      </c>
      <c r="E307" s="18" t="s">
        <v>128</v>
      </c>
      <c r="F307" s="18" t="str">
        <f>IF(OR(D307&gt;Answers!L322,D307&lt;Answers!L323),"Outlier","Normal")</f>
        <v>Outlier</v>
      </c>
      <c r="G307" s="19" t="str">
        <f t="shared" si="4"/>
        <v>20-30</v>
      </c>
    </row>
    <row r="308" spans="1:7" ht="20" customHeight="1" x14ac:dyDescent="0.35">
      <c r="A308" s="17">
        <v>307</v>
      </c>
      <c r="B308" s="23" t="s">
        <v>100</v>
      </c>
      <c r="C308" s="18" t="s">
        <v>125</v>
      </c>
      <c r="D308" s="18">
        <v>65</v>
      </c>
      <c r="E308" s="18" t="s">
        <v>128</v>
      </c>
      <c r="F308" s="18" t="str">
        <f>IF(OR(D308&gt;Answers!L323,D308&lt;Answers!L324),"Outlier","Normal")</f>
        <v>Outlier</v>
      </c>
      <c r="G308" s="19" t="str">
        <f t="shared" si="4"/>
        <v>40-50</v>
      </c>
    </row>
    <row r="309" spans="1:7" ht="20" customHeight="1" x14ac:dyDescent="0.35">
      <c r="A309" s="17">
        <v>308</v>
      </c>
      <c r="B309" s="23" t="s">
        <v>105</v>
      </c>
      <c r="C309" s="18" t="s">
        <v>126</v>
      </c>
      <c r="D309" s="18">
        <v>40</v>
      </c>
      <c r="E309" s="18" t="s">
        <v>128</v>
      </c>
      <c r="F309" s="18" t="str">
        <f>IF(OR(D309&gt;Answers!L324,D309&lt;Answers!L325),"Outlier","Normal")</f>
        <v>Outlier</v>
      </c>
      <c r="G309" s="19" t="str">
        <f t="shared" si="4"/>
        <v>30-40</v>
      </c>
    </row>
    <row r="310" spans="1:7" ht="20" customHeight="1" x14ac:dyDescent="0.35">
      <c r="A310" s="17">
        <v>309</v>
      </c>
      <c r="B310" s="23" t="s">
        <v>104</v>
      </c>
      <c r="C310" s="18" t="s">
        <v>125</v>
      </c>
      <c r="D310" s="18">
        <v>70</v>
      </c>
      <c r="E310" s="18" t="s">
        <v>128</v>
      </c>
      <c r="F310" s="18" t="str">
        <f>IF(OR(D310&gt;Answers!L325,D310&lt;Answers!L326),"Outlier","Normal")</f>
        <v>Outlier</v>
      </c>
      <c r="G310" s="19" t="str">
        <f t="shared" si="4"/>
        <v>40-50</v>
      </c>
    </row>
    <row r="311" spans="1:7" ht="20" customHeight="1" x14ac:dyDescent="0.35">
      <c r="A311" s="17">
        <v>310</v>
      </c>
      <c r="B311" s="23" t="s">
        <v>100</v>
      </c>
      <c r="C311" s="18" t="s">
        <v>125</v>
      </c>
      <c r="D311" s="18">
        <v>22</v>
      </c>
      <c r="E311" s="18" t="s">
        <v>128</v>
      </c>
      <c r="F311" s="18" t="str">
        <f>IF(OR(D311&gt;Answers!L326,D311&lt;Answers!L327),"Outlier","Normal")</f>
        <v>Outlier</v>
      </c>
      <c r="G311" s="19" t="str">
        <f t="shared" si="4"/>
        <v>20-30</v>
      </c>
    </row>
    <row r="312" spans="1:7" ht="20" customHeight="1" x14ac:dyDescent="0.35">
      <c r="A312" s="17">
        <v>311</v>
      </c>
      <c r="B312" s="23" t="s">
        <v>101</v>
      </c>
      <c r="C312" s="18" t="s">
        <v>125</v>
      </c>
      <c r="D312" s="18">
        <v>45</v>
      </c>
      <c r="E312" s="18" t="s">
        <v>128</v>
      </c>
      <c r="F312" s="18" t="str">
        <f>IF(OR(D312&gt;Answers!L327,D312&lt;Answers!L328),"Outlier","Normal")</f>
        <v>Outlier</v>
      </c>
      <c r="G312" s="19" t="str">
        <f t="shared" si="4"/>
        <v>40-50</v>
      </c>
    </row>
    <row r="313" spans="1:7" ht="20" customHeight="1" x14ac:dyDescent="0.35">
      <c r="A313" s="17">
        <v>312</v>
      </c>
      <c r="B313" s="23" t="s">
        <v>107</v>
      </c>
      <c r="C313" s="18" t="s">
        <v>125</v>
      </c>
      <c r="D313" s="18">
        <v>38</v>
      </c>
      <c r="E313" s="18" t="s">
        <v>128</v>
      </c>
      <c r="F313" s="18" t="str">
        <f>IF(OR(D313&gt;Answers!L328,D313&lt;Answers!L329),"Outlier","Normal")</f>
        <v>Outlier</v>
      </c>
      <c r="G313" s="19" t="str">
        <f t="shared" si="4"/>
        <v>30-40</v>
      </c>
    </row>
    <row r="314" spans="1:7" ht="20" customHeight="1" x14ac:dyDescent="0.35">
      <c r="A314" s="17">
        <v>313</v>
      </c>
      <c r="B314" s="23" t="s">
        <v>113</v>
      </c>
      <c r="C314" s="18" t="s">
        <v>126</v>
      </c>
      <c r="D314" s="18">
        <v>61</v>
      </c>
      <c r="E314" s="18" t="s">
        <v>128</v>
      </c>
      <c r="F314" s="18" t="str">
        <f>IF(OR(D314&gt;Answers!L329,D314&lt;Answers!L330),"Outlier","Normal")</f>
        <v>Outlier</v>
      </c>
      <c r="G314" s="19" t="str">
        <f t="shared" si="4"/>
        <v>40-50</v>
      </c>
    </row>
    <row r="315" spans="1:7" ht="20" customHeight="1" x14ac:dyDescent="0.35">
      <c r="A315" s="17">
        <v>314</v>
      </c>
      <c r="B315" s="23" t="s">
        <v>105</v>
      </c>
      <c r="C315" s="18" t="s">
        <v>125</v>
      </c>
      <c r="D315" s="18">
        <v>38</v>
      </c>
      <c r="E315" s="18" t="s">
        <v>128</v>
      </c>
      <c r="F315" s="18" t="str">
        <f>IF(OR(D315&gt;Answers!L330,D315&lt;Answers!L331),"Outlier","Normal")</f>
        <v>Outlier</v>
      </c>
      <c r="G315" s="19" t="str">
        <f t="shared" si="4"/>
        <v>30-40</v>
      </c>
    </row>
    <row r="316" spans="1:7" ht="20" customHeight="1" x14ac:dyDescent="0.35">
      <c r="A316" s="17">
        <v>315</v>
      </c>
      <c r="B316" s="23" t="s">
        <v>113</v>
      </c>
      <c r="C316" s="18" t="s">
        <v>126</v>
      </c>
      <c r="D316" s="18">
        <v>85</v>
      </c>
      <c r="E316" s="18" t="s">
        <v>128</v>
      </c>
      <c r="F316" s="18" t="str">
        <f>IF(OR(D316&gt;Answers!L331,D316&lt;Answers!L332),"Outlier","Normal")</f>
        <v>Outlier</v>
      </c>
      <c r="G316" s="19" t="str">
        <f t="shared" si="4"/>
        <v>40-50</v>
      </c>
    </row>
    <row r="317" spans="1:7" ht="20" customHeight="1" x14ac:dyDescent="0.35">
      <c r="A317" s="17">
        <v>316</v>
      </c>
      <c r="B317" s="23" t="s">
        <v>113</v>
      </c>
      <c r="C317" s="18" t="s">
        <v>126</v>
      </c>
      <c r="D317" s="18">
        <v>89</v>
      </c>
      <c r="E317" s="18" t="s">
        <v>128</v>
      </c>
      <c r="F317" s="18" t="str">
        <f>IF(OR(D317&gt;Answers!L332,D317&lt;Answers!L333),"Outlier","Normal")</f>
        <v>Outlier</v>
      </c>
      <c r="G317" s="19" t="str">
        <f t="shared" si="4"/>
        <v>40-50</v>
      </c>
    </row>
    <row r="318" spans="1:7" ht="20" customHeight="1" x14ac:dyDescent="0.35">
      <c r="A318" s="17">
        <v>317</v>
      </c>
      <c r="B318" s="23" t="s">
        <v>100</v>
      </c>
      <c r="C318" s="18" t="s">
        <v>125</v>
      </c>
      <c r="D318" s="18">
        <v>24</v>
      </c>
      <c r="E318" s="18" t="s">
        <v>128</v>
      </c>
      <c r="F318" s="18" t="str">
        <f>IF(OR(D318&gt;Answers!L333,D318&lt;Answers!L334),"Outlier","Normal")</f>
        <v>Outlier</v>
      </c>
      <c r="G318" s="19" t="str">
        <f t="shared" si="4"/>
        <v>20-30</v>
      </c>
    </row>
    <row r="319" spans="1:7" ht="20" customHeight="1" x14ac:dyDescent="0.35">
      <c r="A319" s="17">
        <v>318</v>
      </c>
      <c r="B319" s="23" t="s">
        <v>113</v>
      </c>
      <c r="C319" s="18" t="s">
        <v>126</v>
      </c>
      <c r="D319" s="18">
        <v>35</v>
      </c>
      <c r="E319" s="18" t="s">
        <v>128</v>
      </c>
      <c r="F319" s="18" t="str">
        <f>IF(OR(D319&gt;Answers!L334,D319&lt;Answers!L335),"Outlier","Normal")</f>
        <v>Outlier</v>
      </c>
      <c r="G319" s="19" t="str">
        <f t="shared" si="4"/>
        <v>30-40</v>
      </c>
    </row>
    <row r="320" spans="1:7" ht="20" customHeight="1" x14ac:dyDescent="0.35">
      <c r="A320" s="17">
        <v>319</v>
      </c>
      <c r="B320" s="23" t="s">
        <v>113</v>
      </c>
      <c r="C320" s="18" t="s">
        <v>126</v>
      </c>
      <c r="D320" s="18">
        <v>39</v>
      </c>
      <c r="E320" s="18" t="s">
        <v>128</v>
      </c>
      <c r="F320" s="18" t="str">
        <f>IF(OR(D320&gt;Answers!L335,D320&lt;Answers!L336),"Outlier","Normal")</f>
        <v>Outlier</v>
      </c>
      <c r="G320" s="19" t="str">
        <f t="shared" si="4"/>
        <v>30-40</v>
      </c>
    </row>
    <row r="321" spans="1:7" ht="20" customHeight="1" x14ac:dyDescent="0.35">
      <c r="A321" s="17">
        <v>320</v>
      </c>
      <c r="B321" s="23" t="s">
        <v>109</v>
      </c>
      <c r="C321" s="18" t="s">
        <v>125</v>
      </c>
      <c r="D321" s="18">
        <v>47</v>
      </c>
      <c r="E321" s="18" t="s">
        <v>128</v>
      </c>
      <c r="F321" s="18" t="str">
        <f>IF(OR(D321&gt;Answers!L336,D321&lt;Answers!L337),"Outlier","Normal")</f>
        <v>Outlier</v>
      </c>
      <c r="G321" s="19" t="str">
        <f t="shared" si="4"/>
        <v>40-50</v>
      </c>
    </row>
    <row r="322" spans="1:7" ht="20" customHeight="1" x14ac:dyDescent="0.35">
      <c r="A322" s="17">
        <v>321</v>
      </c>
      <c r="B322" s="23" t="s">
        <v>113</v>
      </c>
      <c r="C322" s="18" t="s">
        <v>125</v>
      </c>
      <c r="D322" s="18">
        <v>30</v>
      </c>
      <c r="E322" s="18" t="s">
        <v>128</v>
      </c>
      <c r="F322" s="18" t="str">
        <f>IF(OR(D322&gt;Answers!L337,D322&lt;Answers!L338),"Outlier","Normal")</f>
        <v>Outlier</v>
      </c>
      <c r="G322" s="19" t="str">
        <f t="shared" si="4"/>
        <v>20-30</v>
      </c>
    </row>
    <row r="323" spans="1:7" ht="20" customHeight="1" x14ac:dyDescent="0.35">
      <c r="A323" s="17">
        <v>322</v>
      </c>
      <c r="B323" s="23" t="s">
        <v>113</v>
      </c>
      <c r="C323" s="18" t="s">
        <v>125</v>
      </c>
      <c r="D323" s="18">
        <v>22</v>
      </c>
      <c r="E323" s="18" t="s">
        <v>128</v>
      </c>
      <c r="F323" s="18" t="str">
        <f>IF(OR(D323&gt;Answers!L338,D323&lt;Answers!L339),"Outlier","Normal")</f>
        <v>Outlier</v>
      </c>
      <c r="G323" s="19" t="str">
        <f t="shared" ref="G323:G386" si="5">IF(D323&lt;20,"&lt;20",
IF(D323&lt;=30,"20-30",
IF(D323&lt;=40,"30-40","40-50")))</f>
        <v>20-30</v>
      </c>
    </row>
    <row r="324" spans="1:7" ht="20" customHeight="1" x14ac:dyDescent="0.35">
      <c r="A324" s="17">
        <v>323</v>
      </c>
      <c r="B324" s="23" t="s">
        <v>100</v>
      </c>
      <c r="C324" s="18" t="s">
        <v>125</v>
      </c>
      <c r="D324" s="18">
        <v>49</v>
      </c>
      <c r="E324" s="18" t="s">
        <v>128</v>
      </c>
      <c r="F324" s="18" t="str">
        <f>IF(OR(D324&gt;Answers!L339,D324&lt;Answers!L340),"Outlier","Normal")</f>
        <v>Outlier</v>
      </c>
      <c r="G324" s="19" t="str">
        <f t="shared" si="5"/>
        <v>40-50</v>
      </c>
    </row>
    <row r="325" spans="1:7" ht="20" customHeight="1" x14ac:dyDescent="0.35">
      <c r="A325" s="17">
        <v>324</v>
      </c>
      <c r="B325" s="23" t="s">
        <v>101</v>
      </c>
      <c r="C325" s="18" t="s">
        <v>126</v>
      </c>
      <c r="D325" s="18">
        <v>28</v>
      </c>
      <c r="E325" s="18" t="s">
        <v>128</v>
      </c>
      <c r="F325" s="18" t="str">
        <f>IF(OR(D325&gt;Answers!L340,D325&lt;Answers!L341),"Outlier","Normal")</f>
        <v>Outlier</v>
      </c>
      <c r="G325" s="19" t="str">
        <f t="shared" si="5"/>
        <v>20-30</v>
      </c>
    </row>
    <row r="326" spans="1:7" ht="20" customHeight="1" x14ac:dyDescent="0.35">
      <c r="A326" s="17">
        <v>325</v>
      </c>
      <c r="B326" s="23" t="s">
        <v>100</v>
      </c>
      <c r="C326" s="18" t="s">
        <v>125</v>
      </c>
      <c r="D326" s="18">
        <v>30</v>
      </c>
      <c r="E326" s="18" t="s">
        <v>128</v>
      </c>
      <c r="F326" s="18" t="str">
        <f>IF(OR(D326&gt;Answers!L341,D326&lt;Answers!L342),"Outlier","Normal")</f>
        <v>Outlier</v>
      </c>
      <c r="G326" s="19" t="str">
        <f t="shared" si="5"/>
        <v>20-30</v>
      </c>
    </row>
    <row r="327" spans="1:7" ht="20" customHeight="1" x14ac:dyDescent="0.35">
      <c r="A327" s="17">
        <v>326</v>
      </c>
      <c r="B327" s="23" t="s">
        <v>111</v>
      </c>
      <c r="C327" s="18" t="s">
        <v>125</v>
      </c>
      <c r="D327" s="18">
        <v>54</v>
      </c>
      <c r="E327" s="18" t="s">
        <v>128</v>
      </c>
      <c r="F327" s="18" t="str">
        <f>IF(OR(D327&gt;Answers!L342,D327&lt;Answers!L343),"Outlier","Normal")</f>
        <v>Outlier</v>
      </c>
      <c r="G327" s="19" t="str">
        <f t="shared" si="5"/>
        <v>40-50</v>
      </c>
    </row>
    <row r="328" spans="1:7" ht="20" customHeight="1" x14ac:dyDescent="0.35">
      <c r="A328" s="17">
        <v>327</v>
      </c>
      <c r="B328" s="23" t="s">
        <v>113</v>
      </c>
      <c r="C328" s="18" t="s">
        <v>126</v>
      </c>
      <c r="D328" s="18">
        <v>32</v>
      </c>
      <c r="E328" s="18" t="s">
        <v>128</v>
      </c>
      <c r="F328" s="18" t="str">
        <f>IF(OR(D328&gt;Answers!L343,D328&lt;Answers!L344),"Outlier","Normal")</f>
        <v>Outlier</v>
      </c>
      <c r="G328" s="19" t="str">
        <f t="shared" si="5"/>
        <v>30-40</v>
      </c>
    </row>
    <row r="329" spans="1:7" ht="20" customHeight="1" x14ac:dyDescent="0.35">
      <c r="A329" s="17">
        <v>328</v>
      </c>
      <c r="B329" s="23" t="s">
        <v>113</v>
      </c>
      <c r="C329" s="18" t="s">
        <v>125</v>
      </c>
      <c r="D329" s="18">
        <v>44</v>
      </c>
      <c r="E329" s="18" t="s">
        <v>128</v>
      </c>
      <c r="F329" s="18" t="str">
        <f>IF(OR(D329&gt;Answers!L344,D329&lt;Answers!L345),"Outlier","Normal")</f>
        <v>Outlier</v>
      </c>
      <c r="G329" s="19" t="str">
        <f t="shared" si="5"/>
        <v>40-50</v>
      </c>
    </row>
    <row r="330" spans="1:7" ht="20" customHeight="1" x14ac:dyDescent="0.35">
      <c r="A330" s="17">
        <v>329</v>
      </c>
      <c r="B330" s="23" t="s">
        <v>105</v>
      </c>
      <c r="C330" s="18" t="s">
        <v>126</v>
      </c>
      <c r="D330" s="18">
        <v>55</v>
      </c>
      <c r="E330" s="18" t="s">
        <v>128</v>
      </c>
      <c r="F330" s="18" t="str">
        <f>IF(OR(D330&gt;Answers!L345,D330&lt;Answers!L346),"Outlier","Normal")</f>
        <v>Outlier</v>
      </c>
      <c r="G330" s="19" t="str">
        <f t="shared" si="5"/>
        <v>40-50</v>
      </c>
    </row>
    <row r="331" spans="1:7" ht="20" customHeight="1" x14ac:dyDescent="0.35">
      <c r="A331" s="17">
        <v>330</v>
      </c>
      <c r="B331" s="23" t="s">
        <v>113</v>
      </c>
      <c r="C331" s="18" t="s">
        <v>126</v>
      </c>
      <c r="D331" s="18">
        <v>43</v>
      </c>
      <c r="E331" s="18" t="s">
        <v>128</v>
      </c>
      <c r="F331" s="18" t="str">
        <f>IF(OR(D331&gt;Answers!L346,D331&lt;Answers!L347),"Outlier","Normal")</f>
        <v>Outlier</v>
      </c>
      <c r="G331" s="19" t="str">
        <f t="shared" si="5"/>
        <v>40-50</v>
      </c>
    </row>
    <row r="332" spans="1:7" ht="20" customHeight="1" x14ac:dyDescent="0.35">
      <c r="A332" s="17">
        <v>331</v>
      </c>
      <c r="B332" s="23" t="s">
        <v>106</v>
      </c>
      <c r="C332" s="18" t="s">
        <v>125</v>
      </c>
      <c r="D332" s="18">
        <v>24</v>
      </c>
      <c r="E332" s="18" t="s">
        <v>128</v>
      </c>
      <c r="F332" s="18" t="str">
        <f>IF(OR(D332&gt;Answers!L347,D332&lt;Answers!L348),"Outlier","Normal")</f>
        <v>Outlier</v>
      </c>
      <c r="G332" s="19" t="str">
        <f t="shared" si="5"/>
        <v>20-30</v>
      </c>
    </row>
    <row r="333" spans="1:7" ht="20" customHeight="1" x14ac:dyDescent="0.35">
      <c r="A333" s="17">
        <v>332</v>
      </c>
      <c r="B333" s="23" t="s">
        <v>113</v>
      </c>
      <c r="C333" s="18" t="s">
        <v>125</v>
      </c>
      <c r="D333" s="18">
        <v>78</v>
      </c>
      <c r="E333" s="18" t="s">
        <v>128</v>
      </c>
      <c r="F333" s="18" t="str">
        <f>IF(OR(D333&gt;Answers!L348,D333&lt;Answers!L349),"Outlier","Normal")</f>
        <v>Outlier</v>
      </c>
      <c r="G333" s="19" t="str">
        <f t="shared" si="5"/>
        <v>40-50</v>
      </c>
    </row>
    <row r="334" spans="1:7" ht="20" customHeight="1" x14ac:dyDescent="0.35">
      <c r="A334" s="17">
        <v>333</v>
      </c>
      <c r="B334" s="23" t="s">
        <v>109</v>
      </c>
      <c r="C334" s="18" t="s">
        <v>125</v>
      </c>
      <c r="D334" s="18">
        <v>43</v>
      </c>
      <c r="E334" s="18" t="s">
        <v>128</v>
      </c>
      <c r="F334" s="18" t="str">
        <f>IF(OR(D334&gt;Answers!L349,D334&lt;Answers!L350),"Outlier","Normal")</f>
        <v>Outlier</v>
      </c>
      <c r="G334" s="19" t="str">
        <f t="shared" si="5"/>
        <v>40-50</v>
      </c>
    </row>
    <row r="335" spans="1:7" ht="20" customHeight="1" x14ac:dyDescent="0.35">
      <c r="A335" s="17">
        <v>334</v>
      </c>
      <c r="B335" s="23" t="s">
        <v>100</v>
      </c>
      <c r="C335" s="18" t="s">
        <v>125</v>
      </c>
      <c r="D335" s="18">
        <v>18</v>
      </c>
      <c r="E335" s="18" t="s">
        <v>128</v>
      </c>
      <c r="F335" s="18" t="str">
        <f>IF(OR(D335&gt;Answers!L350,D335&lt;Answers!L351),"Outlier","Normal")</f>
        <v>Outlier</v>
      </c>
      <c r="G335" s="19" t="str">
        <f t="shared" si="5"/>
        <v>&lt;20</v>
      </c>
    </row>
    <row r="336" spans="1:7" ht="20" customHeight="1" x14ac:dyDescent="0.35">
      <c r="A336" s="17">
        <v>335</v>
      </c>
      <c r="B336" s="23" t="s">
        <v>113</v>
      </c>
      <c r="C336" s="18" t="s">
        <v>126</v>
      </c>
      <c r="D336" s="18">
        <v>65</v>
      </c>
      <c r="E336" s="18" t="s">
        <v>128</v>
      </c>
      <c r="F336" s="18" t="str">
        <f>IF(OR(D336&gt;Answers!L351,D336&lt;Answers!L352),"Outlier","Normal")</f>
        <v>Outlier</v>
      </c>
      <c r="G336" s="19" t="str">
        <f t="shared" si="5"/>
        <v>40-50</v>
      </c>
    </row>
    <row r="337" spans="1:7" ht="20" customHeight="1" x14ac:dyDescent="0.35">
      <c r="A337" s="17">
        <v>336</v>
      </c>
      <c r="B337" s="23" t="s">
        <v>105</v>
      </c>
      <c r="C337" s="18" t="s">
        <v>126</v>
      </c>
      <c r="D337" s="18">
        <v>26</v>
      </c>
      <c r="E337" s="18" t="s">
        <v>128</v>
      </c>
      <c r="F337" s="18" t="str">
        <f>IF(OR(D337&gt;Answers!L352,D337&lt;Answers!L353),"Outlier","Normal")</f>
        <v>Outlier</v>
      </c>
      <c r="G337" s="19" t="str">
        <f t="shared" si="5"/>
        <v>20-30</v>
      </c>
    </row>
    <row r="338" spans="1:7" ht="20" customHeight="1" x14ac:dyDescent="0.35">
      <c r="A338" s="17">
        <v>337</v>
      </c>
      <c r="B338" s="23" t="s">
        <v>106</v>
      </c>
      <c r="C338" s="18" t="s">
        <v>125</v>
      </c>
      <c r="D338" s="18">
        <v>58</v>
      </c>
      <c r="E338" s="18" t="s">
        <v>128</v>
      </c>
      <c r="F338" s="18" t="str">
        <f>IF(OR(D338&gt;Answers!L353,D338&lt;Answers!L354),"Outlier","Normal")</f>
        <v>Outlier</v>
      </c>
      <c r="G338" s="19" t="str">
        <f t="shared" si="5"/>
        <v>40-50</v>
      </c>
    </row>
    <row r="339" spans="1:7" ht="20" customHeight="1" x14ac:dyDescent="0.35">
      <c r="A339" s="17">
        <v>338</v>
      </c>
      <c r="B339" s="23" t="s">
        <v>113</v>
      </c>
      <c r="C339" s="18" t="s">
        <v>126</v>
      </c>
      <c r="D339" s="18">
        <v>51</v>
      </c>
      <c r="E339" s="18" t="s">
        <v>128</v>
      </c>
      <c r="F339" s="18" t="str">
        <f>IF(OR(D339&gt;Answers!L354,D339&lt;Answers!L355),"Outlier","Normal")</f>
        <v>Outlier</v>
      </c>
      <c r="G339" s="19" t="str">
        <f t="shared" si="5"/>
        <v>40-50</v>
      </c>
    </row>
    <row r="340" spans="1:7" ht="20" customHeight="1" x14ac:dyDescent="0.35">
      <c r="A340" s="17">
        <v>339</v>
      </c>
      <c r="B340" s="23" t="s">
        <v>100</v>
      </c>
      <c r="C340" s="18" t="s">
        <v>126</v>
      </c>
      <c r="D340" s="18">
        <v>25</v>
      </c>
      <c r="E340" s="18" t="s">
        <v>128</v>
      </c>
      <c r="F340" s="18" t="str">
        <f>IF(OR(D340&gt;Answers!L355,D340&lt;Answers!L356),"Outlier","Normal")</f>
        <v>Outlier</v>
      </c>
      <c r="G340" s="19" t="str">
        <f t="shared" si="5"/>
        <v>20-30</v>
      </c>
    </row>
    <row r="341" spans="1:7" ht="20" customHeight="1" x14ac:dyDescent="0.35">
      <c r="A341" s="17">
        <v>340</v>
      </c>
      <c r="B341" s="23" t="s">
        <v>100</v>
      </c>
      <c r="C341" s="18" t="s">
        <v>125</v>
      </c>
      <c r="D341" s="18">
        <v>68</v>
      </c>
      <c r="E341" s="18" t="s">
        <v>128</v>
      </c>
      <c r="F341" s="18" t="str">
        <f>IF(OR(D341&gt;Answers!L356,D341&lt;Answers!L357),"Outlier","Normal")</f>
        <v>Outlier</v>
      </c>
      <c r="G341" s="19" t="str">
        <f t="shared" si="5"/>
        <v>40-50</v>
      </c>
    </row>
    <row r="342" spans="1:7" ht="20" customHeight="1" x14ac:dyDescent="0.35">
      <c r="A342" s="17">
        <v>341</v>
      </c>
      <c r="B342" s="23" t="s">
        <v>105</v>
      </c>
      <c r="C342" s="18" t="s">
        <v>126</v>
      </c>
      <c r="D342" s="18">
        <v>44</v>
      </c>
      <c r="E342" s="18" t="s">
        <v>128</v>
      </c>
      <c r="F342" s="18" t="str">
        <f>IF(OR(D342&gt;Answers!L357,D342&lt;Answers!L358),"Outlier","Normal")</f>
        <v>Outlier</v>
      </c>
      <c r="G342" s="19" t="str">
        <f t="shared" si="5"/>
        <v>40-50</v>
      </c>
    </row>
    <row r="343" spans="1:7" ht="20" customHeight="1" x14ac:dyDescent="0.35">
      <c r="A343" s="17">
        <v>342</v>
      </c>
      <c r="B343" s="23" t="s">
        <v>113</v>
      </c>
      <c r="C343" s="18" t="s">
        <v>126</v>
      </c>
      <c r="D343" s="18">
        <v>65</v>
      </c>
      <c r="E343" s="18" t="s">
        <v>128</v>
      </c>
      <c r="F343" s="18" t="str">
        <f>IF(OR(D343&gt;Answers!L358,D343&lt;Answers!L359),"Outlier","Normal")</f>
        <v>Outlier</v>
      </c>
      <c r="G343" s="19" t="str">
        <f t="shared" si="5"/>
        <v>40-50</v>
      </c>
    </row>
    <row r="344" spans="1:7" ht="20" customHeight="1" x14ac:dyDescent="0.35">
      <c r="A344" s="17">
        <v>343</v>
      </c>
      <c r="B344" s="23" t="s">
        <v>113</v>
      </c>
      <c r="C344" s="18" t="s">
        <v>126</v>
      </c>
      <c r="D344" s="18">
        <v>88</v>
      </c>
      <c r="E344" s="18" t="s">
        <v>128</v>
      </c>
      <c r="F344" s="18" t="str">
        <f>IF(OR(D344&gt;Answers!L359,D344&lt;Answers!L360),"Outlier","Normal")</f>
        <v>Outlier</v>
      </c>
      <c r="G344" s="19" t="str">
        <f t="shared" si="5"/>
        <v>40-50</v>
      </c>
    </row>
    <row r="345" spans="1:7" ht="20" customHeight="1" x14ac:dyDescent="0.35">
      <c r="A345" s="17">
        <v>344</v>
      </c>
      <c r="B345" s="23" t="s">
        <v>102</v>
      </c>
      <c r="C345" s="18" t="s">
        <v>126</v>
      </c>
      <c r="D345" s="18">
        <v>84</v>
      </c>
      <c r="E345" s="18" t="s">
        <v>128</v>
      </c>
      <c r="F345" s="18" t="str">
        <f>IF(OR(D345&gt;Answers!L360,D345&lt;Answers!L361),"Outlier","Normal")</f>
        <v>Outlier</v>
      </c>
      <c r="G345" s="19" t="str">
        <f t="shared" si="5"/>
        <v>40-50</v>
      </c>
    </row>
    <row r="346" spans="1:7" ht="20" customHeight="1" x14ac:dyDescent="0.35">
      <c r="A346" s="17">
        <v>345</v>
      </c>
      <c r="B346" s="23" t="s">
        <v>113</v>
      </c>
      <c r="C346" s="18" t="s">
        <v>126</v>
      </c>
      <c r="D346" s="18">
        <v>31</v>
      </c>
      <c r="E346" s="18" t="s">
        <v>128</v>
      </c>
      <c r="F346" s="18" t="str">
        <f>IF(OR(D346&gt;Answers!L361,D346&lt;Answers!L362),"Outlier","Normal")</f>
        <v>Outlier</v>
      </c>
      <c r="G346" s="19" t="str">
        <f t="shared" si="5"/>
        <v>30-40</v>
      </c>
    </row>
    <row r="347" spans="1:7" ht="20" customHeight="1" x14ac:dyDescent="0.35">
      <c r="A347" s="17">
        <v>346</v>
      </c>
      <c r="B347" s="23" t="s">
        <v>105</v>
      </c>
      <c r="C347" s="18" t="s">
        <v>126</v>
      </c>
      <c r="D347" s="18">
        <v>27</v>
      </c>
      <c r="E347" s="18" t="s">
        <v>128</v>
      </c>
      <c r="F347" s="18" t="str">
        <f>IF(OR(D347&gt;Answers!L362,D347&lt;Answers!L363),"Outlier","Normal")</f>
        <v>Outlier</v>
      </c>
      <c r="G347" s="19" t="str">
        <f t="shared" si="5"/>
        <v>20-30</v>
      </c>
    </row>
    <row r="348" spans="1:7" ht="20" customHeight="1" x14ac:dyDescent="0.35">
      <c r="A348" s="17">
        <v>347</v>
      </c>
      <c r="B348" s="23" t="s">
        <v>108</v>
      </c>
      <c r="C348" s="18" t="s">
        <v>126</v>
      </c>
      <c r="D348" s="18">
        <v>59</v>
      </c>
      <c r="E348" s="18" t="s">
        <v>128</v>
      </c>
      <c r="F348" s="18" t="str">
        <f>IF(OR(D348&gt;Answers!L363,D348&lt;Answers!L364),"Outlier","Normal")</f>
        <v>Outlier</v>
      </c>
      <c r="G348" s="19" t="str">
        <f t="shared" si="5"/>
        <v>40-50</v>
      </c>
    </row>
    <row r="349" spans="1:7" ht="20" customHeight="1" x14ac:dyDescent="0.35">
      <c r="A349" s="17">
        <v>348</v>
      </c>
      <c r="B349" s="23" t="s">
        <v>100</v>
      </c>
      <c r="C349" s="18" t="s">
        <v>125</v>
      </c>
      <c r="D349" s="18">
        <v>61</v>
      </c>
      <c r="E349" s="18" t="s">
        <v>128</v>
      </c>
      <c r="F349" s="18" t="str">
        <f>IF(OR(D349&gt;Answers!L364,D349&lt;Answers!L365),"Outlier","Normal")</f>
        <v>Outlier</v>
      </c>
      <c r="G349" s="19" t="str">
        <f t="shared" si="5"/>
        <v>40-50</v>
      </c>
    </row>
    <row r="350" spans="1:7" ht="20" customHeight="1" x14ac:dyDescent="0.35">
      <c r="A350" s="17">
        <v>349</v>
      </c>
      <c r="B350" s="23" t="s">
        <v>108</v>
      </c>
      <c r="C350" s="18" t="s">
        <v>126</v>
      </c>
      <c r="D350" s="18">
        <v>55</v>
      </c>
      <c r="E350" s="18" t="s">
        <v>128</v>
      </c>
      <c r="F350" s="18" t="str">
        <f>IF(OR(D350&gt;Answers!L365,D350&lt;Answers!L366),"Outlier","Normal")</f>
        <v>Outlier</v>
      </c>
      <c r="G350" s="19" t="str">
        <f t="shared" si="5"/>
        <v>40-50</v>
      </c>
    </row>
    <row r="351" spans="1:7" ht="20" customHeight="1" x14ac:dyDescent="0.35">
      <c r="A351" s="17">
        <v>350</v>
      </c>
      <c r="B351" s="23" t="s">
        <v>109</v>
      </c>
      <c r="C351" s="18" t="s">
        <v>126</v>
      </c>
      <c r="D351" s="18">
        <v>39</v>
      </c>
      <c r="E351" s="18" t="s">
        <v>128</v>
      </c>
      <c r="F351" s="18" t="str">
        <f>IF(OR(D351&gt;Answers!L366,D351&lt;Answers!L367),"Outlier","Normal")</f>
        <v>Outlier</v>
      </c>
      <c r="G351" s="19" t="str">
        <f t="shared" si="5"/>
        <v>30-40</v>
      </c>
    </row>
    <row r="352" spans="1:7" ht="20" customHeight="1" x14ac:dyDescent="0.35">
      <c r="A352" s="17">
        <v>351</v>
      </c>
      <c r="B352" s="23" t="s">
        <v>101</v>
      </c>
      <c r="C352" s="18" t="s">
        <v>126</v>
      </c>
      <c r="D352" s="18">
        <v>87</v>
      </c>
      <c r="E352" s="18" t="s">
        <v>128</v>
      </c>
      <c r="F352" s="18" t="str">
        <f>IF(OR(D352&gt;Answers!L367,D352&lt;Answers!L368),"Outlier","Normal")</f>
        <v>Outlier</v>
      </c>
      <c r="G352" s="19" t="str">
        <f t="shared" si="5"/>
        <v>40-50</v>
      </c>
    </row>
    <row r="353" spans="1:7" ht="20" customHeight="1" x14ac:dyDescent="0.35">
      <c r="A353" s="17">
        <v>352</v>
      </c>
      <c r="B353" s="23" t="s">
        <v>100</v>
      </c>
      <c r="C353" s="18" t="s">
        <v>125</v>
      </c>
      <c r="D353" s="18">
        <v>72</v>
      </c>
      <c r="E353" s="18" t="s">
        <v>128</v>
      </c>
      <c r="F353" s="18" t="str">
        <f>IF(OR(D353&gt;Answers!L368,D353&lt;Answers!L369),"Outlier","Normal")</f>
        <v>Outlier</v>
      </c>
      <c r="G353" s="19" t="str">
        <f t="shared" si="5"/>
        <v>40-50</v>
      </c>
    </row>
    <row r="354" spans="1:7" ht="20" customHeight="1" x14ac:dyDescent="0.35">
      <c r="A354" s="17">
        <v>353</v>
      </c>
      <c r="B354" s="23" t="s">
        <v>100</v>
      </c>
      <c r="C354" s="18" t="s">
        <v>126</v>
      </c>
      <c r="D354" s="18">
        <v>66</v>
      </c>
      <c r="E354" s="18" t="s">
        <v>128</v>
      </c>
      <c r="F354" s="18" t="str">
        <f>IF(OR(D354&gt;Answers!L369,D354&lt;Answers!L370),"Outlier","Normal")</f>
        <v>Outlier</v>
      </c>
      <c r="G354" s="19" t="str">
        <f t="shared" si="5"/>
        <v>40-50</v>
      </c>
    </row>
    <row r="355" spans="1:7" ht="20" customHeight="1" x14ac:dyDescent="0.35">
      <c r="A355" s="17">
        <v>354</v>
      </c>
      <c r="B355" s="23" t="s">
        <v>113</v>
      </c>
      <c r="C355" s="18" t="s">
        <v>125</v>
      </c>
      <c r="D355" s="18">
        <v>29</v>
      </c>
      <c r="E355" s="18" t="s">
        <v>128</v>
      </c>
      <c r="F355" s="18" t="str">
        <f>IF(OR(D355&gt;Answers!L370,D355&lt;Answers!L371),"Outlier","Normal")</f>
        <v>Outlier</v>
      </c>
      <c r="G355" s="19" t="str">
        <f t="shared" si="5"/>
        <v>20-30</v>
      </c>
    </row>
    <row r="356" spans="1:7" ht="20" customHeight="1" x14ac:dyDescent="0.35">
      <c r="A356" s="17">
        <v>355</v>
      </c>
      <c r="B356" s="23" t="s">
        <v>100</v>
      </c>
      <c r="C356" s="18" t="s">
        <v>126</v>
      </c>
      <c r="D356" s="18">
        <v>49</v>
      </c>
      <c r="E356" s="18" t="s">
        <v>128</v>
      </c>
      <c r="F356" s="18" t="str">
        <f>IF(OR(D356&gt;Answers!L371,D356&lt;Answers!L372),"Outlier","Normal")</f>
        <v>Outlier</v>
      </c>
      <c r="G356" s="19" t="str">
        <f t="shared" si="5"/>
        <v>40-50</v>
      </c>
    </row>
    <row r="357" spans="1:7" ht="20" customHeight="1" x14ac:dyDescent="0.35">
      <c r="A357" s="17">
        <v>356</v>
      </c>
      <c r="B357" s="23" t="s">
        <v>113</v>
      </c>
      <c r="C357" s="18" t="s">
        <v>125</v>
      </c>
      <c r="D357" s="18">
        <v>41</v>
      </c>
      <c r="E357" s="18" t="s">
        <v>128</v>
      </c>
      <c r="F357" s="18" t="str">
        <f>IF(OR(D357&gt;Answers!L372,D357&lt;Answers!L373),"Outlier","Normal")</f>
        <v>Outlier</v>
      </c>
      <c r="G357" s="19" t="str">
        <f t="shared" si="5"/>
        <v>40-50</v>
      </c>
    </row>
    <row r="358" spans="1:7" ht="20" customHeight="1" x14ac:dyDescent="0.35">
      <c r="A358" s="17">
        <v>357</v>
      </c>
      <c r="B358" s="23" t="s">
        <v>103</v>
      </c>
      <c r="C358" s="18" t="s">
        <v>126</v>
      </c>
      <c r="D358" s="18">
        <v>70</v>
      </c>
      <c r="E358" s="18" t="s">
        <v>128</v>
      </c>
      <c r="F358" s="18" t="str">
        <f>IF(OR(D358&gt;Answers!L373,D358&lt;Answers!L374),"Outlier","Normal")</f>
        <v>Outlier</v>
      </c>
      <c r="G358" s="19" t="str">
        <f t="shared" si="5"/>
        <v>40-50</v>
      </c>
    </row>
    <row r="359" spans="1:7" ht="20" customHeight="1" x14ac:dyDescent="0.35">
      <c r="A359" s="17">
        <v>358</v>
      </c>
      <c r="B359" s="23" t="s">
        <v>105</v>
      </c>
      <c r="C359" s="18" t="s">
        <v>125</v>
      </c>
      <c r="D359" s="18">
        <v>50</v>
      </c>
      <c r="E359" s="18" t="s">
        <v>128</v>
      </c>
      <c r="F359" s="18" t="str">
        <f>IF(OR(D359&gt;Answers!L374,D359&lt;Answers!L375),"Outlier","Normal")</f>
        <v>Outlier</v>
      </c>
      <c r="G359" s="19" t="str">
        <f t="shared" si="5"/>
        <v>40-50</v>
      </c>
    </row>
    <row r="360" spans="1:7" ht="20" customHeight="1" x14ac:dyDescent="0.35">
      <c r="A360" s="17">
        <v>359</v>
      </c>
      <c r="B360" s="23" t="s">
        <v>100</v>
      </c>
      <c r="C360" s="18" t="s">
        <v>126</v>
      </c>
      <c r="D360" s="18">
        <v>37</v>
      </c>
      <c r="E360" s="18" t="s">
        <v>128</v>
      </c>
      <c r="F360" s="18" t="str">
        <f>IF(OR(D360&gt;Answers!L375,D360&lt;Answers!L376),"Outlier","Normal")</f>
        <v>Outlier</v>
      </c>
      <c r="G360" s="19" t="str">
        <f t="shared" si="5"/>
        <v>30-40</v>
      </c>
    </row>
    <row r="361" spans="1:7" ht="20" customHeight="1" x14ac:dyDescent="0.35">
      <c r="A361" s="17">
        <v>360</v>
      </c>
      <c r="B361" s="23" t="s">
        <v>113</v>
      </c>
      <c r="C361" s="18" t="s">
        <v>125</v>
      </c>
      <c r="D361" s="18">
        <v>32</v>
      </c>
      <c r="E361" s="18" t="s">
        <v>128</v>
      </c>
      <c r="F361" s="18" t="str">
        <f>IF(OR(D361&gt;Answers!L376,D361&lt;Answers!L377),"Outlier","Normal")</f>
        <v>Outlier</v>
      </c>
      <c r="G361" s="19" t="str">
        <f t="shared" si="5"/>
        <v>30-40</v>
      </c>
    </row>
    <row r="362" spans="1:7" ht="20" customHeight="1" x14ac:dyDescent="0.35">
      <c r="A362" s="17">
        <v>361</v>
      </c>
      <c r="B362" s="23" t="s">
        <v>107</v>
      </c>
      <c r="C362" s="18" t="s">
        <v>125</v>
      </c>
      <c r="D362" s="18">
        <v>87</v>
      </c>
      <c r="E362" s="18" t="s">
        <v>128</v>
      </c>
      <c r="F362" s="18" t="str">
        <f>IF(OR(D362&gt;Answers!L377,D362&lt;Answers!L378),"Outlier","Normal")</f>
        <v>Outlier</v>
      </c>
      <c r="G362" s="19" t="str">
        <f t="shared" si="5"/>
        <v>40-50</v>
      </c>
    </row>
    <row r="363" spans="1:7" ht="20" customHeight="1" x14ac:dyDescent="0.35">
      <c r="A363" s="17">
        <v>362</v>
      </c>
      <c r="B363" s="23" t="s">
        <v>113</v>
      </c>
      <c r="C363" s="18" t="s">
        <v>125</v>
      </c>
      <c r="D363" s="18">
        <v>68</v>
      </c>
      <c r="E363" s="18" t="s">
        <v>128</v>
      </c>
      <c r="F363" s="18" t="str">
        <f>IF(OR(D363&gt;Answers!L378,D363&lt;Answers!L379),"Outlier","Normal")</f>
        <v>Outlier</v>
      </c>
      <c r="G363" s="19" t="str">
        <f t="shared" si="5"/>
        <v>40-50</v>
      </c>
    </row>
    <row r="364" spans="1:7" ht="20" customHeight="1" x14ac:dyDescent="0.35">
      <c r="A364" s="17">
        <v>363</v>
      </c>
      <c r="B364" s="23" t="s">
        <v>113</v>
      </c>
      <c r="C364" s="18" t="s">
        <v>126</v>
      </c>
      <c r="D364" s="18">
        <v>48</v>
      </c>
      <c r="E364" s="18" t="s">
        <v>128</v>
      </c>
      <c r="F364" s="18" t="str">
        <f>IF(OR(D364&gt;Answers!L379,D364&lt;Answers!L380),"Outlier","Normal")</f>
        <v>Outlier</v>
      </c>
      <c r="G364" s="19" t="str">
        <f t="shared" si="5"/>
        <v>40-50</v>
      </c>
    </row>
    <row r="365" spans="1:7" ht="20" customHeight="1" x14ac:dyDescent="0.35">
      <c r="A365" s="17">
        <v>364</v>
      </c>
      <c r="B365" s="23" t="s">
        <v>105</v>
      </c>
      <c r="C365" s="18" t="s">
        <v>125</v>
      </c>
      <c r="D365" s="18">
        <v>18</v>
      </c>
      <c r="E365" s="18" t="s">
        <v>128</v>
      </c>
      <c r="F365" s="18" t="str">
        <f>IF(OR(D365&gt;Answers!L380,D365&lt;Answers!L381),"Outlier","Normal")</f>
        <v>Outlier</v>
      </c>
      <c r="G365" s="19" t="str">
        <f t="shared" si="5"/>
        <v>&lt;20</v>
      </c>
    </row>
    <row r="366" spans="1:7" ht="20" customHeight="1" x14ac:dyDescent="0.35">
      <c r="A366" s="17">
        <v>365</v>
      </c>
      <c r="B366" s="23" t="s">
        <v>100</v>
      </c>
      <c r="C366" s="18" t="s">
        <v>125</v>
      </c>
      <c r="D366" s="18">
        <v>46</v>
      </c>
      <c r="E366" s="18" t="s">
        <v>128</v>
      </c>
      <c r="F366" s="18" t="str">
        <f>IF(OR(D366&gt;Answers!L381,D366&lt;Answers!L382),"Outlier","Normal")</f>
        <v>Outlier</v>
      </c>
      <c r="G366" s="19" t="str">
        <f t="shared" si="5"/>
        <v>40-50</v>
      </c>
    </row>
    <row r="367" spans="1:7" ht="20" customHeight="1" x14ac:dyDescent="0.35">
      <c r="A367" s="17">
        <v>366</v>
      </c>
      <c r="B367" s="23" t="s">
        <v>113</v>
      </c>
      <c r="C367" s="18" t="s">
        <v>126</v>
      </c>
      <c r="D367" s="18">
        <v>79</v>
      </c>
      <c r="E367" s="18" t="s">
        <v>128</v>
      </c>
      <c r="F367" s="18" t="str">
        <f>IF(OR(D367&gt;Answers!L382,D367&lt;Answers!L383),"Outlier","Normal")</f>
        <v>Outlier</v>
      </c>
      <c r="G367" s="19" t="str">
        <f t="shared" si="5"/>
        <v>40-50</v>
      </c>
    </row>
    <row r="368" spans="1:7" ht="20" customHeight="1" x14ac:dyDescent="0.35">
      <c r="A368" s="17">
        <v>367</v>
      </c>
      <c r="B368" s="23" t="s">
        <v>113</v>
      </c>
      <c r="C368" s="18" t="s">
        <v>125</v>
      </c>
      <c r="D368" s="18">
        <v>23</v>
      </c>
      <c r="E368" s="18" t="s">
        <v>128</v>
      </c>
      <c r="F368" s="18" t="str">
        <f>IF(OR(D368&gt;Answers!L383,D368&lt;Answers!L384),"Outlier","Normal")</f>
        <v>Outlier</v>
      </c>
      <c r="G368" s="19" t="str">
        <f t="shared" si="5"/>
        <v>20-30</v>
      </c>
    </row>
    <row r="369" spans="1:7" ht="20" customHeight="1" x14ac:dyDescent="0.35">
      <c r="A369" s="17">
        <v>368</v>
      </c>
      <c r="B369" s="23" t="s">
        <v>102</v>
      </c>
      <c r="C369" s="18" t="s">
        <v>126</v>
      </c>
      <c r="D369" s="18">
        <v>58</v>
      </c>
      <c r="E369" s="18" t="s">
        <v>128</v>
      </c>
      <c r="F369" s="18" t="str">
        <f>IF(OR(D369&gt;Answers!L384,D369&lt;Answers!L385),"Outlier","Normal")</f>
        <v>Outlier</v>
      </c>
      <c r="G369" s="19" t="str">
        <f t="shared" si="5"/>
        <v>40-50</v>
      </c>
    </row>
    <row r="370" spans="1:7" ht="20" customHeight="1" x14ac:dyDescent="0.35">
      <c r="A370" s="17">
        <v>369</v>
      </c>
      <c r="B370" s="23" t="s">
        <v>100</v>
      </c>
      <c r="C370" s="18" t="s">
        <v>126</v>
      </c>
      <c r="D370" s="18">
        <v>39</v>
      </c>
      <c r="E370" s="18" t="s">
        <v>128</v>
      </c>
      <c r="F370" s="18" t="str">
        <f>IF(OR(D370&gt;Answers!L385,D370&lt;Answers!L386),"Outlier","Normal")</f>
        <v>Outlier</v>
      </c>
      <c r="G370" s="19" t="str">
        <f t="shared" si="5"/>
        <v>30-40</v>
      </c>
    </row>
    <row r="371" spans="1:7" ht="20" customHeight="1" x14ac:dyDescent="0.35">
      <c r="A371" s="17">
        <v>370</v>
      </c>
      <c r="B371" s="23" t="s">
        <v>101</v>
      </c>
      <c r="C371" s="18" t="s">
        <v>126</v>
      </c>
      <c r="D371" s="18">
        <v>35</v>
      </c>
      <c r="E371" s="18" t="s">
        <v>128</v>
      </c>
      <c r="F371" s="18" t="str">
        <f>IF(OR(D371&gt;Answers!L386,D371&lt;Answers!L387),"Outlier","Normal")</f>
        <v>Outlier</v>
      </c>
      <c r="G371" s="19" t="str">
        <f t="shared" si="5"/>
        <v>30-40</v>
      </c>
    </row>
    <row r="372" spans="1:7" ht="20" customHeight="1" x14ac:dyDescent="0.35">
      <c r="A372" s="17">
        <v>371</v>
      </c>
      <c r="B372" s="23" t="s">
        <v>105</v>
      </c>
      <c r="C372" s="18" t="s">
        <v>125</v>
      </c>
      <c r="D372" s="18">
        <v>68</v>
      </c>
      <c r="E372" s="18" t="s">
        <v>128</v>
      </c>
      <c r="F372" s="18" t="str">
        <f>IF(OR(D372&gt;Answers!L387,D372&lt;Answers!L388),"Outlier","Normal")</f>
        <v>Outlier</v>
      </c>
      <c r="G372" s="19" t="str">
        <f t="shared" si="5"/>
        <v>40-50</v>
      </c>
    </row>
    <row r="373" spans="1:7" ht="20" customHeight="1" x14ac:dyDescent="0.35">
      <c r="A373" s="17">
        <v>372</v>
      </c>
      <c r="B373" s="23" t="s">
        <v>113</v>
      </c>
      <c r="C373" s="18" t="s">
        <v>125</v>
      </c>
      <c r="D373" s="18">
        <v>60</v>
      </c>
      <c r="E373" s="18" t="s">
        <v>128</v>
      </c>
      <c r="F373" s="18" t="str">
        <f>IF(OR(D373&gt;Answers!L388,D373&lt;Answers!L389),"Outlier","Normal")</f>
        <v>Outlier</v>
      </c>
      <c r="G373" s="19" t="str">
        <f t="shared" si="5"/>
        <v>40-50</v>
      </c>
    </row>
    <row r="374" spans="1:7" ht="20" customHeight="1" x14ac:dyDescent="0.35">
      <c r="A374" s="17">
        <v>373</v>
      </c>
      <c r="B374" s="23" t="s">
        <v>113</v>
      </c>
      <c r="C374" s="18" t="s">
        <v>126</v>
      </c>
      <c r="D374" s="18">
        <v>89</v>
      </c>
      <c r="E374" s="18" t="s">
        <v>128</v>
      </c>
      <c r="F374" s="18" t="str">
        <f>IF(OR(D374&gt;Answers!L389,D374&lt;Answers!L390),"Outlier","Normal")</f>
        <v>Outlier</v>
      </c>
      <c r="G374" s="19" t="str">
        <f t="shared" si="5"/>
        <v>40-50</v>
      </c>
    </row>
    <row r="375" spans="1:7" ht="20" customHeight="1" x14ac:dyDescent="0.35">
      <c r="A375" s="17">
        <v>374</v>
      </c>
      <c r="B375" s="23" t="s">
        <v>108</v>
      </c>
      <c r="C375" s="18" t="s">
        <v>125</v>
      </c>
      <c r="D375" s="18">
        <v>71</v>
      </c>
      <c r="E375" s="18" t="s">
        <v>128</v>
      </c>
      <c r="F375" s="18" t="str">
        <f>IF(OR(D375&gt;Answers!L390,D375&lt;Answers!L391),"Outlier","Normal")</f>
        <v>Outlier</v>
      </c>
      <c r="G375" s="19" t="str">
        <f t="shared" si="5"/>
        <v>40-50</v>
      </c>
    </row>
    <row r="376" spans="1:7" ht="20" customHeight="1" x14ac:dyDescent="0.35">
      <c r="A376" s="17">
        <v>375</v>
      </c>
      <c r="B376" s="23" t="s">
        <v>101</v>
      </c>
      <c r="C376" s="18" t="s">
        <v>126</v>
      </c>
      <c r="D376" s="18">
        <v>45</v>
      </c>
      <c r="E376" s="18" t="s">
        <v>128</v>
      </c>
      <c r="F376" s="18" t="str">
        <f>IF(OR(D376&gt;Answers!L391,D376&lt;Answers!L392),"Outlier","Normal")</f>
        <v>Outlier</v>
      </c>
      <c r="G376" s="19" t="str">
        <f t="shared" si="5"/>
        <v>40-50</v>
      </c>
    </row>
    <row r="377" spans="1:7" ht="20" customHeight="1" x14ac:dyDescent="0.35">
      <c r="A377" s="17">
        <v>376</v>
      </c>
      <c r="B377" s="23" t="s">
        <v>113</v>
      </c>
      <c r="C377" s="18" t="s">
        <v>126</v>
      </c>
      <c r="D377" s="18">
        <v>89</v>
      </c>
      <c r="E377" s="18" t="s">
        <v>128</v>
      </c>
      <c r="F377" s="18" t="str">
        <f>IF(OR(D377&gt;Answers!L392,D377&lt;Answers!L393),"Outlier","Normal")</f>
        <v>Outlier</v>
      </c>
      <c r="G377" s="19" t="str">
        <f t="shared" si="5"/>
        <v>40-50</v>
      </c>
    </row>
    <row r="378" spans="1:7" ht="20" customHeight="1" x14ac:dyDescent="0.35">
      <c r="A378" s="17">
        <v>377</v>
      </c>
      <c r="B378" s="23" t="s">
        <v>113</v>
      </c>
      <c r="C378" s="18" t="s">
        <v>126</v>
      </c>
      <c r="D378" s="18">
        <v>56</v>
      </c>
      <c r="E378" s="18" t="s">
        <v>128</v>
      </c>
      <c r="F378" s="18" t="str">
        <f>IF(OR(D378&gt;Answers!L393,D378&lt;Answers!L394),"Outlier","Normal")</f>
        <v>Outlier</v>
      </c>
      <c r="G378" s="19" t="str">
        <f t="shared" si="5"/>
        <v>40-50</v>
      </c>
    </row>
    <row r="379" spans="1:7" ht="20" customHeight="1" x14ac:dyDescent="0.35">
      <c r="A379" s="17">
        <v>378</v>
      </c>
      <c r="B379" s="23" t="s">
        <v>110</v>
      </c>
      <c r="C379" s="18" t="s">
        <v>125</v>
      </c>
      <c r="D379" s="18">
        <v>69</v>
      </c>
      <c r="E379" s="18" t="s">
        <v>128</v>
      </c>
      <c r="F379" s="18" t="str">
        <f>IF(OR(D379&gt;Answers!L394,D379&lt;Answers!L395),"Outlier","Normal")</f>
        <v>Outlier</v>
      </c>
      <c r="G379" s="19" t="str">
        <f t="shared" si="5"/>
        <v>40-50</v>
      </c>
    </row>
    <row r="380" spans="1:7" ht="20" customHeight="1" x14ac:dyDescent="0.35">
      <c r="A380" s="17">
        <v>379</v>
      </c>
      <c r="B380" s="23" t="s">
        <v>113</v>
      </c>
      <c r="C380" s="18" t="s">
        <v>125</v>
      </c>
      <c r="D380" s="18">
        <v>58</v>
      </c>
      <c r="E380" s="18" t="s">
        <v>128</v>
      </c>
      <c r="F380" s="18" t="str">
        <f>IF(OR(D380&gt;Answers!L395,D380&lt;Answers!L396),"Outlier","Normal")</f>
        <v>Outlier</v>
      </c>
      <c r="G380" s="19" t="str">
        <f t="shared" si="5"/>
        <v>40-50</v>
      </c>
    </row>
    <row r="381" spans="1:7" ht="20" customHeight="1" x14ac:dyDescent="0.35">
      <c r="A381" s="17">
        <v>380</v>
      </c>
      <c r="B381" s="23" t="s">
        <v>100</v>
      </c>
      <c r="C381" s="18" t="s">
        <v>126</v>
      </c>
      <c r="D381" s="18">
        <v>29</v>
      </c>
      <c r="E381" s="18" t="s">
        <v>128</v>
      </c>
      <c r="F381" s="18" t="str">
        <f>IF(OR(D381&gt;Answers!L396,D381&lt;Answers!L397),"Outlier","Normal")</f>
        <v>Outlier</v>
      </c>
      <c r="G381" s="19" t="str">
        <f t="shared" si="5"/>
        <v>20-30</v>
      </c>
    </row>
    <row r="382" spans="1:7" ht="20" customHeight="1" x14ac:dyDescent="0.35">
      <c r="A382" s="17">
        <v>381</v>
      </c>
      <c r="B382" s="23" t="s">
        <v>107</v>
      </c>
      <c r="C382" s="18" t="s">
        <v>125</v>
      </c>
      <c r="D382" s="18">
        <v>86</v>
      </c>
      <c r="E382" s="18" t="s">
        <v>128</v>
      </c>
      <c r="F382" s="18" t="str">
        <f>IF(OR(D382&gt;Answers!L397,D382&lt;Answers!L398),"Outlier","Normal")</f>
        <v>Outlier</v>
      </c>
      <c r="G382" s="19" t="str">
        <f t="shared" si="5"/>
        <v>40-50</v>
      </c>
    </row>
    <row r="383" spans="1:7" ht="20" customHeight="1" x14ac:dyDescent="0.35">
      <c r="A383" s="17">
        <v>382</v>
      </c>
      <c r="B383" s="23" t="s">
        <v>113</v>
      </c>
      <c r="C383" s="18" t="s">
        <v>125</v>
      </c>
      <c r="D383" s="18">
        <v>81</v>
      </c>
      <c r="E383" s="18" t="s">
        <v>128</v>
      </c>
      <c r="F383" s="18" t="str">
        <f>IF(OR(D383&gt;Answers!L398,D383&lt;Answers!L399),"Outlier","Normal")</f>
        <v>Outlier</v>
      </c>
      <c r="G383" s="19" t="str">
        <f t="shared" si="5"/>
        <v>40-50</v>
      </c>
    </row>
    <row r="384" spans="1:7" ht="20" customHeight="1" x14ac:dyDescent="0.35">
      <c r="A384" s="17">
        <v>383</v>
      </c>
      <c r="B384" s="23" t="s">
        <v>100</v>
      </c>
      <c r="C384" s="18" t="s">
        <v>126</v>
      </c>
      <c r="D384" s="18">
        <v>57</v>
      </c>
      <c r="E384" s="18" t="s">
        <v>128</v>
      </c>
      <c r="F384" s="18" t="str">
        <f>IF(OR(D384&gt;Answers!L399,D384&lt;Answers!L400),"Outlier","Normal")</f>
        <v>Outlier</v>
      </c>
      <c r="G384" s="19" t="str">
        <f t="shared" si="5"/>
        <v>40-50</v>
      </c>
    </row>
    <row r="385" spans="1:7" ht="20" customHeight="1" x14ac:dyDescent="0.35">
      <c r="A385" s="17">
        <v>384</v>
      </c>
      <c r="B385" s="23" t="s">
        <v>101</v>
      </c>
      <c r="C385" s="18" t="s">
        <v>125</v>
      </c>
      <c r="D385" s="18">
        <v>87</v>
      </c>
      <c r="E385" s="18" t="s">
        <v>128</v>
      </c>
      <c r="F385" s="18" t="str">
        <f>IF(OR(D385&gt;Answers!L400,D385&lt;Answers!L401),"Outlier","Normal")</f>
        <v>Outlier</v>
      </c>
      <c r="G385" s="19" t="str">
        <f t="shared" si="5"/>
        <v>40-50</v>
      </c>
    </row>
    <row r="386" spans="1:7" ht="20" customHeight="1" x14ac:dyDescent="0.35">
      <c r="A386" s="17">
        <v>385</v>
      </c>
      <c r="B386" s="23" t="s">
        <v>101</v>
      </c>
      <c r="C386" s="18" t="s">
        <v>126</v>
      </c>
      <c r="D386" s="18">
        <v>54</v>
      </c>
      <c r="E386" s="18" t="s">
        <v>128</v>
      </c>
      <c r="F386" s="18" t="str">
        <f>IF(OR(D386&gt;Answers!L401,D386&lt;Answers!L402),"Outlier","Normal")</f>
        <v>Outlier</v>
      </c>
      <c r="G386" s="19" t="str">
        <f t="shared" si="5"/>
        <v>40-50</v>
      </c>
    </row>
    <row r="387" spans="1:7" ht="20" customHeight="1" x14ac:dyDescent="0.35">
      <c r="A387" s="17">
        <v>386</v>
      </c>
      <c r="B387" s="23" t="s">
        <v>113</v>
      </c>
      <c r="C387" s="18" t="s">
        <v>126</v>
      </c>
      <c r="D387" s="18">
        <v>75</v>
      </c>
      <c r="E387" s="18" t="s">
        <v>128</v>
      </c>
      <c r="F387" s="18" t="str">
        <f>IF(OR(D387&gt;Answers!L402,D387&lt;Answers!L403),"Outlier","Normal")</f>
        <v>Outlier</v>
      </c>
      <c r="G387" s="19" t="str">
        <f t="shared" ref="G387:G450" si="6">IF(D387&lt;20,"&lt;20",
IF(D387&lt;=30,"20-30",
IF(D387&lt;=40,"30-40","40-50")))</f>
        <v>40-50</v>
      </c>
    </row>
    <row r="388" spans="1:7" ht="20" customHeight="1" x14ac:dyDescent="0.35">
      <c r="A388" s="17">
        <v>387</v>
      </c>
      <c r="B388" s="23" t="s">
        <v>101</v>
      </c>
      <c r="C388" s="18" t="s">
        <v>126</v>
      </c>
      <c r="D388" s="18">
        <v>41</v>
      </c>
      <c r="E388" s="18" t="s">
        <v>128</v>
      </c>
      <c r="F388" s="18" t="str">
        <f>IF(OR(D388&gt;Answers!L403,D388&lt;Answers!L404),"Outlier","Normal")</f>
        <v>Outlier</v>
      </c>
      <c r="G388" s="19" t="str">
        <f t="shared" si="6"/>
        <v>40-50</v>
      </c>
    </row>
    <row r="389" spans="1:7" ht="20" customHeight="1" x14ac:dyDescent="0.35">
      <c r="A389" s="17">
        <v>388</v>
      </c>
      <c r="B389" s="23" t="s">
        <v>103</v>
      </c>
      <c r="C389" s="18" t="s">
        <v>125</v>
      </c>
      <c r="D389" s="18">
        <v>68</v>
      </c>
      <c r="E389" s="18" t="s">
        <v>128</v>
      </c>
      <c r="F389" s="18" t="str">
        <f>IF(OR(D389&gt;Answers!L404,D389&lt;Answers!L405),"Outlier","Normal")</f>
        <v>Outlier</v>
      </c>
      <c r="G389" s="19" t="str">
        <f t="shared" si="6"/>
        <v>40-50</v>
      </c>
    </row>
    <row r="390" spans="1:7" ht="20" customHeight="1" x14ac:dyDescent="0.35">
      <c r="A390" s="17">
        <v>389</v>
      </c>
      <c r="B390" s="23" t="s">
        <v>101</v>
      </c>
      <c r="C390" s="18" t="s">
        <v>126</v>
      </c>
      <c r="D390" s="18">
        <v>22</v>
      </c>
      <c r="E390" s="18" t="s">
        <v>128</v>
      </c>
      <c r="F390" s="18" t="str">
        <f>IF(OR(D390&gt;Answers!L405,D390&lt;Answers!L406),"Outlier","Normal")</f>
        <v>Outlier</v>
      </c>
      <c r="G390" s="19" t="str">
        <f t="shared" si="6"/>
        <v>20-30</v>
      </c>
    </row>
    <row r="391" spans="1:7" ht="20" customHeight="1" x14ac:dyDescent="0.35">
      <c r="A391" s="17">
        <v>390</v>
      </c>
      <c r="B391" s="23" t="s">
        <v>113</v>
      </c>
      <c r="C391" s="18" t="s">
        <v>125</v>
      </c>
      <c r="D391" s="18">
        <v>89</v>
      </c>
      <c r="E391" s="18" t="s">
        <v>128</v>
      </c>
      <c r="F391" s="18" t="str">
        <f>IF(OR(D391&gt;Answers!L406,D391&lt;Answers!L407),"Outlier","Normal")</f>
        <v>Outlier</v>
      </c>
      <c r="G391" s="19" t="str">
        <f t="shared" si="6"/>
        <v>40-50</v>
      </c>
    </row>
    <row r="392" spans="1:7" ht="20" customHeight="1" x14ac:dyDescent="0.35">
      <c r="A392" s="17">
        <v>391</v>
      </c>
      <c r="B392" s="23" t="s">
        <v>100</v>
      </c>
      <c r="C392" s="18" t="s">
        <v>126</v>
      </c>
      <c r="D392" s="18">
        <v>86</v>
      </c>
      <c r="E392" s="18" t="s">
        <v>128</v>
      </c>
      <c r="F392" s="18" t="str">
        <f>IF(OR(D392&gt;Answers!L407,D392&lt;Answers!L408),"Outlier","Normal")</f>
        <v>Outlier</v>
      </c>
      <c r="G392" s="19" t="str">
        <f t="shared" si="6"/>
        <v>40-50</v>
      </c>
    </row>
    <row r="393" spans="1:7" ht="20" customHeight="1" x14ac:dyDescent="0.35">
      <c r="A393" s="17">
        <v>392</v>
      </c>
      <c r="B393" s="23" t="s">
        <v>113</v>
      </c>
      <c r="C393" s="18" t="s">
        <v>125</v>
      </c>
      <c r="D393" s="18">
        <v>79</v>
      </c>
      <c r="E393" s="18" t="s">
        <v>128</v>
      </c>
      <c r="F393" s="18" t="str">
        <f>IF(OR(D393&gt;Answers!L408,D393&lt;Answers!L409),"Outlier","Normal")</f>
        <v>Outlier</v>
      </c>
      <c r="G393" s="19" t="str">
        <f t="shared" si="6"/>
        <v>40-50</v>
      </c>
    </row>
    <row r="394" spans="1:7" ht="20" customHeight="1" x14ac:dyDescent="0.35">
      <c r="A394" s="17">
        <v>393</v>
      </c>
      <c r="B394" s="23" t="s">
        <v>113</v>
      </c>
      <c r="C394" s="18" t="s">
        <v>126</v>
      </c>
      <c r="D394" s="18">
        <v>19</v>
      </c>
      <c r="E394" s="18" t="s">
        <v>128</v>
      </c>
      <c r="F394" s="18" t="str">
        <f>IF(OR(D394&gt;Answers!L409,D394&lt;Answers!L410),"Outlier","Normal")</f>
        <v>Outlier</v>
      </c>
      <c r="G394" s="19" t="str">
        <f t="shared" si="6"/>
        <v>&lt;20</v>
      </c>
    </row>
    <row r="395" spans="1:7" ht="20" customHeight="1" x14ac:dyDescent="0.35">
      <c r="A395" s="17">
        <v>394</v>
      </c>
      <c r="B395" s="23" t="s">
        <v>113</v>
      </c>
      <c r="C395" s="18" t="s">
        <v>126</v>
      </c>
      <c r="D395" s="18">
        <v>65</v>
      </c>
      <c r="E395" s="18" t="s">
        <v>128</v>
      </c>
      <c r="F395" s="18" t="str">
        <f>IF(OR(D395&gt;Answers!L410,D395&lt;Answers!L411),"Outlier","Normal")</f>
        <v>Outlier</v>
      </c>
      <c r="G395" s="19" t="str">
        <f t="shared" si="6"/>
        <v>40-50</v>
      </c>
    </row>
    <row r="396" spans="1:7" ht="20" customHeight="1" x14ac:dyDescent="0.35">
      <c r="A396" s="17">
        <v>395</v>
      </c>
      <c r="B396" s="23" t="s">
        <v>113</v>
      </c>
      <c r="C396" s="18" t="s">
        <v>126</v>
      </c>
      <c r="D396" s="18">
        <v>22</v>
      </c>
      <c r="E396" s="18" t="s">
        <v>128</v>
      </c>
      <c r="F396" s="18" t="str">
        <f>IF(OR(D396&gt;Answers!L411,D396&lt;Answers!L412),"Outlier","Normal")</f>
        <v>Outlier</v>
      </c>
      <c r="G396" s="19" t="str">
        <f t="shared" si="6"/>
        <v>20-30</v>
      </c>
    </row>
    <row r="397" spans="1:7" ht="20" customHeight="1" x14ac:dyDescent="0.35">
      <c r="A397" s="17">
        <v>396</v>
      </c>
      <c r="B397" s="23" t="s">
        <v>105</v>
      </c>
      <c r="C397" s="18" t="s">
        <v>126</v>
      </c>
      <c r="D397" s="18">
        <v>53</v>
      </c>
      <c r="E397" s="18" t="s">
        <v>128</v>
      </c>
      <c r="F397" s="18" t="str">
        <f>IF(OR(D397&gt;Answers!L412,D397&lt;Answers!L413),"Outlier","Normal")</f>
        <v>Outlier</v>
      </c>
      <c r="G397" s="19" t="str">
        <f t="shared" si="6"/>
        <v>40-50</v>
      </c>
    </row>
    <row r="398" spans="1:7" ht="20" customHeight="1" x14ac:dyDescent="0.35">
      <c r="A398" s="17">
        <v>397</v>
      </c>
      <c r="B398" s="23" t="s">
        <v>105</v>
      </c>
      <c r="C398" s="18" t="s">
        <v>126</v>
      </c>
      <c r="D398" s="18">
        <v>30</v>
      </c>
      <c r="E398" s="18" t="s">
        <v>128</v>
      </c>
      <c r="F398" s="18" t="str">
        <f>IF(OR(D398&gt;Answers!L413,D398&lt;Answers!L414),"Outlier","Normal")</f>
        <v>Outlier</v>
      </c>
      <c r="G398" s="19" t="str">
        <f t="shared" si="6"/>
        <v>20-30</v>
      </c>
    </row>
    <row r="399" spans="1:7" ht="20" customHeight="1" x14ac:dyDescent="0.35">
      <c r="A399" s="17">
        <v>398</v>
      </c>
      <c r="B399" s="23" t="s">
        <v>100</v>
      </c>
      <c r="C399" s="18" t="s">
        <v>125</v>
      </c>
      <c r="D399" s="18">
        <v>50</v>
      </c>
      <c r="E399" s="18" t="s">
        <v>128</v>
      </c>
      <c r="F399" s="18" t="str">
        <f>IF(OR(D399&gt;Answers!L414,D399&lt;Answers!L415),"Outlier","Normal")</f>
        <v>Outlier</v>
      </c>
      <c r="G399" s="19" t="str">
        <f t="shared" si="6"/>
        <v>40-50</v>
      </c>
    </row>
    <row r="400" spans="1:7" ht="20" customHeight="1" x14ac:dyDescent="0.35">
      <c r="A400" s="17">
        <v>399</v>
      </c>
      <c r="B400" s="23" t="s">
        <v>113</v>
      </c>
      <c r="C400" s="18" t="s">
        <v>126</v>
      </c>
      <c r="D400" s="18">
        <v>83</v>
      </c>
      <c r="E400" s="18" t="s">
        <v>128</v>
      </c>
      <c r="F400" s="18" t="str">
        <f>IF(OR(D400&gt;Answers!L415,D400&lt;Answers!L416),"Outlier","Normal")</f>
        <v>Outlier</v>
      </c>
      <c r="G400" s="19" t="str">
        <f t="shared" si="6"/>
        <v>40-50</v>
      </c>
    </row>
    <row r="401" spans="1:7" ht="20" customHeight="1" x14ac:dyDescent="0.35">
      <c r="A401" s="17">
        <v>400</v>
      </c>
      <c r="B401" s="23" t="s">
        <v>101</v>
      </c>
      <c r="C401" s="18" t="s">
        <v>125</v>
      </c>
      <c r="D401" s="18">
        <v>80</v>
      </c>
      <c r="E401" s="18" t="s">
        <v>128</v>
      </c>
      <c r="F401" s="18" t="str">
        <f>IF(OR(D401&gt;Answers!L416,D401&lt;Answers!L417),"Outlier","Normal")</f>
        <v>Outlier</v>
      </c>
      <c r="G401" s="19" t="str">
        <f t="shared" si="6"/>
        <v>40-50</v>
      </c>
    </row>
    <row r="402" spans="1:7" ht="20" customHeight="1" x14ac:dyDescent="0.35">
      <c r="A402" s="17">
        <v>401</v>
      </c>
      <c r="B402" s="23" t="s">
        <v>113</v>
      </c>
      <c r="C402" s="18" t="s">
        <v>125</v>
      </c>
      <c r="D402" s="18">
        <v>36</v>
      </c>
      <c r="E402" s="18" t="s">
        <v>128</v>
      </c>
      <c r="F402" s="18" t="str">
        <f>IF(OR(D402&gt;Answers!L417,D402&lt;Answers!L418),"Outlier","Normal")</f>
        <v>Outlier</v>
      </c>
      <c r="G402" s="19" t="str">
        <f t="shared" si="6"/>
        <v>30-40</v>
      </c>
    </row>
    <row r="403" spans="1:7" ht="20" customHeight="1" x14ac:dyDescent="0.35">
      <c r="A403" s="17">
        <v>402</v>
      </c>
      <c r="B403" s="23" t="s">
        <v>113</v>
      </c>
      <c r="C403" s="18" t="s">
        <v>125</v>
      </c>
      <c r="D403" s="18">
        <v>27</v>
      </c>
      <c r="E403" s="18" t="s">
        <v>128</v>
      </c>
      <c r="F403" s="18" t="str">
        <f>IF(OR(D403&gt;Answers!L418,D403&lt;Answers!L419),"Outlier","Normal")</f>
        <v>Outlier</v>
      </c>
      <c r="G403" s="19" t="str">
        <f t="shared" si="6"/>
        <v>20-30</v>
      </c>
    </row>
    <row r="404" spans="1:7" ht="20" customHeight="1" x14ac:dyDescent="0.35">
      <c r="A404" s="17">
        <v>403</v>
      </c>
      <c r="B404" s="23" t="s">
        <v>102</v>
      </c>
      <c r="C404" s="18" t="s">
        <v>125</v>
      </c>
      <c r="D404" s="18">
        <v>61</v>
      </c>
      <c r="E404" s="18" t="s">
        <v>128</v>
      </c>
      <c r="F404" s="18" t="str">
        <f>IF(OR(D404&gt;Answers!L419,D404&lt;Answers!L420),"Outlier","Normal")</f>
        <v>Outlier</v>
      </c>
      <c r="G404" s="19" t="str">
        <f t="shared" si="6"/>
        <v>40-50</v>
      </c>
    </row>
    <row r="405" spans="1:7" ht="20" customHeight="1" x14ac:dyDescent="0.35">
      <c r="A405" s="17">
        <v>404</v>
      </c>
      <c r="B405" s="23" t="s">
        <v>109</v>
      </c>
      <c r="C405" s="18" t="s">
        <v>126</v>
      </c>
      <c r="D405" s="18">
        <v>26</v>
      </c>
      <c r="E405" s="18" t="s">
        <v>128</v>
      </c>
      <c r="F405" s="18" t="str">
        <f>IF(OR(D405&gt;Answers!L420,D405&lt;Answers!L421),"Outlier","Normal")</f>
        <v>Outlier</v>
      </c>
      <c r="G405" s="19" t="str">
        <f t="shared" si="6"/>
        <v>20-30</v>
      </c>
    </row>
    <row r="406" spans="1:7" ht="20" customHeight="1" x14ac:dyDescent="0.35">
      <c r="A406" s="17">
        <v>405</v>
      </c>
      <c r="B406" s="23" t="s">
        <v>113</v>
      </c>
      <c r="C406" s="18" t="s">
        <v>126</v>
      </c>
      <c r="D406" s="18">
        <v>83</v>
      </c>
      <c r="E406" s="18" t="s">
        <v>128</v>
      </c>
      <c r="F406" s="18" t="str">
        <f>IF(OR(D406&gt;Answers!L421,D406&lt;Answers!L422),"Outlier","Normal")</f>
        <v>Outlier</v>
      </c>
      <c r="G406" s="19" t="str">
        <f t="shared" si="6"/>
        <v>40-50</v>
      </c>
    </row>
    <row r="407" spans="1:7" ht="20" customHeight="1" x14ac:dyDescent="0.35">
      <c r="A407" s="17">
        <v>406</v>
      </c>
      <c r="B407" s="23" t="s">
        <v>113</v>
      </c>
      <c r="C407" s="18" t="s">
        <v>126</v>
      </c>
      <c r="D407" s="18">
        <v>34</v>
      </c>
      <c r="E407" s="18" t="s">
        <v>128</v>
      </c>
      <c r="F407" s="18" t="str">
        <f>IF(OR(D407&gt;Answers!L422,D407&lt;Answers!L423),"Outlier","Normal")</f>
        <v>Outlier</v>
      </c>
      <c r="G407" s="19" t="str">
        <f t="shared" si="6"/>
        <v>30-40</v>
      </c>
    </row>
    <row r="408" spans="1:7" ht="20" customHeight="1" x14ac:dyDescent="0.35">
      <c r="A408" s="17">
        <v>407</v>
      </c>
      <c r="B408" s="23" t="s">
        <v>100</v>
      </c>
      <c r="C408" s="18" t="s">
        <v>126</v>
      </c>
      <c r="D408" s="18">
        <v>90</v>
      </c>
      <c r="E408" s="18" t="s">
        <v>128</v>
      </c>
      <c r="F408" s="18" t="str">
        <f>IF(OR(D408&gt;Answers!L423,D408&lt;Answers!L424),"Outlier","Normal")</f>
        <v>Outlier</v>
      </c>
      <c r="G408" s="19" t="str">
        <f t="shared" si="6"/>
        <v>40-50</v>
      </c>
    </row>
    <row r="409" spans="1:7" ht="20" customHeight="1" x14ac:dyDescent="0.35">
      <c r="A409" s="17">
        <v>408</v>
      </c>
      <c r="B409" s="23" t="s">
        <v>100</v>
      </c>
      <c r="C409" s="18" t="s">
        <v>125</v>
      </c>
      <c r="D409" s="18">
        <v>38</v>
      </c>
      <c r="E409" s="18" t="s">
        <v>128</v>
      </c>
      <c r="F409" s="18" t="str">
        <f>IF(OR(D409&gt;Answers!L424,D409&lt;Answers!L425),"Outlier","Normal")</f>
        <v>Outlier</v>
      </c>
      <c r="G409" s="19" t="str">
        <f t="shared" si="6"/>
        <v>30-40</v>
      </c>
    </row>
    <row r="410" spans="1:7" ht="20" customHeight="1" x14ac:dyDescent="0.35">
      <c r="A410" s="17">
        <v>409</v>
      </c>
      <c r="B410" s="23" t="s">
        <v>105</v>
      </c>
      <c r="C410" s="18" t="s">
        <v>125</v>
      </c>
      <c r="D410" s="18">
        <v>64</v>
      </c>
      <c r="E410" s="18" t="s">
        <v>128</v>
      </c>
      <c r="F410" s="18" t="str">
        <f>IF(OR(D410&gt;Answers!L425,D410&lt;Answers!L426),"Outlier","Normal")</f>
        <v>Outlier</v>
      </c>
      <c r="G410" s="19" t="str">
        <f t="shared" si="6"/>
        <v>40-50</v>
      </c>
    </row>
    <row r="411" spans="1:7" ht="20" customHeight="1" x14ac:dyDescent="0.35">
      <c r="A411" s="17">
        <v>410</v>
      </c>
      <c r="B411" s="23" t="s">
        <v>113</v>
      </c>
      <c r="C411" s="18" t="s">
        <v>126</v>
      </c>
      <c r="D411" s="18">
        <v>39</v>
      </c>
      <c r="E411" s="18" t="s">
        <v>128</v>
      </c>
      <c r="F411" s="18" t="str">
        <f>IF(OR(D411&gt;Answers!L426,D411&lt;Answers!L427),"Outlier","Normal")</f>
        <v>Outlier</v>
      </c>
      <c r="G411" s="19" t="str">
        <f t="shared" si="6"/>
        <v>30-40</v>
      </c>
    </row>
    <row r="412" spans="1:7" ht="20" customHeight="1" x14ac:dyDescent="0.35">
      <c r="A412" s="17">
        <v>411</v>
      </c>
      <c r="B412" s="23" t="s">
        <v>106</v>
      </c>
      <c r="C412" s="18" t="s">
        <v>125</v>
      </c>
      <c r="D412" s="18">
        <v>31</v>
      </c>
      <c r="E412" s="18" t="s">
        <v>128</v>
      </c>
      <c r="F412" s="18" t="str">
        <f>IF(OR(D412&gt;Answers!L427,D412&lt;Answers!L428),"Outlier","Normal")</f>
        <v>Outlier</v>
      </c>
      <c r="G412" s="19" t="str">
        <f t="shared" si="6"/>
        <v>30-40</v>
      </c>
    </row>
    <row r="413" spans="1:7" ht="20" customHeight="1" x14ac:dyDescent="0.35">
      <c r="A413" s="17">
        <v>412</v>
      </c>
      <c r="B413" s="23" t="s">
        <v>113</v>
      </c>
      <c r="C413" s="18" t="s">
        <v>126</v>
      </c>
      <c r="D413" s="18">
        <v>41</v>
      </c>
      <c r="E413" s="18" t="s">
        <v>128</v>
      </c>
      <c r="F413" s="18" t="str">
        <f>IF(OR(D413&gt;Answers!L428,D413&lt;Answers!L429),"Outlier","Normal")</f>
        <v>Outlier</v>
      </c>
      <c r="G413" s="19" t="str">
        <f t="shared" si="6"/>
        <v>40-50</v>
      </c>
    </row>
    <row r="414" spans="1:7" ht="20" customHeight="1" x14ac:dyDescent="0.35">
      <c r="A414" s="17">
        <v>413</v>
      </c>
      <c r="B414" s="23" t="s">
        <v>105</v>
      </c>
      <c r="C414" s="18" t="s">
        <v>125</v>
      </c>
      <c r="D414" s="18">
        <v>47</v>
      </c>
      <c r="E414" s="18" t="s">
        <v>128</v>
      </c>
      <c r="F414" s="18" t="str">
        <f>IF(OR(D414&gt;Answers!L429,D414&lt;Answers!L430),"Outlier","Normal")</f>
        <v>Outlier</v>
      </c>
      <c r="G414" s="19" t="str">
        <f t="shared" si="6"/>
        <v>40-50</v>
      </c>
    </row>
    <row r="415" spans="1:7" ht="20" customHeight="1" x14ac:dyDescent="0.35">
      <c r="A415" s="17">
        <v>414</v>
      </c>
      <c r="B415" s="23" t="s">
        <v>113</v>
      </c>
      <c r="C415" s="18" t="s">
        <v>125</v>
      </c>
      <c r="D415" s="18">
        <v>86</v>
      </c>
      <c r="E415" s="18" t="s">
        <v>128</v>
      </c>
      <c r="F415" s="18" t="str">
        <f>IF(OR(D415&gt;Answers!L430,D415&lt;Answers!L431),"Outlier","Normal")</f>
        <v>Outlier</v>
      </c>
      <c r="G415" s="19" t="str">
        <f t="shared" si="6"/>
        <v>40-50</v>
      </c>
    </row>
    <row r="416" spans="1:7" ht="20" customHeight="1" x14ac:dyDescent="0.35">
      <c r="A416" s="17">
        <v>415</v>
      </c>
      <c r="B416" s="23" t="s">
        <v>113</v>
      </c>
      <c r="C416" s="18" t="s">
        <v>125</v>
      </c>
      <c r="D416" s="18">
        <v>60</v>
      </c>
      <c r="E416" s="18" t="s">
        <v>128</v>
      </c>
      <c r="F416" s="18" t="str">
        <f>IF(OR(D416&gt;Answers!L431,D416&lt;Answers!L432),"Outlier","Normal")</f>
        <v>Outlier</v>
      </c>
      <c r="G416" s="19" t="str">
        <f t="shared" si="6"/>
        <v>40-50</v>
      </c>
    </row>
    <row r="417" spans="1:7" ht="20" customHeight="1" x14ac:dyDescent="0.35">
      <c r="A417" s="17">
        <v>416</v>
      </c>
      <c r="B417" s="23" t="s">
        <v>113</v>
      </c>
      <c r="C417" s="18" t="s">
        <v>126</v>
      </c>
      <c r="D417" s="18">
        <v>64</v>
      </c>
      <c r="E417" s="18" t="s">
        <v>128</v>
      </c>
      <c r="F417" s="18" t="str">
        <f>IF(OR(D417&gt;Answers!L432,D417&lt;Answers!L433),"Outlier","Normal")</f>
        <v>Outlier</v>
      </c>
      <c r="G417" s="19" t="str">
        <f t="shared" si="6"/>
        <v>40-50</v>
      </c>
    </row>
    <row r="418" spans="1:7" ht="20" customHeight="1" x14ac:dyDescent="0.35">
      <c r="A418" s="17">
        <v>417</v>
      </c>
      <c r="B418" s="23" t="s">
        <v>100</v>
      </c>
      <c r="C418" s="18" t="s">
        <v>125</v>
      </c>
      <c r="D418" s="18">
        <v>53</v>
      </c>
      <c r="E418" s="18" t="s">
        <v>128</v>
      </c>
      <c r="F418" s="18" t="str">
        <f>IF(OR(D418&gt;Answers!L433,D418&lt;Answers!L434),"Outlier","Normal")</f>
        <v>Outlier</v>
      </c>
      <c r="G418" s="19" t="str">
        <f t="shared" si="6"/>
        <v>40-50</v>
      </c>
    </row>
    <row r="419" spans="1:7" ht="20" customHeight="1" x14ac:dyDescent="0.35">
      <c r="A419" s="17">
        <v>418</v>
      </c>
      <c r="B419" s="23" t="s">
        <v>106</v>
      </c>
      <c r="C419" s="18" t="s">
        <v>126</v>
      </c>
      <c r="D419" s="18">
        <v>22</v>
      </c>
      <c r="E419" s="18" t="s">
        <v>128</v>
      </c>
      <c r="F419" s="18" t="str">
        <f>IF(OR(D419&gt;Answers!L434,D419&lt;Answers!L435),"Outlier","Normal")</f>
        <v>Outlier</v>
      </c>
      <c r="G419" s="19" t="str">
        <f t="shared" si="6"/>
        <v>20-30</v>
      </c>
    </row>
    <row r="420" spans="1:7" ht="20" customHeight="1" x14ac:dyDescent="0.35">
      <c r="A420" s="17">
        <v>419</v>
      </c>
      <c r="B420" s="23" t="s">
        <v>100</v>
      </c>
      <c r="C420" s="18" t="s">
        <v>125</v>
      </c>
      <c r="D420" s="18">
        <v>66</v>
      </c>
      <c r="E420" s="18" t="s">
        <v>128</v>
      </c>
      <c r="F420" s="18" t="str">
        <f>IF(OR(D420&gt;Answers!L435,D420&lt;Answers!L436),"Outlier","Normal")</f>
        <v>Outlier</v>
      </c>
      <c r="G420" s="19" t="str">
        <f t="shared" si="6"/>
        <v>40-50</v>
      </c>
    </row>
    <row r="421" spans="1:7" ht="20" customHeight="1" x14ac:dyDescent="0.35">
      <c r="A421" s="17">
        <v>420</v>
      </c>
      <c r="B421" s="23" t="s">
        <v>105</v>
      </c>
      <c r="C421" s="18" t="s">
        <v>126</v>
      </c>
      <c r="D421" s="18">
        <v>72</v>
      </c>
      <c r="E421" s="18" t="s">
        <v>128</v>
      </c>
      <c r="F421" s="18" t="str">
        <f>IF(OR(D421&gt;Answers!L436,D421&lt;Answers!L437),"Outlier","Normal")</f>
        <v>Outlier</v>
      </c>
      <c r="G421" s="19" t="str">
        <f t="shared" si="6"/>
        <v>40-50</v>
      </c>
    </row>
    <row r="422" spans="1:7" ht="20" customHeight="1" x14ac:dyDescent="0.35">
      <c r="A422" s="17">
        <v>421</v>
      </c>
      <c r="B422" s="23" t="s">
        <v>107</v>
      </c>
      <c r="C422" s="18" t="s">
        <v>125</v>
      </c>
      <c r="D422" s="18">
        <v>90</v>
      </c>
      <c r="E422" s="18" t="s">
        <v>128</v>
      </c>
      <c r="F422" s="18" t="str">
        <f>IF(OR(D422&gt;Answers!L437,D422&lt;Answers!L438),"Outlier","Normal")</f>
        <v>Outlier</v>
      </c>
      <c r="G422" s="19" t="str">
        <f t="shared" si="6"/>
        <v>40-50</v>
      </c>
    </row>
    <row r="423" spans="1:7" ht="20" customHeight="1" x14ac:dyDescent="0.35">
      <c r="A423" s="17">
        <v>422</v>
      </c>
      <c r="B423" s="23" t="s">
        <v>113</v>
      </c>
      <c r="C423" s="18" t="s">
        <v>126</v>
      </c>
      <c r="D423" s="18">
        <v>64</v>
      </c>
      <c r="E423" s="18" t="s">
        <v>128</v>
      </c>
      <c r="F423" s="18" t="str">
        <f>IF(OR(D423&gt;Answers!L438,D423&lt;Answers!L439),"Outlier","Normal")</f>
        <v>Outlier</v>
      </c>
      <c r="G423" s="19" t="str">
        <f t="shared" si="6"/>
        <v>40-50</v>
      </c>
    </row>
    <row r="424" spans="1:7" ht="20" customHeight="1" x14ac:dyDescent="0.35">
      <c r="A424" s="17">
        <v>423</v>
      </c>
      <c r="B424" s="23" t="s">
        <v>106</v>
      </c>
      <c r="C424" s="18" t="s">
        <v>126</v>
      </c>
      <c r="D424" s="18">
        <v>27</v>
      </c>
      <c r="E424" s="18" t="s">
        <v>128</v>
      </c>
      <c r="F424" s="18" t="str">
        <f>IF(OR(D424&gt;Answers!L439,D424&lt;Answers!L440),"Outlier","Normal")</f>
        <v>Outlier</v>
      </c>
      <c r="G424" s="19" t="str">
        <f t="shared" si="6"/>
        <v>20-30</v>
      </c>
    </row>
    <row r="425" spans="1:7" ht="20" customHeight="1" x14ac:dyDescent="0.35">
      <c r="A425" s="17">
        <v>424</v>
      </c>
      <c r="B425" s="23" t="s">
        <v>105</v>
      </c>
      <c r="C425" s="18" t="s">
        <v>125</v>
      </c>
      <c r="D425" s="18">
        <v>66</v>
      </c>
      <c r="E425" s="18" t="s">
        <v>128</v>
      </c>
      <c r="F425" s="18" t="str">
        <f>IF(OR(D425&gt;Answers!L440,D425&lt;Answers!L441),"Outlier","Normal")</f>
        <v>Outlier</v>
      </c>
      <c r="G425" s="19" t="str">
        <f t="shared" si="6"/>
        <v>40-50</v>
      </c>
    </row>
    <row r="426" spans="1:7" ht="20" customHeight="1" x14ac:dyDescent="0.35">
      <c r="A426" s="17">
        <v>425</v>
      </c>
      <c r="B426" s="23" t="s">
        <v>113</v>
      </c>
      <c r="C426" s="18" t="s">
        <v>125</v>
      </c>
      <c r="D426" s="18">
        <v>51</v>
      </c>
      <c r="E426" s="18" t="s">
        <v>128</v>
      </c>
      <c r="F426" s="18" t="str">
        <f>IF(OR(D426&gt;Answers!L441,D426&lt;Answers!L442),"Outlier","Normal")</f>
        <v>Outlier</v>
      </c>
      <c r="G426" s="19" t="str">
        <f t="shared" si="6"/>
        <v>40-50</v>
      </c>
    </row>
    <row r="427" spans="1:7" ht="20" customHeight="1" x14ac:dyDescent="0.35">
      <c r="A427" s="17">
        <v>426</v>
      </c>
      <c r="B427" s="23" t="s">
        <v>106</v>
      </c>
      <c r="C427" s="18" t="s">
        <v>126</v>
      </c>
      <c r="D427" s="18">
        <v>78</v>
      </c>
      <c r="E427" s="18" t="s">
        <v>128</v>
      </c>
      <c r="F427" s="18" t="str">
        <f>IF(OR(D427&gt;Answers!L442,D427&lt;Answers!L443),"Outlier","Normal")</f>
        <v>Outlier</v>
      </c>
      <c r="G427" s="19" t="str">
        <f t="shared" si="6"/>
        <v>40-50</v>
      </c>
    </row>
    <row r="428" spans="1:7" ht="20" customHeight="1" x14ac:dyDescent="0.35">
      <c r="A428" s="17">
        <v>427</v>
      </c>
      <c r="B428" s="23" t="s">
        <v>113</v>
      </c>
      <c r="C428" s="18" t="s">
        <v>125</v>
      </c>
      <c r="D428" s="18">
        <v>59</v>
      </c>
      <c r="E428" s="18" t="s">
        <v>128</v>
      </c>
      <c r="F428" s="18" t="str">
        <f>IF(OR(D428&gt;Answers!L443,D428&lt;Answers!L444),"Outlier","Normal")</f>
        <v>Outlier</v>
      </c>
      <c r="G428" s="19" t="str">
        <f t="shared" si="6"/>
        <v>40-50</v>
      </c>
    </row>
    <row r="429" spans="1:7" ht="20" customHeight="1" x14ac:dyDescent="0.35">
      <c r="A429" s="17">
        <v>428</v>
      </c>
      <c r="B429" s="23" t="s">
        <v>101</v>
      </c>
      <c r="C429" s="18" t="s">
        <v>126</v>
      </c>
      <c r="D429" s="18">
        <v>87</v>
      </c>
      <c r="E429" s="18" t="s">
        <v>128</v>
      </c>
      <c r="F429" s="18" t="str">
        <f>IF(OR(D429&gt;Answers!L444,D429&lt;Answers!L445),"Outlier","Normal")</f>
        <v>Outlier</v>
      </c>
      <c r="G429" s="19" t="str">
        <f t="shared" si="6"/>
        <v>40-50</v>
      </c>
    </row>
    <row r="430" spans="1:7" ht="20" customHeight="1" x14ac:dyDescent="0.35">
      <c r="A430" s="17">
        <v>429</v>
      </c>
      <c r="B430" s="23" t="s">
        <v>109</v>
      </c>
      <c r="C430" s="18" t="s">
        <v>126</v>
      </c>
      <c r="D430" s="18">
        <v>58</v>
      </c>
      <c r="E430" s="18" t="s">
        <v>128</v>
      </c>
      <c r="F430" s="18" t="str">
        <f>IF(OR(D430&gt;Answers!L445,D430&lt;Answers!L446),"Outlier","Normal")</f>
        <v>Outlier</v>
      </c>
      <c r="G430" s="19" t="str">
        <f t="shared" si="6"/>
        <v>40-50</v>
      </c>
    </row>
    <row r="431" spans="1:7" ht="20" customHeight="1" x14ac:dyDescent="0.35">
      <c r="A431" s="17">
        <v>430</v>
      </c>
      <c r="B431" s="23" t="s">
        <v>113</v>
      </c>
      <c r="C431" s="18" t="s">
        <v>125</v>
      </c>
      <c r="D431" s="18">
        <v>82</v>
      </c>
      <c r="E431" s="18" t="s">
        <v>128</v>
      </c>
      <c r="F431" s="18" t="str">
        <f>IF(OR(D431&gt;Answers!L446,D431&lt;Answers!L447),"Outlier","Normal")</f>
        <v>Outlier</v>
      </c>
      <c r="G431" s="19" t="str">
        <f t="shared" si="6"/>
        <v>40-50</v>
      </c>
    </row>
    <row r="432" spans="1:7" ht="20" customHeight="1" x14ac:dyDescent="0.35">
      <c r="A432" s="17">
        <v>431</v>
      </c>
      <c r="B432" s="23" t="s">
        <v>113</v>
      </c>
      <c r="C432" s="18" t="s">
        <v>126</v>
      </c>
      <c r="D432" s="18">
        <v>34</v>
      </c>
      <c r="E432" s="18" t="s">
        <v>128</v>
      </c>
      <c r="F432" s="18" t="str">
        <f>IF(OR(D432&gt;Answers!L447,D432&lt;Answers!L448),"Outlier","Normal")</f>
        <v>Outlier</v>
      </c>
      <c r="G432" s="19" t="str">
        <f t="shared" si="6"/>
        <v>30-40</v>
      </c>
    </row>
    <row r="433" spans="1:7" ht="20" customHeight="1" x14ac:dyDescent="0.35">
      <c r="A433" s="17">
        <v>432</v>
      </c>
      <c r="B433" s="23" t="s">
        <v>105</v>
      </c>
      <c r="C433" s="18" t="s">
        <v>126</v>
      </c>
      <c r="D433" s="18">
        <v>32</v>
      </c>
      <c r="E433" s="18" t="s">
        <v>128</v>
      </c>
      <c r="F433" s="18" t="str">
        <f>IF(OR(D433&gt;Answers!L448,D433&lt;Answers!L449),"Outlier","Normal")</f>
        <v>Outlier</v>
      </c>
      <c r="G433" s="19" t="str">
        <f t="shared" si="6"/>
        <v>30-40</v>
      </c>
    </row>
    <row r="434" spans="1:7" ht="20" customHeight="1" x14ac:dyDescent="0.35">
      <c r="A434" s="17">
        <v>433</v>
      </c>
      <c r="B434" s="23" t="s">
        <v>113</v>
      </c>
      <c r="C434" s="18" t="s">
        <v>125</v>
      </c>
      <c r="D434" s="18">
        <v>55</v>
      </c>
      <c r="E434" s="18" t="s">
        <v>128</v>
      </c>
      <c r="F434" s="18" t="str">
        <f>IF(OR(D434&gt;Answers!L449,D434&lt;Answers!L450),"Outlier","Normal")</f>
        <v>Outlier</v>
      </c>
      <c r="G434" s="19" t="str">
        <f t="shared" si="6"/>
        <v>40-50</v>
      </c>
    </row>
    <row r="435" spans="1:7" ht="20" customHeight="1" x14ac:dyDescent="0.35">
      <c r="A435" s="17">
        <v>434</v>
      </c>
      <c r="B435" s="23" t="s">
        <v>103</v>
      </c>
      <c r="C435" s="18" t="s">
        <v>125</v>
      </c>
      <c r="D435" s="18">
        <v>21</v>
      </c>
      <c r="E435" s="18" t="s">
        <v>128</v>
      </c>
      <c r="F435" s="18" t="str">
        <f>IF(OR(D435&gt;Answers!L450,D435&lt;Answers!L451),"Outlier","Normal")</f>
        <v>Outlier</v>
      </c>
      <c r="G435" s="19" t="str">
        <f t="shared" si="6"/>
        <v>20-30</v>
      </c>
    </row>
    <row r="436" spans="1:7" ht="20" customHeight="1" x14ac:dyDescent="0.35">
      <c r="A436" s="17">
        <v>435</v>
      </c>
      <c r="B436" s="23" t="s">
        <v>113</v>
      </c>
      <c r="C436" s="18" t="s">
        <v>126</v>
      </c>
      <c r="D436" s="18">
        <v>89</v>
      </c>
      <c r="E436" s="18" t="s">
        <v>128</v>
      </c>
      <c r="F436" s="18" t="str">
        <f>IF(OR(D436&gt;Answers!L451,D436&lt;Answers!L452),"Outlier","Normal")</f>
        <v>Outlier</v>
      </c>
      <c r="G436" s="19" t="str">
        <f t="shared" si="6"/>
        <v>40-50</v>
      </c>
    </row>
    <row r="437" spans="1:7" ht="20" customHeight="1" x14ac:dyDescent="0.35">
      <c r="A437" s="17">
        <v>436</v>
      </c>
      <c r="B437" s="23" t="s">
        <v>105</v>
      </c>
      <c r="C437" s="18" t="s">
        <v>125</v>
      </c>
      <c r="D437" s="18">
        <v>81</v>
      </c>
      <c r="E437" s="18" t="s">
        <v>128</v>
      </c>
      <c r="F437" s="18" t="str">
        <f>IF(OR(D437&gt;Answers!L452,D437&lt;Answers!L453),"Outlier","Normal")</f>
        <v>Outlier</v>
      </c>
      <c r="G437" s="19" t="str">
        <f t="shared" si="6"/>
        <v>40-50</v>
      </c>
    </row>
    <row r="438" spans="1:7" ht="20" customHeight="1" x14ac:dyDescent="0.35">
      <c r="A438" s="17">
        <v>437</v>
      </c>
      <c r="B438" s="23" t="s">
        <v>99</v>
      </c>
      <c r="C438" s="18" t="s">
        <v>126</v>
      </c>
      <c r="D438" s="18">
        <v>22</v>
      </c>
      <c r="E438" s="18" t="s">
        <v>128</v>
      </c>
      <c r="F438" s="18" t="str">
        <f>IF(OR(D438&gt;Answers!L453,D438&lt;Answers!L454),"Outlier","Normal")</f>
        <v>Outlier</v>
      </c>
      <c r="G438" s="19" t="str">
        <f t="shared" si="6"/>
        <v>20-30</v>
      </c>
    </row>
    <row r="439" spans="1:7" ht="20" customHeight="1" x14ac:dyDescent="0.35">
      <c r="A439" s="17">
        <v>438</v>
      </c>
      <c r="B439" s="23" t="s">
        <v>99</v>
      </c>
      <c r="C439" s="18" t="s">
        <v>125</v>
      </c>
      <c r="D439" s="18">
        <v>25</v>
      </c>
      <c r="E439" s="18" t="s">
        <v>128</v>
      </c>
      <c r="F439" s="18" t="str">
        <f>IF(OR(D439&gt;Answers!L454,D439&lt;Answers!L455),"Outlier","Normal")</f>
        <v>Outlier</v>
      </c>
      <c r="G439" s="19" t="str">
        <f t="shared" si="6"/>
        <v>20-30</v>
      </c>
    </row>
    <row r="440" spans="1:7" ht="20" customHeight="1" x14ac:dyDescent="0.35">
      <c r="A440" s="17">
        <v>439</v>
      </c>
      <c r="B440" s="23" t="s">
        <v>105</v>
      </c>
      <c r="C440" s="18" t="s">
        <v>125</v>
      </c>
      <c r="D440" s="18">
        <v>74</v>
      </c>
      <c r="E440" s="18" t="s">
        <v>128</v>
      </c>
      <c r="F440" s="18" t="str">
        <f>IF(OR(D440&gt;Answers!L455,D440&lt;Answers!L456),"Outlier","Normal")</f>
        <v>Outlier</v>
      </c>
      <c r="G440" s="19" t="str">
        <f t="shared" si="6"/>
        <v>40-50</v>
      </c>
    </row>
    <row r="441" spans="1:7" ht="20" customHeight="1" x14ac:dyDescent="0.35">
      <c r="A441" s="17">
        <v>440</v>
      </c>
      <c r="B441" s="23" t="s">
        <v>109</v>
      </c>
      <c r="C441" s="18" t="s">
        <v>125</v>
      </c>
      <c r="D441" s="18">
        <v>83</v>
      </c>
      <c r="E441" s="18" t="s">
        <v>128</v>
      </c>
      <c r="F441" s="18" t="str">
        <f>IF(OR(D441&gt;Answers!L456,D441&lt;Answers!L457),"Outlier","Normal")</f>
        <v>Outlier</v>
      </c>
      <c r="G441" s="19" t="str">
        <f t="shared" si="6"/>
        <v>40-50</v>
      </c>
    </row>
    <row r="442" spans="1:7" ht="20" customHeight="1" x14ac:dyDescent="0.35">
      <c r="A442" s="17">
        <v>441</v>
      </c>
      <c r="B442" s="23" t="s">
        <v>99</v>
      </c>
      <c r="C442" s="18" t="s">
        <v>125</v>
      </c>
      <c r="D442" s="18">
        <v>77</v>
      </c>
      <c r="E442" s="18" t="s">
        <v>128</v>
      </c>
      <c r="F442" s="18" t="str">
        <f>IF(OR(D442&gt;Answers!L457,D442&lt;Answers!L458),"Outlier","Normal")</f>
        <v>Outlier</v>
      </c>
      <c r="G442" s="19" t="str">
        <f t="shared" si="6"/>
        <v>40-50</v>
      </c>
    </row>
    <row r="443" spans="1:7" ht="20" customHeight="1" x14ac:dyDescent="0.35">
      <c r="A443" s="17">
        <v>442</v>
      </c>
      <c r="B443" s="23" t="s">
        <v>99</v>
      </c>
      <c r="C443" s="18" t="s">
        <v>125</v>
      </c>
      <c r="D443" s="18">
        <v>62</v>
      </c>
      <c r="E443" s="18" t="s">
        <v>128</v>
      </c>
      <c r="F443" s="18" t="str">
        <f>IF(OR(D443&gt;Answers!L458,D443&lt;Answers!L459),"Outlier","Normal")</f>
        <v>Outlier</v>
      </c>
      <c r="G443" s="19" t="str">
        <f t="shared" si="6"/>
        <v>40-50</v>
      </c>
    </row>
    <row r="444" spans="1:7" ht="20" customHeight="1" x14ac:dyDescent="0.35">
      <c r="A444" s="17">
        <v>443</v>
      </c>
      <c r="B444" s="23" t="s">
        <v>99</v>
      </c>
      <c r="C444" s="18" t="s">
        <v>126</v>
      </c>
      <c r="D444" s="18">
        <v>18</v>
      </c>
      <c r="E444" s="18" t="s">
        <v>128</v>
      </c>
      <c r="F444" s="18" t="str">
        <f>IF(OR(D444&gt;Answers!L459,D444&lt;Answers!L460),"Outlier","Normal")</f>
        <v>Outlier</v>
      </c>
      <c r="G444" s="19" t="str">
        <f t="shared" si="6"/>
        <v>&lt;20</v>
      </c>
    </row>
    <row r="445" spans="1:7" ht="20" customHeight="1" x14ac:dyDescent="0.35">
      <c r="A445" s="17">
        <v>444</v>
      </c>
      <c r="B445" s="23" t="s">
        <v>105</v>
      </c>
      <c r="C445" s="18" t="s">
        <v>126</v>
      </c>
      <c r="D445" s="18">
        <v>23</v>
      </c>
      <c r="E445" s="18" t="s">
        <v>128</v>
      </c>
      <c r="F445" s="18" t="str">
        <f>IF(OR(D445&gt;Answers!L460,D445&lt;Answers!L461),"Outlier","Normal")</f>
        <v>Outlier</v>
      </c>
      <c r="G445" s="19" t="str">
        <f t="shared" si="6"/>
        <v>20-30</v>
      </c>
    </row>
    <row r="446" spans="1:7" ht="20" customHeight="1" x14ac:dyDescent="0.35">
      <c r="A446" s="17">
        <v>445</v>
      </c>
      <c r="B446" s="23" t="s">
        <v>99</v>
      </c>
      <c r="C446" s="18" t="s">
        <v>126</v>
      </c>
      <c r="D446" s="18">
        <v>47</v>
      </c>
      <c r="E446" s="18" t="s">
        <v>128</v>
      </c>
      <c r="F446" s="18" t="str">
        <f>IF(OR(D446&gt;Answers!L461,D446&lt;Answers!L462),"Outlier","Normal")</f>
        <v>Outlier</v>
      </c>
      <c r="G446" s="19" t="str">
        <f t="shared" si="6"/>
        <v>40-50</v>
      </c>
    </row>
    <row r="447" spans="1:7" ht="20" customHeight="1" x14ac:dyDescent="0.35">
      <c r="A447" s="17">
        <v>446</v>
      </c>
      <c r="B447" s="23" t="s">
        <v>99</v>
      </c>
      <c r="C447" s="18" t="s">
        <v>125</v>
      </c>
      <c r="D447" s="18">
        <v>67</v>
      </c>
      <c r="E447" s="18" t="s">
        <v>128</v>
      </c>
      <c r="F447" s="18" t="str">
        <f>IF(OR(D447&gt;Answers!L462,D447&lt;Answers!L463),"Outlier","Normal")</f>
        <v>Outlier</v>
      </c>
      <c r="G447" s="19" t="str">
        <f t="shared" si="6"/>
        <v>40-50</v>
      </c>
    </row>
    <row r="448" spans="1:7" ht="20" customHeight="1" x14ac:dyDescent="0.35">
      <c r="A448" s="17">
        <v>447</v>
      </c>
      <c r="B448" s="23" t="s">
        <v>99</v>
      </c>
      <c r="C448" s="18" t="s">
        <v>126</v>
      </c>
      <c r="D448" s="18">
        <v>77</v>
      </c>
      <c r="E448" s="18" t="s">
        <v>128</v>
      </c>
      <c r="F448" s="18" t="str">
        <f>IF(OR(D448&gt;Answers!L463,D448&lt;Answers!L464),"Outlier","Normal")</f>
        <v>Outlier</v>
      </c>
      <c r="G448" s="19" t="str">
        <f t="shared" si="6"/>
        <v>40-50</v>
      </c>
    </row>
    <row r="449" spans="1:7" ht="20" customHeight="1" x14ac:dyDescent="0.35">
      <c r="A449" s="17">
        <v>448</v>
      </c>
      <c r="B449" s="23" t="s">
        <v>101</v>
      </c>
      <c r="C449" s="18" t="s">
        <v>125</v>
      </c>
      <c r="D449" s="18">
        <v>64</v>
      </c>
      <c r="E449" s="18" t="s">
        <v>128</v>
      </c>
      <c r="F449" s="18" t="str">
        <f>IF(OR(D449&gt;Answers!L464,D449&lt;Answers!L465),"Outlier","Normal")</f>
        <v>Outlier</v>
      </c>
      <c r="G449" s="19" t="str">
        <f t="shared" si="6"/>
        <v>40-50</v>
      </c>
    </row>
    <row r="450" spans="1:7" ht="20" customHeight="1" x14ac:dyDescent="0.35">
      <c r="A450" s="17">
        <v>449</v>
      </c>
      <c r="B450" s="23" t="s">
        <v>99</v>
      </c>
      <c r="C450" s="18" t="s">
        <v>125</v>
      </c>
      <c r="D450" s="18">
        <v>53</v>
      </c>
      <c r="E450" s="18" t="s">
        <v>128</v>
      </c>
      <c r="F450" s="18" t="str">
        <f>IF(OR(D450&gt;Answers!L465,D450&lt;Answers!L466),"Outlier","Normal")</f>
        <v>Outlier</v>
      </c>
      <c r="G450" s="19" t="str">
        <f t="shared" si="6"/>
        <v>40-50</v>
      </c>
    </row>
    <row r="451" spans="1:7" ht="20" customHeight="1" x14ac:dyDescent="0.35">
      <c r="A451" s="17">
        <v>450</v>
      </c>
      <c r="B451" s="23" t="s">
        <v>107</v>
      </c>
      <c r="C451" s="18" t="s">
        <v>126</v>
      </c>
      <c r="D451" s="18">
        <v>53</v>
      </c>
      <c r="E451" s="18" t="s">
        <v>128</v>
      </c>
      <c r="F451" s="18" t="str">
        <f>IF(OR(D451&gt;Answers!L466,D451&lt;Answers!L467),"Outlier","Normal")</f>
        <v>Outlier</v>
      </c>
      <c r="G451" s="19" t="str">
        <f t="shared" ref="G451:G514" si="7">IF(D451&lt;20,"&lt;20",
IF(D451&lt;=30,"20-30",
IF(D451&lt;=40,"30-40","40-50")))</f>
        <v>40-50</v>
      </c>
    </row>
    <row r="452" spans="1:7" ht="20" customHeight="1" x14ac:dyDescent="0.35">
      <c r="A452" s="17">
        <v>451</v>
      </c>
      <c r="B452" s="23" t="s">
        <v>103</v>
      </c>
      <c r="C452" s="18" t="s">
        <v>125</v>
      </c>
      <c r="D452" s="18">
        <v>74</v>
      </c>
      <c r="E452" s="18" t="s">
        <v>128</v>
      </c>
      <c r="F452" s="18" t="str">
        <f>IF(OR(D452&gt;Answers!L467,D452&lt;Answers!L468),"Outlier","Normal")</f>
        <v>Outlier</v>
      </c>
      <c r="G452" s="19" t="str">
        <f t="shared" si="7"/>
        <v>40-50</v>
      </c>
    </row>
    <row r="453" spans="1:7" ht="20" customHeight="1" x14ac:dyDescent="0.35">
      <c r="A453" s="17">
        <v>452</v>
      </c>
      <c r="B453" s="23" t="s">
        <v>105</v>
      </c>
      <c r="C453" s="18" t="s">
        <v>125</v>
      </c>
      <c r="D453" s="18">
        <v>75</v>
      </c>
      <c r="E453" s="18" t="s">
        <v>128</v>
      </c>
      <c r="F453" s="18" t="str">
        <f>IF(OR(D453&gt;Answers!L468,D453&lt;Answers!L469),"Outlier","Normal")</f>
        <v>Outlier</v>
      </c>
      <c r="G453" s="19" t="str">
        <f t="shared" si="7"/>
        <v>40-50</v>
      </c>
    </row>
    <row r="454" spans="1:7" ht="20" customHeight="1" x14ac:dyDescent="0.35">
      <c r="A454" s="17">
        <v>453</v>
      </c>
      <c r="B454" s="23" t="s">
        <v>100</v>
      </c>
      <c r="C454" s="18" t="s">
        <v>125</v>
      </c>
      <c r="D454" s="18">
        <v>52</v>
      </c>
      <c r="E454" s="18" t="s">
        <v>128</v>
      </c>
      <c r="F454" s="18" t="str">
        <f>IF(OR(D454&gt;Answers!L469,D454&lt;Answers!L470),"Outlier","Normal")</f>
        <v>Outlier</v>
      </c>
      <c r="G454" s="19" t="str">
        <f t="shared" si="7"/>
        <v>40-50</v>
      </c>
    </row>
    <row r="455" spans="1:7" ht="20" customHeight="1" x14ac:dyDescent="0.35">
      <c r="A455" s="17">
        <v>454</v>
      </c>
      <c r="B455" s="23" t="s">
        <v>99</v>
      </c>
      <c r="C455" s="18" t="s">
        <v>126</v>
      </c>
      <c r="D455" s="18">
        <v>37</v>
      </c>
      <c r="E455" s="18" t="s">
        <v>128</v>
      </c>
      <c r="F455" s="18" t="str">
        <f>IF(OR(D455&gt;Answers!L470,D455&lt;Answers!L471),"Outlier","Normal")</f>
        <v>Outlier</v>
      </c>
      <c r="G455" s="19" t="str">
        <f t="shared" si="7"/>
        <v>30-40</v>
      </c>
    </row>
    <row r="456" spans="1:7" ht="20" customHeight="1" x14ac:dyDescent="0.35">
      <c r="A456" s="17">
        <v>455</v>
      </c>
      <c r="B456" s="23" t="s">
        <v>109</v>
      </c>
      <c r="C456" s="18" t="s">
        <v>126</v>
      </c>
      <c r="D456" s="18">
        <v>52</v>
      </c>
      <c r="E456" s="18" t="s">
        <v>128</v>
      </c>
      <c r="F456" s="18" t="str">
        <f>IF(OR(D456&gt;Answers!L471,D456&lt;Answers!L472),"Outlier","Normal")</f>
        <v>Outlier</v>
      </c>
      <c r="G456" s="19" t="str">
        <f t="shared" si="7"/>
        <v>40-50</v>
      </c>
    </row>
    <row r="457" spans="1:7" ht="20" customHeight="1" x14ac:dyDescent="0.35">
      <c r="A457" s="17">
        <v>456</v>
      </c>
      <c r="B457" s="23" t="s">
        <v>101</v>
      </c>
      <c r="C457" s="18" t="s">
        <v>125</v>
      </c>
      <c r="D457" s="18">
        <v>75</v>
      </c>
      <c r="E457" s="18" t="s">
        <v>128</v>
      </c>
      <c r="F457" s="18" t="str">
        <f>IF(OR(D457&gt;Answers!L472,D457&lt;Answers!L473),"Outlier","Normal")</f>
        <v>Outlier</v>
      </c>
      <c r="G457" s="19" t="str">
        <f t="shared" si="7"/>
        <v>40-50</v>
      </c>
    </row>
    <row r="458" spans="1:7" ht="20" customHeight="1" x14ac:dyDescent="0.35">
      <c r="A458" s="17">
        <v>457</v>
      </c>
      <c r="B458" s="23" t="s">
        <v>108</v>
      </c>
      <c r="C458" s="18" t="s">
        <v>126</v>
      </c>
      <c r="D458" s="18">
        <v>54</v>
      </c>
      <c r="E458" s="18" t="s">
        <v>128</v>
      </c>
      <c r="F458" s="18" t="str">
        <f>IF(OR(D458&gt;Answers!L473,D458&lt;Answers!L474),"Outlier","Normal")</f>
        <v>Outlier</v>
      </c>
      <c r="G458" s="19" t="str">
        <f t="shared" si="7"/>
        <v>40-50</v>
      </c>
    </row>
    <row r="459" spans="1:7" ht="20" customHeight="1" x14ac:dyDescent="0.35">
      <c r="A459" s="17">
        <v>458</v>
      </c>
      <c r="B459" s="23" t="s">
        <v>102</v>
      </c>
      <c r="C459" s="18" t="s">
        <v>125</v>
      </c>
      <c r="D459" s="18">
        <v>60</v>
      </c>
      <c r="E459" s="18" t="s">
        <v>128</v>
      </c>
      <c r="F459" s="18" t="str">
        <f>IF(OR(D459&gt;Answers!L474,D459&lt;Answers!L475),"Outlier","Normal")</f>
        <v>Outlier</v>
      </c>
      <c r="G459" s="19" t="str">
        <f t="shared" si="7"/>
        <v>40-50</v>
      </c>
    </row>
    <row r="460" spans="1:7" ht="20" customHeight="1" x14ac:dyDescent="0.35">
      <c r="A460" s="17">
        <v>459</v>
      </c>
      <c r="B460" s="23" t="s">
        <v>107</v>
      </c>
      <c r="C460" s="18" t="s">
        <v>126</v>
      </c>
      <c r="D460" s="18">
        <v>30</v>
      </c>
      <c r="E460" s="18" t="s">
        <v>128</v>
      </c>
      <c r="F460" s="18" t="str">
        <f>IF(OR(D460&gt;Answers!L475,D460&lt;Answers!L476),"Outlier","Normal")</f>
        <v>Outlier</v>
      </c>
      <c r="G460" s="19" t="str">
        <f t="shared" si="7"/>
        <v>20-30</v>
      </c>
    </row>
    <row r="461" spans="1:7" ht="20" customHeight="1" x14ac:dyDescent="0.35">
      <c r="A461" s="17">
        <v>460</v>
      </c>
      <c r="B461" s="23" t="s">
        <v>101</v>
      </c>
      <c r="C461" s="18" t="s">
        <v>126</v>
      </c>
      <c r="D461" s="18">
        <v>58</v>
      </c>
      <c r="E461" s="18" t="s">
        <v>128</v>
      </c>
      <c r="F461" s="18" t="str">
        <f>IF(OR(D461&gt;Answers!L476,D461&lt;Answers!L477),"Outlier","Normal")</f>
        <v>Outlier</v>
      </c>
      <c r="G461" s="19" t="str">
        <f t="shared" si="7"/>
        <v>40-50</v>
      </c>
    </row>
    <row r="462" spans="1:7" ht="20" customHeight="1" x14ac:dyDescent="0.35">
      <c r="A462" s="17">
        <v>461</v>
      </c>
      <c r="B462" s="23" t="s">
        <v>101</v>
      </c>
      <c r="C462" s="18" t="s">
        <v>125</v>
      </c>
      <c r="D462" s="18">
        <v>77</v>
      </c>
      <c r="E462" s="18" t="s">
        <v>128</v>
      </c>
      <c r="F462" s="18" t="str">
        <f>IF(OR(D462&gt;Answers!L477,D462&lt;Answers!L478),"Outlier","Normal")</f>
        <v>Outlier</v>
      </c>
      <c r="G462" s="19" t="str">
        <f t="shared" si="7"/>
        <v>40-50</v>
      </c>
    </row>
    <row r="463" spans="1:7" ht="20" customHeight="1" x14ac:dyDescent="0.35">
      <c r="A463" s="17">
        <v>462</v>
      </c>
      <c r="B463" s="23" t="s">
        <v>99</v>
      </c>
      <c r="C463" s="18" t="s">
        <v>126</v>
      </c>
      <c r="D463" s="18">
        <v>80</v>
      </c>
      <c r="E463" s="18" t="s">
        <v>128</v>
      </c>
      <c r="F463" s="18" t="str">
        <f>IF(OR(D463&gt;Answers!L478,D463&lt;Answers!L479),"Outlier","Normal")</f>
        <v>Outlier</v>
      </c>
      <c r="G463" s="19" t="str">
        <f t="shared" si="7"/>
        <v>40-50</v>
      </c>
    </row>
    <row r="464" spans="1:7" ht="20" customHeight="1" x14ac:dyDescent="0.35">
      <c r="A464" s="17">
        <v>463</v>
      </c>
      <c r="B464" s="23" t="s">
        <v>109</v>
      </c>
      <c r="C464" s="18" t="s">
        <v>125</v>
      </c>
      <c r="D464" s="18">
        <v>55</v>
      </c>
      <c r="E464" s="18" t="s">
        <v>128</v>
      </c>
      <c r="F464" s="18" t="str">
        <f>IF(OR(D464&gt;Answers!L479,D464&lt;Answers!L480),"Outlier","Normal")</f>
        <v>Outlier</v>
      </c>
      <c r="G464" s="19" t="str">
        <f t="shared" si="7"/>
        <v>40-50</v>
      </c>
    </row>
    <row r="465" spans="1:7" ht="20" customHeight="1" x14ac:dyDescent="0.35">
      <c r="A465" s="17">
        <v>464</v>
      </c>
      <c r="B465" s="23" t="s">
        <v>107</v>
      </c>
      <c r="C465" s="18" t="s">
        <v>126</v>
      </c>
      <c r="D465" s="18">
        <v>26</v>
      </c>
      <c r="E465" s="18" t="s">
        <v>128</v>
      </c>
      <c r="F465" s="18" t="str">
        <f>IF(OR(D465&gt;Answers!L480,D465&lt;Answers!L481),"Outlier","Normal")</f>
        <v>Outlier</v>
      </c>
      <c r="G465" s="19" t="str">
        <f t="shared" si="7"/>
        <v>20-30</v>
      </c>
    </row>
    <row r="466" spans="1:7" ht="20" customHeight="1" x14ac:dyDescent="0.35">
      <c r="A466" s="17">
        <v>465</v>
      </c>
      <c r="B466" s="23" t="s">
        <v>99</v>
      </c>
      <c r="C466" s="18" t="s">
        <v>125</v>
      </c>
      <c r="D466" s="18">
        <v>49</v>
      </c>
      <c r="E466" s="18" t="s">
        <v>128</v>
      </c>
      <c r="F466" s="18" t="str">
        <f>IF(OR(D466&gt;Answers!L481,D466&lt;Answers!L482),"Outlier","Normal")</f>
        <v>Outlier</v>
      </c>
      <c r="G466" s="19" t="str">
        <f t="shared" si="7"/>
        <v>40-50</v>
      </c>
    </row>
    <row r="467" spans="1:7" ht="20" customHeight="1" x14ac:dyDescent="0.35">
      <c r="A467" s="17">
        <v>466</v>
      </c>
      <c r="B467" s="23" t="s">
        <v>107</v>
      </c>
      <c r="C467" s="18" t="s">
        <v>126</v>
      </c>
      <c r="D467" s="18">
        <v>32</v>
      </c>
      <c r="E467" s="18" t="s">
        <v>128</v>
      </c>
      <c r="F467" s="18" t="str">
        <f>IF(OR(D467&gt;Answers!L482,D467&lt;Answers!L483),"Outlier","Normal")</f>
        <v>Outlier</v>
      </c>
      <c r="G467" s="19" t="str">
        <f t="shared" si="7"/>
        <v>30-40</v>
      </c>
    </row>
    <row r="468" spans="1:7" ht="20" customHeight="1" x14ac:dyDescent="0.35">
      <c r="A468" s="17">
        <v>467</v>
      </c>
      <c r="B468" s="23" t="s">
        <v>100</v>
      </c>
      <c r="C468" s="18" t="s">
        <v>125</v>
      </c>
      <c r="D468" s="18">
        <v>62</v>
      </c>
      <c r="E468" s="18" t="s">
        <v>128</v>
      </c>
      <c r="F468" s="18" t="str">
        <f>IF(OR(D468&gt;Answers!L483,D468&lt;Answers!L484),"Outlier","Normal")</f>
        <v>Outlier</v>
      </c>
      <c r="G468" s="19" t="str">
        <f t="shared" si="7"/>
        <v>40-50</v>
      </c>
    </row>
    <row r="469" spans="1:7" ht="20" customHeight="1" x14ac:dyDescent="0.35">
      <c r="A469" s="17">
        <v>468</v>
      </c>
      <c r="B469" s="23" t="s">
        <v>103</v>
      </c>
      <c r="C469" s="18" t="s">
        <v>125</v>
      </c>
      <c r="D469" s="18">
        <v>64</v>
      </c>
      <c r="E469" s="18" t="s">
        <v>128</v>
      </c>
      <c r="F469" s="18" t="str">
        <f>IF(OR(D469&gt;Answers!L484,D469&lt;Answers!L485),"Outlier","Normal")</f>
        <v>Outlier</v>
      </c>
      <c r="G469" s="19" t="str">
        <f t="shared" si="7"/>
        <v>40-50</v>
      </c>
    </row>
    <row r="470" spans="1:7" ht="20" customHeight="1" x14ac:dyDescent="0.35">
      <c r="A470" s="17">
        <v>469</v>
      </c>
      <c r="B470" s="23" t="s">
        <v>100</v>
      </c>
      <c r="C470" s="18" t="s">
        <v>126</v>
      </c>
      <c r="D470" s="18">
        <v>90</v>
      </c>
      <c r="E470" s="18" t="s">
        <v>128</v>
      </c>
      <c r="F470" s="18" t="str">
        <f>IF(OR(D470&gt;Answers!L485,D470&lt;Answers!L486),"Outlier","Normal")</f>
        <v>Outlier</v>
      </c>
      <c r="G470" s="19" t="str">
        <f t="shared" si="7"/>
        <v>40-50</v>
      </c>
    </row>
    <row r="471" spans="1:7" ht="20" customHeight="1" x14ac:dyDescent="0.35">
      <c r="A471" s="17">
        <v>470</v>
      </c>
      <c r="B471" s="23" t="s">
        <v>99</v>
      </c>
      <c r="C471" s="18" t="s">
        <v>126</v>
      </c>
      <c r="D471" s="18">
        <v>32</v>
      </c>
      <c r="E471" s="18" t="s">
        <v>128</v>
      </c>
      <c r="F471" s="18" t="str">
        <f>IF(OR(D471&gt;Answers!L486,D471&lt;Answers!L487),"Outlier","Normal")</f>
        <v>Outlier</v>
      </c>
      <c r="G471" s="19" t="str">
        <f t="shared" si="7"/>
        <v>30-40</v>
      </c>
    </row>
    <row r="472" spans="1:7" ht="20" customHeight="1" x14ac:dyDescent="0.35">
      <c r="A472" s="17">
        <v>471</v>
      </c>
      <c r="B472" s="23" t="s">
        <v>102</v>
      </c>
      <c r="C472" s="18" t="s">
        <v>126</v>
      </c>
      <c r="D472" s="18">
        <v>79</v>
      </c>
      <c r="E472" s="18" t="s">
        <v>128</v>
      </c>
      <c r="F472" s="18" t="str">
        <f>IF(OR(D472&gt;Answers!L487,D472&lt;Answers!L488),"Outlier","Normal")</f>
        <v>Outlier</v>
      </c>
      <c r="G472" s="19" t="str">
        <f t="shared" si="7"/>
        <v>40-50</v>
      </c>
    </row>
    <row r="473" spans="1:7" ht="20" customHeight="1" x14ac:dyDescent="0.35">
      <c r="A473" s="17">
        <v>472</v>
      </c>
      <c r="B473" s="23" t="s">
        <v>100</v>
      </c>
      <c r="C473" s="18" t="s">
        <v>125</v>
      </c>
      <c r="D473" s="18">
        <v>45</v>
      </c>
      <c r="E473" s="18" t="s">
        <v>128</v>
      </c>
      <c r="F473" s="18" t="str">
        <f>IF(OR(D473&gt;Answers!L488,D473&lt;Answers!L489),"Outlier","Normal")</f>
        <v>Outlier</v>
      </c>
      <c r="G473" s="19" t="str">
        <f t="shared" si="7"/>
        <v>40-50</v>
      </c>
    </row>
    <row r="474" spans="1:7" ht="20" customHeight="1" x14ac:dyDescent="0.35">
      <c r="A474" s="17">
        <v>473</v>
      </c>
      <c r="B474" s="23" t="s">
        <v>111</v>
      </c>
      <c r="C474" s="18" t="s">
        <v>126</v>
      </c>
      <c r="D474" s="18">
        <v>19</v>
      </c>
      <c r="E474" s="18" t="s">
        <v>128</v>
      </c>
      <c r="F474" s="18" t="str">
        <f>IF(OR(D474&gt;Answers!L489,D474&lt;Answers!L490),"Outlier","Normal")</f>
        <v>Outlier</v>
      </c>
      <c r="G474" s="19" t="str">
        <f t="shared" si="7"/>
        <v>&lt;20</v>
      </c>
    </row>
    <row r="475" spans="1:7" ht="20" customHeight="1" x14ac:dyDescent="0.35">
      <c r="A475" s="17">
        <v>474</v>
      </c>
      <c r="B475" s="23" t="s">
        <v>102</v>
      </c>
      <c r="C475" s="18" t="s">
        <v>125</v>
      </c>
      <c r="D475" s="18">
        <v>74</v>
      </c>
      <c r="E475" s="18" t="s">
        <v>128</v>
      </c>
      <c r="F475" s="18" t="str">
        <f>IF(OR(D475&gt;Answers!L490,D475&lt;Answers!L491),"Outlier","Normal")</f>
        <v>Outlier</v>
      </c>
      <c r="G475" s="19" t="str">
        <f t="shared" si="7"/>
        <v>40-50</v>
      </c>
    </row>
    <row r="476" spans="1:7" ht="20" customHeight="1" x14ac:dyDescent="0.35">
      <c r="A476" s="17">
        <v>475</v>
      </c>
      <c r="B476" s="23" t="s">
        <v>99</v>
      </c>
      <c r="C476" s="18" t="s">
        <v>126</v>
      </c>
      <c r="D476" s="18">
        <v>51</v>
      </c>
      <c r="E476" s="18" t="s">
        <v>128</v>
      </c>
      <c r="F476" s="18" t="str">
        <f>IF(OR(D476&gt;Answers!L491,D476&lt;Answers!L492),"Outlier","Normal")</f>
        <v>Outlier</v>
      </c>
      <c r="G476" s="19" t="str">
        <f t="shared" si="7"/>
        <v>40-50</v>
      </c>
    </row>
    <row r="477" spans="1:7" ht="20" customHeight="1" x14ac:dyDescent="0.35">
      <c r="A477" s="17">
        <v>476</v>
      </c>
      <c r="B477" s="23" t="s">
        <v>99</v>
      </c>
      <c r="C477" s="18" t="s">
        <v>126</v>
      </c>
      <c r="D477" s="18">
        <v>80</v>
      </c>
      <c r="E477" s="18" t="s">
        <v>128</v>
      </c>
      <c r="F477" s="18" t="str">
        <f>IF(OR(D477&gt;Answers!L492,D477&lt;Answers!L493),"Outlier","Normal")</f>
        <v>Outlier</v>
      </c>
      <c r="G477" s="19" t="str">
        <f t="shared" si="7"/>
        <v>40-50</v>
      </c>
    </row>
    <row r="478" spans="1:7" ht="20" customHeight="1" x14ac:dyDescent="0.35">
      <c r="A478" s="17">
        <v>477</v>
      </c>
      <c r="B478" s="23" t="s">
        <v>101</v>
      </c>
      <c r="C478" s="18" t="s">
        <v>125</v>
      </c>
      <c r="D478" s="18">
        <v>31</v>
      </c>
      <c r="E478" s="18" t="s">
        <v>128</v>
      </c>
      <c r="F478" s="18" t="str">
        <f>IF(OR(D478&gt;Answers!L493,D478&lt;Answers!L494),"Outlier","Normal")</f>
        <v>Outlier</v>
      </c>
      <c r="G478" s="19" t="str">
        <f t="shared" si="7"/>
        <v>30-40</v>
      </c>
    </row>
    <row r="479" spans="1:7" ht="20" customHeight="1" x14ac:dyDescent="0.35">
      <c r="A479" s="17">
        <v>478</v>
      </c>
      <c r="B479" s="23" t="s">
        <v>105</v>
      </c>
      <c r="C479" s="18" t="s">
        <v>126</v>
      </c>
      <c r="D479" s="18">
        <v>38</v>
      </c>
      <c r="E479" s="18" t="s">
        <v>128</v>
      </c>
      <c r="F479" s="18" t="str">
        <f>IF(OR(D479&gt;Answers!L494,D479&lt;Answers!L495),"Outlier","Normal")</f>
        <v>Outlier</v>
      </c>
      <c r="G479" s="19" t="str">
        <f t="shared" si="7"/>
        <v>30-40</v>
      </c>
    </row>
    <row r="480" spans="1:7" ht="20" customHeight="1" x14ac:dyDescent="0.35">
      <c r="A480" s="17">
        <v>479</v>
      </c>
      <c r="B480" s="23" t="s">
        <v>102</v>
      </c>
      <c r="C480" s="18" t="s">
        <v>125</v>
      </c>
      <c r="D480" s="18">
        <v>81</v>
      </c>
      <c r="E480" s="18" t="s">
        <v>128</v>
      </c>
      <c r="F480" s="18" t="str">
        <f>IF(OR(D480&gt;Answers!L495,D480&lt;Answers!L496),"Outlier","Normal")</f>
        <v>Outlier</v>
      </c>
      <c r="G480" s="19" t="str">
        <f t="shared" si="7"/>
        <v>40-50</v>
      </c>
    </row>
    <row r="481" spans="1:7" ht="20" customHeight="1" x14ac:dyDescent="0.35">
      <c r="A481" s="17">
        <v>480</v>
      </c>
      <c r="B481" s="23" t="s">
        <v>102</v>
      </c>
      <c r="C481" s="18" t="s">
        <v>125</v>
      </c>
      <c r="D481" s="18">
        <v>46</v>
      </c>
      <c r="E481" s="18" t="s">
        <v>128</v>
      </c>
      <c r="F481" s="18" t="str">
        <f>IF(OR(D481&gt;Answers!L496,D481&lt;Answers!L497),"Outlier","Normal")</f>
        <v>Outlier</v>
      </c>
      <c r="G481" s="19" t="str">
        <f t="shared" si="7"/>
        <v>40-50</v>
      </c>
    </row>
    <row r="482" spans="1:7" ht="20" customHeight="1" x14ac:dyDescent="0.35">
      <c r="A482" s="17">
        <v>481</v>
      </c>
      <c r="B482" s="23" t="s">
        <v>101</v>
      </c>
      <c r="C482" s="18" t="s">
        <v>126</v>
      </c>
      <c r="D482" s="18">
        <v>49</v>
      </c>
      <c r="E482" s="18" t="s">
        <v>128</v>
      </c>
      <c r="F482" s="18" t="str">
        <f>IF(OR(D482&gt;Answers!L497,D482&lt;Answers!L498),"Outlier","Normal")</f>
        <v>Outlier</v>
      </c>
      <c r="G482" s="19" t="str">
        <f t="shared" si="7"/>
        <v>40-50</v>
      </c>
    </row>
    <row r="483" spans="1:7" ht="20" customHeight="1" x14ac:dyDescent="0.35">
      <c r="A483" s="17">
        <v>482</v>
      </c>
      <c r="B483" s="23" t="s">
        <v>100</v>
      </c>
      <c r="C483" s="18" t="s">
        <v>125</v>
      </c>
      <c r="D483" s="18">
        <v>82</v>
      </c>
      <c r="E483" s="18" t="s">
        <v>128</v>
      </c>
      <c r="F483" s="18" t="str">
        <f>IF(OR(D483&gt;Answers!L498,D483&lt;Answers!L499),"Outlier","Normal")</f>
        <v>Outlier</v>
      </c>
      <c r="G483" s="19" t="str">
        <f t="shared" si="7"/>
        <v>40-50</v>
      </c>
    </row>
    <row r="484" spans="1:7" ht="20" customHeight="1" x14ac:dyDescent="0.35">
      <c r="A484" s="17">
        <v>483</v>
      </c>
      <c r="B484" s="23" t="s">
        <v>100</v>
      </c>
      <c r="C484" s="18" t="s">
        <v>126</v>
      </c>
      <c r="D484" s="18">
        <v>27</v>
      </c>
      <c r="E484" s="18" t="s">
        <v>128</v>
      </c>
      <c r="F484" s="18" t="str">
        <f>IF(OR(D484&gt;Answers!L499,D484&lt;Answers!L500),"Outlier","Normal")</f>
        <v>Outlier</v>
      </c>
      <c r="G484" s="19" t="str">
        <f t="shared" si="7"/>
        <v>20-30</v>
      </c>
    </row>
    <row r="485" spans="1:7" ht="20" customHeight="1" x14ac:dyDescent="0.35">
      <c r="A485" s="17">
        <v>484</v>
      </c>
      <c r="B485" s="23" t="s">
        <v>99</v>
      </c>
      <c r="C485" s="18" t="s">
        <v>126</v>
      </c>
      <c r="D485" s="18">
        <v>70</v>
      </c>
      <c r="E485" s="18" t="s">
        <v>128</v>
      </c>
      <c r="F485" s="18" t="str">
        <f>IF(OR(D485&gt;Answers!L500,D485&lt;Answers!L501),"Outlier","Normal")</f>
        <v>Outlier</v>
      </c>
      <c r="G485" s="19" t="str">
        <f t="shared" si="7"/>
        <v>40-50</v>
      </c>
    </row>
    <row r="486" spans="1:7" ht="20" customHeight="1" x14ac:dyDescent="0.35">
      <c r="A486" s="17">
        <v>485</v>
      </c>
      <c r="B486" s="23" t="s">
        <v>100</v>
      </c>
      <c r="C486" s="18" t="s">
        <v>125</v>
      </c>
      <c r="D486" s="18">
        <v>19</v>
      </c>
      <c r="E486" s="18" t="s">
        <v>128</v>
      </c>
      <c r="F486" s="18" t="str">
        <f>IF(OR(D486&gt;Answers!L501,D486&lt;Answers!L502),"Outlier","Normal")</f>
        <v>Outlier</v>
      </c>
      <c r="G486" s="19" t="str">
        <f t="shared" si="7"/>
        <v>&lt;20</v>
      </c>
    </row>
    <row r="487" spans="1:7" ht="20" customHeight="1" x14ac:dyDescent="0.35">
      <c r="A487" s="17">
        <v>486</v>
      </c>
      <c r="B487" s="23" t="s">
        <v>104</v>
      </c>
      <c r="C487" s="18" t="s">
        <v>126</v>
      </c>
      <c r="D487" s="18">
        <v>66</v>
      </c>
      <c r="E487" s="18" t="s">
        <v>128</v>
      </c>
      <c r="F487" s="18" t="str">
        <f>IF(OR(D487&gt;Answers!L502,D487&lt;Answers!L503),"Outlier","Normal")</f>
        <v>Outlier</v>
      </c>
      <c r="G487" s="19" t="str">
        <f t="shared" si="7"/>
        <v>40-50</v>
      </c>
    </row>
    <row r="488" spans="1:7" ht="20" customHeight="1" x14ac:dyDescent="0.35">
      <c r="A488" s="17">
        <v>487</v>
      </c>
      <c r="B488" s="23" t="s">
        <v>101</v>
      </c>
      <c r="C488" s="18" t="s">
        <v>126</v>
      </c>
      <c r="D488" s="18">
        <v>81</v>
      </c>
      <c r="E488" s="18" t="s">
        <v>128</v>
      </c>
      <c r="F488" s="18" t="str">
        <f>IF(OR(D488&gt;Answers!L503,D488&lt;Answers!L504),"Outlier","Normal")</f>
        <v>Outlier</v>
      </c>
      <c r="G488" s="19" t="str">
        <f t="shared" si="7"/>
        <v>40-50</v>
      </c>
    </row>
    <row r="489" spans="1:7" ht="20" customHeight="1" x14ac:dyDescent="0.35">
      <c r="A489" s="17">
        <v>488</v>
      </c>
      <c r="B489" s="23" t="s">
        <v>99</v>
      </c>
      <c r="C489" s="18" t="s">
        <v>126</v>
      </c>
      <c r="D489" s="18">
        <v>19</v>
      </c>
      <c r="E489" s="18" t="s">
        <v>128</v>
      </c>
      <c r="F489" s="18" t="str">
        <f>IF(OR(D489&gt;Answers!L504,D489&lt;Answers!L505),"Outlier","Normal")</f>
        <v>Outlier</v>
      </c>
      <c r="G489" s="19" t="str">
        <f t="shared" si="7"/>
        <v>&lt;20</v>
      </c>
    </row>
    <row r="490" spans="1:7" ht="20" customHeight="1" x14ac:dyDescent="0.35">
      <c r="A490" s="17">
        <v>489</v>
      </c>
      <c r="B490" s="23" t="s">
        <v>99</v>
      </c>
      <c r="C490" s="18" t="s">
        <v>126</v>
      </c>
      <c r="D490" s="18">
        <v>76</v>
      </c>
      <c r="E490" s="18" t="s">
        <v>128</v>
      </c>
      <c r="F490" s="18" t="str">
        <f>IF(OR(D490&gt;Answers!L505,D490&lt;Answers!L506),"Outlier","Normal")</f>
        <v>Outlier</v>
      </c>
      <c r="G490" s="19" t="str">
        <f t="shared" si="7"/>
        <v>40-50</v>
      </c>
    </row>
    <row r="491" spans="1:7" ht="20" customHeight="1" x14ac:dyDescent="0.35">
      <c r="A491" s="17">
        <v>490</v>
      </c>
      <c r="B491" s="23" t="s">
        <v>105</v>
      </c>
      <c r="C491" s="18" t="s">
        <v>125</v>
      </c>
      <c r="D491" s="18">
        <v>37</v>
      </c>
      <c r="E491" s="18" t="s">
        <v>128</v>
      </c>
      <c r="F491" s="18" t="str">
        <f>IF(OR(D491&gt;Answers!L506,D491&lt;Answers!L507),"Outlier","Normal")</f>
        <v>Outlier</v>
      </c>
      <c r="G491" s="19" t="str">
        <f t="shared" si="7"/>
        <v>30-40</v>
      </c>
    </row>
    <row r="492" spans="1:7" ht="20" customHeight="1" x14ac:dyDescent="0.35">
      <c r="A492" s="17">
        <v>491</v>
      </c>
      <c r="B492" s="23" t="s">
        <v>101</v>
      </c>
      <c r="C492" s="18" t="s">
        <v>125</v>
      </c>
      <c r="D492" s="18">
        <v>59</v>
      </c>
      <c r="E492" s="18" t="s">
        <v>128</v>
      </c>
      <c r="F492" s="18" t="str">
        <f>IF(OR(D492&gt;Answers!L507,D492&lt;Answers!L508),"Outlier","Normal")</f>
        <v>Outlier</v>
      </c>
      <c r="G492" s="19" t="str">
        <f t="shared" si="7"/>
        <v>40-50</v>
      </c>
    </row>
    <row r="493" spans="1:7" ht="20" customHeight="1" x14ac:dyDescent="0.35">
      <c r="A493" s="17">
        <v>492</v>
      </c>
      <c r="B493" s="23" t="s">
        <v>105</v>
      </c>
      <c r="C493" s="18" t="s">
        <v>126</v>
      </c>
      <c r="D493" s="18">
        <v>32</v>
      </c>
      <c r="E493" s="18" t="s">
        <v>128</v>
      </c>
      <c r="F493" s="18" t="str">
        <f>IF(OR(D493&gt;Answers!L508,D493&lt;Answers!L509),"Outlier","Normal")</f>
        <v>Outlier</v>
      </c>
      <c r="G493" s="19" t="str">
        <f t="shared" si="7"/>
        <v>30-40</v>
      </c>
    </row>
    <row r="494" spans="1:7" ht="20" customHeight="1" x14ac:dyDescent="0.35">
      <c r="A494" s="17">
        <v>493</v>
      </c>
      <c r="B494" s="23" t="s">
        <v>99</v>
      </c>
      <c r="C494" s="18" t="s">
        <v>126</v>
      </c>
      <c r="D494" s="18">
        <v>82</v>
      </c>
      <c r="E494" s="18" t="s">
        <v>128</v>
      </c>
      <c r="F494" s="18" t="str">
        <f>IF(OR(D494&gt;Answers!L509,D494&lt;Answers!L510),"Outlier","Normal")</f>
        <v>Outlier</v>
      </c>
      <c r="G494" s="19" t="str">
        <f t="shared" si="7"/>
        <v>40-50</v>
      </c>
    </row>
    <row r="495" spans="1:7" ht="20" customHeight="1" x14ac:dyDescent="0.35">
      <c r="A495" s="17">
        <v>494</v>
      </c>
      <c r="B495" s="23" t="s">
        <v>100</v>
      </c>
      <c r="C495" s="18" t="s">
        <v>125</v>
      </c>
      <c r="D495" s="18">
        <v>19</v>
      </c>
      <c r="E495" s="18" t="s">
        <v>128</v>
      </c>
      <c r="F495" s="18" t="str">
        <f>IF(OR(D495&gt;Answers!L510,D495&lt;Answers!L511),"Outlier","Normal")</f>
        <v>Outlier</v>
      </c>
      <c r="G495" s="19" t="str">
        <f t="shared" si="7"/>
        <v>&lt;20</v>
      </c>
    </row>
    <row r="496" spans="1:7" ht="20" customHeight="1" x14ac:dyDescent="0.35">
      <c r="A496" s="17">
        <v>495</v>
      </c>
      <c r="B496" s="23" t="s">
        <v>99</v>
      </c>
      <c r="C496" s="18" t="s">
        <v>126</v>
      </c>
      <c r="D496" s="18">
        <v>52</v>
      </c>
      <c r="E496" s="18" t="s">
        <v>128</v>
      </c>
      <c r="F496" s="18" t="str">
        <f>IF(OR(D496&gt;Answers!L511,D496&lt;Answers!L512),"Outlier","Normal")</f>
        <v>Outlier</v>
      </c>
      <c r="G496" s="19" t="str">
        <f t="shared" si="7"/>
        <v>40-50</v>
      </c>
    </row>
    <row r="497" spans="1:7" ht="20" customHeight="1" x14ac:dyDescent="0.35">
      <c r="A497" s="17">
        <v>496</v>
      </c>
      <c r="B497" s="23" t="s">
        <v>101</v>
      </c>
      <c r="C497" s="18" t="s">
        <v>126</v>
      </c>
      <c r="D497" s="18">
        <v>24</v>
      </c>
      <c r="E497" s="18" t="s">
        <v>128</v>
      </c>
      <c r="F497" s="18" t="str">
        <f>IF(OR(D497&gt;Answers!L512,D497&lt;Answers!L513),"Outlier","Normal")</f>
        <v>Outlier</v>
      </c>
      <c r="G497" s="19" t="str">
        <f t="shared" si="7"/>
        <v>20-30</v>
      </c>
    </row>
    <row r="498" spans="1:7" ht="20" customHeight="1" x14ac:dyDescent="0.35">
      <c r="A498" s="17">
        <v>497</v>
      </c>
      <c r="B498" s="23" t="s">
        <v>99</v>
      </c>
      <c r="C498" s="18" t="s">
        <v>125</v>
      </c>
      <c r="D498" s="18">
        <v>88</v>
      </c>
      <c r="E498" s="18" t="s">
        <v>128</v>
      </c>
      <c r="F498" s="18" t="str">
        <f>IF(OR(D498&gt;Answers!L513,D498&lt;Answers!L514),"Outlier","Normal")</f>
        <v>Outlier</v>
      </c>
      <c r="G498" s="19" t="str">
        <f t="shared" si="7"/>
        <v>40-50</v>
      </c>
    </row>
    <row r="499" spans="1:7" ht="20" customHeight="1" x14ac:dyDescent="0.35">
      <c r="A499" s="17">
        <v>498</v>
      </c>
      <c r="B499" s="23" t="s">
        <v>109</v>
      </c>
      <c r="C499" s="18" t="s">
        <v>126</v>
      </c>
      <c r="D499" s="18">
        <v>32</v>
      </c>
      <c r="E499" s="18" t="s">
        <v>128</v>
      </c>
      <c r="F499" s="18" t="str">
        <f>IF(OR(D499&gt;Answers!L514,D499&lt;Answers!L515),"Outlier","Normal")</f>
        <v>Outlier</v>
      </c>
      <c r="G499" s="19" t="str">
        <f t="shared" si="7"/>
        <v>30-40</v>
      </c>
    </row>
    <row r="500" spans="1:7" ht="20" customHeight="1" x14ac:dyDescent="0.35">
      <c r="A500" s="17">
        <v>499</v>
      </c>
      <c r="B500" s="23" t="s">
        <v>101</v>
      </c>
      <c r="C500" s="18" t="s">
        <v>125</v>
      </c>
      <c r="D500" s="18">
        <v>89</v>
      </c>
      <c r="E500" s="18" t="s">
        <v>128</v>
      </c>
      <c r="F500" s="18" t="str">
        <f>IF(OR(D500&gt;Answers!L515,D500&lt;Answers!L516),"Outlier","Normal")</f>
        <v>Outlier</v>
      </c>
      <c r="G500" s="19" t="str">
        <f t="shared" si="7"/>
        <v>40-50</v>
      </c>
    </row>
    <row r="501" spans="1:7" ht="20" customHeight="1" x14ac:dyDescent="0.35">
      <c r="A501" s="17">
        <v>500</v>
      </c>
      <c r="B501" s="23" t="s">
        <v>99</v>
      </c>
      <c r="C501" s="18" t="s">
        <v>126</v>
      </c>
      <c r="D501" s="18">
        <v>77</v>
      </c>
      <c r="E501" s="18" t="s">
        <v>128</v>
      </c>
      <c r="F501" s="18" t="str">
        <f>IF(OR(D501&gt;Answers!L516,D501&lt;Answers!L517),"Outlier","Normal")</f>
        <v>Outlier</v>
      </c>
      <c r="G501" s="19" t="str">
        <f t="shared" si="7"/>
        <v>40-50</v>
      </c>
    </row>
    <row r="502" spans="1:7" ht="20" customHeight="1" x14ac:dyDescent="0.35">
      <c r="A502" s="17">
        <v>501</v>
      </c>
      <c r="B502" s="23" t="s">
        <v>105</v>
      </c>
      <c r="C502" s="18" t="s">
        <v>126</v>
      </c>
      <c r="D502" s="18">
        <v>45</v>
      </c>
      <c r="E502" s="18" t="s">
        <v>129</v>
      </c>
      <c r="F502" s="18" t="str">
        <f>IF(OR(D502&gt;Answers!L517,D502&lt;Answers!L518),"Outlier","Normal")</f>
        <v>Outlier</v>
      </c>
      <c r="G502" s="19" t="str">
        <f t="shared" si="7"/>
        <v>40-50</v>
      </c>
    </row>
    <row r="503" spans="1:7" ht="20" customHeight="1" x14ac:dyDescent="0.35">
      <c r="A503" s="17">
        <v>502</v>
      </c>
      <c r="B503" s="23" t="s">
        <v>105</v>
      </c>
      <c r="C503" s="18" t="s">
        <v>125</v>
      </c>
      <c r="D503" s="18">
        <v>72</v>
      </c>
      <c r="E503" s="18" t="s">
        <v>129</v>
      </c>
      <c r="F503" s="18" t="str">
        <f>IF(OR(D503&gt;Answers!L518,D503&lt;Answers!L519),"Outlier","Normal")</f>
        <v>Outlier</v>
      </c>
      <c r="G503" s="19" t="str">
        <f t="shared" si="7"/>
        <v>40-50</v>
      </c>
    </row>
    <row r="504" spans="1:7" ht="20" customHeight="1" x14ac:dyDescent="0.35">
      <c r="A504" s="17">
        <v>503</v>
      </c>
      <c r="B504" s="23" t="s">
        <v>99</v>
      </c>
      <c r="C504" s="18" t="s">
        <v>126</v>
      </c>
      <c r="D504" s="18">
        <v>58</v>
      </c>
      <c r="E504" s="18" t="s">
        <v>129</v>
      </c>
      <c r="F504" s="18" t="str">
        <f>IF(OR(D504&gt;Answers!L519,D504&lt;Answers!L520),"Outlier","Normal")</f>
        <v>Outlier</v>
      </c>
      <c r="G504" s="19" t="str">
        <f t="shared" si="7"/>
        <v>40-50</v>
      </c>
    </row>
    <row r="505" spans="1:7" ht="20" customHeight="1" x14ac:dyDescent="0.35">
      <c r="A505" s="17">
        <v>504</v>
      </c>
      <c r="B505" s="23" t="s">
        <v>102</v>
      </c>
      <c r="C505" s="18" t="s">
        <v>125</v>
      </c>
      <c r="D505" s="18">
        <v>48</v>
      </c>
      <c r="E505" s="18" t="s">
        <v>129</v>
      </c>
      <c r="F505" s="18" t="str">
        <f>IF(OR(D505&gt;Answers!L520,D505&lt;Answers!L521),"Outlier","Normal")</f>
        <v>Outlier</v>
      </c>
      <c r="G505" s="19" t="str">
        <f t="shared" si="7"/>
        <v>40-50</v>
      </c>
    </row>
    <row r="506" spans="1:7" ht="20" customHeight="1" x14ac:dyDescent="0.35">
      <c r="A506" s="17">
        <v>505</v>
      </c>
      <c r="B506" s="23" t="s">
        <v>105</v>
      </c>
      <c r="C506" s="18" t="s">
        <v>126</v>
      </c>
      <c r="D506" s="18">
        <v>63</v>
      </c>
      <c r="E506" s="18" t="s">
        <v>129</v>
      </c>
      <c r="F506" s="18" t="str">
        <f>IF(OR(D506&gt;Answers!L521,D506&lt;Answers!L522),"Outlier","Normal")</f>
        <v>Outlier</v>
      </c>
      <c r="G506" s="19" t="str">
        <f t="shared" si="7"/>
        <v>40-50</v>
      </c>
    </row>
    <row r="507" spans="1:7" ht="20" customHeight="1" x14ac:dyDescent="0.35">
      <c r="A507" s="17">
        <v>506</v>
      </c>
      <c r="B507" s="23" t="s">
        <v>99</v>
      </c>
      <c r="C507" s="18" t="s">
        <v>125</v>
      </c>
      <c r="D507" s="18">
        <v>45</v>
      </c>
      <c r="E507" s="18" t="s">
        <v>129</v>
      </c>
      <c r="F507" s="18" t="str">
        <f>IF(OR(D507&gt;Answers!L522,D507&lt;Answers!L523),"Outlier","Normal")</f>
        <v>Outlier</v>
      </c>
      <c r="G507" s="19" t="str">
        <f t="shared" si="7"/>
        <v>40-50</v>
      </c>
    </row>
    <row r="508" spans="1:7" ht="20" customHeight="1" x14ac:dyDescent="0.35">
      <c r="A508" s="17">
        <v>507</v>
      </c>
      <c r="B508" s="23" t="s">
        <v>99</v>
      </c>
      <c r="C508" s="18" t="s">
        <v>125</v>
      </c>
      <c r="D508" s="18">
        <v>35</v>
      </c>
      <c r="E508" s="18" t="s">
        <v>129</v>
      </c>
      <c r="F508" s="18" t="str">
        <f>IF(OR(D508&gt;Answers!L523,D508&lt;Answers!L524),"Outlier","Normal")</f>
        <v>Outlier</v>
      </c>
      <c r="G508" s="19" t="str">
        <f t="shared" si="7"/>
        <v>30-40</v>
      </c>
    </row>
    <row r="509" spans="1:7" ht="20" customHeight="1" x14ac:dyDescent="0.35">
      <c r="A509" s="17">
        <v>508</v>
      </c>
      <c r="B509" s="23" t="s">
        <v>110</v>
      </c>
      <c r="C509" s="18" t="s">
        <v>126</v>
      </c>
      <c r="D509" s="18">
        <v>65</v>
      </c>
      <c r="E509" s="18" t="s">
        <v>129</v>
      </c>
      <c r="F509" s="18" t="str">
        <f>IF(OR(D509&gt;Answers!L524,D509&lt;Answers!L525),"Outlier","Normal")</f>
        <v>Outlier</v>
      </c>
      <c r="G509" s="19" t="str">
        <f t="shared" si="7"/>
        <v>40-50</v>
      </c>
    </row>
    <row r="510" spans="1:7" ht="20" customHeight="1" x14ac:dyDescent="0.35">
      <c r="A510" s="17">
        <v>509</v>
      </c>
      <c r="B510" s="23" t="s">
        <v>100</v>
      </c>
      <c r="C510" s="18" t="s">
        <v>125</v>
      </c>
      <c r="D510" s="18">
        <v>24</v>
      </c>
      <c r="E510" s="18" t="s">
        <v>129</v>
      </c>
      <c r="F510" s="18" t="str">
        <f>IF(OR(D510&gt;Answers!L525,D510&lt;Answers!L526),"Outlier","Normal")</f>
        <v>Outlier</v>
      </c>
      <c r="G510" s="19" t="str">
        <f t="shared" si="7"/>
        <v>20-30</v>
      </c>
    </row>
    <row r="511" spans="1:7" ht="20" customHeight="1" x14ac:dyDescent="0.35">
      <c r="A511" s="17">
        <v>510</v>
      </c>
      <c r="B511" s="23" t="s">
        <v>99</v>
      </c>
      <c r="C511" s="18" t="s">
        <v>126</v>
      </c>
      <c r="D511" s="18">
        <v>39</v>
      </c>
      <c r="E511" s="18" t="s">
        <v>129</v>
      </c>
      <c r="F511" s="18" t="str">
        <f>IF(OR(D511&gt;Answers!L526,D511&lt;Answers!L527),"Outlier","Normal")</f>
        <v>Outlier</v>
      </c>
      <c r="G511" s="19" t="str">
        <f t="shared" si="7"/>
        <v>30-40</v>
      </c>
    </row>
    <row r="512" spans="1:7" ht="20" customHeight="1" x14ac:dyDescent="0.35">
      <c r="A512" s="17">
        <v>511</v>
      </c>
      <c r="B512" s="23" t="s">
        <v>99</v>
      </c>
      <c r="C512" s="18" t="s">
        <v>125</v>
      </c>
      <c r="D512" s="18">
        <v>60</v>
      </c>
      <c r="E512" s="18" t="s">
        <v>129</v>
      </c>
      <c r="F512" s="18" t="str">
        <f>IF(OR(D512&gt;Answers!L527,D512&lt;Answers!L528),"Outlier","Normal")</f>
        <v>Outlier</v>
      </c>
      <c r="G512" s="19" t="str">
        <f t="shared" si="7"/>
        <v>40-50</v>
      </c>
    </row>
    <row r="513" spans="1:7" ht="20" customHeight="1" x14ac:dyDescent="0.35">
      <c r="A513" s="17">
        <v>512</v>
      </c>
      <c r="B513" s="23" t="s">
        <v>105</v>
      </c>
      <c r="C513" s="18" t="s">
        <v>126</v>
      </c>
      <c r="D513" s="18">
        <v>74</v>
      </c>
      <c r="E513" s="18" t="s">
        <v>129</v>
      </c>
      <c r="F513" s="18" t="str">
        <f>IF(OR(D513&gt;Answers!L528,D513&lt;Answers!L529),"Outlier","Normal")</f>
        <v>Outlier</v>
      </c>
      <c r="G513" s="19" t="str">
        <f t="shared" si="7"/>
        <v>40-50</v>
      </c>
    </row>
    <row r="514" spans="1:7" ht="20" customHeight="1" x14ac:dyDescent="0.35">
      <c r="A514" s="17">
        <v>513</v>
      </c>
      <c r="B514" s="23" t="s">
        <v>99</v>
      </c>
      <c r="C514" s="18" t="s">
        <v>126</v>
      </c>
      <c r="D514" s="18">
        <v>29</v>
      </c>
      <c r="E514" s="18" t="s">
        <v>129</v>
      </c>
      <c r="F514" s="18" t="str">
        <f>IF(OR(D514&gt;Answers!L529,D514&lt;Answers!L530),"Outlier","Normal")</f>
        <v>Outlier</v>
      </c>
      <c r="G514" s="19" t="str">
        <f t="shared" si="7"/>
        <v>20-30</v>
      </c>
    </row>
    <row r="515" spans="1:7" ht="20" customHeight="1" x14ac:dyDescent="0.35">
      <c r="A515" s="17">
        <v>514</v>
      </c>
      <c r="B515" s="23" t="s">
        <v>99</v>
      </c>
      <c r="C515" s="18" t="s">
        <v>126</v>
      </c>
      <c r="D515" s="18">
        <v>89</v>
      </c>
      <c r="E515" s="18" t="s">
        <v>129</v>
      </c>
      <c r="F515" s="18" t="str">
        <f>IF(OR(D515&gt;Answers!L530,D515&lt;Answers!L531),"Outlier","Normal")</f>
        <v>Outlier</v>
      </c>
      <c r="G515" s="19" t="str">
        <f t="shared" ref="G515:G578" si="8">IF(D515&lt;20,"&lt;20",
IF(D515&lt;=30,"20-30",
IF(D515&lt;=40,"30-40","40-50")))</f>
        <v>40-50</v>
      </c>
    </row>
    <row r="516" spans="1:7" ht="20" customHeight="1" x14ac:dyDescent="0.35">
      <c r="A516" s="17">
        <v>515</v>
      </c>
      <c r="B516" s="23" t="s">
        <v>105</v>
      </c>
      <c r="C516" s="18" t="s">
        <v>126</v>
      </c>
      <c r="D516" s="18">
        <v>37</v>
      </c>
      <c r="E516" s="18" t="s">
        <v>129</v>
      </c>
      <c r="F516" s="18" t="str">
        <f>IF(OR(D516&gt;Answers!L531,D516&lt;Answers!L532),"Outlier","Normal")</f>
        <v>Outlier</v>
      </c>
      <c r="G516" s="19" t="str">
        <f t="shared" si="8"/>
        <v>30-40</v>
      </c>
    </row>
    <row r="517" spans="1:7" ht="20" customHeight="1" x14ac:dyDescent="0.35">
      <c r="A517" s="17">
        <v>516</v>
      </c>
      <c r="B517" s="23" t="s">
        <v>100</v>
      </c>
      <c r="C517" s="18" t="s">
        <v>125</v>
      </c>
      <c r="D517" s="18">
        <v>51</v>
      </c>
      <c r="E517" s="18" t="s">
        <v>129</v>
      </c>
      <c r="F517" s="18" t="str">
        <f>IF(OR(D517&gt;Answers!L532,D517&lt;Answers!L533),"Outlier","Normal")</f>
        <v>Outlier</v>
      </c>
      <c r="G517" s="19" t="str">
        <f t="shared" si="8"/>
        <v>40-50</v>
      </c>
    </row>
    <row r="518" spans="1:7" ht="20" customHeight="1" x14ac:dyDescent="0.35">
      <c r="A518" s="17">
        <v>517</v>
      </c>
      <c r="B518" s="23" t="s">
        <v>101</v>
      </c>
      <c r="C518" s="18" t="s">
        <v>126</v>
      </c>
      <c r="D518" s="18">
        <v>77</v>
      </c>
      <c r="E518" s="18" t="s">
        <v>129</v>
      </c>
      <c r="F518" s="18" t="str">
        <f>IF(OR(D518&gt;Answers!L533,D518&lt;Answers!L534),"Outlier","Normal")</f>
        <v>Outlier</v>
      </c>
      <c r="G518" s="19" t="str">
        <f t="shared" si="8"/>
        <v>40-50</v>
      </c>
    </row>
    <row r="519" spans="1:7" ht="20" customHeight="1" x14ac:dyDescent="0.35">
      <c r="A519" s="17">
        <v>518</v>
      </c>
      <c r="B519" s="23" t="s">
        <v>105</v>
      </c>
      <c r="C519" s="18" t="s">
        <v>125</v>
      </c>
      <c r="D519" s="18">
        <v>53</v>
      </c>
      <c r="E519" s="18" t="s">
        <v>129</v>
      </c>
      <c r="F519" s="18" t="str">
        <f>IF(OR(D519&gt;Answers!L534,D519&lt;Answers!L535),"Outlier","Normal")</f>
        <v>Outlier</v>
      </c>
      <c r="G519" s="19" t="str">
        <f t="shared" si="8"/>
        <v>40-50</v>
      </c>
    </row>
    <row r="520" spans="1:7" ht="20" customHeight="1" x14ac:dyDescent="0.35">
      <c r="A520" s="17">
        <v>519</v>
      </c>
      <c r="B520" s="23" t="s">
        <v>100</v>
      </c>
      <c r="C520" s="18" t="s">
        <v>125</v>
      </c>
      <c r="D520" s="18">
        <v>70</v>
      </c>
      <c r="E520" s="18" t="s">
        <v>129</v>
      </c>
      <c r="F520" s="18" t="str">
        <f>IF(OR(D520&gt;Answers!L535,D520&lt;Answers!L536),"Outlier","Normal")</f>
        <v>Outlier</v>
      </c>
      <c r="G520" s="19" t="str">
        <f t="shared" si="8"/>
        <v>40-50</v>
      </c>
    </row>
    <row r="521" spans="1:7" ht="20" customHeight="1" x14ac:dyDescent="0.35">
      <c r="A521" s="17">
        <v>520</v>
      </c>
      <c r="B521" s="23" t="s">
        <v>105</v>
      </c>
      <c r="C521" s="18" t="s">
        <v>125</v>
      </c>
      <c r="D521" s="18">
        <v>81</v>
      </c>
      <c r="E521" s="18" t="s">
        <v>129</v>
      </c>
      <c r="F521" s="18" t="str">
        <f>IF(OR(D521&gt;Answers!L536,D521&lt;Answers!L537),"Outlier","Normal")</f>
        <v>Outlier</v>
      </c>
      <c r="G521" s="19" t="str">
        <f t="shared" si="8"/>
        <v>40-50</v>
      </c>
    </row>
    <row r="522" spans="1:7" ht="20" customHeight="1" x14ac:dyDescent="0.35">
      <c r="A522" s="17">
        <v>521</v>
      </c>
      <c r="B522" s="23" t="s">
        <v>113</v>
      </c>
      <c r="C522" s="18" t="s">
        <v>125</v>
      </c>
      <c r="D522" s="18">
        <v>66</v>
      </c>
      <c r="E522" s="18" t="s">
        <v>129</v>
      </c>
      <c r="F522" s="18" t="str">
        <f>IF(OR(D522&gt;Answers!L537,D522&lt;Answers!L538),"Outlier","Normal")</f>
        <v>Outlier</v>
      </c>
      <c r="G522" s="19" t="str">
        <f t="shared" si="8"/>
        <v>40-50</v>
      </c>
    </row>
    <row r="523" spans="1:7" ht="20" customHeight="1" x14ac:dyDescent="0.35">
      <c r="A523" s="17">
        <v>522</v>
      </c>
      <c r="B523" s="23" t="s">
        <v>99</v>
      </c>
      <c r="C523" s="18" t="s">
        <v>126</v>
      </c>
      <c r="D523" s="18">
        <v>77</v>
      </c>
      <c r="E523" s="18" t="s">
        <v>129</v>
      </c>
      <c r="F523" s="18" t="str">
        <f>IF(OR(D523&gt;Answers!L538,D523&lt;Answers!L539),"Outlier","Normal")</f>
        <v>Outlier</v>
      </c>
      <c r="G523" s="19" t="str">
        <f t="shared" si="8"/>
        <v>40-50</v>
      </c>
    </row>
    <row r="524" spans="1:7" ht="20" customHeight="1" x14ac:dyDescent="0.35">
      <c r="A524" s="17">
        <v>523</v>
      </c>
      <c r="B524" s="23" t="s">
        <v>99</v>
      </c>
      <c r="C524" s="18" t="s">
        <v>125</v>
      </c>
      <c r="D524" s="18">
        <v>26</v>
      </c>
      <c r="E524" s="18" t="s">
        <v>129</v>
      </c>
      <c r="F524" s="18" t="str">
        <f>IF(OR(D524&gt;Answers!L539,D524&lt;Answers!L540),"Outlier","Normal")</f>
        <v>Outlier</v>
      </c>
      <c r="G524" s="19" t="str">
        <f t="shared" si="8"/>
        <v>20-30</v>
      </c>
    </row>
    <row r="525" spans="1:7" ht="20" customHeight="1" x14ac:dyDescent="0.35">
      <c r="A525" s="17">
        <v>524</v>
      </c>
      <c r="B525" s="23" t="s">
        <v>110</v>
      </c>
      <c r="C525" s="18" t="s">
        <v>126</v>
      </c>
      <c r="D525" s="18">
        <v>63</v>
      </c>
      <c r="E525" s="18" t="s">
        <v>129</v>
      </c>
      <c r="F525" s="18" t="str">
        <f>IF(OR(D525&gt;Answers!L540,D525&lt;Answers!L541),"Outlier","Normal")</f>
        <v>Outlier</v>
      </c>
      <c r="G525" s="19" t="str">
        <f t="shared" si="8"/>
        <v>40-50</v>
      </c>
    </row>
    <row r="526" spans="1:7" ht="20" customHeight="1" x14ac:dyDescent="0.35">
      <c r="A526" s="17">
        <v>525</v>
      </c>
      <c r="B526" s="23" t="s">
        <v>113</v>
      </c>
      <c r="C526" s="18" t="s">
        <v>126</v>
      </c>
      <c r="D526" s="18">
        <v>20</v>
      </c>
      <c r="E526" s="18" t="s">
        <v>129</v>
      </c>
      <c r="F526" s="18" t="str">
        <f>IF(OR(D526&gt;Answers!L541,D526&lt;Answers!L542),"Outlier","Normal")</f>
        <v>Outlier</v>
      </c>
      <c r="G526" s="19" t="str">
        <f t="shared" si="8"/>
        <v>20-30</v>
      </c>
    </row>
    <row r="527" spans="1:7" ht="20" customHeight="1" x14ac:dyDescent="0.35">
      <c r="A527" s="17">
        <v>526</v>
      </c>
      <c r="B527" s="23" t="s">
        <v>99</v>
      </c>
      <c r="C527" s="18" t="s">
        <v>125</v>
      </c>
      <c r="D527" s="18">
        <v>49</v>
      </c>
      <c r="E527" s="18" t="s">
        <v>129</v>
      </c>
      <c r="F527" s="18" t="str">
        <f>IF(OR(D527&gt;Answers!L542,D527&lt;Answers!L543),"Outlier","Normal")</f>
        <v>Outlier</v>
      </c>
      <c r="G527" s="19" t="str">
        <f t="shared" si="8"/>
        <v>40-50</v>
      </c>
    </row>
    <row r="528" spans="1:7" ht="20" customHeight="1" x14ac:dyDescent="0.35">
      <c r="A528" s="17">
        <v>527</v>
      </c>
      <c r="B528" s="23" t="s">
        <v>99</v>
      </c>
      <c r="C528" s="18" t="s">
        <v>126</v>
      </c>
      <c r="D528" s="18">
        <v>19</v>
      </c>
      <c r="E528" s="18" t="s">
        <v>129</v>
      </c>
      <c r="F528" s="18" t="str">
        <f>IF(OR(D528&gt;Answers!L543,D528&lt;Answers!L544),"Outlier","Normal")</f>
        <v>Outlier</v>
      </c>
      <c r="G528" s="19" t="str">
        <f t="shared" si="8"/>
        <v>&lt;20</v>
      </c>
    </row>
    <row r="529" spans="1:7" ht="20" customHeight="1" x14ac:dyDescent="0.35">
      <c r="A529" s="17">
        <v>528</v>
      </c>
      <c r="B529" s="23" t="s">
        <v>99</v>
      </c>
      <c r="C529" s="18" t="s">
        <v>125</v>
      </c>
      <c r="D529" s="18">
        <v>36</v>
      </c>
      <c r="E529" s="18" t="s">
        <v>129</v>
      </c>
      <c r="F529" s="18" t="str">
        <f>IF(OR(D529&gt;Answers!L544,D529&lt;Answers!L545),"Outlier","Normal")</f>
        <v>Outlier</v>
      </c>
      <c r="G529" s="19" t="str">
        <f t="shared" si="8"/>
        <v>30-40</v>
      </c>
    </row>
    <row r="530" spans="1:7" ht="20" customHeight="1" x14ac:dyDescent="0.35">
      <c r="A530" s="17">
        <v>529</v>
      </c>
      <c r="B530" s="23" t="s">
        <v>113</v>
      </c>
      <c r="C530" s="18" t="s">
        <v>125</v>
      </c>
      <c r="D530" s="18">
        <v>44</v>
      </c>
      <c r="E530" s="18" t="s">
        <v>129</v>
      </c>
      <c r="F530" s="18" t="str">
        <f>IF(OR(D530&gt;Answers!L545,D530&lt;Answers!L546),"Outlier","Normal")</f>
        <v>Outlier</v>
      </c>
      <c r="G530" s="19" t="str">
        <f t="shared" si="8"/>
        <v>40-50</v>
      </c>
    </row>
    <row r="531" spans="1:7" ht="20" customHeight="1" x14ac:dyDescent="0.35">
      <c r="A531" s="17">
        <v>530</v>
      </c>
      <c r="B531" s="23" t="s">
        <v>101</v>
      </c>
      <c r="C531" s="18" t="s">
        <v>126</v>
      </c>
      <c r="D531" s="18">
        <v>23</v>
      </c>
      <c r="E531" s="18" t="s">
        <v>129</v>
      </c>
      <c r="F531" s="18" t="str">
        <f>IF(OR(D531&gt;Answers!L546,D531&lt;Answers!L547),"Outlier","Normal")</f>
        <v>Outlier</v>
      </c>
      <c r="G531" s="19" t="str">
        <f t="shared" si="8"/>
        <v>20-30</v>
      </c>
    </row>
    <row r="532" spans="1:7" ht="20" customHeight="1" x14ac:dyDescent="0.35">
      <c r="A532" s="17">
        <v>531</v>
      </c>
      <c r="B532" s="23" t="s">
        <v>99</v>
      </c>
      <c r="C532" s="18" t="s">
        <v>126</v>
      </c>
      <c r="D532" s="18">
        <v>43</v>
      </c>
      <c r="E532" s="18" t="s">
        <v>129</v>
      </c>
      <c r="F532" s="18" t="str">
        <f>IF(OR(D532&gt;Answers!L547,D532&lt;Answers!L548),"Outlier","Normal")</f>
        <v>Outlier</v>
      </c>
      <c r="G532" s="19" t="str">
        <f t="shared" si="8"/>
        <v>40-50</v>
      </c>
    </row>
    <row r="533" spans="1:7" ht="20" customHeight="1" x14ac:dyDescent="0.35">
      <c r="A533" s="17">
        <v>532</v>
      </c>
      <c r="B533" s="23" t="s">
        <v>99</v>
      </c>
      <c r="C533" s="18" t="s">
        <v>126</v>
      </c>
      <c r="D533" s="18">
        <v>84</v>
      </c>
      <c r="E533" s="18" t="s">
        <v>129</v>
      </c>
      <c r="F533" s="18" t="str">
        <f>IF(OR(D533&gt;Answers!L548,D533&lt;Answers!L549),"Outlier","Normal")</f>
        <v>Outlier</v>
      </c>
      <c r="G533" s="19" t="str">
        <f t="shared" si="8"/>
        <v>40-50</v>
      </c>
    </row>
    <row r="534" spans="1:7" ht="20" customHeight="1" x14ac:dyDescent="0.35">
      <c r="A534" s="17">
        <v>533</v>
      </c>
      <c r="B534" s="23" t="s">
        <v>99</v>
      </c>
      <c r="C534" s="18" t="s">
        <v>126</v>
      </c>
      <c r="D534" s="18">
        <v>55</v>
      </c>
      <c r="E534" s="18" t="s">
        <v>129</v>
      </c>
      <c r="F534" s="18" t="str">
        <f>IF(OR(D534&gt;Answers!L549,D534&lt;Answers!L550),"Outlier","Normal")</f>
        <v>Outlier</v>
      </c>
      <c r="G534" s="19" t="str">
        <f t="shared" si="8"/>
        <v>40-50</v>
      </c>
    </row>
    <row r="535" spans="1:7" ht="20" customHeight="1" x14ac:dyDescent="0.35">
      <c r="A535" s="17">
        <v>534</v>
      </c>
      <c r="B535" s="23" t="s">
        <v>113</v>
      </c>
      <c r="C535" s="18" t="s">
        <v>125</v>
      </c>
      <c r="D535" s="18">
        <v>90</v>
      </c>
      <c r="E535" s="18" t="s">
        <v>129</v>
      </c>
      <c r="F535" s="18" t="str">
        <f>IF(OR(D535&gt;Answers!L550,D535&lt;Answers!L551),"Outlier","Normal")</f>
        <v>Outlier</v>
      </c>
      <c r="G535" s="19" t="str">
        <f t="shared" si="8"/>
        <v>40-50</v>
      </c>
    </row>
    <row r="536" spans="1:7" ht="20" customHeight="1" x14ac:dyDescent="0.35">
      <c r="A536" s="17">
        <v>535</v>
      </c>
      <c r="B536" s="23" t="s">
        <v>104</v>
      </c>
      <c r="C536" s="18" t="s">
        <v>125</v>
      </c>
      <c r="D536" s="18">
        <v>45</v>
      </c>
      <c r="E536" s="18" t="s">
        <v>129</v>
      </c>
      <c r="F536" s="18" t="str">
        <f>IF(OR(D536&gt;Answers!L551,D536&lt;Answers!L552),"Outlier","Normal")</f>
        <v>Outlier</v>
      </c>
      <c r="G536" s="19" t="str">
        <f t="shared" si="8"/>
        <v>40-50</v>
      </c>
    </row>
    <row r="537" spans="1:7" ht="20" customHeight="1" x14ac:dyDescent="0.35">
      <c r="A537" s="17">
        <v>536</v>
      </c>
      <c r="B537" s="23" t="s">
        <v>109</v>
      </c>
      <c r="C537" s="18" t="s">
        <v>126</v>
      </c>
      <c r="D537" s="18">
        <v>69</v>
      </c>
      <c r="E537" s="18" t="s">
        <v>129</v>
      </c>
      <c r="F537" s="18" t="str">
        <f>IF(OR(D537&gt;Answers!L552,D537&lt;Answers!L553),"Outlier","Normal")</f>
        <v>Outlier</v>
      </c>
      <c r="G537" s="19" t="str">
        <f t="shared" si="8"/>
        <v>40-50</v>
      </c>
    </row>
    <row r="538" spans="1:7" ht="20" customHeight="1" x14ac:dyDescent="0.35">
      <c r="A538" s="17">
        <v>537</v>
      </c>
      <c r="B538" s="23" t="s">
        <v>101</v>
      </c>
      <c r="C538" s="18" t="s">
        <v>126</v>
      </c>
      <c r="D538" s="18">
        <v>58</v>
      </c>
      <c r="E538" s="18" t="s">
        <v>129</v>
      </c>
      <c r="F538" s="18" t="str">
        <f>IF(OR(D538&gt;Answers!L553,D538&lt;Answers!L554),"Outlier","Normal")</f>
        <v>Outlier</v>
      </c>
      <c r="G538" s="19" t="str">
        <f t="shared" si="8"/>
        <v>40-50</v>
      </c>
    </row>
    <row r="539" spans="1:7" ht="20" customHeight="1" x14ac:dyDescent="0.35">
      <c r="A539" s="17">
        <v>538</v>
      </c>
      <c r="B539" s="23" t="s">
        <v>113</v>
      </c>
      <c r="C539" s="18" t="s">
        <v>125</v>
      </c>
      <c r="D539" s="18">
        <v>32</v>
      </c>
      <c r="E539" s="18" t="s">
        <v>129</v>
      </c>
      <c r="F539" s="18" t="str">
        <f>IF(OR(D539&gt;Answers!L554,D539&lt;Answers!L555),"Outlier","Normal")</f>
        <v>Outlier</v>
      </c>
      <c r="G539" s="19" t="str">
        <f t="shared" si="8"/>
        <v>30-40</v>
      </c>
    </row>
    <row r="540" spans="1:7" ht="20" customHeight="1" x14ac:dyDescent="0.35">
      <c r="A540" s="17">
        <v>539</v>
      </c>
      <c r="B540" s="23" t="s">
        <v>113</v>
      </c>
      <c r="C540" s="18" t="s">
        <v>126</v>
      </c>
      <c r="D540" s="18">
        <v>24</v>
      </c>
      <c r="E540" s="18" t="s">
        <v>129</v>
      </c>
      <c r="F540" s="18" t="str">
        <f>IF(OR(D540&gt;Answers!L555,D540&lt;Answers!L556),"Outlier","Normal")</f>
        <v>Outlier</v>
      </c>
      <c r="G540" s="19" t="str">
        <f t="shared" si="8"/>
        <v>20-30</v>
      </c>
    </row>
    <row r="541" spans="1:7" ht="20" customHeight="1" x14ac:dyDescent="0.35">
      <c r="A541" s="17">
        <v>540</v>
      </c>
      <c r="B541" s="23" t="s">
        <v>101</v>
      </c>
      <c r="C541" s="18" t="s">
        <v>125</v>
      </c>
      <c r="D541" s="18">
        <v>27</v>
      </c>
      <c r="E541" s="18" t="s">
        <v>129</v>
      </c>
      <c r="F541" s="18" t="str">
        <f>IF(OR(D541&gt;Answers!L556,D541&lt;Answers!L557),"Outlier","Normal")</f>
        <v>Outlier</v>
      </c>
      <c r="G541" s="19" t="str">
        <f t="shared" si="8"/>
        <v>20-30</v>
      </c>
    </row>
    <row r="542" spans="1:7" ht="20" customHeight="1" x14ac:dyDescent="0.35">
      <c r="A542" s="17">
        <v>541</v>
      </c>
      <c r="B542" s="23" t="s">
        <v>99</v>
      </c>
      <c r="C542" s="18" t="s">
        <v>125</v>
      </c>
      <c r="D542" s="18">
        <v>85</v>
      </c>
      <c r="E542" s="18" t="s">
        <v>129</v>
      </c>
      <c r="F542" s="18" t="str">
        <f>IF(OR(D542&gt;Answers!L557,D542&lt;Answers!L558),"Outlier","Normal")</f>
        <v>Outlier</v>
      </c>
      <c r="G542" s="19" t="str">
        <f t="shared" si="8"/>
        <v>40-50</v>
      </c>
    </row>
    <row r="543" spans="1:7" ht="20" customHeight="1" x14ac:dyDescent="0.35">
      <c r="A543" s="17">
        <v>542</v>
      </c>
      <c r="B543" s="23" t="s">
        <v>101</v>
      </c>
      <c r="C543" s="18" t="s">
        <v>126</v>
      </c>
      <c r="D543" s="18">
        <v>33</v>
      </c>
      <c r="E543" s="18" t="s">
        <v>129</v>
      </c>
      <c r="F543" s="18" t="str">
        <f>IF(OR(D543&gt;Answers!L558,D543&lt;Answers!L559),"Outlier","Normal")</f>
        <v>Outlier</v>
      </c>
      <c r="G543" s="19" t="str">
        <f t="shared" si="8"/>
        <v>30-40</v>
      </c>
    </row>
    <row r="544" spans="1:7" ht="20" customHeight="1" x14ac:dyDescent="0.35">
      <c r="A544" s="17">
        <v>543</v>
      </c>
      <c r="B544" s="23" t="s">
        <v>100</v>
      </c>
      <c r="C544" s="18" t="s">
        <v>126</v>
      </c>
      <c r="D544" s="18">
        <v>80</v>
      </c>
      <c r="E544" s="18" t="s">
        <v>129</v>
      </c>
      <c r="F544" s="18" t="str">
        <f>IF(OR(D544&gt;Answers!L559,D544&lt;Answers!L560),"Outlier","Normal")</f>
        <v>Outlier</v>
      </c>
      <c r="G544" s="19" t="str">
        <f t="shared" si="8"/>
        <v>40-50</v>
      </c>
    </row>
    <row r="545" spans="1:7" ht="20" customHeight="1" x14ac:dyDescent="0.35">
      <c r="A545" s="17">
        <v>544</v>
      </c>
      <c r="B545" s="23" t="s">
        <v>106</v>
      </c>
      <c r="C545" s="18" t="s">
        <v>125</v>
      </c>
      <c r="D545" s="18">
        <v>39</v>
      </c>
      <c r="E545" s="18" t="s">
        <v>129</v>
      </c>
      <c r="F545" s="18" t="str">
        <f>IF(OR(D545&gt;Answers!L560,D545&lt;Answers!L561),"Outlier","Normal")</f>
        <v>Outlier</v>
      </c>
      <c r="G545" s="19" t="str">
        <f t="shared" si="8"/>
        <v>30-40</v>
      </c>
    </row>
    <row r="546" spans="1:7" ht="20" customHeight="1" x14ac:dyDescent="0.35">
      <c r="A546" s="17">
        <v>545</v>
      </c>
      <c r="B546" s="23" t="s">
        <v>99</v>
      </c>
      <c r="C546" s="18" t="s">
        <v>125</v>
      </c>
      <c r="D546" s="18">
        <v>76</v>
      </c>
      <c r="E546" s="18" t="s">
        <v>129</v>
      </c>
      <c r="F546" s="18" t="str">
        <f>IF(OR(D546&gt;Answers!L561,D546&lt;Answers!L562),"Outlier","Normal")</f>
        <v>Outlier</v>
      </c>
      <c r="G546" s="19" t="str">
        <f t="shared" si="8"/>
        <v>40-50</v>
      </c>
    </row>
    <row r="547" spans="1:7" ht="20" customHeight="1" x14ac:dyDescent="0.35">
      <c r="A547" s="17">
        <v>546</v>
      </c>
      <c r="B547" s="23" t="s">
        <v>99</v>
      </c>
      <c r="C547" s="18" t="s">
        <v>125</v>
      </c>
      <c r="D547" s="18">
        <v>57</v>
      </c>
      <c r="E547" s="18" t="s">
        <v>129</v>
      </c>
      <c r="F547" s="18" t="str">
        <f>IF(OR(D547&gt;Answers!L562,D547&lt;Answers!L563),"Outlier","Normal")</f>
        <v>Outlier</v>
      </c>
      <c r="G547" s="19" t="str">
        <f t="shared" si="8"/>
        <v>40-50</v>
      </c>
    </row>
    <row r="548" spans="1:7" ht="20" customHeight="1" x14ac:dyDescent="0.35">
      <c r="A548" s="17">
        <v>547</v>
      </c>
      <c r="B548" s="23" t="s">
        <v>99</v>
      </c>
      <c r="C548" s="18" t="s">
        <v>126</v>
      </c>
      <c r="D548" s="18">
        <v>69</v>
      </c>
      <c r="E548" s="18" t="s">
        <v>129</v>
      </c>
      <c r="F548" s="18" t="str">
        <f>IF(OR(D548&gt;Answers!L563,D548&lt;Answers!L564),"Outlier","Normal")</f>
        <v>Outlier</v>
      </c>
      <c r="G548" s="19" t="str">
        <f t="shared" si="8"/>
        <v>40-50</v>
      </c>
    </row>
    <row r="549" spans="1:7" ht="20" customHeight="1" x14ac:dyDescent="0.35">
      <c r="A549" s="17">
        <v>548</v>
      </c>
      <c r="B549" s="23" t="s">
        <v>99</v>
      </c>
      <c r="C549" s="18" t="s">
        <v>125</v>
      </c>
      <c r="D549" s="18">
        <v>48</v>
      </c>
      <c r="E549" s="18" t="s">
        <v>129</v>
      </c>
      <c r="F549" s="18" t="str">
        <f>IF(OR(D549&gt;Answers!L564,D549&lt;Answers!L565),"Outlier","Normal")</f>
        <v>Outlier</v>
      </c>
      <c r="G549" s="19" t="str">
        <f t="shared" si="8"/>
        <v>40-50</v>
      </c>
    </row>
    <row r="550" spans="1:7" ht="20" customHeight="1" x14ac:dyDescent="0.35">
      <c r="A550" s="17">
        <v>549</v>
      </c>
      <c r="B550" s="23" t="s">
        <v>99</v>
      </c>
      <c r="C550" s="18" t="s">
        <v>125</v>
      </c>
      <c r="D550" s="18">
        <v>70</v>
      </c>
      <c r="E550" s="18" t="s">
        <v>129</v>
      </c>
      <c r="F550" s="18" t="str">
        <f>IF(OR(D550&gt;Answers!L565,D550&lt;Answers!L566),"Outlier","Normal")</f>
        <v>Outlier</v>
      </c>
      <c r="G550" s="19" t="str">
        <f t="shared" si="8"/>
        <v>40-50</v>
      </c>
    </row>
    <row r="551" spans="1:7" ht="20" customHeight="1" x14ac:dyDescent="0.35">
      <c r="A551" s="17">
        <v>550</v>
      </c>
      <c r="B551" s="23" t="s">
        <v>99</v>
      </c>
      <c r="C551" s="18" t="s">
        <v>125</v>
      </c>
      <c r="D551" s="18">
        <v>31</v>
      </c>
      <c r="E551" s="18" t="s">
        <v>129</v>
      </c>
      <c r="F551" s="18" t="str">
        <f>IF(OR(D551&gt;Answers!L566,D551&lt;Answers!L567),"Outlier","Normal")</f>
        <v>Outlier</v>
      </c>
      <c r="G551" s="19" t="str">
        <f t="shared" si="8"/>
        <v>30-40</v>
      </c>
    </row>
    <row r="552" spans="1:7" ht="20" customHeight="1" x14ac:dyDescent="0.35">
      <c r="A552" s="17">
        <v>551</v>
      </c>
      <c r="B552" s="23" t="s">
        <v>110</v>
      </c>
      <c r="C552" s="18" t="s">
        <v>125</v>
      </c>
      <c r="D552" s="18">
        <v>20</v>
      </c>
      <c r="E552" s="18" t="s">
        <v>129</v>
      </c>
      <c r="F552" s="18" t="str">
        <f>IF(OR(D552&gt;Answers!L567,D552&lt;Answers!L568),"Outlier","Normal")</f>
        <v>Outlier</v>
      </c>
      <c r="G552" s="19" t="str">
        <f t="shared" si="8"/>
        <v>20-30</v>
      </c>
    </row>
    <row r="553" spans="1:7" ht="20" customHeight="1" x14ac:dyDescent="0.35">
      <c r="A553" s="17">
        <v>552</v>
      </c>
      <c r="B553" s="23" t="s">
        <v>113</v>
      </c>
      <c r="C553" s="18" t="s">
        <v>126</v>
      </c>
      <c r="D553" s="18">
        <v>67</v>
      </c>
      <c r="E553" s="18" t="s">
        <v>129</v>
      </c>
      <c r="F553" s="18" t="str">
        <f>IF(OR(D553&gt;Answers!L568,D553&lt;Answers!L569),"Outlier","Normal")</f>
        <v>Outlier</v>
      </c>
      <c r="G553" s="19" t="str">
        <f t="shared" si="8"/>
        <v>40-50</v>
      </c>
    </row>
    <row r="554" spans="1:7" ht="20" customHeight="1" x14ac:dyDescent="0.35">
      <c r="A554" s="17">
        <v>553</v>
      </c>
      <c r="B554" s="23" t="s">
        <v>101</v>
      </c>
      <c r="C554" s="18" t="s">
        <v>125</v>
      </c>
      <c r="D554" s="18">
        <v>34</v>
      </c>
      <c r="E554" s="18" t="s">
        <v>129</v>
      </c>
      <c r="F554" s="18" t="str">
        <f>IF(OR(D554&gt;Answers!L569,D554&lt;Answers!L570),"Outlier","Normal")</f>
        <v>Outlier</v>
      </c>
      <c r="G554" s="19" t="str">
        <f t="shared" si="8"/>
        <v>30-40</v>
      </c>
    </row>
    <row r="555" spans="1:7" ht="20" customHeight="1" x14ac:dyDescent="0.35">
      <c r="A555" s="17">
        <v>554</v>
      </c>
      <c r="B555" s="23" t="s">
        <v>113</v>
      </c>
      <c r="C555" s="18" t="s">
        <v>126</v>
      </c>
      <c r="D555" s="18">
        <v>29</v>
      </c>
      <c r="E555" s="18" t="s">
        <v>129</v>
      </c>
      <c r="F555" s="18" t="str">
        <f>IF(OR(D555&gt;Answers!L570,D555&lt;Answers!L571),"Outlier","Normal")</f>
        <v>Outlier</v>
      </c>
      <c r="G555" s="19" t="str">
        <f t="shared" si="8"/>
        <v>20-30</v>
      </c>
    </row>
    <row r="556" spans="1:7" ht="20" customHeight="1" x14ac:dyDescent="0.35">
      <c r="A556" s="17">
        <v>555</v>
      </c>
      <c r="B556" s="23" t="s">
        <v>99</v>
      </c>
      <c r="C556" s="18" t="s">
        <v>126</v>
      </c>
      <c r="D556" s="18">
        <v>90</v>
      </c>
      <c r="E556" s="18" t="s">
        <v>129</v>
      </c>
      <c r="F556" s="18" t="str">
        <f>IF(OR(D556&gt;Answers!L571,D556&lt;Answers!L572),"Outlier","Normal")</f>
        <v>Outlier</v>
      </c>
      <c r="G556" s="19" t="str">
        <f t="shared" si="8"/>
        <v>40-50</v>
      </c>
    </row>
    <row r="557" spans="1:7" ht="20" customHeight="1" x14ac:dyDescent="0.35">
      <c r="A557" s="17">
        <v>556</v>
      </c>
      <c r="B557" s="23" t="s">
        <v>100</v>
      </c>
      <c r="C557" s="18" t="s">
        <v>126</v>
      </c>
      <c r="D557" s="18">
        <v>72</v>
      </c>
      <c r="E557" s="18" t="s">
        <v>129</v>
      </c>
      <c r="F557" s="18" t="str">
        <f>IF(OR(D557&gt;Answers!L572,D557&lt;Answers!L573),"Outlier","Normal")</f>
        <v>Outlier</v>
      </c>
      <c r="G557" s="19" t="str">
        <f t="shared" si="8"/>
        <v>40-50</v>
      </c>
    </row>
    <row r="558" spans="1:7" ht="20" customHeight="1" x14ac:dyDescent="0.35">
      <c r="A558" s="17">
        <v>557</v>
      </c>
      <c r="B558" s="23" t="s">
        <v>109</v>
      </c>
      <c r="C558" s="18" t="s">
        <v>125</v>
      </c>
      <c r="D558" s="18">
        <v>84</v>
      </c>
      <c r="E558" s="18" t="s">
        <v>129</v>
      </c>
      <c r="F558" s="18" t="str">
        <f>IF(OR(D558&gt;Answers!L573,D558&lt;Answers!L574),"Outlier","Normal")</f>
        <v>Outlier</v>
      </c>
      <c r="G558" s="19" t="str">
        <f t="shared" si="8"/>
        <v>40-50</v>
      </c>
    </row>
    <row r="559" spans="1:7" ht="20" customHeight="1" x14ac:dyDescent="0.35">
      <c r="A559" s="17">
        <v>558</v>
      </c>
      <c r="B559" s="23" t="s">
        <v>113</v>
      </c>
      <c r="C559" s="18" t="s">
        <v>126</v>
      </c>
      <c r="D559" s="18">
        <v>72</v>
      </c>
      <c r="E559" s="18" t="s">
        <v>129</v>
      </c>
      <c r="F559" s="18" t="str">
        <f>IF(OR(D559&gt;Answers!L574,D559&lt;Answers!L575),"Outlier","Normal")</f>
        <v>Outlier</v>
      </c>
      <c r="G559" s="19" t="str">
        <f t="shared" si="8"/>
        <v>40-50</v>
      </c>
    </row>
    <row r="560" spans="1:7" ht="20" customHeight="1" x14ac:dyDescent="0.35">
      <c r="A560" s="17">
        <v>559</v>
      </c>
      <c r="B560" s="23" t="s">
        <v>108</v>
      </c>
      <c r="C560" s="18" t="s">
        <v>126</v>
      </c>
      <c r="D560" s="18">
        <v>70</v>
      </c>
      <c r="E560" s="18" t="s">
        <v>129</v>
      </c>
      <c r="F560" s="18" t="str">
        <f>IF(OR(D560&gt;Answers!L575,D560&lt;Answers!L576),"Outlier","Normal")</f>
        <v>Outlier</v>
      </c>
      <c r="G560" s="19" t="str">
        <f t="shared" si="8"/>
        <v>40-50</v>
      </c>
    </row>
    <row r="561" spans="1:7" ht="20" customHeight="1" x14ac:dyDescent="0.35">
      <c r="A561" s="17">
        <v>560</v>
      </c>
      <c r="B561" s="23" t="s">
        <v>108</v>
      </c>
      <c r="C561" s="18" t="s">
        <v>126</v>
      </c>
      <c r="D561" s="18">
        <v>81</v>
      </c>
      <c r="E561" s="18" t="s">
        <v>129</v>
      </c>
      <c r="F561" s="18" t="str">
        <f>IF(OR(D561&gt;Answers!L576,D561&lt;Answers!L577),"Outlier","Normal")</f>
        <v>Outlier</v>
      </c>
      <c r="G561" s="19" t="str">
        <f t="shared" si="8"/>
        <v>40-50</v>
      </c>
    </row>
    <row r="562" spans="1:7" ht="20" customHeight="1" x14ac:dyDescent="0.35">
      <c r="A562" s="17">
        <v>561</v>
      </c>
      <c r="B562" s="23" t="s">
        <v>102</v>
      </c>
      <c r="C562" s="18" t="s">
        <v>126</v>
      </c>
      <c r="D562" s="18">
        <v>33</v>
      </c>
      <c r="E562" s="18" t="s">
        <v>129</v>
      </c>
      <c r="F562" s="18" t="str">
        <f>IF(OR(D562&gt;Answers!L577,D562&lt;Answers!L578),"Outlier","Normal")</f>
        <v>Outlier</v>
      </c>
      <c r="G562" s="19" t="str">
        <f t="shared" si="8"/>
        <v>30-40</v>
      </c>
    </row>
    <row r="563" spans="1:7" ht="20" customHeight="1" x14ac:dyDescent="0.35">
      <c r="A563" s="17">
        <v>562</v>
      </c>
      <c r="B563" s="23" t="s">
        <v>106</v>
      </c>
      <c r="C563" s="18" t="s">
        <v>126</v>
      </c>
      <c r="D563" s="18">
        <v>75</v>
      </c>
      <c r="E563" s="18" t="s">
        <v>129</v>
      </c>
      <c r="F563" s="18" t="str">
        <f>IF(OR(D563&gt;Answers!L578,D563&lt;Answers!L579),"Outlier","Normal")</f>
        <v>Outlier</v>
      </c>
      <c r="G563" s="19" t="str">
        <f t="shared" si="8"/>
        <v>40-50</v>
      </c>
    </row>
    <row r="564" spans="1:7" ht="20" customHeight="1" x14ac:dyDescent="0.35">
      <c r="A564" s="17">
        <v>563</v>
      </c>
      <c r="B564" s="23" t="s">
        <v>100</v>
      </c>
      <c r="C564" s="18" t="s">
        <v>126</v>
      </c>
      <c r="D564" s="18">
        <v>80</v>
      </c>
      <c r="E564" s="18" t="s">
        <v>129</v>
      </c>
      <c r="F564" s="18" t="str">
        <f>IF(OR(D564&gt;Answers!L579,D564&lt;Answers!L580),"Outlier","Normal")</f>
        <v>Outlier</v>
      </c>
      <c r="G564" s="19" t="str">
        <f t="shared" si="8"/>
        <v>40-50</v>
      </c>
    </row>
    <row r="565" spans="1:7" ht="20" customHeight="1" x14ac:dyDescent="0.35">
      <c r="A565" s="17">
        <v>564</v>
      </c>
      <c r="B565" s="23" t="s">
        <v>99</v>
      </c>
      <c r="C565" s="18" t="s">
        <v>126</v>
      </c>
      <c r="D565" s="18">
        <v>83</v>
      </c>
      <c r="E565" s="18" t="s">
        <v>129</v>
      </c>
      <c r="F565" s="18" t="str">
        <f>IF(OR(D565&gt;Answers!L580,D565&lt;Answers!L581),"Outlier","Normal")</f>
        <v>Outlier</v>
      </c>
      <c r="G565" s="19" t="str">
        <f t="shared" si="8"/>
        <v>40-50</v>
      </c>
    </row>
    <row r="566" spans="1:7" ht="20" customHeight="1" x14ac:dyDescent="0.35">
      <c r="A566" s="17">
        <v>565</v>
      </c>
      <c r="B566" s="23" t="s">
        <v>100</v>
      </c>
      <c r="C566" s="18" t="s">
        <v>125</v>
      </c>
      <c r="D566" s="18">
        <v>62</v>
      </c>
      <c r="E566" s="18" t="s">
        <v>129</v>
      </c>
      <c r="F566" s="18" t="str">
        <f>IF(OR(D566&gt;Answers!L581,D566&lt;Answers!L582),"Outlier","Normal")</f>
        <v>Outlier</v>
      </c>
      <c r="G566" s="19" t="str">
        <f t="shared" si="8"/>
        <v>40-50</v>
      </c>
    </row>
    <row r="567" spans="1:7" ht="20" customHeight="1" x14ac:dyDescent="0.35">
      <c r="A567" s="17">
        <v>566</v>
      </c>
      <c r="B567" s="23" t="s">
        <v>99</v>
      </c>
      <c r="C567" s="18" t="s">
        <v>125</v>
      </c>
      <c r="D567" s="18">
        <v>74</v>
      </c>
      <c r="E567" s="18" t="s">
        <v>129</v>
      </c>
      <c r="F567" s="18" t="str">
        <f>IF(OR(D567&gt;Answers!L582,D567&lt;Answers!L583),"Outlier","Normal")</f>
        <v>Outlier</v>
      </c>
      <c r="G567" s="19" t="str">
        <f t="shared" si="8"/>
        <v>40-50</v>
      </c>
    </row>
    <row r="568" spans="1:7" ht="20" customHeight="1" x14ac:dyDescent="0.35">
      <c r="A568" s="17">
        <v>567</v>
      </c>
      <c r="B568" s="23" t="s">
        <v>101</v>
      </c>
      <c r="C568" s="18" t="s">
        <v>125</v>
      </c>
      <c r="D568" s="18">
        <v>37</v>
      </c>
      <c r="E568" s="18" t="s">
        <v>129</v>
      </c>
      <c r="F568" s="18" t="str">
        <f>IF(OR(D568&gt;Answers!L583,D568&lt;Answers!L584),"Outlier","Normal")</f>
        <v>Outlier</v>
      </c>
      <c r="G568" s="19" t="str">
        <f t="shared" si="8"/>
        <v>30-40</v>
      </c>
    </row>
    <row r="569" spans="1:7" ht="20" customHeight="1" x14ac:dyDescent="0.35">
      <c r="A569" s="17">
        <v>568</v>
      </c>
      <c r="B569" s="23" t="s">
        <v>100</v>
      </c>
      <c r="C569" s="18" t="s">
        <v>126</v>
      </c>
      <c r="D569" s="18">
        <v>82</v>
      </c>
      <c r="E569" s="18" t="s">
        <v>129</v>
      </c>
      <c r="F569" s="18" t="str">
        <f>IF(OR(D569&gt;Answers!L584,D569&lt;Answers!L585),"Outlier","Normal")</f>
        <v>Outlier</v>
      </c>
      <c r="G569" s="19" t="str">
        <f t="shared" si="8"/>
        <v>40-50</v>
      </c>
    </row>
    <row r="570" spans="1:7" ht="20" customHeight="1" x14ac:dyDescent="0.35">
      <c r="A570" s="17">
        <v>569</v>
      </c>
      <c r="B570" s="23" t="s">
        <v>99</v>
      </c>
      <c r="C570" s="18" t="s">
        <v>125</v>
      </c>
      <c r="D570" s="18">
        <v>62</v>
      </c>
      <c r="E570" s="18" t="s">
        <v>129</v>
      </c>
      <c r="F570" s="18" t="str">
        <f>IF(OR(D570&gt;Answers!L585,D570&lt;Answers!L586),"Outlier","Normal")</f>
        <v>Outlier</v>
      </c>
      <c r="G570" s="19" t="str">
        <f t="shared" si="8"/>
        <v>40-50</v>
      </c>
    </row>
    <row r="571" spans="1:7" ht="20" customHeight="1" x14ac:dyDescent="0.35">
      <c r="A571" s="17">
        <v>570</v>
      </c>
      <c r="B571" s="23" t="s">
        <v>113</v>
      </c>
      <c r="C571" s="18" t="s">
        <v>126</v>
      </c>
      <c r="D571" s="18">
        <v>66</v>
      </c>
      <c r="E571" s="18" t="s">
        <v>129</v>
      </c>
      <c r="F571" s="18" t="str">
        <f>IF(OR(D571&gt;Answers!L586,D571&lt;Answers!L587),"Outlier","Normal")</f>
        <v>Outlier</v>
      </c>
      <c r="G571" s="19" t="str">
        <f t="shared" si="8"/>
        <v>40-50</v>
      </c>
    </row>
    <row r="572" spans="1:7" ht="20" customHeight="1" x14ac:dyDescent="0.35">
      <c r="A572" s="17">
        <v>571</v>
      </c>
      <c r="B572" s="23" t="s">
        <v>102</v>
      </c>
      <c r="C572" s="18" t="s">
        <v>126</v>
      </c>
      <c r="D572" s="18">
        <v>88</v>
      </c>
      <c r="E572" s="18" t="s">
        <v>129</v>
      </c>
      <c r="F572" s="18" t="str">
        <f>IF(OR(D572&gt;Answers!L587,D572&lt;Answers!L588),"Outlier","Normal")</f>
        <v>Outlier</v>
      </c>
      <c r="G572" s="19" t="str">
        <f t="shared" si="8"/>
        <v>40-50</v>
      </c>
    </row>
    <row r="573" spans="1:7" ht="20" customHeight="1" x14ac:dyDescent="0.35">
      <c r="A573" s="17">
        <v>572</v>
      </c>
      <c r="B573" s="23" t="s">
        <v>100</v>
      </c>
      <c r="C573" s="18" t="s">
        <v>126</v>
      </c>
      <c r="D573" s="18">
        <v>79</v>
      </c>
      <c r="E573" s="18" t="s">
        <v>129</v>
      </c>
      <c r="F573" s="18" t="str">
        <f>IF(OR(D573&gt;Answers!L588,D573&lt;Answers!L589),"Outlier","Normal")</f>
        <v>Outlier</v>
      </c>
      <c r="G573" s="19" t="str">
        <f t="shared" si="8"/>
        <v>40-50</v>
      </c>
    </row>
    <row r="574" spans="1:7" ht="20" customHeight="1" x14ac:dyDescent="0.35">
      <c r="A574" s="17">
        <v>573</v>
      </c>
      <c r="B574" s="23" t="s">
        <v>100</v>
      </c>
      <c r="C574" s="18" t="s">
        <v>126</v>
      </c>
      <c r="D574" s="18">
        <v>69</v>
      </c>
      <c r="E574" s="18" t="s">
        <v>129</v>
      </c>
      <c r="F574" s="18" t="str">
        <f>IF(OR(D574&gt;Answers!L589,D574&lt;Answers!L590),"Outlier","Normal")</f>
        <v>Outlier</v>
      </c>
      <c r="G574" s="19" t="str">
        <f t="shared" si="8"/>
        <v>40-50</v>
      </c>
    </row>
    <row r="575" spans="1:7" ht="20" customHeight="1" x14ac:dyDescent="0.35">
      <c r="A575" s="17">
        <v>574</v>
      </c>
      <c r="B575" s="23" t="s">
        <v>99</v>
      </c>
      <c r="C575" s="18" t="s">
        <v>126</v>
      </c>
      <c r="D575" s="18">
        <v>41</v>
      </c>
      <c r="E575" s="18" t="s">
        <v>129</v>
      </c>
      <c r="F575" s="18" t="str">
        <f>IF(OR(D575&gt;Answers!L590,D575&lt;Answers!L591),"Outlier","Normal")</f>
        <v>Outlier</v>
      </c>
      <c r="G575" s="19" t="str">
        <f t="shared" si="8"/>
        <v>40-50</v>
      </c>
    </row>
    <row r="576" spans="1:7" ht="20" customHeight="1" x14ac:dyDescent="0.35">
      <c r="A576" s="17">
        <v>575</v>
      </c>
      <c r="B576" s="23" t="s">
        <v>113</v>
      </c>
      <c r="C576" s="18" t="s">
        <v>126</v>
      </c>
      <c r="D576" s="18">
        <v>85</v>
      </c>
      <c r="E576" s="18" t="s">
        <v>129</v>
      </c>
      <c r="F576" s="18" t="str">
        <f>IF(OR(D576&gt;Answers!L591,D576&lt;Answers!L592),"Outlier","Normal")</f>
        <v>Outlier</v>
      </c>
      <c r="G576" s="19" t="str">
        <f t="shared" si="8"/>
        <v>40-50</v>
      </c>
    </row>
    <row r="577" spans="1:7" ht="20" customHeight="1" x14ac:dyDescent="0.35">
      <c r="A577" s="17">
        <v>576</v>
      </c>
      <c r="B577" s="23" t="s">
        <v>99</v>
      </c>
      <c r="C577" s="18" t="s">
        <v>125</v>
      </c>
      <c r="D577" s="18">
        <v>47</v>
      </c>
      <c r="E577" s="18" t="s">
        <v>129</v>
      </c>
      <c r="F577" s="18" t="str">
        <f>IF(OR(D577&gt;Answers!L592,D577&lt;Answers!L593),"Outlier","Normal")</f>
        <v>Outlier</v>
      </c>
      <c r="G577" s="19" t="str">
        <f t="shared" si="8"/>
        <v>40-50</v>
      </c>
    </row>
    <row r="578" spans="1:7" ht="20" customHeight="1" x14ac:dyDescent="0.35">
      <c r="A578" s="17">
        <v>577</v>
      </c>
      <c r="B578" s="23" t="s">
        <v>100</v>
      </c>
      <c r="C578" s="18" t="s">
        <v>126</v>
      </c>
      <c r="D578" s="18">
        <v>74</v>
      </c>
      <c r="E578" s="18" t="s">
        <v>129</v>
      </c>
      <c r="F578" s="18" t="str">
        <f>IF(OR(D578&gt;Answers!L593,D578&lt;Answers!L594),"Outlier","Normal")</f>
        <v>Outlier</v>
      </c>
      <c r="G578" s="19" t="str">
        <f t="shared" si="8"/>
        <v>40-50</v>
      </c>
    </row>
    <row r="579" spans="1:7" ht="20" customHeight="1" x14ac:dyDescent="0.35">
      <c r="A579" s="17">
        <v>578</v>
      </c>
      <c r="B579" s="23" t="s">
        <v>101</v>
      </c>
      <c r="C579" s="18" t="s">
        <v>126</v>
      </c>
      <c r="D579" s="18">
        <v>29</v>
      </c>
      <c r="E579" s="18" t="s">
        <v>129</v>
      </c>
      <c r="F579" s="18" t="str">
        <f>IF(OR(D579&gt;Answers!L594,D579&lt;Answers!L595),"Outlier","Normal")</f>
        <v>Outlier</v>
      </c>
      <c r="G579" s="19" t="str">
        <f t="shared" ref="G579:G642" si="9">IF(D579&lt;20,"&lt;20",
IF(D579&lt;=30,"20-30",
IF(D579&lt;=40,"30-40","40-50")))</f>
        <v>20-30</v>
      </c>
    </row>
    <row r="580" spans="1:7" ht="20" customHeight="1" x14ac:dyDescent="0.35">
      <c r="A580" s="17">
        <v>579</v>
      </c>
      <c r="B580" s="23" t="s">
        <v>99</v>
      </c>
      <c r="C580" s="18" t="s">
        <v>126</v>
      </c>
      <c r="D580" s="18">
        <v>62</v>
      </c>
      <c r="E580" s="18" t="s">
        <v>129</v>
      </c>
      <c r="F580" s="18" t="str">
        <f>IF(OR(D580&gt;Answers!L595,D580&lt;Answers!L596),"Outlier","Normal")</f>
        <v>Outlier</v>
      </c>
      <c r="G580" s="19" t="str">
        <f t="shared" si="9"/>
        <v>40-50</v>
      </c>
    </row>
    <row r="581" spans="1:7" ht="20" customHeight="1" x14ac:dyDescent="0.35">
      <c r="A581" s="17">
        <v>580</v>
      </c>
      <c r="B581" s="23" t="s">
        <v>99</v>
      </c>
      <c r="C581" s="18" t="s">
        <v>126</v>
      </c>
      <c r="D581" s="18">
        <v>24</v>
      </c>
      <c r="E581" s="18" t="s">
        <v>129</v>
      </c>
      <c r="F581" s="18" t="str">
        <f>IF(OR(D581&gt;Answers!L596,D581&lt;Answers!L597),"Outlier","Normal")</f>
        <v>Outlier</v>
      </c>
      <c r="G581" s="19" t="str">
        <f t="shared" si="9"/>
        <v>20-30</v>
      </c>
    </row>
    <row r="582" spans="1:7" ht="20" customHeight="1" x14ac:dyDescent="0.35">
      <c r="A582" s="17">
        <v>581</v>
      </c>
      <c r="B582" s="23" t="s">
        <v>99</v>
      </c>
      <c r="C582" s="18" t="s">
        <v>125</v>
      </c>
      <c r="D582" s="18">
        <v>53</v>
      </c>
      <c r="E582" s="18" t="s">
        <v>129</v>
      </c>
      <c r="F582" s="18" t="str">
        <f>IF(OR(D582&gt;Answers!L597,D582&lt;Answers!L598),"Outlier","Normal")</f>
        <v>Outlier</v>
      </c>
      <c r="G582" s="19" t="str">
        <f t="shared" si="9"/>
        <v>40-50</v>
      </c>
    </row>
    <row r="583" spans="1:7" ht="20" customHeight="1" x14ac:dyDescent="0.35">
      <c r="A583" s="17">
        <v>582</v>
      </c>
      <c r="B583" s="23" t="s">
        <v>113</v>
      </c>
      <c r="C583" s="18" t="s">
        <v>125</v>
      </c>
      <c r="D583" s="18">
        <v>20</v>
      </c>
      <c r="E583" s="18" t="s">
        <v>129</v>
      </c>
      <c r="F583" s="18" t="str">
        <f>IF(OR(D583&gt;Answers!L598,D583&lt;Answers!L599),"Outlier","Normal")</f>
        <v>Outlier</v>
      </c>
      <c r="G583" s="19" t="str">
        <f t="shared" si="9"/>
        <v>20-30</v>
      </c>
    </row>
    <row r="584" spans="1:7" ht="20" customHeight="1" x14ac:dyDescent="0.35">
      <c r="A584" s="17">
        <v>583</v>
      </c>
      <c r="B584" s="23" t="s">
        <v>101</v>
      </c>
      <c r="C584" s="18" t="s">
        <v>125</v>
      </c>
      <c r="D584" s="18">
        <v>88</v>
      </c>
      <c r="E584" s="18" t="s">
        <v>129</v>
      </c>
      <c r="F584" s="18" t="str">
        <f>IF(OR(D584&gt;Answers!L599,D584&lt;Answers!L600),"Outlier","Normal")</f>
        <v>Outlier</v>
      </c>
      <c r="G584" s="19" t="str">
        <f t="shared" si="9"/>
        <v>40-50</v>
      </c>
    </row>
    <row r="585" spans="1:7" ht="20" customHeight="1" x14ac:dyDescent="0.35">
      <c r="A585" s="17">
        <v>584</v>
      </c>
      <c r="B585" s="23" t="s">
        <v>99</v>
      </c>
      <c r="C585" s="18" t="s">
        <v>126</v>
      </c>
      <c r="D585" s="18">
        <v>70</v>
      </c>
      <c r="E585" s="18" t="s">
        <v>129</v>
      </c>
      <c r="F585" s="18" t="str">
        <f>IF(OR(D585&gt;Answers!L600,D585&lt;Answers!L601),"Outlier","Normal")</f>
        <v>Outlier</v>
      </c>
      <c r="G585" s="19" t="str">
        <f t="shared" si="9"/>
        <v>40-50</v>
      </c>
    </row>
    <row r="586" spans="1:7" ht="20" customHeight="1" x14ac:dyDescent="0.35">
      <c r="A586" s="17">
        <v>585</v>
      </c>
      <c r="B586" s="23" t="s">
        <v>107</v>
      </c>
      <c r="C586" s="18" t="s">
        <v>126</v>
      </c>
      <c r="D586" s="18">
        <v>47</v>
      </c>
      <c r="E586" s="18" t="s">
        <v>129</v>
      </c>
      <c r="F586" s="18" t="str">
        <f>IF(OR(D586&gt;Answers!L601,D586&lt;Answers!L602),"Outlier","Normal")</f>
        <v>Outlier</v>
      </c>
      <c r="G586" s="19" t="str">
        <f t="shared" si="9"/>
        <v>40-50</v>
      </c>
    </row>
    <row r="587" spans="1:7" ht="20" customHeight="1" x14ac:dyDescent="0.35">
      <c r="A587" s="17">
        <v>586</v>
      </c>
      <c r="B587" s="23" t="s">
        <v>113</v>
      </c>
      <c r="C587" s="18" t="s">
        <v>126</v>
      </c>
      <c r="D587" s="18">
        <v>53</v>
      </c>
      <c r="E587" s="18" t="s">
        <v>129</v>
      </c>
      <c r="F587" s="18" t="str">
        <f>IF(OR(D587&gt;Answers!L602,D587&lt;Answers!L603),"Outlier","Normal")</f>
        <v>Outlier</v>
      </c>
      <c r="G587" s="19" t="str">
        <f t="shared" si="9"/>
        <v>40-50</v>
      </c>
    </row>
    <row r="588" spans="1:7" ht="20" customHeight="1" x14ac:dyDescent="0.35">
      <c r="A588" s="17">
        <v>587</v>
      </c>
      <c r="B588" s="23" t="s">
        <v>99</v>
      </c>
      <c r="C588" s="18" t="s">
        <v>125</v>
      </c>
      <c r="D588" s="18">
        <v>51</v>
      </c>
      <c r="E588" s="18" t="s">
        <v>129</v>
      </c>
      <c r="F588" s="18" t="str">
        <f>IF(OR(D588&gt;Answers!L603,D588&lt;Answers!L604),"Outlier","Normal")</f>
        <v>Outlier</v>
      </c>
      <c r="G588" s="19" t="str">
        <f t="shared" si="9"/>
        <v>40-50</v>
      </c>
    </row>
    <row r="589" spans="1:7" ht="20" customHeight="1" x14ac:dyDescent="0.35">
      <c r="A589" s="17">
        <v>588</v>
      </c>
      <c r="B589" s="23" t="s">
        <v>107</v>
      </c>
      <c r="C589" s="18" t="s">
        <v>126</v>
      </c>
      <c r="D589" s="18">
        <v>42</v>
      </c>
      <c r="E589" s="18" t="s">
        <v>129</v>
      </c>
      <c r="F589" s="18" t="str">
        <f>IF(OR(D589&gt;Answers!L604,D589&lt;Answers!L605),"Outlier","Normal")</f>
        <v>Outlier</v>
      </c>
      <c r="G589" s="19" t="str">
        <f t="shared" si="9"/>
        <v>40-50</v>
      </c>
    </row>
    <row r="590" spans="1:7" ht="20" customHeight="1" x14ac:dyDescent="0.35">
      <c r="A590" s="17">
        <v>589</v>
      </c>
      <c r="B590" s="23" t="s">
        <v>99</v>
      </c>
      <c r="C590" s="18" t="s">
        <v>125</v>
      </c>
      <c r="D590" s="18">
        <v>37</v>
      </c>
      <c r="E590" s="18" t="s">
        <v>129</v>
      </c>
      <c r="F590" s="18" t="str">
        <f>IF(OR(D590&gt;Answers!L605,D590&lt;Answers!L606),"Outlier","Normal")</f>
        <v>Outlier</v>
      </c>
      <c r="G590" s="19" t="str">
        <f t="shared" si="9"/>
        <v>30-40</v>
      </c>
    </row>
    <row r="591" spans="1:7" ht="20" customHeight="1" x14ac:dyDescent="0.35">
      <c r="A591" s="17">
        <v>590</v>
      </c>
      <c r="B591" s="23" t="s">
        <v>113</v>
      </c>
      <c r="C591" s="18" t="s">
        <v>126</v>
      </c>
      <c r="D591" s="18">
        <v>25</v>
      </c>
      <c r="E591" s="18" t="s">
        <v>129</v>
      </c>
      <c r="F591" s="18" t="str">
        <f>IF(OR(D591&gt;Answers!L606,D591&lt;Answers!L607),"Outlier","Normal")</f>
        <v>Outlier</v>
      </c>
      <c r="G591" s="19" t="str">
        <f t="shared" si="9"/>
        <v>20-30</v>
      </c>
    </row>
    <row r="592" spans="1:7" ht="20" customHeight="1" x14ac:dyDescent="0.35">
      <c r="A592" s="17">
        <v>591</v>
      </c>
      <c r="B592" s="23" t="s">
        <v>113</v>
      </c>
      <c r="C592" s="18" t="s">
        <v>125</v>
      </c>
      <c r="D592" s="18">
        <v>49</v>
      </c>
      <c r="E592" s="18" t="s">
        <v>129</v>
      </c>
      <c r="F592" s="18" t="str">
        <f>IF(OR(D592&gt;Answers!L607,D592&lt;Answers!L608),"Outlier","Normal")</f>
        <v>Outlier</v>
      </c>
      <c r="G592" s="19" t="str">
        <f t="shared" si="9"/>
        <v>40-50</v>
      </c>
    </row>
    <row r="593" spans="1:7" ht="20" customHeight="1" x14ac:dyDescent="0.35">
      <c r="A593" s="17">
        <v>592</v>
      </c>
      <c r="B593" s="23" t="s">
        <v>111</v>
      </c>
      <c r="C593" s="18" t="s">
        <v>126</v>
      </c>
      <c r="D593" s="18">
        <v>66</v>
      </c>
      <c r="E593" s="18" t="s">
        <v>129</v>
      </c>
      <c r="F593" s="18" t="str">
        <f>IF(OR(D593&gt;Answers!L608,D593&lt;Answers!L609),"Outlier","Normal")</f>
        <v>Outlier</v>
      </c>
      <c r="G593" s="19" t="str">
        <f t="shared" si="9"/>
        <v>40-50</v>
      </c>
    </row>
    <row r="594" spans="1:7" ht="20" customHeight="1" x14ac:dyDescent="0.35">
      <c r="A594" s="17">
        <v>593</v>
      </c>
      <c r="B594" s="23" t="s">
        <v>99</v>
      </c>
      <c r="C594" s="18" t="s">
        <v>126</v>
      </c>
      <c r="D594" s="18">
        <v>48</v>
      </c>
      <c r="E594" s="18" t="s">
        <v>129</v>
      </c>
      <c r="F594" s="18" t="str">
        <f>IF(OR(D594&gt;Answers!L609,D594&lt;Answers!L610),"Outlier","Normal")</f>
        <v>Outlier</v>
      </c>
      <c r="G594" s="19" t="str">
        <f t="shared" si="9"/>
        <v>40-50</v>
      </c>
    </row>
    <row r="595" spans="1:7" ht="20" customHeight="1" x14ac:dyDescent="0.35">
      <c r="A595" s="17">
        <v>594</v>
      </c>
      <c r="B595" s="23" t="s">
        <v>99</v>
      </c>
      <c r="C595" s="18" t="s">
        <v>126</v>
      </c>
      <c r="D595" s="18">
        <v>58</v>
      </c>
      <c r="E595" s="18" t="s">
        <v>129</v>
      </c>
      <c r="F595" s="18" t="str">
        <f>IF(OR(D595&gt;Answers!L610,D595&lt;Answers!L611),"Outlier","Normal")</f>
        <v>Outlier</v>
      </c>
      <c r="G595" s="19" t="str">
        <f t="shared" si="9"/>
        <v>40-50</v>
      </c>
    </row>
    <row r="596" spans="1:7" ht="20" customHeight="1" x14ac:dyDescent="0.35">
      <c r="A596" s="17">
        <v>595</v>
      </c>
      <c r="B596" s="23" t="s">
        <v>99</v>
      </c>
      <c r="C596" s="18" t="s">
        <v>126</v>
      </c>
      <c r="D596" s="18">
        <v>90</v>
      </c>
      <c r="E596" s="18" t="s">
        <v>129</v>
      </c>
      <c r="F596" s="18" t="str">
        <f>IF(OR(D596&gt;Answers!L611,D596&lt;Answers!L612),"Outlier","Normal")</f>
        <v>Outlier</v>
      </c>
      <c r="G596" s="19" t="str">
        <f t="shared" si="9"/>
        <v>40-50</v>
      </c>
    </row>
    <row r="597" spans="1:7" ht="20" customHeight="1" x14ac:dyDescent="0.35">
      <c r="A597" s="17">
        <v>596</v>
      </c>
      <c r="B597" s="23" t="s">
        <v>102</v>
      </c>
      <c r="C597" s="18" t="s">
        <v>125</v>
      </c>
      <c r="D597" s="18">
        <v>66</v>
      </c>
      <c r="E597" s="18" t="s">
        <v>129</v>
      </c>
      <c r="F597" s="18" t="str">
        <f>IF(OR(D597&gt;Answers!L612,D597&lt;Answers!L613),"Outlier","Normal")</f>
        <v>Outlier</v>
      </c>
      <c r="G597" s="19" t="str">
        <f t="shared" si="9"/>
        <v>40-50</v>
      </c>
    </row>
    <row r="598" spans="1:7" ht="20" customHeight="1" x14ac:dyDescent="0.35">
      <c r="A598" s="17">
        <v>597</v>
      </c>
      <c r="B598" s="23" t="s">
        <v>100</v>
      </c>
      <c r="C598" s="18" t="s">
        <v>126</v>
      </c>
      <c r="D598" s="18">
        <v>43</v>
      </c>
      <c r="E598" s="18" t="s">
        <v>129</v>
      </c>
      <c r="F598" s="18" t="str">
        <f>IF(OR(D598&gt;Answers!L613,D598&lt;Answers!L614),"Outlier","Normal")</f>
        <v>Outlier</v>
      </c>
      <c r="G598" s="19" t="str">
        <f t="shared" si="9"/>
        <v>40-50</v>
      </c>
    </row>
    <row r="599" spans="1:7" ht="20" customHeight="1" x14ac:dyDescent="0.35">
      <c r="A599" s="17">
        <v>598</v>
      </c>
      <c r="B599" s="23" t="s">
        <v>99</v>
      </c>
      <c r="C599" s="18" t="s">
        <v>126</v>
      </c>
      <c r="D599" s="18">
        <v>76</v>
      </c>
      <c r="E599" s="18" t="s">
        <v>129</v>
      </c>
      <c r="F599" s="18" t="str">
        <f>IF(OR(D599&gt;Answers!L614,D599&lt;Answers!L615),"Outlier","Normal")</f>
        <v>Outlier</v>
      </c>
      <c r="G599" s="19" t="str">
        <f t="shared" si="9"/>
        <v>40-50</v>
      </c>
    </row>
    <row r="600" spans="1:7" ht="20" customHeight="1" x14ac:dyDescent="0.35">
      <c r="A600" s="17">
        <v>599</v>
      </c>
      <c r="B600" s="23" t="s">
        <v>101</v>
      </c>
      <c r="C600" s="18" t="s">
        <v>126</v>
      </c>
      <c r="D600" s="18">
        <v>32</v>
      </c>
      <c r="E600" s="18" t="s">
        <v>129</v>
      </c>
      <c r="F600" s="18" t="str">
        <f>IF(OR(D600&gt;Answers!L615,D600&lt;Answers!L616),"Outlier","Normal")</f>
        <v>Outlier</v>
      </c>
      <c r="G600" s="19" t="str">
        <f t="shared" si="9"/>
        <v>30-40</v>
      </c>
    </row>
    <row r="601" spans="1:7" ht="20" customHeight="1" x14ac:dyDescent="0.35">
      <c r="A601" s="17">
        <v>600</v>
      </c>
      <c r="B601" s="23" t="s">
        <v>99</v>
      </c>
      <c r="C601" s="18" t="s">
        <v>125</v>
      </c>
      <c r="D601" s="18">
        <v>77</v>
      </c>
      <c r="E601" s="18" t="s">
        <v>129</v>
      </c>
      <c r="F601" s="18" t="str">
        <f>IF(OR(D601&gt;Answers!L616,D601&lt;Answers!L617),"Outlier","Normal")</f>
        <v>Outlier</v>
      </c>
      <c r="G601" s="19" t="str">
        <f t="shared" si="9"/>
        <v>40-50</v>
      </c>
    </row>
    <row r="602" spans="1:7" ht="20" customHeight="1" x14ac:dyDescent="0.35">
      <c r="A602" s="17">
        <v>601</v>
      </c>
      <c r="B602" s="23" t="s">
        <v>113</v>
      </c>
      <c r="C602" s="18" t="s">
        <v>125</v>
      </c>
      <c r="D602" s="18">
        <v>57</v>
      </c>
      <c r="E602" s="18" t="s">
        <v>129</v>
      </c>
      <c r="F602" s="18" t="str">
        <f>IF(OR(D602&gt;Answers!L617,D602&lt;Answers!L618),"Outlier","Normal")</f>
        <v>Outlier</v>
      </c>
      <c r="G602" s="19" t="str">
        <f t="shared" si="9"/>
        <v>40-50</v>
      </c>
    </row>
    <row r="603" spans="1:7" ht="20" customHeight="1" x14ac:dyDescent="0.35">
      <c r="A603" s="17">
        <v>602</v>
      </c>
      <c r="B603" s="23" t="s">
        <v>104</v>
      </c>
      <c r="C603" s="18" t="s">
        <v>126</v>
      </c>
      <c r="D603" s="18">
        <v>24</v>
      </c>
      <c r="E603" s="18" t="s">
        <v>129</v>
      </c>
      <c r="F603" s="18" t="str">
        <f>IF(OR(D603&gt;Answers!L618,D603&lt;Answers!L619),"Outlier","Normal")</f>
        <v>Outlier</v>
      </c>
      <c r="G603" s="19" t="str">
        <f t="shared" si="9"/>
        <v>20-30</v>
      </c>
    </row>
    <row r="604" spans="1:7" ht="20" customHeight="1" x14ac:dyDescent="0.35">
      <c r="A604" s="17">
        <v>603</v>
      </c>
      <c r="B604" s="23" t="s">
        <v>113</v>
      </c>
      <c r="C604" s="18" t="s">
        <v>125</v>
      </c>
      <c r="D604" s="18">
        <v>41</v>
      </c>
      <c r="E604" s="18" t="s">
        <v>129</v>
      </c>
      <c r="F604" s="18" t="str">
        <f>IF(OR(D604&gt;Answers!L619,D604&lt;Answers!L620),"Outlier","Normal")</f>
        <v>Outlier</v>
      </c>
      <c r="G604" s="19" t="str">
        <f t="shared" si="9"/>
        <v>40-50</v>
      </c>
    </row>
    <row r="605" spans="1:7" ht="20" customHeight="1" x14ac:dyDescent="0.35">
      <c r="A605" s="17">
        <v>604</v>
      </c>
      <c r="B605" s="23" t="s">
        <v>104</v>
      </c>
      <c r="C605" s="18" t="s">
        <v>126</v>
      </c>
      <c r="D605" s="18">
        <v>85</v>
      </c>
      <c r="E605" s="18" t="s">
        <v>129</v>
      </c>
      <c r="F605" s="18" t="str">
        <f>IF(OR(D605&gt;Answers!L620,D605&lt;Answers!L621),"Outlier","Normal")</f>
        <v>Outlier</v>
      </c>
      <c r="G605" s="19" t="str">
        <f t="shared" si="9"/>
        <v>40-50</v>
      </c>
    </row>
    <row r="606" spans="1:7" ht="20" customHeight="1" x14ac:dyDescent="0.35">
      <c r="A606" s="17">
        <v>605</v>
      </c>
      <c r="B606" s="23" t="s">
        <v>99</v>
      </c>
      <c r="C606" s="18" t="s">
        <v>125</v>
      </c>
      <c r="D606" s="18">
        <v>58</v>
      </c>
      <c r="E606" s="18" t="s">
        <v>129</v>
      </c>
      <c r="F606" s="18" t="str">
        <f>IF(OR(D606&gt;Answers!L621,D606&lt;Answers!L622),"Outlier","Normal")</f>
        <v>Outlier</v>
      </c>
      <c r="G606" s="19" t="str">
        <f t="shared" si="9"/>
        <v>40-50</v>
      </c>
    </row>
    <row r="607" spans="1:7" ht="20" customHeight="1" x14ac:dyDescent="0.35">
      <c r="A607" s="17">
        <v>606</v>
      </c>
      <c r="B607" s="23" t="s">
        <v>99</v>
      </c>
      <c r="C607" s="18" t="s">
        <v>125</v>
      </c>
      <c r="D607" s="18">
        <v>18</v>
      </c>
      <c r="E607" s="18" t="s">
        <v>129</v>
      </c>
      <c r="F607" s="18" t="str">
        <f>IF(OR(D607&gt;Answers!L622,D607&lt;Answers!L623),"Outlier","Normal")</f>
        <v>Outlier</v>
      </c>
      <c r="G607" s="19" t="str">
        <f t="shared" si="9"/>
        <v>&lt;20</v>
      </c>
    </row>
    <row r="608" spans="1:7" ht="20" customHeight="1" x14ac:dyDescent="0.35">
      <c r="A608" s="17">
        <v>607</v>
      </c>
      <c r="B608" s="23" t="s">
        <v>106</v>
      </c>
      <c r="C608" s="18" t="s">
        <v>126</v>
      </c>
      <c r="D608" s="18">
        <v>41</v>
      </c>
      <c r="E608" s="18" t="s">
        <v>129</v>
      </c>
      <c r="F608" s="18" t="str">
        <f>IF(OR(D608&gt;Answers!L623,D608&lt;Answers!L624),"Outlier","Normal")</f>
        <v>Outlier</v>
      </c>
      <c r="G608" s="19" t="str">
        <f t="shared" si="9"/>
        <v>40-50</v>
      </c>
    </row>
    <row r="609" spans="1:7" ht="20" customHeight="1" x14ac:dyDescent="0.35">
      <c r="A609" s="17">
        <v>608</v>
      </c>
      <c r="B609" s="23" t="s">
        <v>108</v>
      </c>
      <c r="C609" s="18" t="s">
        <v>125</v>
      </c>
      <c r="D609" s="18">
        <v>57</v>
      </c>
      <c r="E609" s="18" t="s">
        <v>129</v>
      </c>
      <c r="F609" s="18" t="str">
        <f>IF(OR(D609&gt;Answers!L624,D609&lt;Answers!L625),"Outlier","Normal")</f>
        <v>Outlier</v>
      </c>
      <c r="G609" s="19" t="str">
        <f t="shared" si="9"/>
        <v>40-50</v>
      </c>
    </row>
    <row r="610" spans="1:7" ht="20" customHeight="1" x14ac:dyDescent="0.35">
      <c r="A610" s="17">
        <v>609</v>
      </c>
      <c r="B610" s="23" t="s">
        <v>99</v>
      </c>
      <c r="C610" s="18" t="s">
        <v>125</v>
      </c>
      <c r="D610" s="18">
        <v>87</v>
      </c>
      <c r="E610" s="18" t="s">
        <v>129</v>
      </c>
      <c r="F610" s="18" t="str">
        <f>IF(OR(D610&gt;Answers!L625,D610&lt;Answers!L626),"Outlier","Normal")</f>
        <v>Outlier</v>
      </c>
      <c r="G610" s="19" t="str">
        <f t="shared" si="9"/>
        <v>40-50</v>
      </c>
    </row>
    <row r="611" spans="1:7" ht="20" customHeight="1" x14ac:dyDescent="0.35">
      <c r="A611" s="17">
        <v>610</v>
      </c>
      <c r="B611" s="23" t="s">
        <v>100</v>
      </c>
      <c r="C611" s="18" t="s">
        <v>126</v>
      </c>
      <c r="D611" s="18">
        <v>62</v>
      </c>
      <c r="E611" s="18" t="s">
        <v>129</v>
      </c>
      <c r="F611" s="18" t="str">
        <f>IF(OR(D611&gt;Answers!L626,D611&lt;Answers!L627),"Outlier","Normal")</f>
        <v>Outlier</v>
      </c>
      <c r="G611" s="19" t="str">
        <f t="shared" si="9"/>
        <v>40-50</v>
      </c>
    </row>
    <row r="612" spans="1:7" ht="20" customHeight="1" x14ac:dyDescent="0.35">
      <c r="A612" s="17">
        <v>611</v>
      </c>
      <c r="B612" s="23" t="s">
        <v>113</v>
      </c>
      <c r="C612" s="18" t="s">
        <v>125</v>
      </c>
      <c r="D612" s="18">
        <v>31</v>
      </c>
      <c r="E612" s="18" t="s">
        <v>129</v>
      </c>
      <c r="F612" s="18" t="str">
        <f>IF(OR(D612&gt;Answers!L627,D612&lt;Answers!L628),"Outlier","Normal")</f>
        <v>Outlier</v>
      </c>
      <c r="G612" s="19" t="str">
        <f t="shared" si="9"/>
        <v>30-40</v>
      </c>
    </row>
    <row r="613" spans="1:7" ht="20" customHeight="1" x14ac:dyDescent="0.35">
      <c r="A613" s="17">
        <v>612</v>
      </c>
      <c r="B613" s="23" t="s">
        <v>99</v>
      </c>
      <c r="C613" s="18" t="s">
        <v>125</v>
      </c>
      <c r="D613" s="18">
        <v>18</v>
      </c>
      <c r="E613" s="18" t="s">
        <v>129</v>
      </c>
      <c r="F613" s="18" t="str">
        <f>IF(OR(D613&gt;Answers!L628,D613&lt;Answers!L629),"Outlier","Normal")</f>
        <v>Outlier</v>
      </c>
      <c r="G613" s="19" t="str">
        <f t="shared" si="9"/>
        <v>&lt;20</v>
      </c>
    </row>
    <row r="614" spans="1:7" ht="20" customHeight="1" x14ac:dyDescent="0.35">
      <c r="A614" s="17">
        <v>613</v>
      </c>
      <c r="B614" s="23" t="s">
        <v>113</v>
      </c>
      <c r="C614" s="18" t="s">
        <v>126</v>
      </c>
      <c r="D614" s="18">
        <v>51</v>
      </c>
      <c r="E614" s="18" t="s">
        <v>129</v>
      </c>
      <c r="F614" s="18" t="str">
        <f>IF(OR(D614&gt;Answers!L629,D614&lt;Answers!L630),"Outlier","Normal")</f>
        <v>Outlier</v>
      </c>
      <c r="G614" s="19" t="str">
        <f t="shared" si="9"/>
        <v>40-50</v>
      </c>
    </row>
    <row r="615" spans="1:7" ht="20" customHeight="1" x14ac:dyDescent="0.35">
      <c r="A615" s="17">
        <v>614</v>
      </c>
      <c r="B615" s="23" t="s">
        <v>99</v>
      </c>
      <c r="C615" s="18" t="s">
        <v>125</v>
      </c>
      <c r="D615" s="18">
        <v>36</v>
      </c>
      <c r="E615" s="18" t="s">
        <v>129</v>
      </c>
      <c r="F615" s="18" t="str">
        <f>IF(OR(D615&gt;Answers!L630,D615&lt;Answers!L631),"Outlier","Normal")</f>
        <v>Outlier</v>
      </c>
      <c r="G615" s="19" t="str">
        <f t="shared" si="9"/>
        <v>30-40</v>
      </c>
    </row>
    <row r="616" spans="1:7" ht="20" customHeight="1" x14ac:dyDescent="0.35">
      <c r="A616" s="17">
        <v>615</v>
      </c>
      <c r="B616" s="23" t="s">
        <v>100</v>
      </c>
      <c r="C616" s="18" t="s">
        <v>126</v>
      </c>
      <c r="D616" s="18">
        <v>53</v>
      </c>
      <c r="E616" s="18" t="s">
        <v>129</v>
      </c>
      <c r="F616" s="18" t="str">
        <f>IF(OR(D616&gt;Answers!L631,D616&lt;Answers!L632),"Outlier","Normal")</f>
        <v>Outlier</v>
      </c>
      <c r="G616" s="19" t="str">
        <f t="shared" si="9"/>
        <v>40-50</v>
      </c>
    </row>
    <row r="617" spans="1:7" ht="20" customHeight="1" x14ac:dyDescent="0.35">
      <c r="A617" s="17">
        <v>616</v>
      </c>
      <c r="B617" s="23" t="s">
        <v>100</v>
      </c>
      <c r="C617" s="18" t="s">
        <v>125</v>
      </c>
      <c r="D617" s="18">
        <v>40</v>
      </c>
      <c r="E617" s="18" t="s">
        <v>129</v>
      </c>
      <c r="F617" s="18" t="str">
        <f>IF(OR(D617&gt;Answers!L632,D617&lt;Answers!L633),"Outlier","Normal")</f>
        <v>Outlier</v>
      </c>
      <c r="G617" s="19" t="str">
        <f t="shared" si="9"/>
        <v>30-40</v>
      </c>
    </row>
    <row r="618" spans="1:7" ht="20" customHeight="1" x14ac:dyDescent="0.35">
      <c r="A618" s="17">
        <v>617</v>
      </c>
      <c r="B618" s="23" t="s">
        <v>99</v>
      </c>
      <c r="C618" s="18" t="s">
        <v>126</v>
      </c>
      <c r="D618" s="18">
        <v>45</v>
      </c>
      <c r="E618" s="18" t="s">
        <v>129</v>
      </c>
      <c r="F618" s="18" t="str">
        <f>IF(OR(D618&gt;Answers!L633,D618&lt;Answers!L634),"Outlier","Normal")</f>
        <v>Outlier</v>
      </c>
      <c r="G618" s="19" t="str">
        <f t="shared" si="9"/>
        <v>40-50</v>
      </c>
    </row>
    <row r="619" spans="1:7" ht="20" customHeight="1" x14ac:dyDescent="0.35">
      <c r="A619" s="17">
        <v>618</v>
      </c>
      <c r="B619" s="23" t="s">
        <v>102</v>
      </c>
      <c r="C619" s="18" t="s">
        <v>126</v>
      </c>
      <c r="D619" s="18">
        <v>58</v>
      </c>
      <c r="E619" s="18" t="s">
        <v>129</v>
      </c>
      <c r="F619" s="18" t="str">
        <f>IF(OR(D619&gt;Answers!L634,D619&lt;Answers!L635),"Outlier","Normal")</f>
        <v>Outlier</v>
      </c>
      <c r="G619" s="19" t="str">
        <f t="shared" si="9"/>
        <v>40-50</v>
      </c>
    </row>
    <row r="620" spans="1:7" ht="20" customHeight="1" x14ac:dyDescent="0.35">
      <c r="A620" s="17">
        <v>619</v>
      </c>
      <c r="B620" s="23" t="s">
        <v>99</v>
      </c>
      <c r="C620" s="18" t="s">
        <v>126</v>
      </c>
      <c r="D620" s="18">
        <v>38</v>
      </c>
      <c r="E620" s="18" t="s">
        <v>129</v>
      </c>
      <c r="F620" s="18" t="str">
        <f>IF(OR(D620&gt;Answers!L635,D620&lt;Answers!L636),"Outlier","Normal")</f>
        <v>Outlier</v>
      </c>
      <c r="G620" s="19" t="str">
        <f t="shared" si="9"/>
        <v>30-40</v>
      </c>
    </row>
    <row r="621" spans="1:7" ht="20" customHeight="1" x14ac:dyDescent="0.35">
      <c r="A621" s="17">
        <v>620</v>
      </c>
      <c r="B621" s="23" t="s">
        <v>106</v>
      </c>
      <c r="C621" s="18" t="s">
        <v>125</v>
      </c>
      <c r="D621" s="18">
        <v>41</v>
      </c>
      <c r="E621" s="18" t="s">
        <v>129</v>
      </c>
      <c r="F621" s="18" t="str">
        <f>IF(OR(D621&gt;Answers!L636,D621&lt;Answers!L637),"Outlier","Normal")</f>
        <v>Outlier</v>
      </c>
      <c r="G621" s="19" t="str">
        <f t="shared" si="9"/>
        <v>40-50</v>
      </c>
    </row>
    <row r="622" spans="1:7" ht="20" customHeight="1" x14ac:dyDescent="0.35">
      <c r="A622" s="17">
        <v>621</v>
      </c>
      <c r="B622" s="23" t="s">
        <v>99</v>
      </c>
      <c r="C622" s="18" t="s">
        <v>126</v>
      </c>
      <c r="D622" s="18">
        <v>50</v>
      </c>
      <c r="E622" s="18" t="s">
        <v>129</v>
      </c>
      <c r="F622" s="18" t="str">
        <f>IF(OR(D622&gt;Answers!L637,D622&lt;Answers!L638),"Outlier","Normal")</f>
        <v>Outlier</v>
      </c>
      <c r="G622" s="19" t="str">
        <f t="shared" si="9"/>
        <v>40-50</v>
      </c>
    </row>
    <row r="623" spans="1:7" ht="20" customHeight="1" x14ac:dyDescent="0.35">
      <c r="A623" s="17">
        <v>622</v>
      </c>
      <c r="B623" s="23" t="s">
        <v>113</v>
      </c>
      <c r="C623" s="18" t="s">
        <v>125</v>
      </c>
      <c r="D623" s="18">
        <v>71</v>
      </c>
      <c r="E623" s="18" t="s">
        <v>129</v>
      </c>
      <c r="F623" s="18" t="str">
        <f>IF(OR(D623&gt;Answers!L638,D623&lt;Answers!L639),"Outlier","Normal")</f>
        <v>Outlier</v>
      </c>
      <c r="G623" s="19" t="str">
        <f t="shared" si="9"/>
        <v>40-50</v>
      </c>
    </row>
    <row r="624" spans="1:7" ht="20" customHeight="1" x14ac:dyDescent="0.35">
      <c r="A624" s="17">
        <v>623</v>
      </c>
      <c r="B624" s="23" t="s">
        <v>113</v>
      </c>
      <c r="C624" s="18" t="s">
        <v>126</v>
      </c>
      <c r="D624" s="18">
        <v>80</v>
      </c>
      <c r="E624" s="18" t="s">
        <v>129</v>
      </c>
      <c r="F624" s="18" t="str">
        <f>IF(OR(D624&gt;Answers!L639,D624&lt;Answers!L640),"Outlier","Normal")</f>
        <v>Outlier</v>
      </c>
      <c r="G624" s="19" t="str">
        <f t="shared" si="9"/>
        <v>40-50</v>
      </c>
    </row>
    <row r="625" spans="1:7" ht="20" customHeight="1" x14ac:dyDescent="0.35">
      <c r="A625" s="17">
        <v>624</v>
      </c>
      <c r="B625" s="23" t="s">
        <v>101</v>
      </c>
      <c r="C625" s="18" t="s">
        <v>125</v>
      </c>
      <c r="D625" s="18">
        <v>43</v>
      </c>
      <c r="E625" s="18" t="s">
        <v>129</v>
      </c>
      <c r="F625" s="18" t="str">
        <f>IF(OR(D625&gt;Answers!L640,D625&lt;Answers!L641),"Outlier","Normal")</f>
        <v>Outlier</v>
      </c>
      <c r="G625" s="19" t="str">
        <f t="shared" si="9"/>
        <v>40-50</v>
      </c>
    </row>
    <row r="626" spans="1:7" ht="20" customHeight="1" x14ac:dyDescent="0.35">
      <c r="A626" s="17">
        <v>625</v>
      </c>
      <c r="B626" s="23" t="s">
        <v>113</v>
      </c>
      <c r="C626" s="18" t="s">
        <v>125</v>
      </c>
      <c r="D626" s="18">
        <v>54</v>
      </c>
      <c r="E626" s="18" t="s">
        <v>129</v>
      </c>
      <c r="F626" s="18" t="str">
        <f>IF(OR(D626&gt;Answers!L641,D626&lt;Answers!L642),"Outlier","Normal")</f>
        <v>Outlier</v>
      </c>
      <c r="G626" s="19" t="str">
        <f t="shared" si="9"/>
        <v>40-50</v>
      </c>
    </row>
    <row r="627" spans="1:7" ht="20" customHeight="1" x14ac:dyDescent="0.35">
      <c r="A627" s="17">
        <v>626</v>
      </c>
      <c r="B627" s="23" t="s">
        <v>99</v>
      </c>
      <c r="C627" s="18" t="s">
        <v>126</v>
      </c>
      <c r="D627" s="18">
        <v>59</v>
      </c>
      <c r="E627" s="18" t="s">
        <v>129</v>
      </c>
      <c r="F627" s="18" t="str">
        <f>IF(OR(D627&gt;Answers!L642,D627&lt;Answers!L643),"Outlier","Normal")</f>
        <v>Outlier</v>
      </c>
      <c r="G627" s="19" t="str">
        <f t="shared" si="9"/>
        <v>40-50</v>
      </c>
    </row>
    <row r="628" spans="1:7" ht="20" customHeight="1" x14ac:dyDescent="0.35">
      <c r="A628" s="17">
        <v>627</v>
      </c>
      <c r="B628" s="23" t="s">
        <v>102</v>
      </c>
      <c r="C628" s="18" t="s">
        <v>125</v>
      </c>
      <c r="D628" s="18">
        <v>62</v>
      </c>
      <c r="E628" s="18" t="s">
        <v>129</v>
      </c>
      <c r="F628" s="18" t="str">
        <f>IF(OR(D628&gt;Answers!L643,D628&lt;Answers!L644),"Outlier","Normal")</f>
        <v>Outlier</v>
      </c>
      <c r="G628" s="19" t="str">
        <f t="shared" si="9"/>
        <v>40-50</v>
      </c>
    </row>
    <row r="629" spans="1:7" ht="20" customHeight="1" x14ac:dyDescent="0.35">
      <c r="A629" s="17">
        <v>628</v>
      </c>
      <c r="B629" s="23" t="s">
        <v>100</v>
      </c>
      <c r="C629" s="18" t="s">
        <v>126</v>
      </c>
      <c r="D629" s="18">
        <v>85</v>
      </c>
      <c r="E629" s="18" t="s">
        <v>129</v>
      </c>
      <c r="F629" s="18" t="str">
        <f>IF(OR(D629&gt;Answers!L644,D629&lt;Answers!L645),"Outlier","Normal")</f>
        <v>Outlier</v>
      </c>
      <c r="G629" s="19" t="str">
        <f t="shared" si="9"/>
        <v>40-50</v>
      </c>
    </row>
    <row r="630" spans="1:7" ht="20" customHeight="1" x14ac:dyDescent="0.35">
      <c r="A630" s="17">
        <v>629</v>
      </c>
      <c r="B630" s="23" t="s">
        <v>99</v>
      </c>
      <c r="C630" s="18" t="s">
        <v>125</v>
      </c>
      <c r="D630" s="18">
        <v>82</v>
      </c>
      <c r="E630" s="18" t="s">
        <v>129</v>
      </c>
      <c r="F630" s="18" t="str">
        <f>IF(OR(D630&gt;Answers!L645,D630&lt;Answers!L646),"Outlier","Normal")</f>
        <v>Outlier</v>
      </c>
      <c r="G630" s="19" t="str">
        <f t="shared" si="9"/>
        <v>40-50</v>
      </c>
    </row>
    <row r="631" spans="1:7" ht="20" customHeight="1" x14ac:dyDescent="0.35">
      <c r="A631" s="17">
        <v>630</v>
      </c>
      <c r="B631" s="23" t="s">
        <v>113</v>
      </c>
      <c r="C631" s="18" t="s">
        <v>126</v>
      </c>
      <c r="D631" s="18">
        <v>86</v>
      </c>
      <c r="E631" s="18" t="s">
        <v>129</v>
      </c>
      <c r="F631" s="18" t="str">
        <f>IF(OR(D631&gt;Answers!L646,D631&lt;Answers!L647),"Outlier","Normal")</f>
        <v>Outlier</v>
      </c>
      <c r="G631" s="19" t="str">
        <f t="shared" si="9"/>
        <v>40-50</v>
      </c>
    </row>
    <row r="632" spans="1:7" ht="20" customHeight="1" x14ac:dyDescent="0.35">
      <c r="A632" s="17">
        <v>631</v>
      </c>
      <c r="B632" s="23" t="s">
        <v>113</v>
      </c>
      <c r="C632" s="18" t="s">
        <v>126</v>
      </c>
      <c r="D632" s="18">
        <v>53</v>
      </c>
      <c r="E632" s="18" t="s">
        <v>129</v>
      </c>
      <c r="F632" s="18" t="str">
        <f>IF(OR(D632&gt;Answers!L647,D632&lt;Answers!L648),"Outlier","Normal")</f>
        <v>Outlier</v>
      </c>
      <c r="G632" s="19" t="str">
        <f t="shared" si="9"/>
        <v>40-50</v>
      </c>
    </row>
    <row r="633" spans="1:7" ht="20" customHeight="1" x14ac:dyDescent="0.35">
      <c r="A633" s="17">
        <v>632</v>
      </c>
      <c r="B633" s="23" t="s">
        <v>99</v>
      </c>
      <c r="C633" s="18" t="s">
        <v>126</v>
      </c>
      <c r="D633" s="18">
        <v>67</v>
      </c>
      <c r="E633" s="18" t="s">
        <v>129</v>
      </c>
      <c r="F633" s="18" t="str">
        <f>IF(OR(D633&gt;Answers!L648,D633&lt;Answers!L649),"Outlier","Normal")</f>
        <v>Outlier</v>
      </c>
      <c r="G633" s="19" t="str">
        <f t="shared" si="9"/>
        <v>40-50</v>
      </c>
    </row>
    <row r="634" spans="1:7" ht="20" customHeight="1" x14ac:dyDescent="0.35">
      <c r="A634" s="17">
        <v>633</v>
      </c>
      <c r="B634" s="23" t="s">
        <v>100</v>
      </c>
      <c r="C634" s="18" t="s">
        <v>126</v>
      </c>
      <c r="D634" s="18">
        <v>88</v>
      </c>
      <c r="E634" s="18" t="s">
        <v>129</v>
      </c>
      <c r="F634" s="18" t="str">
        <f>IF(OR(D634&gt;Answers!L649,D634&lt;Answers!L650),"Outlier","Normal")</f>
        <v>Outlier</v>
      </c>
      <c r="G634" s="19" t="str">
        <f t="shared" si="9"/>
        <v>40-50</v>
      </c>
    </row>
    <row r="635" spans="1:7" ht="20" customHeight="1" x14ac:dyDescent="0.35">
      <c r="A635" s="17">
        <v>634</v>
      </c>
      <c r="B635" s="23" t="s">
        <v>99</v>
      </c>
      <c r="C635" s="18" t="s">
        <v>125</v>
      </c>
      <c r="D635" s="18">
        <v>62</v>
      </c>
      <c r="E635" s="18" t="s">
        <v>129</v>
      </c>
      <c r="F635" s="18" t="str">
        <f>IF(OR(D635&gt;Answers!L650,D635&lt;Answers!L651),"Outlier","Normal")</f>
        <v>Outlier</v>
      </c>
      <c r="G635" s="19" t="str">
        <f t="shared" si="9"/>
        <v>40-50</v>
      </c>
    </row>
    <row r="636" spans="1:7" ht="20" customHeight="1" x14ac:dyDescent="0.35">
      <c r="A636" s="17">
        <v>635</v>
      </c>
      <c r="B636" s="23" t="s">
        <v>99</v>
      </c>
      <c r="C636" s="18" t="s">
        <v>125</v>
      </c>
      <c r="D636" s="18">
        <v>32</v>
      </c>
      <c r="E636" s="18" t="s">
        <v>129</v>
      </c>
      <c r="F636" s="18" t="str">
        <f>IF(OR(D636&gt;Answers!L651,D636&lt;Answers!L652),"Outlier","Normal")</f>
        <v>Outlier</v>
      </c>
      <c r="G636" s="19" t="str">
        <f t="shared" si="9"/>
        <v>30-40</v>
      </c>
    </row>
    <row r="637" spans="1:7" ht="20" customHeight="1" x14ac:dyDescent="0.35">
      <c r="A637" s="17">
        <v>636</v>
      </c>
      <c r="B637" s="23" t="s">
        <v>99</v>
      </c>
      <c r="C637" s="18" t="s">
        <v>125</v>
      </c>
      <c r="D637" s="18">
        <v>57</v>
      </c>
      <c r="E637" s="18" t="s">
        <v>129</v>
      </c>
      <c r="F637" s="18" t="str">
        <f>IF(OR(D637&gt;Answers!L652,D637&lt;Answers!L653),"Outlier","Normal")</f>
        <v>Outlier</v>
      </c>
      <c r="G637" s="19" t="str">
        <f t="shared" si="9"/>
        <v>40-50</v>
      </c>
    </row>
    <row r="638" spans="1:7" ht="20" customHeight="1" x14ac:dyDescent="0.35">
      <c r="A638" s="17">
        <v>637</v>
      </c>
      <c r="B638" s="23" t="s">
        <v>99</v>
      </c>
      <c r="C638" s="18" t="s">
        <v>125</v>
      </c>
      <c r="D638" s="18">
        <v>38</v>
      </c>
      <c r="E638" s="18" t="s">
        <v>129</v>
      </c>
      <c r="F638" s="18" t="str">
        <f>IF(OR(D638&gt;Answers!L653,D638&lt;Answers!L654),"Outlier","Normal")</f>
        <v>Outlier</v>
      </c>
      <c r="G638" s="19" t="str">
        <f t="shared" si="9"/>
        <v>30-40</v>
      </c>
    </row>
    <row r="639" spans="1:7" ht="20" customHeight="1" x14ac:dyDescent="0.35">
      <c r="A639" s="17">
        <v>638</v>
      </c>
      <c r="B639" s="23" t="s">
        <v>100</v>
      </c>
      <c r="C639" s="18" t="s">
        <v>125</v>
      </c>
      <c r="D639" s="18">
        <v>65</v>
      </c>
      <c r="E639" s="18" t="s">
        <v>129</v>
      </c>
      <c r="F639" s="18" t="str">
        <f>IF(OR(D639&gt;Answers!L654,D639&lt;Answers!L655),"Outlier","Normal")</f>
        <v>Outlier</v>
      </c>
      <c r="G639" s="19" t="str">
        <f t="shared" si="9"/>
        <v>40-50</v>
      </c>
    </row>
    <row r="640" spans="1:7" ht="20" customHeight="1" x14ac:dyDescent="0.35">
      <c r="A640" s="17">
        <v>639</v>
      </c>
      <c r="B640" s="23" t="s">
        <v>99</v>
      </c>
      <c r="C640" s="18" t="s">
        <v>126</v>
      </c>
      <c r="D640" s="18">
        <v>59</v>
      </c>
      <c r="E640" s="18" t="s">
        <v>129</v>
      </c>
      <c r="F640" s="18" t="str">
        <f>IF(OR(D640&gt;Answers!L655,D640&lt;Answers!L656),"Outlier","Normal")</f>
        <v>Outlier</v>
      </c>
      <c r="G640" s="19" t="str">
        <f t="shared" si="9"/>
        <v>40-50</v>
      </c>
    </row>
    <row r="641" spans="1:7" ht="20" customHeight="1" x14ac:dyDescent="0.35">
      <c r="A641" s="17">
        <v>640</v>
      </c>
      <c r="B641" s="23" t="s">
        <v>100</v>
      </c>
      <c r="C641" s="18" t="s">
        <v>126</v>
      </c>
      <c r="D641" s="18">
        <v>51</v>
      </c>
      <c r="E641" s="18" t="s">
        <v>129</v>
      </c>
      <c r="F641" s="18" t="str">
        <f>IF(OR(D641&gt;Answers!L656,D641&lt;Answers!L657),"Outlier","Normal")</f>
        <v>Outlier</v>
      </c>
      <c r="G641" s="19" t="str">
        <f t="shared" si="9"/>
        <v>40-50</v>
      </c>
    </row>
    <row r="642" spans="1:7" ht="20" customHeight="1" x14ac:dyDescent="0.35">
      <c r="A642" s="17">
        <v>641</v>
      </c>
      <c r="B642" s="23" t="s">
        <v>99</v>
      </c>
      <c r="C642" s="18" t="s">
        <v>125</v>
      </c>
      <c r="D642" s="18">
        <v>28</v>
      </c>
      <c r="E642" s="18" t="s">
        <v>129</v>
      </c>
      <c r="F642" s="18" t="str">
        <f>IF(OR(D642&gt;Answers!L657,D642&lt;Answers!L658),"Outlier","Normal")</f>
        <v>Outlier</v>
      </c>
      <c r="G642" s="19" t="str">
        <f t="shared" si="9"/>
        <v>20-30</v>
      </c>
    </row>
    <row r="643" spans="1:7" ht="20" customHeight="1" x14ac:dyDescent="0.35">
      <c r="A643" s="17">
        <v>642</v>
      </c>
      <c r="B643" s="23" t="s">
        <v>100</v>
      </c>
      <c r="C643" s="18" t="s">
        <v>126</v>
      </c>
      <c r="D643" s="18">
        <v>32</v>
      </c>
      <c r="E643" s="18" t="s">
        <v>129</v>
      </c>
      <c r="F643" s="18" t="str">
        <f>IF(OR(D643&gt;Answers!L658,D643&lt;Answers!L659),"Outlier","Normal")</f>
        <v>Outlier</v>
      </c>
      <c r="G643" s="19" t="str">
        <f t="shared" ref="G643:G706" si="10">IF(D643&lt;20,"&lt;20",
IF(D643&lt;=30,"20-30",
IF(D643&lt;=40,"30-40","40-50")))</f>
        <v>30-40</v>
      </c>
    </row>
    <row r="644" spans="1:7" ht="20" customHeight="1" x14ac:dyDescent="0.35">
      <c r="A644" s="17">
        <v>643</v>
      </c>
      <c r="B644" s="23" t="s">
        <v>113</v>
      </c>
      <c r="C644" s="18" t="s">
        <v>126</v>
      </c>
      <c r="D644" s="18">
        <v>39</v>
      </c>
      <c r="E644" s="18" t="s">
        <v>129</v>
      </c>
      <c r="F644" s="18" t="str">
        <f>IF(OR(D644&gt;Answers!L659,D644&lt;Answers!L660),"Outlier","Normal")</f>
        <v>Outlier</v>
      </c>
      <c r="G644" s="19" t="str">
        <f t="shared" si="10"/>
        <v>30-40</v>
      </c>
    </row>
    <row r="645" spans="1:7" ht="20" customHeight="1" x14ac:dyDescent="0.35">
      <c r="A645" s="17">
        <v>644</v>
      </c>
      <c r="B645" s="23" t="s">
        <v>106</v>
      </c>
      <c r="C645" s="18" t="s">
        <v>125</v>
      </c>
      <c r="D645" s="18">
        <v>61</v>
      </c>
      <c r="E645" s="18" t="s">
        <v>129</v>
      </c>
      <c r="F645" s="18" t="str">
        <f>IF(OR(D645&gt;Answers!L660,D645&lt;Answers!L661),"Outlier","Normal")</f>
        <v>Outlier</v>
      </c>
      <c r="G645" s="19" t="str">
        <f t="shared" si="10"/>
        <v>40-50</v>
      </c>
    </row>
    <row r="646" spans="1:7" ht="20" customHeight="1" x14ac:dyDescent="0.35">
      <c r="A646" s="17">
        <v>645</v>
      </c>
      <c r="B646" s="23" t="s">
        <v>108</v>
      </c>
      <c r="C646" s="18" t="s">
        <v>126</v>
      </c>
      <c r="D646" s="18">
        <v>40</v>
      </c>
      <c r="E646" s="18" t="s">
        <v>129</v>
      </c>
      <c r="F646" s="18" t="str">
        <f>IF(OR(D646&gt;Answers!L661,D646&lt;Answers!L662),"Outlier","Normal")</f>
        <v>Outlier</v>
      </c>
      <c r="G646" s="19" t="str">
        <f t="shared" si="10"/>
        <v>30-40</v>
      </c>
    </row>
    <row r="647" spans="1:7" ht="20" customHeight="1" x14ac:dyDescent="0.35">
      <c r="A647" s="17">
        <v>646</v>
      </c>
      <c r="B647" s="23" t="s">
        <v>106</v>
      </c>
      <c r="C647" s="18" t="s">
        <v>126</v>
      </c>
      <c r="D647" s="18">
        <v>69</v>
      </c>
      <c r="E647" s="18" t="s">
        <v>129</v>
      </c>
      <c r="F647" s="18" t="str">
        <f>IF(OR(D647&gt;Answers!L662,D647&lt;Answers!L663),"Outlier","Normal")</f>
        <v>Outlier</v>
      </c>
      <c r="G647" s="19" t="str">
        <f t="shared" si="10"/>
        <v>40-50</v>
      </c>
    </row>
    <row r="648" spans="1:7" ht="20" customHeight="1" x14ac:dyDescent="0.35">
      <c r="A648" s="17">
        <v>647</v>
      </c>
      <c r="B648" s="23" t="s">
        <v>101</v>
      </c>
      <c r="C648" s="18" t="s">
        <v>125</v>
      </c>
      <c r="D648" s="18">
        <v>76</v>
      </c>
      <c r="E648" s="18" t="s">
        <v>129</v>
      </c>
      <c r="F648" s="18" t="str">
        <f>IF(OR(D648&gt;Answers!L663,D648&lt;Answers!L664),"Outlier","Normal")</f>
        <v>Outlier</v>
      </c>
      <c r="G648" s="19" t="str">
        <f t="shared" si="10"/>
        <v>40-50</v>
      </c>
    </row>
    <row r="649" spans="1:7" ht="20" customHeight="1" x14ac:dyDescent="0.35">
      <c r="A649" s="17">
        <v>648</v>
      </c>
      <c r="B649" s="23" t="s">
        <v>104</v>
      </c>
      <c r="C649" s="18" t="s">
        <v>126</v>
      </c>
      <c r="D649" s="18">
        <v>34</v>
      </c>
      <c r="E649" s="18" t="s">
        <v>129</v>
      </c>
      <c r="F649" s="18" t="str">
        <f>IF(OR(D649&gt;Answers!L664,D649&lt;Answers!L665),"Outlier","Normal")</f>
        <v>Outlier</v>
      </c>
      <c r="G649" s="19" t="str">
        <f t="shared" si="10"/>
        <v>30-40</v>
      </c>
    </row>
    <row r="650" spans="1:7" ht="20" customHeight="1" x14ac:dyDescent="0.35">
      <c r="A650" s="17">
        <v>649</v>
      </c>
      <c r="B650" s="23" t="s">
        <v>99</v>
      </c>
      <c r="C650" s="18" t="s">
        <v>126</v>
      </c>
      <c r="D650" s="18">
        <v>72</v>
      </c>
      <c r="E650" s="18" t="s">
        <v>129</v>
      </c>
      <c r="F650" s="18" t="str">
        <f>IF(OR(D650&gt;Answers!L665,D650&lt;Answers!L666),"Outlier","Normal")</f>
        <v>Outlier</v>
      </c>
      <c r="G650" s="19" t="str">
        <f t="shared" si="10"/>
        <v>40-50</v>
      </c>
    </row>
    <row r="651" spans="1:7" ht="20" customHeight="1" x14ac:dyDescent="0.35">
      <c r="A651" s="17">
        <v>650</v>
      </c>
      <c r="B651" s="23" t="s">
        <v>100</v>
      </c>
      <c r="C651" s="18" t="s">
        <v>126</v>
      </c>
      <c r="D651" s="18">
        <v>38</v>
      </c>
      <c r="E651" s="18" t="s">
        <v>129</v>
      </c>
      <c r="F651" s="18" t="str">
        <f>IF(OR(D651&gt;Answers!L666,D651&lt;Answers!L667),"Outlier","Normal")</f>
        <v>Outlier</v>
      </c>
      <c r="G651" s="19" t="str">
        <f t="shared" si="10"/>
        <v>30-40</v>
      </c>
    </row>
    <row r="652" spans="1:7" ht="20" customHeight="1" x14ac:dyDescent="0.35">
      <c r="A652" s="17">
        <v>651</v>
      </c>
      <c r="B652" s="23" t="s">
        <v>99</v>
      </c>
      <c r="C652" s="18" t="s">
        <v>126</v>
      </c>
      <c r="D652" s="18">
        <v>61</v>
      </c>
      <c r="E652" s="18" t="s">
        <v>129</v>
      </c>
      <c r="F652" s="18" t="str">
        <f>IF(OR(D652&gt;Answers!L667,D652&lt;Answers!L668),"Outlier","Normal")</f>
        <v>Outlier</v>
      </c>
      <c r="G652" s="19" t="str">
        <f t="shared" si="10"/>
        <v>40-50</v>
      </c>
    </row>
    <row r="653" spans="1:7" ht="20" customHeight="1" x14ac:dyDescent="0.35">
      <c r="A653" s="17">
        <v>652</v>
      </c>
      <c r="B653" s="23" t="s">
        <v>99</v>
      </c>
      <c r="C653" s="18" t="s">
        <v>126</v>
      </c>
      <c r="D653" s="18">
        <v>79</v>
      </c>
      <c r="E653" s="18" t="s">
        <v>129</v>
      </c>
      <c r="F653" s="18" t="str">
        <f>IF(OR(D653&gt;Answers!L668,D653&lt;Answers!L669),"Outlier","Normal")</f>
        <v>Outlier</v>
      </c>
      <c r="G653" s="19" t="str">
        <f t="shared" si="10"/>
        <v>40-50</v>
      </c>
    </row>
    <row r="654" spans="1:7" ht="20" customHeight="1" x14ac:dyDescent="0.35">
      <c r="A654" s="17">
        <v>653</v>
      </c>
      <c r="B654" s="23" t="s">
        <v>100</v>
      </c>
      <c r="C654" s="18" t="s">
        <v>126</v>
      </c>
      <c r="D654" s="18">
        <v>68</v>
      </c>
      <c r="E654" s="18" t="s">
        <v>129</v>
      </c>
      <c r="F654" s="18" t="str">
        <f>IF(OR(D654&gt;Answers!L669,D654&lt;Answers!L670),"Outlier","Normal")</f>
        <v>Outlier</v>
      </c>
      <c r="G654" s="19" t="str">
        <f t="shared" si="10"/>
        <v>40-50</v>
      </c>
    </row>
    <row r="655" spans="1:7" ht="20" customHeight="1" x14ac:dyDescent="0.35">
      <c r="A655" s="17">
        <v>654</v>
      </c>
      <c r="B655" s="23" t="s">
        <v>100</v>
      </c>
      <c r="C655" s="18" t="s">
        <v>125</v>
      </c>
      <c r="D655" s="18">
        <v>51</v>
      </c>
      <c r="E655" s="18" t="s">
        <v>129</v>
      </c>
      <c r="F655" s="18" t="str">
        <f>IF(OR(D655&gt;Answers!L670,D655&lt;Answers!L671),"Outlier","Normal")</f>
        <v>Outlier</v>
      </c>
      <c r="G655" s="19" t="str">
        <f t="shared" si="10"/>
        <v>40-50</v>
      </c>
    </row>
    <row r="656" spans="1:7" ht="20" customHeight="1" x14ac:dyDescent="0.35">
      <c r="A656" s="17">
        <v>655</v>
      </c>
      <c r="B656" s="23" t="s">
        <v>99</v>
      </c>
      <c r="C656" s="18" t="s">
        <v>125</v>
      </c>
      <c r="D656" s="18">
        <v>22</v>
      </c>
      <c r="E656" s="18" t="s">
        <v>129</v>
      </c>
      <c r="F656" s="18" t="str">
        <f>IF(OR(D656&gt;Answers!L671,D656&lt;Answers!L672),"Outlier","Normal")</f>
        <v>Outlier</v>
      </c>
      <c r="G656" s="19" t="str">
        <f t="shared" si="10"/>
        <v>20-30</v>
      </c>
    </row>
    <row r="657" spans="1:7" ht="20" customHeight="1" x14ac:dyDescent="0.35">
      <c r="A657" s="17">
        <v>656</v>
      </c>
      <c r="B657" s="23" t="s">
        <v>99</v>
      </c>
      <c r="C657" s="18" t="s">
        <v>126</v>
      </c>
      <c r="D657" s="18">
        <v>30</v>
      </c>
      <c r="E657" s="18" t="s">
        <v>129</v>
      </c>
      <c r="F657" s="18" t="str">
        <f>IF(OR(D657&gt;Answers!L672,D657&lt;Answers!L673),"Outlier","Normal")</f>
        <v>Outlier</v>
      </c>
      <c r="G657" s="19" t="str">
        <f t="shared" si="10"/>
        <v>20-30</v>
      </c>
    </row>
    <row r="658" spans="1:7" ht="20" customHeight="1" x14ac:dyDescent="0.35">
      <c r="A658" s="17">
        <v>657</v>
      </c>
      <c r="B658" s="23" t="s">
        <v>100</v>
      </c>
      <c r="C658" s="18" t="s">
        <v>125</v>
      </c>
      <c r="D658" s="18">
        <v>63</v>
      </c>
      <c r="E658" s="18" t="s">
        <v>129</v>
      </c>
      <c r="F658" s="18" t="str">
        <f>IF(OR(D658&gt;Answers!L673,D658&lt;Answers!L674),"Outlier","Normal")</f>
        <v>Outlier</v>
      </c>
      <c r="G658" s="19" t="str">
        <f t="shared" si="10"/>
        <v>40-50</v>
      </c>
    </row>
    <row r="659" spans="1:7" ht="20" customHeight="1" x14ac:dyDescent="0.35">
      <c r="A659" s="17">
        <v>658</v>
      </c>
      <c r="B659" s="23" t="s">
        <v>113</v>
      </c>
      <c r="C659" s="18" t="s">
        <v>125</v>
      </c>
      <c r="D659" s="18">
        <v>42</v>
      </c>
      <c r="E659" s="18" t="s">
        <v>129</v>
      </c>
      <c r="F659" s="18" t="str">
        <f>IF(OR(D659&gt;Answers!L674,D659&lt;Answers!L675),"Outlier","Normal")</f>
        <v>Outlier</v>
      </c>
      <c r="G659" s="19" t="str">
        <f t="shared" si="10"/>
        <v>40-50</v>
      </c>
    </row>
    <row r="660" spans="1:7" ht="20" customHeight="1" x14ac:dyDescent="0.35">
      <c r="A660" s="17">
        <v>659</v>
      </c>
      <c r="B660" s="23" t="s">
        <v>101</v>
      </c>
      <c r="C660" s="18" t="s">
        <v>126</v>
      </c>
      <c r="D660" s="18">
        <v>61</v>
      </c>
      <c r="E660" s="18" t="s">
        <v>129</v>
      </c>
      <c r="F660" s="18" t="str">
        <f>IF(OR(D660&gt;Answers!L675,D660&lt;Answers!L676),"Outlier","Normal")</f>
        <v>Outlier</v>
      </c>
      <c r="G660" s="19" t="str">
        <f t="shared" si="10"/>
        <v>40-50</v>
      </c>
    </row>
    <row r="661" spans="1:7" ht="20" customHeight="1" x14ac:dyDescent="0.35">
      <c r="A661" s="17">
        <v>660</v>
      </c>
      <c r="B661" s="23" t="s">
        <v>99</v>
      </c>
      <c r="C661" s="18" t="s">
        <v>125</v>
      </c>
      <c r="D661" s="18">
        <v>23</v>
      </c>
      <c r="E661" s="18" t="s">
        <v>129</v>
      </c>
      <c r="F661" s="18" t="str">
        <f>IF(OR(D661&gt;Answers!L676,D661&lt;Answers!L677),"Outlier","Normal")</f>
        <v>Outlier</v>
      </c>
      <c r="G661" s="19" t="str">
        <f t="shared" si="10"/>
        <v>20-30</v>
      </c>
    </row>
    <row r="662" spans="1:7" ht="20" customHeight="1" x14ac:dyDescent="0.35">
      <c r="A662" s="17">
        <v>661</v>
      </c>
      <c r="B662" s="23" t="s">
        <v>99</v>
      </c>
      <c r="C662" s="18" t="s">
        <v>126</v>
      </c>
      <c r="D662" s="18">
        <v>50</v>
      </c>
      <c r="E662" s="18" t="s">
        <v>129</v>
      </c>
      <c r="F662" s="18" t="str">
        <f>IF(OR(D662&gt;Answers!L677,D662&lt;Answers!L678),"Outlier","Normal")</f>
        <v>Outlier</v>
      </c>
      <c r="G662" s="19" t="str">
        <f t="shared" si="10"/>
        <v>40-50</v>
      </c>
    </row>
    <row r="663" spans="1:7" ht="20" customHeight="1" x14ac:dyDescent="0.35">
      <c r="A663" s="17">
        <v>662</v>
      </c>
      <c r="B663" s="23" t="s">
        <v>99</v>
      </c>
      <c r="C663" s="18" t="s">
        <v>126</v>
      </c>
      <c r="D663" s="18">
        <v>23</v>
      </c>
      <c r="E663" s="18" t="s">
        <v>129</v>
      </c>
      <c r="F663" s="18" t="str">
        <f>IF(OR(D663&gt;Answers!L678,D663&lt;Answers!L679),"Outlier","Normal")</f>
        <v>Outlier</v>
      </c>
      <c r="G663" s="19" t="str">
        <f t="shared" si="10"/>
        <v>20-30</v>
      </c>
    </row>
    <row r="664" spans="1:7" ht="20" customHeight="1" x14ac:dyDescent="0.35">
      <c r="A664" s="17">
        <v>663</v>
      </c>
      <c r="B664" s="23" t="s">
        <v>113</v>
      </c>
      <c r="C664" s="18" t="s">
        <v>125</v>
      </c>
      <c r="D664" s="18">
        <v>26</v>
      </c>
      <c r="E664" s="18" t="s">
        <v>129</v>
      </c>
      <c r="F664" s="18" t="str">
        <f>IF(OR(D664&gt;Answers!L679,D664&lt;Answers!L680),"Outlier","Normal")</f>
        <v>Outlier</v>
      </c>
      <c r="G664" s="19" t="str">
        <f t="shared" si="10"/>
        <v>20-30</v>
      </c>
    </row>
    <row r="665" spans="1:7" ht="20" customHeight="1" x14ac:dyDescent="0.35">
      <c r="A665" s="17">
        <v>664</v>
      </c>
      <c r="B665" s="23" t="s">
        <v>99</v>
      </c>
      <c r="C665" s="18" t="s">
        <v>125</v>
      </c>
      <c r="D665" s="18">
        <v>19</v>
      </c>
      <c r="E665" s="18" t="s">
        <v>129</v>
      </c>
      <c r="F665" s="18" t="str">
        <f>IF(OR(D665&gt;Answers!L680,D665&lt;Answers!L681),"Outlier","Normal")</f>
        <v>Outlier</v>
      </c>
      <c r="G665" s="19" t="str">
        <f t="shared" si="10"/>
        <v>&lt;20</v>
      </c>
    </row>
    <row r="666" spans="1:7" ht="20" customHeight="1" x14ac:dyDescent="0.35">
      <c r="A666" s="17">
        <v>665</v>
      </c>
      <c r="B666" s="23" t="s">
        <v>100</v>
      </c>
      <c r="C666" s="18" t="s">
        <v>125</v>
      </c>
      <c r="D666" s="18">
        <v>42</v>
      </c>
      <c r="E666" s="18" t="s">
        <v>129</v>
      </c>
      <c r="F666" s="18" t="str">
        <f>IF(OR(D666&gt;Answers!L681,D666&lt;Answers!L682),"Outlier","Normal")</f>
        <v>Outlier</v>
      </c>
      <c r="G666" s="19" t="str">
        <f t="shared" si="10"/>
        <v>40-50</v>
      </c>
    </row>
    <row r="667" spans="1:7" ht="20" customHeight="1" x14ac:dyDescent="0.35">
      <c r="A667" s="17">
        <v>666</v>
      </c>
      <c r="B667" s="23" t="s">
        <v>100</v>
      </c>
      <c r="C667" s="18" t="s">
        <v>126</v>
      </c>
      <c r="D667" s="18">
        <v>24</v>
      </c>
      <c r="E667" s="18" t="s">
        <v>129</v>
      </c>
      <c r="F667" s="18" t="str">
        <f>IF(OR(D667&gt;Answers!L682,D667&lt;Answers!L683),"Outlier","Normal")</f>
        <v>Outlier</v>
      </c>
      <c r="G667" s="19" t="str">
        <f t="shared" si="10"/>
        <v>20-30</v>
      </c>
    </row>
    <row r="668" spans="1:7" ht="20" customHeight="1" x14ac:dyDescent="0.35">
      <c r="A668" s="17">
        <v>667</v>
      </c>
      <c r="B668" s="23" t="s">
        <v>100</v>
      </c>
      <c r="C668" s="18" t="s">
        <v>125</v>
      </c>
      <c r="D668" s="18">
        <v>64</v>
      </c>
      <c r="E668" s="18" t="s">
        <v>129</v>
      </c>
      <c r="F668" s="18" t="str">
        <f>IF(OR(D668&gt;Answers!L683,D668&lt;Answers!L684),"Outlier","Normal")</f>
        <v>Outlier</v>
      </c>
      <c r="G668" s="19" t="str">
        <f t="shared" si="10"/>
        <v>40-50</v>
      </c>
    </row>
    <row r="669" spans="1:7" ht="20" customHeight="1" x14ac:dyDescent="0.35">
      <c r="A669" s="17">
        <v>668</v>
      </c>
      <c r="B669" s="23" t="s">
        <v>100</v>
      </c>
      <c r="C669" s="18" t="s">
        <v>126</v>
      </c>
      <c r="D669" s="18">
        <v>90</v>
      </c>
      <c r="E669" s="18" t="s">
        <v>129</v>
      </c>
      <c r="F669" s="18" t="str">
        <f>IF(OR(D669&gt;Answers!L684,D669&lt;Answers!L685),"Outlier","Normal")</f>
        <v>Outlier</v>
      </c>
      <c r="G669" s="19" t="str">
        <f t="shared" si="10"/>
        <v>40-50</v>
      </c>
    </row>
    <row r="670" spans="1:7" ht="20" customHeight="1" x14ac:dyDescent="0.35">
      <c r="A670" s="17">
        <v>669</v>
      </c>
      <c r="B670" s="23" t="s">
        <v>99</v>
      </c>
      <c r="C670" s="18" t="s">
        <v>125</v>
      </c>
      <c r="D670" s="18">
        <v>33</v>
      </c>
      <c r="E670" s="18" t="s">
        <v>129</v>
      </c>
      <c r="F670" s="18" t="str">
        <f>IF(OR(D670&gt;Answers!L685,D670&lt;Answers!L686),"Outlier","Normal")</f>
        <v>Outlier</v>
      </c>
      <c r="G670" s="19" t="str">
        <f t="shared" si="10"/>
        <v>30-40</v>
      </c>
    </row>
    <row r="671" spans="1:7" ht="20" customHeight="1" x14ac:dyDescent="0.35">
      <c r="A671" s="17">
        <v>670</v>
      </c>
      <c r="B671" s="23" t="s">
        <v>101</v>
      </c>
      <c r="C671" s="18" t="s">
        <v>126</v>
      </c>
      <c r="D671" s="18">
        <v>57</v>
      </c>
      <c r="E671" s="18" t="s">
        <v>129</v>
      </c>
      <c r="F671" s="18" t="str">
        <f>IF(OR(D671&gt;Answers!L686,D671&lt;Answers!L687),"Outlier","Normal")</f>
        <v>Outlier</v>
      </c>
      <c r="G671" s="19" t="str">
        <f t="shared" si="10"/>
        <v>40-50</v>
      </c>
    </row>
    <row r="672" spans="1:7" ht="20" customHeight="1" x14ac:dyDescent="0.35">
      <c r="A672" s="17">
        <v>671</v>
      </c>
      <c r="B672" s="23" t="s">
        <v>113</v>
      </c>
      <c r="C672" s="18" t="s">
        <v>125</v>
      </c>
      <c r="D672" s="18">
        <v>59</v>
      </c>
      <c r="E672" s="18" t="s">
        <v>129</v>
      </c>
      <c r="F672" s="18" t="str">
        <f>IF(OR(D672&gt;Answers!L687,D672&lt;Answers!L688),"Outlier","Normal")</f>
        <v>Outlier</v>
      </c>
      <c r="G672" s="19" t="str">
        <f t="shared" si="10"/>
        <v>40-50</v>
      </c>
    </row>
    <row r="673" spans="1:7" ht="20" customHeight="1" x14ac:dyDescent="0.35">
      <c r="A673" s="17">
        <v>672</v>
      </c>
      <c r="B673" s="23" t="s">
        <v>99</v>
      </c>
      <c r="C673" s="18" t="s">
        <v>126</v>
      </c>
      <c r="D673" s="18">
        <v>78</v>
      </c>
      <c r="E673" s="18" t="s">
        <v>129</v>
      </c>
      <c r="F673" s="18" t="str">
        <f>IF(OR(D673&gt;Answers!L688,D673&lt;Answers!L689),"Outlier","Normal")</f>
        <v>Outlier</v>
      </c>
      <c r="G673" s="19" t="str">
        <f t="shared" si="10"/>
        <v>40-50</v>
      </c>
    </row>
    <row r="674" spans="1:7" ht="20" customHeight="1" x14ac:dyDescent="0.35">
      <c r="A674" s="17">
        <v>673</v>
      </c>
      <c r="B674" s="23" t="s">
        <v>99</v>
      </c>
      <c r="C674" s="18" t="s">
        <v>125</v>
      </c>
      <c r="D674" s="18">
        <v>78</v>
      </c>
      <c r="E674" s="18" t="s">
        <v>129</v>
      </c>
      <c r="F674" s="18" t="str">
        <f>IF(OR(D674&gt;Answers!L689,D674&lt;Answers!L690),"Outlier","Normal")</f>
        <v>Outlier</v>
      </c>
      <c r="G674" s="19" t="str">
        <f t="shared" si="10"/>
        <v>40-50</v>
      </c>
    </row>
    <row r="675" spans="1:7" ht="20" customHeight="1" x14ac:dyDescent="0.35">
      <c r="A675" s="17">
        <v>674</v>
      </c>
      <c r="B675" s="23" t="s">
        <v>99</v>
      </c>
      <c r="C675" s="18" t="s">
        <v>126</v>
      </c>
      <c r="D675" s="18">
        <v>71</v>
      </c>
      <c r="E675" s="18" t="s">
        <v>129</v>
      </c>
      <c r="F675" s="18" t="str">
        <f>IF(OR(D675&gt;Answers!L690,D675&lt;Answers!L691),"Outlier","Normal")</f>
        <v>Outlier</v>
      </c>
      <c r="G675" s="19" t="str">
        <f t="shared" si="10"/>
        <v>40-50</v>
      </c>
    </row>
    <row r="676" spans="1:7" ht="20" customHeight="1" x14ac:dyDescent="0.35">
      <c r="A676" s="17">
        <v>675</v>
      </c>
      <c r="B676" s="23" t="s">
        <v>107</v>
      </c>
      <c r="C676" s="18" t="s">
        <v>126</v>
      </c>
      <c r="D676" s="18">
        <v>52</v>
      </c>
      <c r="E676" s="18" t="s">
        <v>129</v>
      </c>
      <c r="F676" s="18" t="str">
        <f>IF(OR(D676&gt;Answers!L691,D676&lt;Answers!L692),"Outlier","Normal")</f>
        <v>Outlier</v>
      </c>
      <c r="G676" s="19" t="str">
        <f t="shared" si="10"/>
        <v>40-50</v>
      </c>
    </row>
    <row r="677" spans="1:7" ht="20" customHeight="1" x14ac:dyDescent="0.35">
      <c r="A677" s="17">
        <v>676</v>
      </c>
      <c r="B677" s="23" t="s">
        <v>113</v>
      </c>
      <c r="C677" s="18" t="s">
        <v>126</v>
      </c>
      <c r="D677" s="18">
        <v>74</v>
      </c>
      <c r="E677" s="18" t="s">
        <v>129</v>
      </c>
      <c r="F677" s="18" t="str">
        <f>IF(OR(D677&gt;Answers!L692,D677&lt;Answers!L693),"Outlier","Normal")</f>
        <v>Outlier</v>
      </c>
      <c r="G677" s="19" t="str">
        <f t="shared" si="10"/>
        <v>40-50</v>
      </c>
    </row>
    <row r="678" spans="1:7" ht="20" customHeight="1" x14ac:dyDescent="0.35">
      <c r="A678" s="17">
        <v>677</v>
      </c>
      <c r="B678" s="23" t="s">
        <v>104</v>
      </c>
      <c r="C678" s="18" t="s">
        <v>125</v>
      </c>
      <c r="D678" s="18">
        <v>75</v>
      </c>
      <c r="E678" s="18" t="s">
        <v>129</v>
      </c>
      <c r="F678" s="18" t="str">
        <f>IF(OR(D678&gt;Answers!L693,D678&lt;Answers!L694),"Outlier","Normal")</f>
        <v>Outlier</v>
      </c>
      <c r="G678" s="19" t="str">
        <f t="shared" si="10"/>
        <v>40-50</v>
      </c>
    </row>
    <row r="679" spans="1:7" ht="20" customHeight="1" x14ac:dyDescent="0.35">
      <c r="A679" s="17">
        <v>678</v>
      </c>
      <c r="B679" s="23" t="s">
        <v>100</v>
      </c>
      <c r="C679" s="18" t="s">
        <v>126</v>
      </c>
      <c r="D679" s="18">
        <v>29</v>
      </c>
      <c r="E679" s="18" t="s">
        <v>129</v>
      </c>
      <c r="F679" s="18" t="str">
        <f>IF(OR(D679&gt;Answers!L694,D679&lt;Answers!L695),"Outlier","Normal")</f>
        <v>Outlier</v>
      </c>
      <c r="G679" s="19" t="str">
        <f t="shared" si="10"/>
        <v>20-30</v>
      </c>
    </row>
    <row r="680" spans="1:7" ht="20" customHeight="1" x14ac:dyDescent="0.35">
      <c r="A680" s="17">
        <v>679</v>
      </c>
      <c r="B680" s="23" t="s">
        <v>106</v>
      </c>
      <c r="C680" s="18" t="s">
        <v>125</v>
      </c>
      <c r="D680" s="18">
        <v>34</v>
      </c>
      <c r="E680" s="18" t="s">
        <v>129</v>
      </c>
      <c r="F680" s="18" t="str">
        <f>IF(OR(D680&gt;Answers!L695,D680&lt;Answers!L696),"Outlier","Normal")</f>
        <v>Outlier</v>
      </c>
      <c r="G680" s="19" t="str">
        <f t="shared" si="10"/>
        <v>30-40</v>
      </c>
    </row>
    <row r="681" spans="1:7" ht="20" customHeight="1" x14ac:dyDescent="0.35">
      <c r="A681" s="17">
        <v>680</v>
      </c>
      <c r="B681" s="23" t="s">
        <v>99</v>
      </c>
      <c r="C681" s="18" t="s">
        <v>125</v>
      </c>
      <c r="D681" s="18">
        <v>81</v>
      </c>
      <c r="E681" s="18" t="s">
        <v>129</v>
      </c>
      <c r="F681" s="18" t="str">
        <f>IF(OR(D681&gt;Answers!L696,D681&lt;Answers!L697),"Outlier","Normal")</f>
        <v>Outlier</v>
      </c>
      <c r="G681" s="19" t="str">
        <f t="shared" si="10"/>
        <v>40-50</v>
      </c>
    </row>
    <row r="682" spans="1:7" ht="20" customHeight="1" x14ac:dyDescent="0.35">
      <c r="A682" s="17">
        <v>681</v>
      </c>
      <c r="B682" s="23" t="s">
        <v>99</v>
      </c>
      <c r="C682" s="18" t="s">
        <v>125</v>
      </c>
      <c r="D682" s="18">
        <v>62</v>
      </c>
      <c r="E682" s="18" t="s">
        <v>129</v>
      </c>
      <c r="F682" s="18" t="str">
        <f>IF(OR(D682&gt;Answers!L697,D682&lt;Answers!L698),"Outlier","Normal")</f>
        <v>Outlier</v>
      </c>
      <c r="G682" s="19" t="str">
        <f t="shared" si="10"/>
        <v>40-50</v>
      </c>
    </row>
    <row r="683" spans="1:7" ht="20" customHeight="1" x14ac:dyDescent="0.35">
      <c r="A683" s="17">
        <v>682</v>
      </c>
      <c r="B683" s="23" t="s">
        <v>99</v>
      </c>
      <c r="C683" s="18" t="s">
        <v>125</v>
      </c>
      <c r="D683" s="18">
        <v>83</v>
      </c>
      <c r="E683" s="18" t="s">
        <v>129</v>
      </c>
      <c r="F683" s="18" t="str">
        <f>IF(OR(D683&gt;Answers!L698,D683&lt;Answers!L699),"Outlier","Normal")</f>
        <v>Outlier</v>
      </c>
      <c r="G683" s="19" t="str">
        <f t="shared" si="10"/>
        <v>40-50</v>
      </c>
    </row>
    <row r="684" spans="1:7" ht="20" customHeight="1" x14ac:dyDescent="0.35">
      <c r="A684" s="17">
        <v>683</v>
      </c>
      <c r="B684" s="23" t="s">
        <v>101</v>
      </c>
      <c r="C684" s="18" t="s">
        <v>126</v>
      </c>
      <c r="D684" s="18">
        <v>47</v>
      </c>
      <c r="E684" s="18" t="s">
        <v>129</v>
      </c>
      <c r="F684" s="18" t="str">
        <f>IF(OR(D684&gt;Answers!L699,D684&lt;Answers!L700),"Outlier","Normal")</f>
        <v>Outlier</v>
      </c>
      <c r="G684" s="19" t="str">
        <f t="shared" si="10"/>
        <v>40-50</v>
      </c>
    </row>
    <row r="685" spans="1:7" ht="20" customHeight="1" x14ac:dyDescent="0.35">
      <c r="A685" s="17">
        <v>684</v>
      </c>
      <c r="B685" s="23" t="s">
        <v>102</v>
      </c>
      <c r="C685" s="18" t="s">
        <v>126</v>
      </c>
      <c r="D685" s="18">
        <v>88</v>
      </c>
      <c r="E685" s="18" t="s">
        <v>129</v>
      </c>
      <c r="F685" s="18" t="str">
        <f>IF(OR(D685&gt;Answers!L700,D685&lt;Answers!L701),"Outlier","Normal")</f>
        <v>Outlier</v>
      </c>
      <c r="G685" s="19" t="str">
        <f t="shared" si="10"/>
        <v>40-50</v>
      </c>
    </row>
    <row r="686" spans="1:7" ht="20" customHeight="1" x14ac:dyDescent="0.35">
      <c r="A686" s="17">
        <v>685</v>
      </c>
      <c r="B686" s="23" t="s">
        <v>101</v>
      </c>
      <c r="C686" s="18" t="s">
        <v>125</v>
      </c>
      <c r="D686" s="18">
        <v>50</v>
      </c>
      <c r="E686" s="18" t="s">
        <v>129</v>
      </c>
      <c r="F686" s="18" t="str">
        <f>IF(OR(D686&gt;Answers!L701,D686&lt;Answers!L702),"Outlier","Normal")</f>
        <v>Outlier</v>
      </c>
      <c r="G686" s="19" t="str">
        <f t="shared" si="10"/>
        <v>40-50</v>
      </c>
    </row>
    <row r="687" spans="1:7" ht="20" customHeight="1" x14ac:dyDescent="0.35">
      <c r="A687" s="17">
        <v>686</v>
      </c>
      <c r="B687" s="23" t="s">
        <v>113</v>
      </c>
      <c r="C687" s="18" t="s">
        <v>126</v>
      </c>
      <c r="D687" s="18">
        <v>64</v>
      </c>
      <c r="E687" s="18" t="s">
        <v>129</v>
      </c>
      <c r="F687" s="18" t="str">
        <f>IF(OR(D687&gt;Answers!L702,D687&lt;Answers!L703),"Outlier","Normal")</f>
        <v>Outlier</v>
      </c>
      <c r="G687" s="19" t="str">
        <f t="shared" si="10"/>
        <v>40-50</v>
      </c>
    </row>
    <row r="688" spans="1:7" ht="20" customHeight="1" x14ac:dyDescent="0.35">
      <c r="A688" s="17">
        <v>687</v>
      </c>
      <c r="B688" s="23" t="s">
        <v>100</v>
      </c>
      <c r="C688" s="18" t="s">
        <v>126</v>
      </c>
      <c r="D688" s="18">
        <v>50</v>
      </c>
      <c r="E688" s="18" t="s">
        <v>129</v>
      </c>
      <c r="F688" s="18" t="str">
        <f>IF(OR(D688&gt;Answers!L703,D688&lt;Answers!L704),"Outlier","Normal")</f>
        <v>Outlier</v>
      </c>
      <c r="G688" s="19" t="str">
        <f t="shared" si="10"/>
        <v>40-50</v>
      </c>
    </row>
    <row r="689" spans="1:7" ht="20" customHeight="1" x14ac:dyDescent="0.35">
      <c r="A689" s="17">
        <v>688</v>
      </c>
      <c r="B689" s="23" t="s">
        <v>108</v>
      </c>
      <c r="C689" s="18" t="s">
        <v>126</v>
      </c>
      <c r="D689" s="18">
        <v>89</v>
      </c>
      <c r="E689" s="18" t="s">
        <v>129</v>
      </c>
      <c r="F689" s="18" t="str">
        <f>IF(OR(D689&gt;Answers!L704,D689&lt;Answers!L705),"Outlier","Normal")</f>
        <v>Outlier</v>
      </c>
      <c r="G689" s="19" t="str">
        <f t="shared" si="10"/>
        <v>40-50</v>
      </c>
    </row>
    <row r="690" spans="1:7" ht="20" customHeight="1" x14ac:dyDescent="0.35">
      <c r="A690" s="17">
        <v>689</v>
      </c>
      <c r="B690" s="23" t="s">
        <v>100</v>
      </c>
      <c r="C690" s="18" t="s">
        <v>126</v>
      </c>
      <c r="D690" s="18">
        <v>41</v>
      </c>
      <c r="E690" s="18" t="s">
        <v>129</v>
      </c>
      <c r="F690" s="18" t="str">
        <f>IF(OR(D690&gt;Answers!L705,D690&lt;Answers!L706),"Outlier","Normal")</f>
        <v>Outlier</v>
      </c>
      <c r="G690" s="19" t="str">
        <f t="shared" si="10"/>
        <v>40-50</v>
      </c>
    </row>
    <row r="691" spans="1:7" ht="20" customHeight="1" x14ac:dyDescent="0.35">
      <c r="A691" s="17">
        <v>690</v>
      </c>
      <c r="B691" s="23" t="s">
        <v>109</v>
      </c>
      <c r="C691" s="18" t="s">
        <v>125</v>
      </c>
      <c r="D691" s="18">
        <v>37</v>
      </c>
      <c r="E691" s="18" t="s">
        <v>129</v>
      </c>
      <c r="F691" s="18" t="str">
        <f>IF(OR(D691&gt;Answers!L706,D691&lt;Answers!L707),"Outlier","Normal")</f>
        <v>Outlier</v>
      </c>
      <c r="G691" s="19" t="str">
        <f t="shared" si="10"/>
        <v>30-40</v>
      </c>
    </row>
    <row r="692" spans="1:7" ht="20" customHeight="1" x14ac:dyDescent="0.35">
      <c r="A692" s="17">
        <v>691</v>
      </c>
      <c r="B692" s="23" t="s">
        <v>103</v>
      </c>
      <c r="C692" s="18" t="s">
        <v>126</v>
      </c>
      <c r="D692" s="18">
        <v>33</v>
      </c>
      <c r="E692" s="18" t="s">
        <v>129</v>
      </c>
      <c r="F692" s="18" t="str">
        <f>IF(OR(D692&gt;Answers!L707,D692&lt;Answers!L708),"Outlier","Normal")</f>
        <v>Outlier</v>
      </c>
      <c r="G692" s="19" t="str">
        <f t="shared" si="10"/>
        <v>30-40</v>
      </c>
    </row>
    <row r="693" spans="1:7" ht="20" customHeight="1" x14ac:dyDescent="0.35">
      <c r="A693" s="17">
        <v>692</v>
      </c>
      <c r="B693" s="23" t="s">
        <v>99</v>
      </c>
      <c r="C693" s="18" t="s">
        <v>126</v>
      </c>
      <c r="D693" s="18">
        <v>53</v>
      </c>
      <c r="E693" s="18" t="s">
        <v>129</v>
      </c>
      <c r="F693" s="18" t="str">
        <f>IF(OR(D693&gt;Answers!L708,D693&lt;Answers!L709),"Outlier","Normal")</f>
        <v>Outlier</v>
      </c>
      <c r="G693" s="19" t="str">
        <f t="shared" si="10"/>
        <v>40-50</v>
      </c>
    </row>
    <row r="694" spans="1:7" ht="20" customHeight="1" x14ac:dyDescent="0.35">
      <c r="A694" s="17">
        <v>693</v>
      </c>
      <c r="B694" s="23" t="s">
        <v>100</v>
      </c>
      <c r="C694" s="18" t="s">
        <v>125</v>
      </c>
      <c r="D694" s="18">
        <v>59</v>
      </c>
      <c r="E694" s="18" t="s">
        <v>129</v>
      </c>
      <c r="F694" s="18" t="str">
        <f>IF(OR(D694&gt;Answers!L709,D694&lt;Answers!L710),"Outlier","Normal")</f>
        <v>Outlier</v>
      </c>
      <c r="G694" s="19" t="str">
        <f t="shared" si="10"/>
        <v>40-50</v>
      </c>
    </row>
    <row r="695" spans="1:7" ht="20" customHeight="1" x14ac:dyDescent="0.35">
      <c r="A695" s="17">
        <v>694</v>
      </c>
      <c r="B695" s="23" t="s">
        <v>102</v>
      </c>
      <c r="C695" s="18" t="s">
        <v>125</v>
      </c>
      <c r="D695" s="18">
        <v>36</v>
      </c>
      <c r="E695" s="18" t="s">
        <v>129</v>
      </c>
      <c r="F695" s="18" t="str">
        <f>IF(OR(D695&gt;Answers!L710,D695&lt;Answers!L711),"Outlier","Normal")</f>
        <v>Outlier</v>
      </c>
      <c r="G695" s="19" t="str">
        <f t="shared" si="10"/>
        <v>30-40</v>
      </c>
    </row>
    <row r="696" spans="1:7" ht="20" customHeight="1" x14ac:dyDescent="0.35">
      <c r="A696" s="17">
        <v>695</v>
      </c>
      <c r="B696" s="23" t="s">
        <v>100</v>
      </c>
      <c r="C696" s="18" t="s">
        <v>125</v>
      </c>
      <c r="D696" s="18">
        <v>25</v>
      </c>
      <c r="E696" s="18" t="s">
        <v>129</v>
      </c>
      <c r="F696" s="18" t="str">
        <f>IF(OR(D696&gt;Answers!L711,D696&lt;Answers!L712),"Outlier","Normal")</f>
        <v>Outlier</v>
      </c>
      <c r="G696" s="19" t="str">
        <f t="shared" si="10"/>
        <v>20-30</v>
      </c>
    </row>
    <row r="697" spans="1:7" ht="20" customHeight="1" x14ac:dyDescent="0.35">
      <c r="A697" s="17">
        <v>696</v>
      </c>
      <c r="B697" s="23" t="s">
        <v>100</v>
      </c>
      <c r="C697" s="18" t="s">
        <v>126</v>
      </c>
      <c r="D697" s="18">
        <v>30</v>
      </c>
      <c r="E697" s="18" t="s">
        <v>129</v>
      </c>
      <c r="F697" s="18" t="str">
        <f>IF(OR(D697&gt;Answers!L712,D697&lt;Answers!L713),"Outlier","Normal")</f>
        <v>Outlier</v>
      </c>
      <c r="G697" s="19" t="str">
        <f t="shared" si="10"/>
        <v>20-30</v>
      </c>
    </row>
    <row r="698" spans="1:7" ht="20" customHeight="1" x14ac:dyDescent="0.35">
      <c r="A698" s="17">
        <v>697</v>
      </c>
      <c r="B698" s="23" t="s">
        <v>99</v>
      </c>
      <c r="C698" s="18" t="s">
        <v>126</v>
      </c>
      <c r="D698" s="18">
        <v>63</v>
      </c>
      <c r="E698" s="18" t="s">
        <v>129</v>
      </c>
      <c r="F698" s="18" t="str">
        <f>IF(OR(D698&gt;Answers!L713,D698&lt;Answers!L714),"Outlier","Normal")</f>
        <v>Outlier</v>
      </c>
      <c r="G698" s="19" t="str">
        <f t="shared" si="10"/>
        <v>40-50</v>
      </c>
    </row>
    <row r="699" spans="1:7" ht="20" customHeight="1" x14ac:dyDescent="0.35">
      <c r="A699" s="17">
        <v>698</v>
      </c>
      <c r="B699" s="23" t="s">
        <v>101</v>
      </c>
      <c r="C699" s="18" t="s">
        <v>125</v>
      </c>
      <c r="D699" s="18">
        <v>61</v>
      </c>
      <c r="E699" s="18" t="s">
        <v>129</v>
      </c>
      <c r="F699" s="18" t="str">
        <f>IF(OR(D699&gt;Answers!L714,D699&lt;Answers!L715),"Outlier","Normal")</f>
        <v>Outlier</v>
      </c>
      <c r="G699" s="19" t="str">
        <f t="shared" si="10"/>
        <v>40-50</v>
      </c>
    </row>
    <row r="700" spans="1:7" ht="20" customHeight="1" x14ac:dyDescent="0.35">
      <c r="A700" s="17">
        <v>699</v>
      </c>
      <c r="B700" s="23" t="s">
        <v>99</v>
      </c>
      <c r="C700" s="18" t="s">
        <v>126</v>
      </c>
      <c r="D700" s="18">
        <v>68</v>
      </c>
      <c r="E700" s="18" t="s">
        <v>129</v>
      </c>
      <c r="F700" s="18" t="str">
        <f>IF(OR(D700&gt;Answers!L715,D700&lt;Answers!L716),"Outlier","Normal")</f>
        <v>Outlier</v>
      </c>
      <c r="G700" s="19" t="str">
        <f t="shared" si="10"/>
        <v>40-50</v>
      </c>
    </row>
    <row r="701" spans="1:7" ht="20" customHeight="1" x14ac:dyDescent="0.35">
      <c r="A701" s="17">
        <v>700</v>
      </c>
      <c r="B701" s="23" t="s">
        <v>99</v>
      </c>
      <c r="C701" s="18" t="s">
        <v>126</v>
      </c>
      <c r="D701" s="18">
        <v>53</v>
      </c>
      <c r="E701" s="18" t="s">
        <v>129</v>
      </c>
      <c r="F701" s="18" t="str">
        <f>IF(OR(D701&gt;Answers!L716,D701&lt;Answers!L717),"Outlier","Normal")</f>
        <v>Outlier</v>
      </c>
      <c r="G701" s="19" t="str">
        <f t="shared" si="10"/>
        <v>40-50</v>
      </c>
    </row>
    <row r="702" spans="1:7" ht="20" customHeight="1" x14ac:dyDescent="0.35">
      <c r="A702" s="17">
        <v>701</v>
      </c>
      <c r="B702" s="23" t="s">
        <v>113</v>
      </c>
      <c r="C702" s="18" t="s">
        <v>125</v>
      </c>
      <c r="D702" s="18">
        <v>72</v>
      </c>
      <c r="E702" s="18" t="s">
        <v>129</v>
      </c>
      <c r="F702" s="18" t="str">
        <f>IF(OR(D702&gt;Answers!L717,D702&lt;Answers!L718),"Outlier","Normal")</f>
        <v>Outlier</v>
      </c>
      <c r="G702" s="19" t="str">
        <f t="shared" si="10"/>
        <v>40-50</v>
      </c>
    </row>
    <row r="703" spans="1:7" ht="20" customHeight="1" x14ac:dyDescent="0.35">
      <c r="A703" s="17">
        <v>702</v>
      </c>
      <c r="B703" s="23" t="s">
        <v>101</v>
      </c>
      <c r="C703" s="18" t="s">
        <v>126</v>
      </c>
      <c r="D703" s="18">
        <v>75</v>
      </c>
      <c r="E703" s="18" t="s">
        <v>129</v>
      </c>
      <c r="F703" s="18" t="str">
        <f>IF(OR(D703&gt;Answers!L718,D703&lt;Answers!L719),"Outlier","Normal")</f>
        <v>Outlier</v>
      </c>
      <c r="G703" s="19" t="str">
        <f t="shared" si="10"/>
        <v>40-50</v>
      </c>
    </row>
    <row r="704" spans="1:7" ht="20" customHeight="1" x14ac:dyDescent="0.35">
      <c r="A704" s="17">
        <v>703</v>
      </c>
      <c r="B704" s="23" t="s">
        <v>99</v>
      </c>
      <c r="C704" s="18" t="s">
        <v>125</v>
      </c>
      <c r="D704" s="18">
        <v>84</v>
      </c>
      <c r="E704" s="18" t="s">
        <v>129</v>
      </c>
      <c r="F704" s="18" t="str">
        <f>IF(OR(D704&gt;Answers!L719,D704&lt;Answers!L720),"Outlier","Normal")</f>
        <v>Outlier</v>
      </c>
      <c r="G704" s="19" t="str">
        <f t="shared" si="10"/>
        <v>40-50</v>
      </c>
    </row>
    <row r="705" spans="1:7" ht="20" customHeight="1" x14ac:dyDescent="0.35">
      <c r="A705" s="17">
        <v>704</v>
      </c>
      <c r="B705" s="23" t="s">
        <v>99</v>
      </c>
      <c r="C705" s="18" t="s">
        <v>126</v>
      </c>
      <c r="D705" s="18">
        <v>76</v>
      </c>
      <c r="E705" s="18" t="s">
        <v>129</v>
      </c>
      <c r="F705" s="18" t="str">
        <f>IF(OR(D705&gt;Answers!L720,D705&lt;Answers!L721),"Outlier","Normal")</f>
        <v>Outlier</v>
      </c>
      <c r="G705" s="19" t="str">
        <f t="shared" si="10"/>
        <v>40-50</v>
      </c>
    </row>
    <row r="706" spans="1:7" ht="20" customHeight="1" x14ac:dyDescent="0.35">
      <c r="A706" s="17">
        <v>705</v>
      </c>
      <c r="B706" s="23" t="s">
        <v>99</v>
      </c>
      <c r="C706" s="18" t="s">
        <v>126</v>
      </c>
      <c r="D706" s="18">
        <v>20</v>
      </c>
      <c r="E706" s="18" t="s">
        <v>129</v>
      </c>
      <c r="F706" s="18" t="str">
        <f>IF(OR(D706&gt;Answers!L721,D706&lt;Answers!L722),"Outlier","Normal")</f>
        <v>Outlier</v>
      </c>
      <c r="G706" s="19" t="str">
        <f t="shared" si="10"/>
        <v>20-30</v>
      </c>
    </row>
    <row r="707" spans="1:7" ht="20" customHeight="1" x14ac:dyDescent="0.35">
      <c r="A707" s="17">
        <v>706</v>
      </c>
      <c r="B707" s="23" t="s">
        <v>100</v>
      </c>
      <c r="C707" s="18" t="s">
        <v>125</v>
      </c>
      <c r="D707" s="18">
        <v>29</v>
      </c>
      <c r="E707" s="18" t="s">
        <v>129</v>
      </c>
      <c r="F707" s="18" t="str">
        <f>IF(OR(D707&gt;Answers!L722,D707&lt;Answers!L723),"Outlier","Normal")</f>
        <v>Outlier</v>
      </c>
      <c r="G707" s="19" t="str">
        <f t="shared" ref="G707:G770" si="11">IF(D707&lt;20,"&lt;20",
IF(D707&lt;=30,"20-30",
IF(D707&lt;=40,"30-40","40-50")))</f>
        <v>20-30</v>
      </c>
    </row>
    <row r="708" spans="1:7" ht="20" customHeight="1" x14ac:dyDescent="0.35">
      <c r="A708" s="17">
        <v>707</v>
      </c>
      <c r="B708" s="23" t="s">
        <v>100</v>
      </c>
      <c r="C708" s="18" t="s">
        <v>125</v>
      </c>
      <c r="D708" s="18">
        <v>23</v>
      </c>
      <c r="E708" s="18" t="s">
        <v>129</v>
      </c>
      <c r="F708" s="18" t="str">
        <f>IF(OR(D708&gt;Answers!L723,D708&lt;Answers!L724),"Outlier","Normal")</f>
        <v>Outlier</v>
      </c>
      <c r="G708" s="19" t="str">
        <f t="shared" si="11"/>
        <v>20-30</v>
      </c>
    </row>
    <row r="709" spans="1:7" ht="20" customHeight="1" x14ac:dyDescent="0.35">
      <c r="A709" s="17">
        <v>708</v>
      </c>
      <c r="B709" s="23" t="s">
        <v>108</v>
      </c>
      <c r="C709" s="18" t="s">
        <v>125</v>
      </c>
      <c r="D709" s="18">
        <v>39</v>
      </c>
      <c r="E709" s="18" t="s">
        <v>129</v>
      </c>
      <c r="F709" s="18" t="str">
        <f>IF(OR(D709&gt;Answers!L724,D709&lt;Answers!L725),"Outlier","Normal")</f>
        <v>Outlier</v>
      </c>
      <c r="G709" s="19" t="str">
        <f t="shared" si="11"/>
        <v>30-40</v>
      </c>
    </row>
    <row r="710" spans="1:7" ht="20" customHeight="1" x14ac:dyDescent="0.35">
      <c r="A710" s="17">
        <v>709</v>
      </c>
      <c r="B710" s="23" t="s">
        <v>100</v>
      </c>
      <c r="C710" s="18" t="s">
        <v>126</v>
      </c>
      <c r="D710" s="18">
        <v>58</v>
      </c>
      <c r="E710" s="18" t="s">
        <v>129</v>
      </c>
      <c r="F710" s="18" t="str">
        <f>IF(OR(D710&gt;Answers!L725,D710&lt;Answers!L726),"Outlier","Normal")</f>
        <v>Outlier</v>
      </c>
      <c r="G710" s="19" t="str">
        <f t="shared" si="11"/>
        <v>40-50</v>
      </c>
    </row>
    <row r="711" spans="1:7" ht="20" customHeight="1" x14ac:dyDescent="0.35">
      <c r="A711" s="17">
        <v>710</v>
      </c>
      <c r="B711" s="23" t="s">
        <v>99</v>
      </c>
      <c r="C711" s="18" t="s">
        <v>125</v>
      </c>
      <c r="D711" s="18">
        <v>34</v>
      </c>
      <c r="E711" s="18" t="s">
        <v>129</v>
      </c>
      <c r="F711" s="18" t="str">
        <f>IF(OR(D711&gt;Answers!L726,D711&lt;Answers!L727),"Outlier","Normal")</f>
        <v>Outlier</v>
      </c>
      <c r="G711" s="19" t="str">
        <f t="shared" si="11"/>
        <v>30-40</v>
      </c>
    </row>
    <row r="712" spans="1:7" ht="20" customHeight="1" x14ac:dyDescent="0.35">
      <c r="A712" s="17">
        <v>711</v>
      </c>
      <c r="B712" s="23" t="s">
        <v>99</v>
      </c>
      <c r="C712" s="18" t="s">
        <v>125</v>
      </c>
      <c r="D712" s="18">
        <v>56</v>
      </c>
      <c r="E712" s="18" t="s">
        <v>129</v>
      </c>
      <c r="F712" s="18" t="str">
        <f>IF(OR(D712&gt;Answers!L727,D712&lt;Answers!L728),"Outlier","Normal")</f>
        <v>Outlier</v>
      </c>
      <c r="G712" s="19" t="str">
        <f t="shared" si="11"/>
        <v>40-50</v>
      </c>
    </row>
    <row r="713" spans="1:7" ht="20" customHeight="1" x14ac:dyDescent="0.35">
      <c r="A713" s="17">
        <v>712</v>
      </c>
      <c r="B713" s="23" t="s">
        <v>99</v>
      </c>
      <c r="C713" s="18" t="s">
        <v>125</v>
      </c>
      <c r="D713" s="18">
        <v>90</v>
      </c>
      <c r="E713" s="18" t="s">
        <v>129</v>
      </c>
      <c r="F713" s="18" t="str">
        <f>IF(OR(D713&gt;Answers!L728,D713&lt;Answers!L729),"Outlier","Normal")</f>
        <v>Outlier</v>
      </c>
      <c r="G713" s="19" t="str">
        <f t="shared" si="11"/>
        <v>40-50</v>
      </c>
    </row>
    <row r="714" spans="1:7" ht="20" customHeight="1" x14ac:dyDescent="0.35">
      <c r="A714" s="17">
        <v>713</v>
      </c>
      <c r="B714" s="23" t="s">
        <v>102</v>
      </c>
      <c r="C714" s="18" t="s">
        <v>125</v>
      </c>
      <c r="D714" s="18">
        <v>89</v>
      </c>
      <c r="E714" s="18" t="s">
        <v>129</v>
      </c>
      <c r="F714" s="18" t="str">
        <f>IF(OR(D714&gt;Answers!L729,D714&lt;Answers!L730),"Outlier","Normal")</f>
        <v>Outlier</v>
      </c>
      <c r="G714" s="19" t="str">
        <f t="shared" si="11"/>
        <v>40-50</v>
      </c>
    </row>
    <row r="715" spans="1:7" ht="20" customHeight="1" x14ac:dyDescent="0.35">
      <c r="A715" s="17">
        <v>714</v>
      </c>
      <c r="B715" s="23" t="s">
        <v>99</v>
      </c>
      <c r="C715" s="18" t="s">
        <v>125</v>
      </c>
      <c r="D715" s="18">
        <v>25</v>
      </c>
      <c r="E715" s="18" t="s">
        <v>129</v>
      </c>
      <c r="F715" s="18" t="str">
        <f>IF(OR(D715&gt;Answers!L730,D715&lt;Answers!L731),"Outlier","Normal")</f>
        <v>Outlier</v>
      </c>
      <c r="G715" s="19" t="str">
        <f t="shared" si="11"/>
        <v>20-30</v>
      </c>
    </row>
    <row r="716" spans="1:7" ht="20" customHeight="1" x14ac:dyDescent="0.35">
      <c r="A716" s="17">
        <v>715</v>
      </c>
      <c r="B716" s="23" t="s">
        <v>99</v>
      </c>
      <c r="C716" s="18" t="s">
        <v>125</v>
      </c>
      <c r="D716" s="18">
        <v>81</v>
      </c>
      <c r="E716" s="18" t="s">
        <v>129</v>
      </c>
      <c r="F716" s="18" t="str">
        <f>IF(OR(D716&gt;Answers!L731,D716&lt;Answers!L732),"Outlier","Normal")</f>
        <v>Outlier</v>
      </c>
      <c r="G716" s="19" t="str">
        <f t="shared" si="11"/>
        <v>40-50</v>
      </c>
    </row>
    <row r="717" spans="1:7" ht="20" customHeight="1" x14ac:dyDescent="0.35">
      <c r="A717" s="17">
        <v>716</v>
      </c>
      <c r="B717" s="23" t="s">
        <v>113</v>
      </c>
      <c r="C717" s="18" t="s">
        <v>125</v>
      </c>
      <c r="D717" s="18">
        <v>86</v>
      </c>
      <c r="E717" s="18" t="s">
        <v>129</v>
      </c>
      <c r="F717" s="18" t="str">
        <f>IF(OR(D717&gt;Answers!L732,D717&lt;Answers!L733),"Outlier","Normal")</f>
        <v>Outlier</v>
      </c>
      <c r="G717" s="19" t="str">
        <f t="shared" si="11"/>
        <v>40-50</v>
      </c>
    </row>
    <row r="718" spans="1:7" ht="20" customHeight="1" x14ac:dyDescent="0.35">
      <c r="A718" s="17">
        <v>717</v>
      </c>
      <c r="B718" s="23" t="s">
        <v>101</v>
      </c>
      <c r="C718" s="18" t="s">
        <v>125</v>
      </c>
      <c r="D718" s="18">
        <v>90</v>
      </c>
      <c r="E718" s="18" t="s">
        <v>129</v>
      </c>
      <c r="F718" s="18" t="str">
        <f>IF(OR(D718&gt;Answers!L733,D718&lt;Answers!L734),"Outlier","Normal")</f>
        <v>Outlier</v>
      </c>
      <c r="G718" s="19" t="str">
        <f t="shared" si="11"/>
        <v>40-50</v>
      </c>
    </row>
    <row r="719" spans="1:7" ht="20" customHeight="1" x14ac:dyDescent="0.35">
      <c r="A719" s="17">
        <v>718</v>
      </c>
      <c r="B719" s="23" t="s">
        <v>103</v>
      </c>
      <c r="C719" s="18" t="s">
        <v>126</v>
      </c>
      <c r="D719" s="18">
        <v>77</v>
      </c>
      <c r="E719" s="18" t="s">
        <v>129</v>
      </c>
      <c r="F719" s="18" t="str">
        <f>IF(OR(D719&gt;Answers!L734,D719&lt;Answers!L735),"Outlier","Normal")</f>
        <v>Outlier</v>
      </c>
      <c r="G719" s="19" t="str">
        <f t="shared" si="11"/>
        <v>40-50</v>
      </c>
    </row>
    <row r="720" spans="1:7" ht="20" customHeight="1" x14ac:dyDescent="0.35">
      <c r="A720" s="17">
        <v>719</v>
      </c>
      <c r="B720" s="23" t="s">
        <v>103</v>
      </c>
      <c r="C720" s="18" t="s">
        <v>125</v>
      </c>
      <c r="D720" s="18">
        <v>29</v>
      </c>
      <c r="E720" s="18" t="s">
        <v>129</v>
      </c>
      <c r="F720" s="18" t="str">
        <f>IF(OR(D720&gt;Answers!L735,D720&lt;Answers!L736),"Outlier","Normal")</f>
        <v>Outlier</v>
      </c>
      <c r="G720" s="19" t="str">
        <f t="shared" si="11"/>
        <v>20-30</v>
      </c>
    </row>
    <row r="721" spans="1:7" ht="20" customHeight="1" x14ac:dyDescent="0.35">
      <c r="A721" s="17">
        <v>720</v>
      </c>
      <c r="B721" s="23" t="s">
        <v>107</v>
      </c>
      <c r="C721" s="18" t="s">
        <v>125</v>
      </c>
      <c r="D721" s="18">
        <v>36</v>
      </c>
      <c r="E721" s="18" t="s">
        <v>129</v>
      </c>
      <c r="F721" s="18" t="str">
        <f>IF(OR(D721&gt;Answers!L736,D721&lt;Answers!L737),"Outlier","Normal")</f>
        <v>Outlier</v>
      </c>
      <c r="G721" s="19" t="str">
        <f t="shared" si="11"/>
        <v>30-40</v>
      </c>
    </row>
    <row r="722" spans="1:7" ht="20" customHeight="1" x14ac:dyDescent="0.35">
      <c r="A722" s="17">
        <v>721</v>
      </c>
      <c r="B722" s="23" t="s">
        <v>113</v>
      </c>
      <c r="C722" s="18" t="s">
        <v>125</v>
      </c>
      <c r="D722" s="18">
        <v>46</v>
      </c>
      <c r="E722" s="18" t="s">
        <v>129</v>
      </c>
      <c r="F722" s="18" t="str">
        <f>IF(OR(D722&gt;Answers!L737,D722&lt;Answers!L738),"Outlier","Normal")</f>
        <v>Outlier</v>
      </c>
      <c r="G722" s="19" t="str">
        <f t="shared" si="11"/>
        <v>40-50</v>
      </c>
    </row>
    <row r="723" spans="1:7" ht="20" customHeight="1" x14ac:dyDescent="0.35">
      <c r="A723" s="17">
        <v>722</v>
      </c>
      <c r="B723" s="23" t="s">
        <v>99</v>
      </c>
      <c r="C723" s="18" t="s">
        <v>126</v>
      </c>
      <c r="D723" s="18">
        <v>27</v>
      </c>
      <c r="E723" s="18" t="s">
        <v>129</v>
      </c>
      <c r="F723" s="18" t="str">
        <f>IF(OR(D723&gt;Answers!L738,D723&lt;Answers!L739),"Outlier","Normal")</f>
        <v>Outlier</v>
      </c>
      <c r="G723" s="19" t="str">
        <f t="shared" si="11"/>
        <v>20-30</v>
      </c>
    </row>
    <row r="724" spans="1:7" ht="20" customHeight="1" x14ac:dyDescent="0.35">
      <c r="A724" s="17">
        <v>723</v>
      </c>
      <c r="B724" s="23" t="s">
        <v>108</v>
      </c>
      <c r="C724" s="18" t="s">
        <v>126</v>
      </c>
      <c r="D724" s="18">
        <v>80</v>
      </c>
      <c r="E724" s="18" t="s">
        <v>129</v>
      </c>
      <c r="F724" s="18" t="str">
        <f>IF(OR(D724&gt;Answers!L739,D724&lt;Answers!L740),"Outlier","Normal")</f>
        <v>Outlier</v>
      </c>
      <c r="G724" s="19" t="str">
        <f t="shared" si="11"/>
        <v>40-50</v>
      </c>
    </row>
    <row r="725" spans="1:7" ht="20" customHeight="1" x14ac:dyDescent="0.35">
      <c r="A725" s="17">
        <v>724</v>
      </c>
      <c r="B725" s="23" t="s">
        <v>99</v>
      </c>
      <c r="C725" s="18" t="s">
        <v>125</v>
      </c>
      <c r="D725" s="18">
        <v>30</v>
      </c>
      <c r="E725" s="18" t="s">
        <v>129</v>
      </c>
      <c r="F725" s="18" t="str">
        <f>IF(OR(D725&gt;Answers!L740,D725&lt;Answers!L741),"Outlier","Normal")</f>
        <v>Outlier</v>
      </c>
      <c r="G725" s="19" t="str">
        <f t="shared" si="11"/>
        <v>20-30</v>
      </c>
    </row>
    <row r="726" spans="1:7" ht="20" customHeight="1" x14ac:dyDescent="0.35">
      <c r="A726" s="17">
        <v>725</v>
      </c>
      <c r="B726" s="23" t="s">
        <v>99</v>
      </c>
      <c r="C726" s="18" t="s">
        <v>125</v>
      </c>
      <c r="D726" s="18">
        <v>22</v>
      </c>
      <c r="E726" s="18" t="s">
        <v>129</v>
      </c>
      <c r="F726" s="18" t="str">
        <f>IF(OR(D726&gt;Answers!L741,D726&lt;Answers!L742),"Outlier","Normal")</f>
        <v>Outlier</v>
      </c>
      <c r="G726" s="19" t="str">
        <f t="shared" si="11"/>
        <v>20-30</v>
      </c>
    </row>
    <row r="727" spans="1:7" ht="20" customHeight="1" x14ac:dyDescent="0.35">
      <c r="A727" s="17">
        <v>726</v>
      </c>
      <c r="B727" s="23" t="s">
        <v>99</v>
      </c>
      <c r="C727" s="18" t="s">
        <v>125</v>
      </c>
      <c r="D727" s="18">
        <v>73</v>
      </c>
      <c r="E727" s="18" t="s">
        <v>129</v>
      </c>
      <c r="F727" s="18" t="str">
        <f>IF(OR(D727&gt;Answers!L742,D727&lt;Answers!L743),"Outlier","Normal")</f>
        <v>Outlier</v>
      </c>
      <c r="G727" s="19" t="str">
        <f t="shared" si="11"/>
        <v>40-50</v>
      </c>
    </row>
    <row r="728" spans="1:7" ht="20" customHeight="1" x14ac:dyDescent="0.35">
      <c r="A728" s="17">
        <v>727</v>
      </c>
      <c r="B728" s="23" t="s">
        <v>100</v>
      </c>
      <c r="C728" s="18" t="s">
        <v>125</v>
      </c>
      <c r="D728" s="18">
        <v>64</v>
      </c>
      <c r="E728" s="18" t="s">
        <v>129</v>
      </c>
      <c r="F728" s="18" t="str">
        <f>IF(OR(D728&gt;Answers!L743,D728&lt;Answers!L744),"Outlier","Normal")</f>
        <v>Outlier</v>
      </c>
      <c r="G728" s="19" t="str">
        <f t="shared" si="11"/>
        <v>40-50</v>
      </c>
    </row>
    <row r="729" spans="1:7" ht="20" customHeight="1" x14ac:dyDescent="0.35">
      <c r="A729" s="17">
        <v>728</v>
      </c>
      <c r="B729" s="23" t="s">
        <v>113</v>
      </c>
      <c r="C729" s="18" t="s">
        <v>126</v>
      </c>
      <c r="D729" s="18">
        <v>64</v>
      </c>
      <c r="E729" s="18" t="s">
        <v>129</v>
      </c>
      <c r="F729" s="18" t="str">
        <f>IF(OR(D729&gt;Answers!L744,D729&lt;Answers!L745),"Outlier","Normal")</f>
        <v>Outlier</v>
      </c>
      <c r="G729" s="19" t="str">
        <f t="shared" si="11"/>
        <v>40-50</v>
      </c>
    </row>
    <row r="730" spans="1:7" ht="20" customHeight="1" x14ac:dyDescent="0.35">
      <c r="A730" s="17">
        <v>729</v>
      </c>
      <c r="B730" s="23" t="s">
        <v>107</v>
      </c>
      <c r="C730" s="18" t="s">
        <v>125</v>
      </c>
      <c r="D730" s="18">
        <v>66</v>
      </c>
      <c r="E730" s="18" t="s">
        <v>129</v>
      </c>
      <c r="F730" s="18" t="str">
        <f>IF(OR(D730&gt;Answers!L745,D730&lt;Answers!L746),"Outlier","Normal")</f>
        <v>Outlier</v>
      </c>
      <c r="G730" s="19" t="str">
        <f t="shared" si="11"/>
        <v>40-50</v>
      </c>
    </row>
    <row r="731" spans="1:7" ht="20" customHeight="1" x14ac:dyDescent="0.35">
      <c r="A731" s="17">
        <v>730</v>
      </c>
      <c r="B731" s="23" t="s">
        <v>104</v>
      </c>
      <c r="C731" s="18" t="s">
        <v>126</v>
      </c>
      <c r="D731" s="18">
        <v>61</v>
      </c>
      <c r="E731" s="18" t="s">
        <v>129</v>
      </c>
      <c r="F731" s="18" t="str">
        <f>IF(OR(D731&gt;Answers!L746,D731&lt;Answers!L747),"Outlier","Normal")</f>
        <v>Outlier</v>
      </c>
      <c r="G731" s="19" t="str">
        <f t="shared" si="11"/>
        <v>40-50</v>
      </c>
    </row>
    <row r="732" spans="1:7" ht="20" customHeight="1" x14ac:dyDescent="0.35">
      <c r="A732" s="17">
        <v>731</v>
      </c>
      <c r="B732" s="23" t="s">
        <v>100</v>
      </c>
      <c r="C732" s="18" t="s">
        <v>125</v>
      </c>
      <c r="D732" s="18">
        <v>78</v>
      </c>
      <c r="E732" s="18" t="s">
        <v>129</v>
      </c>
      <c r="F732" s="18" t="str">
        <f>IF(OR(D732&gt;Answers!L747,D732&lt;Answers!L748),"Outlier","Normal")</f>
        <v>Outlier</v>
      </c>
      <c r="G732" s="19" t="str">
        <f t="shared" si="11"/>
        <v>40-50</v>
      </c>
    </row>
    <row r="733" spans="1:7" ht="20" customHeight="1" x14ac:dyDescent="0.35">
      <c r="A733" s="17">
        <v>732</v>
      </c>
      <c r="B733" s="23" t="s">
        <v>113</v>
      </c>
      <c r="C733" s="18" t="s">
        <v>126</v>
      </c>
      <c r="D733" s="18">
        <v>86</v>
      </c>
      <c r="E733" s="18" t="s">
        <v>129</v>
      </c>
      <c r="F733" s="18" t="str">
        <f>IF(OR(D733&gt;Answers!L748,D733&lt;Answers!L749),"Outlier","Normal")</f>
        <v>Outlier</v>
      </c>
      <c r="G733" s="19" t="str">
        <f t="shared" si="11"/>
        <v>40-50</v>
      </c>
    </row>
    <row r="734" spans="1:7" ht="20" customHeight="1" x14ac:dyDescent="0.35">
      <c r="A734" s="17">
        <v>733</v>
      </c>
      <c r="B734" s="23" t="s">
        <v>99</v>
      </c>
      <c r="C734" s="18" t="s">
        <v>125</v>
      </c>
      <c r="D734" s="18">
        <v>83</v>
      </c>
      <c r="E734" s="18" t="s">
        <v>129</v>
      </c>
      <c r="F734" s="18" t="str">
        <f>IF(OR(D734&gt;Answers!L749,D734&lt;Answers!L750),"Outlier","Normal")</f>
        <v>Outlier</v>
      </c>
      <c r="G734" s="19" t="str">
        <f t="shared" si="11"/>
        <v>40-50</v>
      </c>
    </row>
    <row r="735" spans="1:7" ht="20" customHeight="1" x14ac:dyDescent="0.35">
      <c r="A735" s="17">
        <v>734</v>
      </c>
      <c r="B735" s="23" t="s">
        <v>107</v>
      </c>
      <c r="C735" s="18" t="s">
        <v>126</v>
      </c>
      <c r="D735" s="18">
        <v>75</v>
      </c>
      <c r="E735" s="18" t="s">
        <v>129</v>
      </c>
      <c r="F735" s="18" t="str">
        <f>IF(OR(D735&gt;Answers!L750,D735&lt;Answers!L751),"Outlier","Normal")</f>
        <v>Outlier</v>
      </c>
      <c r="G735" s="19" t="str">
        <f t="shared" si="11"/>
        <v>40-50</v>
      </c>
    </row>
    <row r="736" spans="1:7" ht="20" customHeight="1" x14ac:dyDescent="0.35">
      <c r="A736" s="17">
        <v>735</v>
      </c>
      <c r="B736" s="23" t="s">
        <v>113</v>
      </c>
      <c r="C736" s="18" t="s">
        <v>126</v>
      </c>
      <c r="D736" s="18">
        <v>42</v>
      </c>
      <c r="E736" s="18" t="s">
        <v>129</v>
      </c>
      <c r="F736" s="18" t="str">
        <f>IF(OR(D736&gt;Answers!L751,D736&lt;Answers!L752),"Outlier","Normal")</f>
        <v>Outlier</v>
      </c>
      <c r="G736" s="19" t="str">
        <f t="shared" si="11"/>
        <v>40-50</v>
      </c>
    </row>
    <row r="737" spans="1:7" ht="20" customHeight="1" x14ac:dyDescent="0.35">
      <c r="A737" s="17">
        <v>736</v>
      </c>
      <c r="B737" s="23" t="s">
        <v>99</v>
      </c>
      <c r="C737" s="18" t="s">
        <v>125</v>
      </c>
      <c r="D737" s="18">
        <v>50</v>
      </c>
      <c r="E737" s="18" t="s">
        <v>129</v>
      </c>
      <c r="F737" s="18" t="str">
        <f>IF(OR(D737&gt;Answers!L752,D737&lt;Answers!L753),"Outlier","Normal")</f>
        <v>Outlier</v>
      </c>
      <c r="G737" s="19" t="str">
        <f t="shared" si="11"/>
        <v>40-50</v>
      </c>
    </row>
    <row r="738" spans="1:7" ht="20" customHeight="1" x14ac:dyDescent="0.35">
      <c r="A738" s="17">
        <v>737</v>
      </c>
      <c r="B738" s="23" t="s">
        <v>113</v>
      </c>
      <c r="C738" s="18" t="s">
        <v>125</v>
      </c>
      <c r="D738" s="18">
        <v>42</v>
      </c>
      <c r="E738" s="18" t="s">
        <v>129</v>
      </c>
      <c r="F738" s="18" t="str">
        <f>IF(OR(D738&gt;Answers!L753,D738&lt;Answers!L754),"Outlier","Normal")</f>
        <v>Outlier</v>
      </c>
      <c r="G738" s="19" t="str">
        <f t="shared" si="11"/>
        <v>40-50</v>
      </c>
    </row>
    <row r="739" spans="1:7" ht="20" customHeight="1" x14ac:dyDescent="0.35">
      <c r="A739" s="17">
        <v>738</v>
      </c>
      <c r="B739" s="23" t="s">
        <v>100</v>
      </c>
      <c r="C739" s="18" t="s">
        <v>125</v>
      </c>
      <c r="D739" s="18">
        <v>25</v>
      </c>
      <c r="E739" s="18" t="s">
        <v>129</v>
      </c>
      <c r="F739" s="18" t="str">
        <f>IF(OR(D739&gt;Answers!L754,D739&lt;Answers!L755),"Outlier","Normal")</f>
        <v>Outlier</v>
      </c>
      <c r="G739" s="19" t="str">
        <f t="shared" si="11"/>
        <v>20-30</v>
      </c>
    </row>
    <row r="740" spans="1:7" ht="20" customHeight="1" x14ac:dyDescent="0.35">
      <c r="A740" s="17">
        <v>739</v>
      </c>
      <c r="B740" s="23" t="s">
        <v>113</v>
      </c>
      <c r="C740" s="18" t="s">
        <v>126</v>
      </c>
      <c r="D740" s="18">
        <v>51</v>
      </c>
      <c r="E740" s="18" t="s">
        <v>129</v>
      </c>
      <c r="F740" s="18" t="str">
        <f>IF(OR(D740&gt;Answers!L755,D740&lt;Answers!L756),"Outlier","Normal")</f>
        <v>Outlier</v>
      </c>
      <c r="G740" s="19" t="str">
        <f t="shared" si="11"/>
        <v>40-50</v>
      </c>
    </row>
    <row r="741" spans="1:7" ht="20" customHeight="1" x14ac:dyDescent="0.35">
      <c r="A741" s="17">
        <v>740</v>
      </c>
      <c r="B741" s="23" t="s">
        <v>113</v>
      </c>
      <c r="C741" s="18" t="s">
        <v>125</v>
      </c>
      <c r="D741" s="18">
        <v>64</v>
      </c>
      <c r="E741" s="18" t="s">
        <v>129</v>
      </c>
      <c r="F741" s="18" t="str">
        <f>IF(OR(D741&gt;Answers!L756,D741&lt;Answers!L757),"Outlier","Normal")</f>
        <v>Outlier</v>
      </c>
      <c r="G741" s="19" t="str">
        <f t="shared" si="11"/>
        <v>40-50</v>
      </c>
    </row>
    <row r="742" spans="1:7" ht="20" customHeight="1" x14ac:dyDescent="0.35">
      <c r="A742" s="17">
        <v>741</v>
      </c>
      <c r="B742" s="23" t="s">
        <v>99</v>
      </c>
      <c r="C742" s="18" t="s">
        <v>126</v>
      </c>
      <c r="D742" s="18">
        <v>25</v>
      </c>
      <c r="E742" s="18" t="s">
        <v>129</v>
      </c>
      <c r="F742" s="18" t="str">
        <f>IF(OR(D742&gt;Answers!L757,D742&lt;Answers!L758),"Outlier","Normal")</f>
        <v>Outlier</v>
      </c>
      <c r="G742" s="19" t="str">
        <f t="shared" si="11"/>
        <v>20-30</v>
      </c>
    </row>
    <row r="743" spans="1:7" ht="20" customHeight="1" x14ac:dyDescent="0.35">
      <c r="A743" s="17">
        <v>742</v>
      </c>
      <c r="B743" s="23" t="s">
        <v>99</v>
      </c>
      <c r="C743" s="18" t="s">
        <v>126</v>
      </c>
      <c r="D743" s="18">
        <v>63</v>
      </c>
      <c r="E743" s="18" t="s">
        <v>129</v>
      </c>
      <c r="F743" s="18" t="str">
        <f>IF(OR(D743&gt;Answers!L758,D743&lt;Answers!L759),"Outlier","Normal")</f>
        <v>Outlier</v>
      </c>
      <c r="G743" s="19" t="str">
        <f t="shared" si="11"/>
        <v>40-50</v>
      </c>
    </row>
    <row r="744" spans="1:7" ht="20" customHeight="1" x14ac:dyDescent="0.35">
      <c r="A744" s="17">
        <v>743</v>
      </c>
      <c r="B744" s="23" t="s">
        <v>99</v>
      </c>
      <c r="C744" s="18" t="s">
        <v>126</v>
      </c>
      <c r="D744" s="18">
        <v>29</v>
      </c>
      <c r="E744" s="18" t="s">
        <v>129</v>
      </c>
      <c r="F744" s="18" t="str">
        <f>IF(OR(D744&gt;Answers!L759,D744&lt;Answers!L760),"Outlier","Normal")</f>
        <v>Outlier</v>
      </c>
      <c r="G744" s="19" t="str">
        <f t="shared" si="11"/>
        <v>20-30</v>
      </c>
    </row>
    <row r="745" spans="1:7" ht="20" customHeight="1" x14ac:dyDescent="0.35">
      <c r="A745" s="17">
        <v>744</v>
      </c>
      <c r="B745" s="23" t="s">
        <v>102</v>
      </c>
      <c r="C745" s="18" t="s">
        <v>125</v>
      </c>
      <c r="D745" s="18">
        <v>33</v>
      </c>
      <c r="E745" s="18" t="s">
        <v>129</v>
      </c>
      <c r="F745" s="18" t="str">
        <f>IF(OR(D745&gt;Answers!L760,D745&lt;Answers!L761),"Outlier","Normal")</f>
        <v>Outlier</v>
      </c>
      <c r="G745" s="19" t="str">
        <f t="shared" si="11"/>
        <v>30-40</v>
      </c>
    </row>
    <row r="746" spans="1:7" ht="20" customHeight="1" x14ac:dyDescent="0.35">
      <c r="A746" s="17">
        <v>745</v>
      </c>
      <c r="B746" s="23" t="s">
        <v>101</v>
      </c>
      <c r="C746" s="18" t="s">
        <v>125</v>
      </c>
      <c r="D746" s="18">
        <v>27</v>
      </c>
      <c r="E746" s="18" t="s">
        <v>129</v>
      </c>
      <c r="F746" s="18" t="str">
        <f>IF(OR(D746&gt;Answers!L761,D746&lt;Answers!L762),"Outlier","Normal")</f>
        <v>Outlier</v>
      </c>
      <c r="G746" s="19" t="str">
        <f t="shared" si="11"/>
        <v>20-30</v>
      </c>
    </row>
    <row r="747" spans="1:7" ht="20" customHeight="1" x14ac:dyDescent="0.35">
      <c r="A747" s="17">
        <v>746</v>
      </c>
      <c r="B747" s="23" t="s">
        <v>99</v>
      </c>
      <c r="C747" s="18" t="s">
        <v>126</v>
      </c>
      <c r="D747" s="18">
        <v>75</v>
      </c>
      <c r="E747" s="18" t="s">
        <v>129</v>
      </c>
      <c r="F747" s="18" t="str">
        <f>IF(OR(D747&gt;Answers!L762,D747&lt;Answers!L763),"Outlier","Normal")</f>
        <v>Outlier</v>
      </c>
      <c r="G747" s="19" t="str">
        <f t="shared" si="11"/>
        <v>40-50</v>
      </c>
    </row>
    <row r="748" spans="1:7" ht="20" customHeight="1" x14ac:dyDescent="0.35">
      <c r="A748" s="17">
        <v>747</v>
      </c>
      <c r="B748" s="23" t="s">
        <v>107</v>
      </c>
      <c r="C748" s="18" t="s">
        <v>126</v>
      </c>
      <c r="D748" s="18">
        <v>64</v>
      </c>
      <c r="E748" s="18" t="s">
        <v>129</v>
      </c>
      <c r="F748" s="18" t="str">
        <f>IF(OR(D748&gt;Answers!L763,D748&lt;Answers!L764),"Outlier","Normal")</f>
        <v>Outlier</v>
      </c>
      <c r="G748" s="19" t="str">
        <f t="shared" si="11"/>
        <v>40-50</v>
      </c>
    </row>
    <row r="749" spans="1:7" ht="20" customHeight="1" x14ac:dyDescent="0.35">
      <c r="A749" s="17">
        <v>748</v>
      </c>
      <c r="B749" s="23" t="s">
        <v>99</v>
      </c>
      <c r="C749" s="18" t="s">
        <v>126</v>
      </c>
      <c r="D749" s="18">
        <v>40</v>
      </c>
      <c r="E749" s="18" t="s">
        <v>129</v>
      </c>
      <c r="F749" s="18" t="str">
        <f>IF(OR(D749&gt;Answers!L764,D749&lt;Answers!L765),"Outlier","Normal")</f>
        <v>Outlier</v>
      </c>
      <c r="G749" s="19" t="str">
        <f t="shared" si="11"/>
        <v>30-40</v>
      </c>
    </row>
    <row r="750" spans="1:7" ht="20" customHeight="1" x14ac:dyDescent="0.35">
      <c r="A750" s="17">
        <v>749</v>
      </c>
      <c r="B750" s="23" t="s">
        <v>106</v>
      </c>
      <c r="C750" s="18" t="s">
        <v>126</v>
      </c>
      <c r="D750" s="18">
        <v>82</v>
      </c>
      <c r="E750" s="18" t="s">
        <v>129</v>
      </c>
      <c r="F750" s="18" t="str">
        <f>IF(OR(D750&gt;Answers!L765,D750&lt;Answers!L766),"Outlier","Normal")</f>
        <v>Outlier</v>
      </c>
      <c r="G750" s="19" t="str">
        <f t="shared" si="11"/>
        <v>40-50</v>
      </c>
    </row>
    <row r="751" spans="1:7" ht="20" customHeight="1" x14ac:dyDescent="0.35">
      <c r="A751" s="17">
        <v>750</v>
      </c>
      <c r="B751" s="23" t="s">
        <v>102</v>
      </c>
      <c r="C751" s="18" t="s">
        <v>125</v>
      </c>
      <c r="D751" s="18">
        <v>40</v>
      </c>
      <c r="E751" s="18" t="s">
        <v>129</v>
      </c>
      <c r="F751" s="18" t="str">
        <f>IF(OR(D751&gt;Answers!L766,D751&lt;Answers!L767),"Outlier","Normal")</f>
        <v>Outlier</v>
      </c>
      <c r="G751" s="19" t="str">
        <f t="shared" si="11"/>
        <v>30-40</v>
      </c>
    </row>
    <row r="752" spans="1:7" ht="20" customHeight="1" x14ac:dyDescent="0.35">
      <c r="A752" s="17">
        <v>751</v>
      </c>
      <c r="B752" s="23" t="s">
        <v>113</v>
      </c>
      <c r="C752" s="18" t="s">
        <v>125</v>
      </c>
      <c r="D752" s="18">
        <v>82</v>
      </c>
      <c r="E752" s="18" t="s">
        <v>129</v>
      </c>
      <c r="F752" s="18" t="str">
        <f>IF(OR(D752&gt;Answers!L767,D752&lt;Answers!L768),"Outlier","Normal")</f>
        <v>Outlier</v>
      </c>
      <c r="G752" s="19" t="str">
        <f t="shared" si="11"/>
        <v>40-50</v>
      </c>
    </row>
    <row r="753" spans="1:7" ht="20" customHeight="1" x14ac:dyDescent="0.35">
      <c r="A753" s="17">
        <v>752</v>
      </c>
      <c r="B753" s="23" t="s">
        <v>104</v>
      </c>
      <c r="C753" s="18" t="s">
        <v>125</v>
      </c>
      <c r="D753" s="18">
        <v>42</v>
      </c>
      <c r="E753" s="18" t="s">
        <v>129</v>
      </c>
      <c r="F753" s="18" t="str">
        <f>IF(OR(D753&gt;Answers!L768,D753&lt;Answers!L769),"Outlier","Normal")</f>
        <v>Outlier</v>
      </c>
      <c r="G753" s="19" t="str">
        <f t="shared" si="11"/>
        <v>40-50</v>
      </c>
    </row>
    <row r="754" spans="1:7" ht="20" customHeight="1" x14ac:dyDescent="0.35">
      <c r="A754" s="17">
        <v>753</v>
      </c>
      <c r="B754" s="23" t="s">
        <v>99</v>
      </c>
      <c r="C754" s="18" t="s">
        <v>125</v>
      </c>
      <c r="D754" s="18">
        <v>18</v>
      </c>
      <c r="E754" s="18" t="s">
        <v>129</v>
      </c>
      <c r="F754" s="18" t="str">
        <f>IF(OR(D754&gt;Answers!L769,D754&lt;Answers!L770),"Outlier","Normal")</f>
        <v>Outlier</v>
      </c>
      <c r="G754" s="19" t="str">
        <f t="shared" si="11"/>
        <v>&lt;20</v>
      </c>
    </row>
    <row r="755" spans="1:7" ht="20" customHeight="1" x14ac:dyDescent="0.35">
      <c r="A755" s="17">
        <v>754</v>
      </c>
      <c r="B755" s="23" t="s">
        <v>107</v>
      </c>
      <c r="C755" s="18" t="s">
        <v>126</v>
      </c>
      <c r="D755" s="18">
        <v>58</v>
      </c>
      <c r="E755" s="18" t="s">
        <v>129</v>
      </c>
      <c r="F755" s="18" t="str">
        <f>IF(OR(D755&gt;Answers!L770,D755&lt;Answers!L771),"Outlier","Normal")</f>
        <v>Outlier</v>
      </c>
      <c r="G755" s="19" t="str">
        <f t="shared" si="11"/>
        <v>40-50</v>
      </c>
    </row>
    <row r="756" spans="1:7" ht="20" customHeight="1" x14ac:dyDescent="0.35">
      <c r="A756" s="17">
        <v>755</v>
      </c>
      <c r="B756" s="23" t="s">
        <v>99</v>
      </c>
      <c r="C756" s="18" t="s">
        <v>125</v>
      </c>
      <c r="D756" s="18">
        <v>54</v>
      </c>
      <c r="E756" s="18" t="s">
        <v>129</v>
      </c>
      <c r="F756" s="18" t="str">
        <f>IF(OR(D756&gt;Answers!L771,D756&lt;Answers!L772),"Outlier","Normal")</f>
        <v>Outlier</v>
      </c>
      <c r="G756" s="19" t="str">
        <f t="shared" si="11"/>
        <v>40-50</v>
      </c>
    </row>
    <row r="757" spans="1:7" ht="20" customHeight="1" x14ac:dyDescent="0.35">
      <c r="A757" s="17">
        <v>756</v>
      </c>
      <c r="B757" s="23" t="s">
        <v>109</v>
      </c>
      <c r="C757" s="18" t="s">
        <v>126</v>
      </c>
      <c r="D757" s="18">
        <v>42</v>
      </c>
      <c r="E757" s="18" t="s">
        <v>129</v>
      </c>
      <c r="F757" s="18" t="str">
        <f>IF(OR(D757&gt;Answers!L772,D757&lt;Answers!L773),"Outlier","Normal")</f>
        <v>Outlier</v>
      </c>
      <c r="G757" s="19" t="str">
        <f t="shared" si="11"/>
        <v>40-50</v>
      </c>
    </row>
    <row r="758" spans="1:7" ht="20" customHeight="1" x14ac:dyDescent="0.35">
      <c r="A758" s="17">
        <v>757</v>
      </c>
      <c r="B758" s="23" t="s">
        <v>99</v>
      </c>
      <c r="C758" s="18" t="s">
        <v>126</v>
      </c>
      <c r="D758" s="18">
        <v>59</v>
      </c>
      <c r="E758" s="18" t="s">
        <v>129</v>
      </c>
      <c r="F758" s="18" t="str">
        <f>IF(OR(D758&gt;Answers!L773,D758&lt;Answers!L774),"Outlier","Normal")</f>
        <v>Outlier</v>
      </c>
      <c r="G758" s="19" t="str">
        <f t="shared" si="11"/>
        <v>40-50</v>
      </c>
    </row>
    <row r="759" spans="1:7" ht="20" customHeight="1" x14ac:dyDescent="0.35">
      <c r="A759" s="17">
        <v>758</v>
      </c>
      <c r="B759" s="23" t="s">
        <v>99</v>
      </c>
      <c r="C759" s="18" t="s">
        <v>126</v>
      </c>
      <c r="D759" s="18">
        <v>22</v>
      </c>
      <c r="E759" s="18" t="s">
        <v>129</v>
      </c>
      <c r="F759" s="18" t="str">
        <f>IF(OR(D759&gt;Answers!L774,D759&lt;Answers!L775),"Outlier","Normal")</f>
        <v>Outlier</v>
      </c>
      <c r="G759" s="19" t="str">
        <f t="shared" si="11"/>
        <v>20-30</v>
      </c>
    </row>
    <row r="760" spans="1:7" ht="20" customHeight="1" x14ac:dyDescent="0.35">
      <c r="A760" s="17">
        <v>759</v>
      </c>
      <c r="B760" s="23" t="s">
        <v>99</v>
      </c>
      <c r="C760" s="18" t="s">
        <v>125</v>
      </c>
      <c r="D760" s="18">
        <v>19</v>
      </c>
      <c r="E760" s="18" t="s">
        <v>129</v>
      </c>
      <c r="F760" s="18" t="str">
        <f>IF(OR(D760&gt;Answers!L775,D760&lt;Answers!L776),"Outlier","Normal")</f>
        <v>Outlier</v>
      </c>
      <c r="G760" s="19" t="str">
        <f t="shared" si="11"/>
        <v>&lt;20</v>
      </c>
    </row>
    <row r="761" spans="1:7" ht="20" customHeight="1" x14ac:dyDescent="0.35">
      <c r="A761" s="17">
        <v>760</v>
      </c>
      <c r="B761" s="23" t="s">
        <v>113</v>
      </c>
      <c r="C761" s="18" t="s">
        <v>125</v>
      </c>
      <c r="D761" s="18">
        <v>22</v>
      </c>
      <c r="E761" s="18" t="s">
        <v>129</v>
      </c>
      <c r="F761" s="18" t="str">
        <f>IF(OR(D761&gt;Answers!L776,D761&lt;Answers!L777),"Outlier","Normal")</f>
        <v>Outlier</v>
      </c>
      <c r="G761" s="19" t="str">
        <f t="shared" si="11"/>
        <v>20-30</v>
      </c>
    </row>
    <row r="762" spans="1:7" ht="20" customHeight="1" x14ac:dyDescent="0.35">
      <c r="A762" s="17">
        <v>761</v>
      </c>
      <c r="B762" s="23" t="s">
        <v>108</v>
      </c>
      <c r="C762" s="18" t="s">
        <v>125</v>
      </c>
      <c r="D762" s="18">
        <v>42</v>
      </c>
      <c r="E762" s="18" t="s">
        <v>129</v>
      </c>
      <c r="F762" s="18" t="str">
        <f>IF(OR(D762&gt;Answers!L777,D762&lt;Answers!L778),"Outlier","Normal")</f>
        <v>Outlier</v>
      </c>
      <c r="G762" s="19" t="str">
        <f t="shared" si="11"/>
        <v>40-50</v>
      </c>
    </row>
    <row r="763" spans="1:7" ht="20" customHeight="1" x14ac:dyDescent="0.35">
      <c r="A763" s="17">
        <v>762</v>
      </c>
      <c r="B763" s="23" t="s">
        <v>108</v>
      </c>
      <c r="C763" s="18" t="s">
        <v>126</v>
      </c>
      <c r="D763" s="18">
        <v>21</v>
      </c>
      <c r="E763" s="18" t="s">
        <v>129</v>
      </c>
      <c r="F763" s="18" t="str">
        <f>IF(OR(D763&gt;Answers!L778,D763&lt;Answers!L779),"Outlier","Normal")</f>
        <v>Outlier</v>
      </c>
      <c r="G763" s="19" t="str">
        <f t="shared" si="11"/>
        <v>20-30</v>
      </c>
    </row>
    <row r="764" spans="1:7" ht="20" customHeight="1" x14ac:dyDescent="0.35">
      <c r="A764" s="17">
        <v>763</v>
      </c>
      <c r="B764" s="23" t="s">
        <v>99</v>
      </c>
      <c r="C764" s="18" t="s">
        <v>125</v>
      </c>
      <c r="D764" s="18">
        <v>86</v>
      </c>
      <c r="E764" s="18" t="s">
        <v>129</v>
      </c>
      <c r="F764" s="18" t="str">
        <f>IF(OR(D764&gt;Answers!L779,D764&lt;Answers!L780),"Outlier","Normal")</f>
        <v>Outlier</v>
      </c>
      <c r="G764" s="19" t="str">
        <f t="shared" si="11"/>
        <v>40-50</v>
      </c>
    </row>
    <row r="765" spans="1:7" ht="20" customHeight="1" x14ac:dyDescent="0.35">
      <c r="A765" s="17">
        <v>764</v>
      </c>
      <c r="B765" s="23" t="s">
        <v>100</v>
      </c>
      <c r="C765" s="18" t="s">
        <v>126</v>
      </c>
      <c r="D765" s="18">
        <v>28</v>
      </c>
      <c r="E765" s="18" t="s">
        <v>129</v>
      </c>
      <c r="F765" s="18" t="str">
        <f>IF(OR(D765&gt;Answers!L780,D765&lt;Answers!L781),"Outlier","Normal")</f>
        <v>Outlier</v>
      </c>
      <c r="G765" s="19" t="str">
        <f t="shared" si="11"/>
        <v>20-30</v>
      </c>
    </row>
    <row r="766" spans="1:7" ht="20" customHeight="1" x14ac:dyDescent="0.35">
      <c r="A766" s="17">
        <v>765</v>
      </c>
      <c r="B766" s="23" t="s">
        <v>103</v>
      </c>
      <c r="C766" s="18" t="s">
        <v>126</v>
      </c>
      <c r="D766" s="18">
        <v>46</v>
      </c>
      <c r="E766" s="18" t="s">
        <v>129</v>
      </c>
      <c r="F766" s="18" t="str">
        <f>IF(OR(D766&gt;Answers!L781,D766&lt;Answers!L782),"Outlier","Normal")</f>
        <v>Outlier</v>
      </c>
      <c r="G766" s="19" t="str">
        <f t="shared" si="11"/>
        <v>40-50</v>
      </c>
    </row>
    <row r="767" spans="1:7" ht="20" customHeight="1" x14ac:dyDescent="0.35">
      <c r="A767" s="17">
        <v>766</v>
      </c>
      <c r="B767" s="23" t="s">
        <v>99</v>
      </c>
      <c r="C767" s="18" t="s">
        <v>126</v>
      </c>
      <c r="D767" s="18">
        <v>89</v>
      </c>
      <c r="E767" s="18" t="s">
        <v>129</v>
      </c>
      <c r="F767" s="18" t="str">
        <f>IF(OR(D767&gt;Answers!L782,D767&lt;Answers!L783),"Outlier","Normal")</f>
        <v>Outlier</v>
      </c>
      <c r="G767" s="19" t="str">
        <f t="shared" si="11"/>
        <v>40-50</v>
      </c>
    </row>
    <row r="768" spans="1:7" ht="20" customHeight="1" x14ac:dyDescent="0.35">
      <c r="A768" s="17">
        <v>767</v>
      </c>
      <c r="B768" s="23" t="s">
        <v>99</v>
      </c>
      <c r="C768" s="18" t="s">
        <v>125</v>
      </c>
      <c r="D768" s="18">
        <v>30</v>
      </c>
      <c r="E768" s="18" t="s">
        <v>129</v>
      </c>
      <c r="F768" s="18" t="str">
        <f>IF(OR(D768&gt;Answers!L783,D768&lt;Answers!L784),"Outlier","Normal")</f>
        <v>Outlier</v>
      </c>
      <c r="G768" s="19" t="str">
        <f t="shared" si="11"/>
        <v>20-30</v>
      </c>
    </row>
    <row r="769" spans="1:7" ht="20" customHeight="1" x14ac:dyDescent="0.35">
      <c r="A769" s="17">
        <v>768</v>
      </c>
      <c r="B769" s="23" t="s">
        <v>99</v>
      </c>
      <c r="C769" s="18" t="s">
        <v>126</v>
      </c>
      <c r="D769" s="18">
        <v>38</v>
      </c>
      <c r="E769" s="18" t="s">
        <v>129</v>
      </c>
      <c r="F769" s="18" t="str">
        <f>IF(OR(D769&gt;Answers!L784,D769&lt;Answers!L785),"Outlier","Normal")</f>
        <v>Outlier</v>
      </c>
      <c r="G769" s="19" t="str">
        <f t="shared" si="11"/>
        <v>30-40</v>
      </c>
    </row>
    <row r="770" spans="1:7" ht="20" customHeight="1" x14ac:dyDescent="0.35">
      <c r="A770" s="17">
        <v>769</v>
      </c>
      <c r="B770" s="23" t="s">
        <v>100</v>
      </c>
      <c r="C770" s="18" t="s">
        <v>125</v>
      </c>
      <c r="D770" s="18">
        <v>22</v>
      </c>
      <c r="E770" s="18" t="s">
        <v>129</v>
      </c>
      <c r="F770" s="18" t="str">
        <f>IF(OR(D770&gt;Answers!L785,D770&lt;Answers!L786),"Outlier","Normal")</f>
        <v>Outlier</v>
      </c>
      <c r="G770" s="19" t="str">
        <f t="shared" si="11"/>
        <v>20-30</v>
      </c>
    </row>
    <row r="771" spans="1:7" ht="20" customHeight="1" x14ac:dyDescent="0.35">
      <c r="A771" s="17">
        <v>770</v>
      </c>
      <c r="B771" s="23" t="s">
        <v>113</v>
      </c>
      <c r="C771" s="18" t="s">
        <v>125</v>
      </c>
      <c r="D771" s="18">
        <v>72</v>
      </c>
      <c r="E771" s="18" t="s">
        <v>129</v>
      </c>
      <c r="F771" s="18" t="str">
        <f>IF(OR(D771&gt;Answers!L786,D771&lt;Answers!L787),"Outlier","Normal")</f>
        <v>Outlier</v>
      </c>
      <c r="G771" s="19" t="str">
        <f t="shared" ref="G771:G834" si="12">IF(D771&lt;20,"&lt;20",
IF(D771&lt;=30,"20-30",
IF(D771&lt;=40,"30-40","40-50")))</f>
        <v>40-50</v>
      </c>
    </row>
    <row r="772" spans="1:7" ht="20" customHeight="1" x14ac:dyDescent="0.35">
      <c r="A772" s="17">
        <v>771</v>
      </c>
      <c r="B772" s="23" t="s">
        <v>108</v>
      </c>
      <c r="C772" s="18" t="s">
        <v>125</v>
      </c>
      <c r="D772" s="18">
        <v>82</v>
      </c>
      <c r="E772" s="18" t="s">
        <v>129</v>
      </c>
      <c r="F772" s="18" t="str">
        <f>IF(OR(D772&gt;Answers!L787,D772&lt;Answers!L788),"Outlier","Normal")</f>
        <v>Outlier</v>
      </c>
      <c r="G772" s="19" t="str">
        <f t="shared" si="12"/>
        <v>40-50</v>
      </c>
    </row>
    <row r="773" spans="1:7" ht="20" customHeight="1" x14ac:dyDescent="0.35">
      <c r="A773" s="17">
        <v>772</v>
      </c>
      <c r="B773" s="23" t="s">
        <v>100</v>
      </c>
      <c r="C773" s="18" t="s">
        <v>126</v>
      </c>
      <c r="D773" s="18">
        <v>37</v>
      </c>
      <c r="E773" s="18" t="s">
        <v>129</v>
      </c>
      <c r="F773" s="18" t="str">
        <f>IF(OR(D773&gt;Answers!L788,D773&lt;Answers!L789),"Outlier","Normal")</f>
        <v>Outlier</v>
      </c>
      <c r="G773" s="19" t="str">
        <f t="shared" si="12"/>
        <v>30-40</v>
      </c>
    </row>
    <row r="774" spans="1:7" ht="20" customHeight="1" x14ac:dyDescent="0.35">
      <c r="A774" s="17">
        <v>773</v>
      </c>
      <c r="B774" s="23" t="s">
        <v>99</v>
      </c>
      <c r="C774" s="18" t="s">
        <v>125</v>
      </c>
      <c r="D774" s="18">
        <v>77</v>
      </c>
      <c r="E774" s="18" t="s">
        <v>129</v>
      </c>
      <c r="F774" s="18" t="str">
        <f>IF(OR(D774&gt;Answers!L789,D774&lt;Answers!L790),"Outlier","Normal")</f>
        <v>Outlier</v>
      </c>
      <c r="G774" s="19" t="str">
        <f t="shared" si="12"/>
        <v>40-50</v>
      </c>
    </row>
    <row r="775" spans="1:7" ht="20" customHeight="1" x14ac:dyDescent="0.35">
      <c r="A775" s="17">
        <v>774</v>
      </c>
      <c r="B775" s="23" t="s">
        <v>113</v>
      </c>
      <c r="C775" s="18" t="s">
        <v>125</v>
      </c>
      <c r="D775" s="18">
        <v>84</v>
      </c>
      <c r="E775" s="18" t="s">
        <v>129</v>
      </c>
      <c r="F775" s="18" t="str">
        <f>IF(OR(D775&gt;Answers!L790,D775&lt;Answers!L791),"Outlier","Normal")</f>
        <v>Outlier</v>
      </c>
      <c r="G775" s="19" t="str">
        <f t="shared" si="12"/>
        <v>40-50</v>
      </c>
    </row>
    <row r="776" spans="1:7" ht="20" customHeight="1" x14ac:dyDescent="0.35">
      <c r="A776" s="17">
        <v>775</v>
      </c>
      <c r="B776" s="23" t="s">
        <v>106</v>
      </c>
      <c r="C776" s="18" t="s">
        <v>125</v>
      </c>
      <c r="D776" s="18">
        <v>68</v>
      </c>
      <c r="E776" s="18" t="s">
        <v>129</v>
      </c>
      <c r="F776" s="18" t="str">
        <f>IF(OR(D776&gt;Answers!L791,D776&lt;Answers!L792),"Outlier","Normal")</f>
        <v>Outlier</v>
      </c>
      <c r="G776" s="19" t="str">
        <f t="shared" si="12"/>
        <v>40-50</v>
      </c>
    </row>
    <row r="777" spans="1:7" ht="20" customHeight="1" x14ac:dyDescent="0.35">
      <c r="A777" s="17">
        <v>776</v>
      </c>
      <c r="B777" s="23" t="s">
        <v>107</v>
      </c>
      <c r="C777" s="18" t="s">
        <v>125</v>
      </c>
      <c r="D777" s="18">
        <v>38</v>
      </c>
      <c r="E777" s="18" t="s">
        <v>129</v>
      </c>
      <c r="F777" s="18" t="str">
        <f>IF(OR(D777&gt;Answers!L792,D777&lt;Answers!L793),"Outlier","Normal")</f>
        <v>Outlier</v>
      </c>
      <c r="G777" s="19" t="str">
        <f t="shared" si="12"/>
        <v>30-40</v>
      </c>
    </row>
    <row r="778" spans="1:7" ht="20" customHeight="1" x14ac:dyDescent="0.35">
      <c r="A778" s="17">
        <v>777</v>
      </c>
      <c r="B778" s="23" t="s">
        <v>99</v>
      </c>
      <c r="C778" s="18" t="s">
        <v>125</v>
      </c>
      <c r="D778" s="18">
        <v>53</v>
      </c>
      <c r="E778" s="18" t="s">
        <v>129</v>
      </c>
      <c r="F778" s="18" t="str">
        <f>IF(OR(D778&gt;Answers!L793,D778&lt;Answers!L794),"Outlier","Normal")</f>
        <v>Outlier</v>
      </c>
      <c r="G778" s="19" t="str">
        <f t="shared" si="12"/>
        <v>40-50</v>
      </c>
    </row>
    <row r="779" spans="1:7" ht="20" customHeight="1" x14ac:dyDescent="0.35">
      <c r="A779" s="17">
        <v>778</v>
      </c>
      <c r="B779" s="23" t="s">
        <v>100</v>
      </c>
      <c r="C779" s="18" t="s">
        <v>126</v>
      </c>
      <c r="D779" s="18">
        <v>26</v>
      </c>
      <c r="E779" s="18" t="s">
        <v>129</v>
      </c>
      <c r="F779" s="18" t="str">
        <f>IF(OR(D779&gt;Answers!L794,D779&lt;Answers!L795),"Outlier","Normal")</f>
        <v>Outlier</v>
      </c>
      <c r="G779" s="19" t="str">
        <f t="shared" si="12"/>
        <v>20-30</v>
      </c>
    </row>
    <row r="780" spans="1:7" ht="20" customHeight="1" x14ac:dyDescent="0.35">
      <c r="A780" s="17">
        <v>779</v>
      </c>
      <c r="B780" s="23" t="s">
        <v>99</v>
      </c>
      <c r="C780" s="18" t="s">
        <v>125</v>
      </c>
      <c r="D780" s="18">
        <v>41</v>
      </c>
      <c r="E780" s="18" t="s">
        <v>129</v>
      </c>
      <c r="F780" s="18" t="str">
        <f>IF(OR(D780&gt;Answers!L795,D780&lt;Answers!L796),"Outlier","Normal")</f>
        <v>Outlier</v>
      </c>
      <c r="G780" s="19" t="str">
        <f t="shared" si="12"/>
        <v>40-50</v>
      </c>
    </row>
    <row r="781" spans="1:7" ht="20" customHeight="1" x14ac:dyDescent="0.35">
      <c r="A781" s="17">
        <v>780</v>
      </c>
      <c r="B781" s="23" t="s">
        <v>113</v>
      </c>
      <c r="C781" s="18" t="s">
        <v>125</v>
      </c>
      <c r="D781" s="18">
        <v>43</v>
      </c>
      <c r="E781" s="18" t="s">
        <v>129</v>
      </c>
      <c r="F781" s="18" t="str">
        <f>IF(OR(D781&gt;Answers!L796,D781&lt;Answers!L797),"Outlier","Normal")</f>
        <v>Outlier</v>
      </c>
      <c r="G781" s="19" t="str">
        <f t="shared" si="12"/>
        <v>40-50</v>
      </c>
    </row>
    <row r="782" spans="1:7" ht="20" customHeight="1" x14ac:dyDescent="0.35">
      <c r="A782" s="17">
        <v>781</v>
      </c>
      <c r="B782" s="23" t="s">
        <v>102</v>
      </c>
      <c r="C782" s="18" t="s">
        <v>126</v>
      </c>
      <c r="D782" s="18">
        <v>66</v>
      </c>
      <c r="E782" s="18" t="s">
        <v>129</v>
      </c>
      <c r="F782" s="18" t="str">
        <f>IF(OR(D782&gt;Answers!L797,D782&lt;Answers!L798),"Outlier","Normal")</f>
        <v>Outlier</v>
      </c>
      <c r="G782" s="19" t="str">
        <f t="shared" si="12"/>
        <v>40-50</v>
      </c>
    </row>
    <row r="783" spans="1:7" ht="20" customHeight="1" x14ac:dyDescent="0.35">
      <c r="A783" s="17">
        <v>782</v>
      </c>
      <c r="B783" s="23" t="s">
        <v>99</v>
      </c>
      <c r="C783" s="18" t="s">
        <v>126</v>
      </c>
      <c r="D783" s="18">
        <v>74</v>
      </c>
      <c r="E783" s="18" t="s">
        <v>129</v>
      </c>
      <c r="F783" s="18" t="str">
        <f>IF(OR(D783&gt;Answers!L798,D783&lt;Answers!L799),"Outlier","Normal")</f>
        <v>Outlier</v>
      </c>
      <c r="G783" s="19" t="str">
        <f t="shared" si="12"/>
        <v>40-50</v>
      </c>
    </row>
    <row r="784" spans="1:7" ht="20" customHeight="1" x14ac:dyDescent="0.35">
      <c r="A784" s="17">
        <v>783</v>
      </c>
      <c r="B784" s="23" t="s">
        <v>99</v>
      </c>
      <c r="C784" s="18" t="s">
        <v>126</v>
      </c>
      <c r="D784" s="18">
        <v>42</v>
      </c>
      <c r="E784" s="18" t="s">
        <v>129</v>
      </c>
      <c r="F784" s="18" t="str">
        <f>IF(OR(D784&gt;Answers!L799,D784&lt;Answers!L800),"Outlier","Normal")</f>
        <v>Outlier</v>
      </c>
      <c r="G784" s="19" t="str">
        <f t="shared" si="12"/>
        <v>40-50</v>
      </c>
    </row>
    <row r="785" spans="1:7" ht="20" customHeight="1" x14ac:dyDescent="0.35">
      <c r="A785" s="17">
        <v>784</v>
      </c>
      <c r="B785" s="23" t="s">
        <v>99</v>
      </c>
      <c r="C785" s="18" t="s">
        <v>125</v>
      </c>
      <c r="D785" s="18">
        <v>38</v>
      </c>
      <c r="E785" s="18" t="s">
        <v>129</v>
      </c>
      <c r="F785" s="18" t="str">
        <f>IF(OR(D785&gt;Answers!L800,D785&lt;Answers!L801),"Outlier","Normal")</f>
        <v>Outlier</v>
      </c>
      <c r="G785" s="19" t="str">
        <f t="shared" si="12"/>
        <v>30-40</v>
      </c>
    </row>
    <row r="786" spans="1:7" ht="20" customHeight="1" x14ac:dyDescent="0.35">
      <c r="A786" s="17">
        <v>785</v>
      </c>
      <c r="B786" s="23" t="s">
        <v>111</v>
      </c>
      <c r="C786" s="18" t="s">
        <v>125</v>
      </c>
      <c r="D786" s="18">
        <v>44</v>
      </c>
      <c r="E786" s="18" t="s">
        <v>129</v>
      </c>
      <c r="F786" s="18" t="str">
        <f>IF(OR(D786&gt;Answers!L801,D786&lt;Answers!L802),"Outlier","Normal")</f>
        <v>Outlier</v>
      </c>
      <c r="G786" s="19" t="str">
        <f t="shared" si="12"/>
        <v>40-50</v>
      </c>
    </row>
    <row r="787" spans="1:7" ht="20" customHeight="1" x14ac:dyDescent="0.35">
      <c r="A787" s="17">
        <v>786</v>
      </c>
      <c r="B787" s="23" t="s">
        <v>108</v>
      </c>
      <c r="C787" s="18" t="s">
        <v>125</v>
      </c>
      <c r="D787" s="18">
        <v>61</v>
      </c>
      <c r="E787" s="18" t="s">
        <v>129</v>
      </c>
      <c r="F787" s="18" t="str">
        <f>IF(OR(D787&gt;Answers!L802,D787&lt;Answers!L803),"Outlier","Normal")</f>
        <v>Outlier</v>
      </c>
      <c r="G787" s="19" t="str">
        <f t="shared" si="12"/>
        <v>40-50</v>
      </c>
    </row>
    <row r="788" spans="1:7" ht="20" customHeight="1" x14ac:dyDescent="0.35">
      <c r="A788" s="17">
        <v>787</v>
      </c>
      <c r="B788" s="23" t="s">
        <v>104</v>
      </c>
      <c r="C788" s="18" t="s">
        <v>126</v>
      </c>
      <c r="D788" s="18">
        <v>40</v>
      </c>
      <c r="E788" s="18" t="s">
        <v>129</v>
      </c>
      <c r="F788" s="18" t="str">
        <f>IF(OR(D788&gt;Answers!L803,D788&lt;Answers!L804),"Outlier","Normal")</f>
        <v>Outlier</v>
      </c>
      <c r="G788" s="19" t="str">
        <f t="shared" si="12"/>
        <v>30-40</v>
      </c>
    </row>
    <row r="789" spans="1:7" ht="20" customHeight="1" x14ac:dyDescent="0.35">
      <c r="A789" s="17">
        <v>788</v>
      </c>
      <c r="B789" s="23" t="s">
        <v>101</v>
      </c>
      <c r="C789" s="18" t="s">
        <v>125</v>
      </c>
      <c r="D789" s="18">
        <v>57</v>
      </c>
      <c r="E789" s="18" t="s">
        <v>129</v>
      </c>
      <c r="F789" s="18" t="str">
        <f>IF(OR(D789&gt;Answers!L804,D789&lt;Answers!L805),"Outlier","Normal")</f>
        <v>Outlier</v>
      </c>
      <c r="G789" s="19" t="str">
        <f t="shared" si="12"/>
        <v>40-50</v>
      </c>
    </row>
    <row r="790" spans="1:7" ht="20" customHeight="1" x14ac:dyDescent="0.35">
      <c r="A790" s="17">
        <v>789</v>
      </c>
      <c r="B790" s="23" t="s">
        <v>100</v>
      </c>
      <c r="C790" s="18" t="s">
        <v>125</v>
      </c>
      <c r="D790" s="18">
        <v>62</v>
      </c>
      <c r="E790" s="18" t="s">
        <v>129</v>
      </c>
      <c r="F790" s="18" t="str">
        <f>IF(OR(D790&gt;Answers!L805,D790&lt;Answers!L806),"Outlier","Normal")</f>
        <v>Outlier</v>
      </c>
      <c r="G790" s="19" t="str">
        <f t="shared" si="12"/>
        <v>40-50</v>
      </c>
    </row>
    <row r="791" spans="1:7" ht="20" customHeight="1" x14ac:dyDescent="0.35">
      <c r="A791" s="17">
        <v>790</v>
      </c>
      <c r="B791" s="23" t="s">
        <v>113</v>
      </c>
      <c r="C791" s="18" t="s">
        <v>125</v>
      </c>
      <c r="D791" s="18">
        <v>85</v>
      </c>
      <c r="E791" s="18" t="s">
        <v>129</v>
      </c>
      <c r="F791" s="18" t="str">
        <f>IF(OR(D791&gt;Answers!L806,D791&lt;Answers!L807),"Outlier","Normal")</f>
        <v>Outlier</v>
      </c>
      <c r="G791" s="19" t="str">
        <f t="shared" si="12"/>
        <v>40-50</v>
      </c>
    </row>
    <row r="792" spans="1:7" ht="20" customHeight="1" x14ac:dyDescent="0.35">
      <c r="A792" s="17">
        <v>791</v>
      </c>
      <c r="B792" s="23" t="s">
        <v>99</v>
      </c>
      <c r="C792" s="18" t="s">
        <v>125</v>
      </c>
      <c r="D792" s="18">
        <v>72</v>
      </c>
      <c r="E792" s="18" t="s">
        <v>129</v>
      </c>
      <c r="F792" s="18" t="str">
        <f>IF(OR(D792&gt;Answers!L807,D792&lt;Answers!L808),"Outlier","Normal")</f>
        <v>Outlier</v>
      </c>
      <c r="G792" s="19" t="str">
        <f t="shared" si="12"/>
        <v>40-50</v>
      </c>
    </row>
    <row r="793" spans="1:7" ht="20" customHeight="1" x14ac:dyDescent="0.35">
      <c r="A793" s="17">
        <v>792</v>
      </c>
      <c r="B793" s="23" t="s">
        <v>99</v>
      </c>
      <c r="C793" s="18" t="s">
        <v>126</v>
      </c>
      <c r="D793" s="18">
        <v>23</v>
      </c>
      <c r="E793" s="18" t="s">
        <v>129</v>
      </c>
      <c r="F793" s="18" t="str">
        <f>IF(OR(D793&gt;Answers!L808,D793&lt;Answers!L809),"Outlier","Normal")</f>
        <v>Outlier</v>
      </c>
      <c r="G793" s="19" t="str">
        <f t="shared" si="12"/>
        <v>20-30</v>
      </c>
    </row>
    <row r="794" spans="1:7" ht="20" customHeight="1" x14ac:dyDescent="0.35">
      <c r="A794" s="17">
        <v>793</v>
      </c>
      <c r="B794" s="23" t="s">
        <v>99</v>
      </c>
      <c r="C794" s="18" t="s">
        <v>126</v>
      </c>
      <c r="D794" s="18">
        <v>87</v>
      </c>
      <c r="E794" s="18" t="s">
        <v>129</v>
      </c>
      <c r="F794" s="18" t="str">
        <f>IF(OR(D794&gt;Answers!L809,D794&lt;Answers!L810),"Outlier","Normal")</f>
        <v>Outlier</v>
      </c>
      <c r="G794" s="19" t="str">
        <f t="shared" si="12"/>
        <v>40-50</v>
      </c>
    </row>
    <row r="795" spans="1:7" ht="20" customHeight="1" x14ac:dyDescent="0.35">
      <c r="A795" s="17">
        <v>794</v>
      </c>
      <c r="B795" s="23" t="s">
        <v>102</v>
      </c>
      <c r="C795" s="18" t="s">
        <v>125</v>
      </c>
      <c r="D795" s="18">
        <v>58</v>
      </c>
      <c r="E795" s="18" t="s">
        <v>129</v>
      </c>
      <c r="F795" s="18" t="str">
        <f>IF(OR(D795&gt;Answers!L810,D795&lt;Answers!L811),"Outlier","Normal")</f>
        <v>Outlier</v>
      </c>
      <c r="G795" s="19" t="str">
        <f t="shared" si="12"/>
        <v>40-50</v>
      </c>
    </row>
    <row r="796" spans="1:7" ht="20" customHeight="1" x14ac:dyDescent="0.35">
      <c r="A796" s="17">
        <v>795</v>
      </c>
      <c r="B796" s="23" t="s">
        <v>102</v>
      </c>
      <c r="C796" s="18" t="s">
        <v>125</v>
      </c>
      <c r="D796" s="18">
        <v>83</v>
      </c>
      <c r="E796" s="18" t="s">
        <v>129</v>
      </c>
      <c r="F796" s="18" t="str">
        <f>IF(OR(D796&gt;Answers!L811,D796&lt;Answers!L812),"Outlier","Normal")</f>
        <v>Outlier</v>
      </c>
      <c r="G796" s="19" t="str">
        <f t="shared" si="12"/>
        <v>40-50</v>
      </c>
    </row>
    <row r="797" spans="1:7" ht="20" customHeight="1" x14ac:dyDescent="0.35">
      <c r="A797" s="17">
        <v>796</v>
      </c>
      <c r="B797" s="23" t="s">
        <v>102</v>
      </c>
      <c r="C797" s="18" t="s">
        <v>126</v>
      </c>
      <c r="D797" s="18">
        <v>27</v>
      </c>
      <c r="E797" s="18" t="s">
        <v>129</v>
      </c>
      <c r="F797" s="18" t="str">
        <f>IF(OR(D797&gt;Answers!L812,D797&lt;Answers!L813),"Outlier","Normal")</f>
        <v>Outlier</v>
      </c>
      <c r="G797" s="19" t="str">
        <f t="shared" si="12"/>
        <v>20-30</v>
      </c>
    </row>
    <row r="798" spans="1:7" ht="20" customHeight="1" x14ac:dyDescent="0.35">
      <c r="A798" s="17">
        <v>797</v>
      </c>
      <c r="B798" s="23" t="s">
        <v>99</v>
      </c>
      <c r="C798" s="18" t="s">
        <v>126</v>
      </c>
      <c r="D798" s="18">
        <v>45</v>
      </c>
      <c r="E798" s="18" t="s">
        <v>129</v>
      </c>
      <c r="F798" s="18" t="str">
        <f>IF(OR(D798&gt;Answers!L813,D798&lt;Answers!L814),"Outlier","Normal")</f>
        <v>Outlier</v>
      </c>
      <c r="G798" s="19" t="str">
        <f t="shared" si="12"/>
        <v>40-50</v>
      </c>
    </row>
    <row r="799" spans="1:7" ht="20" customHeight="1" x14ac:dyDescent="0.35">
      <c r="A799" s="17">
        <v>798</v>
      </c>
      <c r="B799" s="23" t="s">
        <v>99</v>
      </c>
      <c r="C799" s="18" t="s">
        <v>125</v>
      </c>
      <c r="D799" s="18">
        <v>52</v>
      </c>
      <c r="E799" s="18" t="s">
        <v>129</v>
      </c>
      <c r="F799" s="18" t="str">
        <f>IF(OR(D799&gt;Answers!L814,D799&lt;Answers!L815),"Outlier","Normal")</f>
        <v>Outlier</v>
      </c>
      <c r="G799" s="19" t="str">
        <f t="shared" si="12"/>
        <v>40-50</v>
      </c>
    </row>
    <row r="800" spans="1:7" ht="20" customHeight="1" x14ac:dyDescent="0.35">
      <c r="A800" s="17">
        <v>799</v>
      </c>
      <c r="B800" s="23" t="s">
        <v>99</v>
      </c>
      <c r="C800" s="18" t="s">
        <v>126</v>
      </c>
      <c r="D800" s="18">
        <v>59</v>
      </c>
      <c r="E800" s="18" t="s">
        <v>129</v>
      </c>
      <c r="F800" s="18" t="str">
        <f>IF(OR(D800&gt;Answers!L815,D800&lt;Answers!L816),"Outlier","Normal")</f>
        <v>Outlier</v>
      </c>
      <c r="G800" s="19" t="str">
        <f t="shared" si="12"/>
        <v>40-50</v>
      </c>
    </row>
    <row r="801" spans="1:7" ht="20" customHeight="1" x14ac:dyDescent="0.35">
      <c r="A801" s="17">
        <v>800</v>
      </c>
      <c r="B801" s="23" t="s">
        <v>111</v>
      </c>
      <c r="C801" s="18" t="s">
        <v>125</v>
      </c>
      <c r="D801" s="18">
        <v>87</v>
      </c>
      <c r="E801" s="18" t="s">
        <v>129</v>
      </c>
      <c r="F801" s="18" t="str">
        <f>IF(OR(D801&gt;Answers!L816,D801&lt;Answers!L817),"Outlier","Normal")</f>
        <v>Outlier</v>
      </c>
      <c r="G801" s="19" t="str">
        <f t="shared" si="12"/>
        <v>40-50</v>
      </c>
    </row>
    <row r="802" spans="1:7" ht="20" customHeight="1" x14ac:dyDescent="0.35">
      <c r="A802" s="17">
        <v>801</v>
      </c>
      <c r="B802" s="23" t="s">
        <v>100</v>
      </c>
      <c r="C802" s="18" t="s">
        <v>125</v>
      </c>
      <c r="D802" s="18">
        <v>77</v>
      </c>
      <c r="E802" s="18" t="s">
        <v>129</v>
      </c>
      <c r="F802" s="18" t="str">
        <f>IF(OR(D802&gt;Answers!L817,D802&lt;Answers!L818),"Outlier","Normal")</f>
        <v>Outlier</v>
      </c>
      <c r="G802" s="19" t="str">
        <f t="shared" si="12"/>
        <v>40-50</v>
      </c>
    </row>
    <row r="803" spans="1:7" ht="20" customHeight="1" x14ac:dyDescent="0.35">
      <c r="A803" s="17">
        <v>802</v>
      </c>
      <c r="B803" s="23" t="s">
        <v>100</v>
      </c>
      <c r="C803" s="18" t="s">
        <v>126</v>
      </c>
      <c r="D803" s="18">
        <v>89</v>
      </c>
      <c r="E803" s="18" t="s">
        <v>129</v>
      </c>
      <c r="F803" s="18" t="str">
        <f>IF(OR(D803&gt;Answers!L818,D803&lt;Answers!L819),"Outlier","Normal")</f>
        <v>Outlier</v>
      </c>
      <c r="G803" s="19" t="str">
        <f t="shared" si="12"/>
        <v>40-50</v>
      </c>
    </row>
    <row r="804" spans="1:7" ht="20" customHeight="1" x14ac:dyDescent="0.35">
      <c r="A804" s="17">
        <v>803</v>
      </c>
      <c r="B804" s="23" t="s">
        <v>102</v>
      </c>
      <c r="C804" s="18" t="s">
        <v>125</v>
      </c>
      <c r="D804" s="18">
        <v>43</v>
      </c>
      <c r="E804" s="18" t="s">
        <v>129</v>
      </c>
      <c r="F804" s="18" t="str">
        <f>IF(OR(D804&gt;Answers!L819,D804&lt;Answers!L820),"Outlier","Normal")</f>
        <v>Outlier</v>
      </c>
      <c r="G804" s="19" t="str">
        <f t="shared" si="12"/>
        <v>40-50</v>
      </c>
    </row>
    <row r="805" spans="1:7" ht="20" customHeight="1" x14ac:dyDescent="0.35">
      <c r="A805" s="17">
        <v>804</v>
      </c>
      <c r="B805" s="23" t="s">
        <v>109</v>
      </c>
      <c r="C805" s="18" t="s">
        <v>126</v>
      </c>
      <c r="D805" s="18">
        <v>56</v>
      </c>
      <c r="E805" s="18" t="s">
        <v>129</v>
      </c>
      <c r="F805" s="18" t="str">
        <f>IF(OR(D805&gt;Answers!L820,D805&lt;Answers!L821),"Outlier","Normal")</f>
        <v>Outlier</v>
      </c>
      <c r="G805" s="19" t="str">
        <f t="shared" si="12"/>
        <v>40-50</v>
      </c>
    </row>
    <row r="806" spans="1:7" ht="20" customHeight="1" x14ac:dyDescent="0.35">
      <c r="A806" s="17">
        <v>805</v>
      </c>
      <c r="B806" s="23" t="s">
        <v>107</v>
      </c>
      <c r="C806" s="18" t="s">
        <v>125</v>
      </c>
      <c r="D806" s="18">
        <v>18</v>
      </c>
      <c r="E806" s="18" t="s">
        <v>129</v>
      </c>
      <c r="F806" s="18" t="str">
        <f>IF(OR(D806&gt;Answers!L821,D806&lt;Answers!L822),"Outlier","Normal")</f>
        <v>Outlier</v>
      </c>
      <c r="G806" s="19" t="str">
        <f t="shared" si="12"/>
        <v>&lt;20</v>
      </c>
    </row>
    <row r="807" spans="1:7" ht="20" customHeight="1" x14ac:dyDescent="0.35">
      <c r="A807" s="17">
        <v>806</v>
      </c>
      <c r="B807" s="23" t="s">
        <v>108</v>
      </c>
      <c r="C807" s="18" t="s">
        <v>125</v>
      </c>
      <c r="D807" s="18">
        <v>43</v>
      </c>
      <c r="E807" s="18" t="s">
        <v>129</v>
      </c>
      <c r="F807" s="18" t="str">
        <f>IF(OR(D807&gt;Answers!L822,D807&lt;Answers!L823),"Outlier","Normal")</f>
        <v>Outlier</v>
      </c>
      <c r="G807" s="19" t="str">
        <f t="shared" si="12"/>
        <v>40-50</v>
      </c>
    </row>
    <row r="808" spans="1:7" ht="20" customHeight="1" x14ac:dyDescent="0.35">
      <c r="A808" s="17">
        <v>807</v>
      </c>
      <c r="B808" s="23" t="s">
        <v>102</v>
      </c>
      <c r="C808" s="18" t="s">
        <v>126</v>
      </c>
      <c r="D808" s="18">
        <v>56</v>
      </c>
      <c r="E808" s="18" t="s">
        <v>129</v>
      </c>
      <c r="F808" s="18" t="str">
        <f>IF(OR(D808&gt;Answers!L823,D808&lt;Answers!L824),"Outlier","Normal")</f>
        <v>Outlier</v>
      </c>
      <c r="G808" s="19" t="str">
        <f t="shared" si="12"/>
        <v>40-50</v>
      </c>
    </row>
    <row r="809" spans="1:7" ht="20" customHeight="1" x14ac:dyDescent="0.35">
      <c r="A809" s="17">
        <v>808</v>
      </c>
      <c r="B809" s="23" t="s">
        <v>99</v>
      </c>
      <c r="C809" s="18" t="s">
        <v>126</v>
      </c>
      <c r="D809" s="18">
        <v>41</v>
      </c>
      <c r="E809" s="18" t="s">
        <v>129</v>
      </c>
      <c r="F809" s="18" t="str">
        <f>IF(OR(D809&gt;Answers!L824,D809&lt;Answers!L825),"Outlier","Normal")</f>
        <v>Outlier</v>
      </c>
      <c r="G809" s="19" t="str">
        <f t="shared" si="12"/>
        <v>40-50</v>
      </c>
    </row>
    <row r="810" spans="1:7" ht="20" customHeight="1" x14ac:dyDescent="0.35">
      <c r="A810" s="17">
        <v>809</v>
      </c>
      <c r="B810" s="23" t="s">
        <v>99</v>
      </c>
      <c r="C810" s="18" t="s">
        <v>125</v>
      </c>
      <c r="D810" s="18">
        <v>87</v>
      </c>
      <c r="E810" s="18" t="s">
        <v>129</v>
      </c>
      <c r="F810" s="18" t="str">
        <f>IF(OR(D810&gt;Answers!L825,D810&lt;Answers!L826),"Outlier","Normal")</f>
        <v>Outlier</v>
      </c>
      <c r="G810" s="19" t="str">
        <f t="shared" si="12"/>
        <v>40-50</v>
      </c>
    </row>
    <row r="811" spans="1:7" ht="20" customHeight="1" x14ac:dyDescent="0.35">
      <c r="A811" s="17">
        <v>810</v>
      </c>
      <c r="B811" s="23" t="s">
        <v>107</v>
      </c>
      <c r="C811" s="18" t="s">
        <v>125</v>
      </c>
      <c r="D811" s="18">
        <v>45</v>
      </c>
      <c r="E811" s="18" t="s">
        <v>129</v>
      </c>
      <c r="F811" s="18" t="str">
        <f>IF(OR(D811&gt;Answers!L826,D811&lt;Answers!L827),"Outlier","Normal")</f>
        <v>Outlier</v>
      </c>
      <c r="G811" s="19" t="str">
        <f t="shared" si="12"/>
        <v>40-50</v>
      </c>
    </row>
    <row r="812" spans="1:7" ht="20" customHeight="1" x14ac:dyDescent="0.35">
      <c r="A812" s="17">
        <v>811</v>
      </c>
      <c r="B812" s="23" t="s">
        <v>113</v>
      </c>
      <c r="C812" s="18" t="s">
        <v>126</v>
      </c>
      <c r="D812" s="18">
        <v>32</v>
      </c>
      <c r="E812" s="18" t="s">
        <v>129</v>
      </c>
      <c r="F812" s="18" t="str">
        <f>IF(OR(D812&gt;Answers!L827,D812&lt;Answers!L828),"Outlier","Normal")</f>
        <v>Outlier</v>
      </c>
      <c r="G812" s="19" t="str">
        <f t="shared" si="12"/>
        <v>30-40</v>
      </c>
    </row>
    <row r="813" spans="1:7" ht="20" customHeight="1" x14ac:dyDescent="0.35">
      <c r="A813" s="17">
        <v>812</v>
      </c>
      <c r="B813" s="23" t="s">
        <v>102</v>
      </c>
      <c r="C813" s="18" t="s">
        <v>126</v>
      </c>
      <c r="D813" s="18">
        <v>90</v>
      </c>
      <c r="E813" s="18" t="s">
        <v>129</v>
      </c>
      <c r="F813" s="18" t="str">
        <f>IF(OR(D813&gt;Answers!L828,D813&lt;Answers!L829),"Outlier","Normal")</f>
        <v>Outlier</v>
      </c>
      <c r="G813" s="19" t="str">
        <f t="shared" si="12"/>
        <v>40-50</v>
      </c>
    </row>
    <row r="814" spans="1:7" ht="20" customHeight="1" x14ac:dyDescent="0.35">
      <c r="A814" s="17">
        <v>813</v>
      </c>
      <c r="B814" s="23" t="s">
        <v>106</v>
      </c>
      <c r="C814" s="18" t="s">
        <v>125</v>
      </c>
      <c r="D814" s="18">
        <v>51</v>
      </c>
      <c r="E814" s="18" t="s">
        <v>129</v>
      </c>
      <c r="F814" s="18" t="str">
        <f>IF(OR(D814&gt;Answers!L829,D814&lt;Answers!L830),"Outlier","Normal")</f>
        <v>Outlier</v>
      </c>
      <c r="G814" s="19" t="str">
        <f t="shared" si="12"/>
        <v>40-50</v>
      </c>
    </row>
    <row r="815" spans="1:7" ht="20" customHeight="1" x14ac:dyDescent="0.35">
      <c r="A815" s="17">
        <v>814</v>
      </c>
      <c r="B815" s="23" t="s">
        <v>99</v>
      </c>
      <c r="C815" s="18" t="s">
        <v>126</v>
      </c>
      <c r="D815" s="18">
        <v>60</v>
      </c>
      <c r="E815" s="18" t="s">
        <v>129</v>
      </c>
      <c r="F815" s="18" t="str">
        <f>IF(OR(D815&gt;Answers!L830,D815&lt;Answers!L831),"Outlier","Normal")</f>
        <v>Outlier</v>
      </c>
      <c r="G815" s="19" t="str">
        <f t="shared" si="12"/>
        <v>40-50</v>
      </c>
    </row>
    <row r="816" spans="1:7" ht="20" customHeight="1" x14ac:dyDescent="0.35">
      <c r="A816" s="17">
        <v>815</v>
      </c>
      <c r="B816" s="23" t="s">
        <v>99</v>
      </c>
      <c r="C816" s="18" t="s">
        <v>125</v>
      </c>
      <c r="D816" s="18">
        <v>65</v>
      </c>
      <c r="E816" s="18" t="s">
        <v>129</v>
      </c>
      <c r="F816" s="18" t="str">
        <f>IF(OR(D816&gt;Answers!L831,D816&lt;Answers!L832),"Outlier","Normal")</f>
        <v>Outlier</v>
      </c>
      <c r="G816" s="19" t="str">
        <f t="shared" si="12"/>
        <v>40-50</v>
      </c>
    </row>
    <row r="817" spans="1:7" ht="20" customHeight="1" x14ac:dyDescent="0.35">
      <c r="A817" s="17">
        <v>816</v>
      </c>
      <c r="B817" s="23" t="s">
        <v>113</v>
      </c>
      <c r="C817" s="18" t="s">
        <v>125</v>
      </c>
      <c r="D817" s="18">
        <v>46</v>
      </c>
      <c r="E817" s="18" t="s">
        <v>129</v>
      </c>
      <c r="F817" s="18" t="str">
        <f>IF(OR(D817&gt;Answers!L832,D817&lt;Answers!L833),"Outlier","Normal")</f>
        <v>Outlier</v>
      </c>
      <c r="G817" s="19" t="str">
        <f t="shared" si="12"/>
        <v>40-50</v>
      </c>
    </row>
    <row r="818" spans="1:7" ht="20" customHeight="1" x14ac:dyDescent="0.35">
      <c r="A818" s="17">
        <v>817</v>
      </c>
      <c r="B818" s="23" t="s">
        <v>99</v>
      </c>
      <c r="C818" s="18" t="s">
        <v>125</v>
      </c>
      <c r="D818" s="18">
        <v>39</v>
      </c>
      <c r="E818" s="18" t="s">
        <v>129</v>
      </c>
      <c r="F818" s="18" t="str">
        <f>IF(OR(D818&gt;Answers!L833,D818&lt;Answers!L834),"Outlier","Normal")</f>
        <v>Outlier</v>
      </c>
      <c r="G818" s="19" t="str">
        <f t="shared" si="12"/>
        <v>30-40</v>
      </c>
    </row>
    <row r="819" spans="1:7" ht="20" customHeight="1" x14ac:dyDescent="0.35">
      <c r="A819" s="17">
        <v>818</v>
      </c>
      <c r="B819" s="23" t="s">
        <v>100</v>
      </c>
      <c r="C819" s="18" t="s">
        <v>126</v>
      </c>
      <c r="D819" s="18">
        <v>87</v>
      </c>
      <c r="E819" s="18" t="s">
        <v>129</v>
      </c>
      <c r="F819" s="18" t="str">
        <f>IF(OR(D819&gt;Answers!L834,D819&lt;Answers!L835),"Outlier","Normal")</f>
        <v>Outlier</v>
      </c>
      <c r="G819" s="19" t="str">
        <f t="shared" si="12"/>
        <v>40-50</v>
      </c>
    </row>
    <row r="820" spans="1:7" ht="20" customHeight="1" x14ac:dyDescent="0.35">
      <c r="A820" s="17">
        <v>819</v>
      </c>
      <c r="B820" s="23" t="s">
        <v>111</v>
      </c>
      <c r="C820" s="18" t="s">
        <v>126</v>
      </c>
      <c r="D820" s="18">
        <v>75</v>
      </c>
      <c r="E820" s="18" t="s">
        <v>129</v>
      </c>
      <c r="F820" s="18" t="str">
        <f>IF(OR(D820&gt;Answers!L835,D820&lt;Answers!L836),"Outlier","Normal")</f>
        <v>Outlier</v>
      </c>
      <c r="G820" s="19" t="str">
        <f t="shared" si="12"/>
        <v>40-50</v>
      </c>
    </row>
    <row r="821" spans="1:7" ht="20" customHeight="1" x14ac:dyDescent="0.35">
      <c r="A821" s="17">
        <v>820</v>
      </c>
      <c r="B821" s="23" t="s">
        <v>107</v>
      </c>
      <c r="C821" s="18" t="s">
        <v>125</v>
      </c>
      <c r="D821" s="18">
        <v>29</v>
      </c>
      <c r="E821" s="18" t="s">
        <v>129</v>
      </c>
      <c r="F821" s="18" t="str">
        <f>IF(OR(D821&gt;Answers!L836,D821&lt;Answers!L837),"Outlier","Normal")</f>
        <v>Outlier</v>
      </c>
      <c r="G821" s="19" t="str">
        <f t="shared" si="12"/>
        <v>20-30</v>
      </c>
    </row>
    <row r="822" spans="1:7" ht="20" customHeight="1" x14ac:dyDescent="0.35">
      <c r="A822" s="17">
        <v>821</v>
      </c>
      <c r="B822" s="23" t="s">
        <v>107</v>
      </c>
      <c r="C822" s="18" t="s">
        <v>126</v>
      </c>
      <c r="D822" s="18">
        <v>53</v>
      </c>
      <c r="E822" s="18" t="s">
        <v>129</v>
      </c>
      <c r="F822" s="18" t="str">
        <f>IF(OR(D822&gt;Answers!L837,D822&lt;Answers!L838),"Outlier","Normal")</f>
        <v>Outlier</v>
      </c>
      <c r="G822" s="19" t="str">
        <f t="shared" si="12"/>
        <v>40-50</v>
      </c>
    </row>
    <row r="823" spans="1:7" ht="20" customHeight="1" x14ac:dyDescent="0.35">
      <c r="A823" s="17">
        <v>822</v>
      </c>
      <c r="B823" s="23" t="s">
        <v>99</v>
      </c>
      <c r="C823" s="18" t="s">
        <v>126</v>
      </c>
      <c r="D823" s="18">
        <v>18</v>
      </c>
      <c r="E823" s="18" t="s">
        <v>129</v>
      </c>
      <c r="F823" s="18" t="str">
        <f>IF(OR(D823&gt;Answers!L838,D823&lt;Answers!L839),"Outlier","Normal")</f>
        <v>Outlier</v>
      </c>
      <c r="G823" s="19" t="str">
        <f t="shared" si="12"/>
        <v>&lt;20</v>
      </c>
    </row>
    <row r="824" spans="1:7" ht="20" customHeight="1" x14ac:dyDescent="0.35">
      <c r="A824" s="17">
        <v>823</v>
      </c>
      <c r="B824" s="23" t="s">
        <v>100</v>
      </c>
      <c r="C824" s="18" t="s">
        <v>126</v>
      </c>
      <c r="D824" s="18">
        <v>63</v>
      </c>
      <c r="E824" s="18" t="s">
        <v>129</v>
      </c>
      <c r="F824" s="18" t="str">
        <f>IF(OR(D824&gt;Answers!L839,D824&lt;Answers!L840),"Outlier","Normal")</f>
        <v>Outlier</v>
      </c>
      <c r="G824" s="19" t="str">
        <f t="shared" si="12"/>
        <v>40-50</v>
      </c>
    </row>
    <row r="825" spans="1:7" ht="20" customHeight="1" x14ac:dyDescent="0.35">
      <c r="A825" s="17">
        <v>824</v>
      </c>
      <c r="B825" s="23" t="s">
        <v>99</v>
      </c>
      <c r="C825" s="18" t="s">
        <v>126</v>
      </c>
      <c r="D825" s="18">
        <v>35</v>
      </c>
      <c r="E825" s="18" t="s">
        <v>129</v>
      </c>
      <c r="F825" s="18" t="str">
        <f>IF(OR(D825&gt;Answers!L840,D825&lt;Answers!L841),"Outlier","Normal")</f>
        <v>Outlier</v>
      </c>
      <c r="G825" s="19" t="str">
        <f t="shared" si="12"/>
        <v>30-40</v>
      </c>
    </row>
    <row r="826" spans="1:7" ht="20" customHeight="1" x14ac:dyDescent="0.35">
      <c r="A826" s="17">
        <v>825</v>
      </c>
      <c r="B826" s="23" t="s">
        <v>104</v>
      </c>
      <c r="C826" s="18" t="s">
        <v>125</v>
      </c>
      <c r="D826" s="18">
        <v>90</v>
      </c>
      <c r="E826" s="18" t="s">
        <v>129</v>
      </c>
      <c r="F826" s="18" t="str">
        <f>IF(OR(D826&gt;Answers!L841,D826&lt;Answers!L842),"Outlier","Normal")</f>
        <v>Outlier</v>
      </c>
      <c r="G826" s="19" t="str">
        <f t="shared" si="12"/>
        <v>40-50</v>
      </c>
    </row>
    <row r="827" spans="1:7" ht="20" customHeight="1" x14ac:dyDescent="0.35">
      <c r="A827" s="17">
        <v>826</v>
      </c>
      <c r="B827" s="23" t="s">
        <v>104</v>
      </c>
      <c r="C827" s="18" t="s">
        <v>125</v>
      </c>
      <c r="D827" s="18">
        <v>25</v>
      </c>
      <c r="E827" s="18" t="s">
        <v>129</v>
      </c>
      <c r="F827" s="18" t="str">
        <f>IF(OR(D827&gt;Answers!L842,D827&lt;Answers!L843),"Outlier","Normal")</f>
        <v>Outlier</v>
      </c>
      <c r="G827" s="19" t="str">
        <f t="shared" si="12"/>
        <v>20-30</v>
      </c>
    </row>
    <row r="828" spans="1:7" ht="20" customHeight="1" x14ac:dyDescent="0.35">
      <c r="A828" s="17">
        <v>827</v>
      </c>
      <c r="B828" s="23" t="s">
        <v>106</v>
      </c>
      <c r="C828" s="18" t="s">
        <v>125</v>
      </c>
      <c r="D828" s="18">
        <v>40</v>
      </c>
      <c r="E828" s="18" t="s">
        <v>129</v>
      </c>
      <c r="F828" s="18" t="str">
        <f>IF(OR(D828&gt;Answers!L843,D828&lt;Answers!L844),"Outlier","Normal")</f>
        <v>Outlier</v>
      </c>
      <c r="G828" s="19" t="str">
        <f t="shared" si="12"/>
        <v>30-40</v>
      </c>
    </row>
    <row r="829" spans="1:7" ht="20" customHeight="1" x14ac:dyDescent="0.35">
      <c r="A829" s="17">
        <v>828</v>
      </c>
      <c r="B829" s="23" t="s">
        <v>99</v>
      </c>
      <c r="C829" s="18" t="s">
        <v>126</v>
      </c>
      <c r="D829" s="18">
        <v>48</v>
      </c>
      <c r="E829" s="18" t="s">
        <v>129</v>
      </c>
      <c r="F829" s="18" t="str">
        <f>IF(OR(D829&gt;Answers!L844,D829&lt;Answers!L845),"Outlier","Normal")</f>
        <v>Outlier</v>
      </c>
      <c r="G829" s="19" t="str">
        <f t="shared" si="12"/>
        <v>40-50</v>
      </c>
    </row>
    <row r="830" spans="1:7" ht="20" customHeight="1" x14ac:dyDescent="0.35">
      <c r="A830" s="17">
        <v>829</v>
      </c>
      <c r="B830" s="23" t="s">
        <v>99</v>
      </c>
      <c r="C830" s="18" t="s">
        <v>126</v>
      </c>
      <c r="D830" s="18">
        <v>65</v>
      </c>
      <c r="E830" s="18" t="s">
        <v>129</v>
      </c>
      <c r="F830" s="18" t="str">
        <f>IF(OR(D830&gt;Answers!L845,D830&lt;Answers!L846),"Outlier","Normal")</f>
        <v>Outlier</v>
      </c>
      <c r="G830" s="19" t="str">
        <f t="shared" si="12"/>
        <v>40-50</v>
      </c>
    </row>
    <row r="831" spans="1:7" ht="20" customHeight="1" x14ac:dyDescent="0.35">
      <c r="A831" s="17">
        <v>830</v>
      </c>
      <c r="B831" s="23" t="s">
        <v>100</v>
      </c>
      <c r="C831" s="18" t="s">
        <v>125</v>
      </c>
      <c r="D831" s="18">
        <v>75</v>
      </c>
      <c r="E831" s="18" t="s">
        <v>129</v>
      </c>
      <c r="F831" s="18" t="str">
        <f>IF(OR(D831&gt;Answers!L846,D831&lt;Answers!L847),"Outlier","Normal")</f>
        <v>Outlier</v>
      </c>
      <c r="G831" s="19" t="str">
        <f t="shared" si="12"/>
        <v>40-50</v>
      </c>
    </row>
    <row r="832" spans="1:7" ht="20" customHeight="1" x14ac:dyDescent="0.35">
      <c r="A832" s="17">
        <v>831</v>
      </c>
      <c r="B832" s="23" t="s">
        <v>107</v>
      </c>
      <c r="C832" s="18" t="s">
        <v>126</v>
      </c>
      <c r="D832" s="18">
        <v>69</v>
      </c>
      <c r="E832" s="18" t="s">
        <v>129</v>
      </c>
      <c r="F832" s="18" t="str">
        <f>IF(OR(D832&gt;Answers!L847,D832&lt;Answers!L848),"Outlier","Normal")</f>
        <v>Outlier</v>
      </c>
      <c r="G832" s="19" t="str">
        <f t="shared" si="12"/>
        <v>40-50</v>
      </c>
    </row>
    <row r="833" spans="1:7" ht="20" customHeight="1" x14ac:dyDescent="0.35">
      <c r="A833" s="17">
        <v>832</v>
      </c>
      <c r="B833" s="23" t="s">
        <v>102</v>
      </c>
      <c r="C833" s="18" t="s">
        <v>125</v>
      </c>
      <c r="D833" s="18">
        <v>30</v>
      </c>
      <c r="E833" s="18" t="s">
        <v>129</v>
      </c>
      <c r="F833" s="18" t="str">
        <f>IF(OR(D833&gt;Answers!L848,D833&lt;Answers!L849),"Outlier","Normal")</f>
        <v>Outlier</v>
      </c>
      <c r="G833" s="19" t="str">
        <f t="shared" si="12"/>
        <v>20-30</v>
      </c>
    </row>
    <row r="834" spans="1:7" ht="20" customHeight="1" x14ac:dyDescent="0.35">
      <c r="A834" s="17">
        <v>833</v>
      </c>
      <c r="B834" s="23" t="s">
        <v>110</v>
      </c>
      <c r="C834" s="18" t="s">
        <v>126</v>
      </c>
      <c r="D834" s="18">
        <v>52</v>
      </c>
      <c r="E834" s="18" t="s">
        <v>129</v>
      </c>
      <c r="F834" s="18" t="str">
        <f>IF(OR(D834&gt;Answers!L849,D834&lt;Answers!L850),"Outlier","Normal")</f>
        <v>Outlier</v>
      </c>
      <c r="G834" s="19" t="str">
        <f t="shared" si="12"/>
        <v>40-50</v>
      </c>
    </row>
    <row r="835" spans="1:7" ht="20" customHeight="1" x14ac:dyDescent="0.35">
      <c r="A835" s="17">
        <v>834</v>
      </c>
      <c r="B835" s="23" t="s">
        <v>102</v>
      </c>
      <c r="C835" s="18" t="s">
        <v>125</v>
      </c>
      <c r="D835" s="18">
        <v>76</v>
      </c>
      <c r="E835" s="18" t="s">
        <v>129</v>
      </c>
      <c r="F835" s="18" t="str">
        <f>IF(OR(D835&gt;Answers!L850,D835&lt;Answers!L851),"Outlier","Normal")</f>
        <v>Outlier</v>
      </c>
      <c r="G835" s="19" t="str">
        <f t="shared" ref="G835:G898" si="13">IF(D835&lt;20,"&lt;20",
IF(D835&lt;=30,"20-30",
IF(D835&lt;=40,"30-40","40-50")))</f>
        <v>40-50</v>
      </c>
    </row>
    <row r="836" spans="1:7" ht="20" customHeight="1" x14ac:dyDescent="0.35">
      <c r="A836" s="17">
        <v>835</v>
      </c>
      <c r="B836" s="23" t="s">
        <v>101</v>
      </c>
      <c r="C836" s="18" t="s">
        <v>126</v>
      </c>
      <c r="D836" s="18">
        <v>50</v>
      </c>
      <c r="E836" s="18" t="s">
        <v>129</v>
      </c>
      <c r="F836" s="18" t="str">
        <f>IF(OR(D836&gt;Answers!L851,D836&lt;Answers!L852),"Outlier","Normal")</f>
        <v>Outlier</v>
      </c>
      <c r="G836" s="19" t="str">
        <f t="shared" si="13"/>
        <v>40-50</v>
      </c>
    </row>
    <row r="837" spans="1:7" ht="20" customHeight="1" x14ac:dyDescent="0.35">
      <c r="A837" s="17">
        <v>836</v>
      </c>
      <c r="B837" s="23" t="s">
        <v>113</v>
      </c>
      <c r="C837" s="18" t="s">
        <v>125</v>
      </c>
      <c r="D837" s="18">
        <v>70</v>
      </c>
      <c r="E837" s="18" t="s">
        <v>129</v>
      </c>
      <c r="F837" s="18" t="str">
        <f>IF(OR(D837&gt;Answers!L852,D837&lt;Answers!L853),"Outlier","Normal")</f>
        <v>Outlier</v>
      </c>
      <c r="G837" s="19" t="str">
        <f t="shared" si="13"/>
        <v>40-50</v>
      </c>
    </row>
    <row r="838" spans="1:7" ht="20" customHeight="1" x14ac:dyDescent="0.35">
      <c r="A838" s="17">
        <v>837</v>
      </c>
      <c r="B838" s="23" t="s">
        <v>101</v>
      </c>
      <c r="C838" s="18" t="s">
        <v>126</v>
      </c>
      <c r="D838" s="18">
        <v>55</v>
      </c>
      <c r="E838" s="18" t="s">
        <v>129</v>
      </c>
      <c r="F838" s="18" t="str">
        <f>IF(OR(D838&gt;Answers!L853,D838&lt;Answers!L854),"Outlier","Normal")</f>
        <v>Outlier</v>
      </c>
      <c r="G838" s="19" t="str">
        <f t="shared" si="13"/>
        <v>40-50</v>
      </c>
    </row>
    <row r="839" spans="1:7" ht="20" customHeight="1" x14ac:dyDescent="0.35">
      <c r="A839" s="17">
        <v>838</v>
      </c>
      <c r="B839" s="23" t="s">
        <v>107</v>
      </c>
      <c r="C839" s="18" t="s">
        <v>126</v>
      </c>
      <c r="D839" s="18">
        <v>73</v>
      </c>
      <c r="E839" s="18" t="s">
        <v>129</v>
      </c>
      <c r="F839" s="18" t="str">
        <f>IF(OR(D839&gt;Answers!L854,D839&lt;Answers!L855),"Outlier","Normal")</f>
        <v>Outlier</v>
      </c>
      <c r="G839" s="19" t="str">
        <f t="shared" si="13"/>
        <v>40-50</v>
      </c>
    </row>
    <row r="840" spans="1:7" ht="20" customHeight="1" x14ac:dyDescent="0.35">
      <c r="A840" s="17">
        <v>839</v>
      </c>
      <c r="B840" s="23" t="s">
        <v>113</v>
      </c>
      <c r="C840" s="18" t="s">
        <v>125</v>
      </c>
      <c r="D840" s="18">
        <v>36</v>
      </c>
      <c r="E840" s="18" t="s">
        <v>129</v>
      </c>
      <c r="F840" s="18" t="str">
        <f>IF(OR(D840&gt;Answers!L855,D840&lt;Answers!L856),"Outlier","Normal")</f>
        <v>Outlier</v>
      </c>
      <c r="G840" s="19" t="str">
        <f t="shared" si="13"/>
        <v>30-40</v>
      </c>
    </row>
    <row r="841" spans="1:7" ht="20" customHeight="1" x14ac:dyDescent="0.35">
      <c r="A841" s="17">
        <v>840</v>
      </c>
      <c r="B841" s="23" t="s">
        <v>102</v>
      </c>
      <c r="C841" s="18" t="s">
        <v>126</v>
      </c>
      <c r="D841" s="18">
        <v>47</v>
      </c>
      <c r="E841" s="18" t="s">
        <v>129</v>
      </c>
      <c r="F841" s="18" t="str">
        <f>IF(OR(D841&gt;Answers!L856,D841&lt;Answers!L857),"Outlier","Normal")</f>
        <v>Outlier</v>
      </c>
      <c r="G841" s="19" t="str">
        <f t="shared" si="13"/>
        <v>40-50</v>
      </c>
    </row>
    <row r="842" spans="1:7" ht="20" customHeight="1" x14ac:dyDescent="0.35">
      <c r="A842" s="17">
        <v>841</v>
      </c>
      <c r="B842" s="23" t="s">
        <v>99</v>
      </c>
      <c r="C842" s="18" t="s">
        <v>126</v>
      </c>
      <c r="D842" s="18">
        <v>42</v>
      </c>
      <c r="E842" s="18" t="s">
        <v>129</v>
      </c>
      <c r="F842" s="18" t="str">
        <f>IF(OR(D842&gt;Answers!L857,D842&lt;Answers!L858),"Outlier","Normal")</f>
        <v>Outlier</v>
      </c>
      <c r="G842" s="19" t="str">
        <f t="shared" si="13"/>
        <v>40-50</v>
      </c>
    </row>
    <row r="843" spans="1:7" ht="20" customHeight="1" x14ac:dyDescent="0.35">
      <c r="A843" s="17">
        <v>842</v>
      </c>
      <c r="B843" s="23" t="s">
        <v>100</v>
      </c>
      <c r="C843" s="18" t="s">
        <v>125</v>
      </c>
      <c r="D843" s="18">
        <v>41</v>
      </c>
      <c r="E843" s="18" t="s">
        <v>129</v>
      </c>
      <c r="F843" s="18" t="str">
        <f>IF(OR(D843&gt;Answers!L858,D843&lt;Answers!L859),"Outlier","Normal")</f>
        <v>Outlier</v>
      </c>
      <c r="G843" s="19" t="str">
        <f t="shared" si="13"/>
        <v>40-50</v>
      </c>
    </row>
    <row r="844" spans="1:7" ht="20" customHeight="1" x14ac:dyDescent="0.35">
      <c r="A844" s="17">
        <v>843</v>
      </c>
      <c r="B844" s="23" t="s">
        <v>99</v>
      </c>
      <c r="C844" s="18" t="s">
        <v>126</v>
      </c>
      <c r="D844" s="18">
        <v>37</v>
      </c>
      <c r="E844" s="18" t="s">
        <v>129</v>
      </c>
      <c r="F844" s="18" t="str">
        <f>IF(OR(D844&gt;Answers!L859,D844&lt;Answers!L860),"Outlier","Normal")</f>
        <v>Outlier</v>
      </c>
      <c r="G844" s="19" t="str">
        <f t="shared" si="13"/>
        <v>30-40</v>
      </c>
    </row>
    <row r="845" spans="1:7" ht="20" customHeight="1" x14ac:dyDescent="0.35">
      <c r="A845" s="17">
        <v>844</v>
      </c>
      <c r="B845" s="23" t="s">
        <v>107</v>
      </c>
      <c r="C845" s="18" t="s">
        <v>125</v>
      </c>
      <c r="D845" s="18">
        <v>90</v>
      </c>
      <c r="E845" s="18" t="s">
        <v>129</v>
      </c>
      <c r="F845" s="18" t="str">
        <f>IF(OR(D845&gt;Answers!L860,D845&lt;Answers!L861),"Outlier","Normal")</f>
        <v>Outlier</v>
      </c>
      <c r="G845" s="19" t="str">
        <f t="shared" si="13"/>
        <v>40-50</v>
      </c>
    </row>
    <row r="846" spans="1:7" ht="20" customHeight="1" x14ac:dyDescent="0.35">
      <c r="A846" s="17">
        <v>845</v>
      </c>
      <c r="B846" s="23" t="s">
        <v>104</v>
      </c>
      <c r="C846" s="18" t="s">
        <v>125</v>
      </c>
      <c r="D846" s="18">
        <v>26</v>
      </c>
      <c r="E846" s="18" t="s">
        <v>129</v>
      </c>
      <c r="F846" s="18" t="str">
        <f>IF(OR(D846&gt;Answers!L861,D846&lt;Answers!L862),"Outlier","Normal")</f>
        <v>Outlier</v>
      </c>
      <c r="G846" s="19" t="str">
        <f t="shared" si="13"/>
        <v>20-30</v>
      </c>
    </row>
    <row r="847" spans="1:7" ht="20" customHeight="1" x14ac:dyDescent="0.35">
      <c r="A847" s="17">
        <v>846</v>
      </c>
      <c r="B847" s="23" t="s">
        <v>99</v>
      </c>
      <c r="C847" s="18" t="s">
        <v>125</v>
      </c>
      <c r="D847" s="18">
        <v>80</v>
      </c>
      <c r="E847" s="18" t="s">
        <v>129</v>
      </c>
      <c r="F847" s="18" t="str">
        <f>IF(OR(D847&gt;Answers!L862,D847&lt;Answers!L863),"Outlier","Normal")</f>
        <v>Outlier</v>
      </c>
      <c r="G847" s="19" t="str">
        <f t="shared" si="13"/>
        <v>40-50</v>
      </c>
    </row>
    <row r="848" spans="1:7" ht="20" customHeight="1" x14ac:dyDescent="0.35">
      <c r="A848" s="17">
        <v>847</v>
      </c>
      <c r="B848" s="23" t="s">
        <v>113</v>
      </c>
      <c r="C848" s="18" t="s">
        <v>125</v>
      </c>
      <c r="D848" s="18">
        <v>76</v>
      </c>
      <c r="E848" s="18" t="s">
        <v>129</v>
      </c>
      <c r="F848" s="18" t="str">
        <f>IF(OR(D848&gt;Answers!L863,D848&lt;Answers!L864),"Outlier","Normal")</f>
        <v>Outlier</v>
      </c>
      <c r="G848" s="19" t="str">
        <f t="shared" si="13"/>
        <v>40-50</v>
      </c>
    </row>
    <row r="849" spans="1:7" ht="20" customHeight="1" x14ac:dyDescent="0.35">
      <c r="A849" s="17">
        <v>848</v>
      </c>
      <c r="B849" s="23" t="s">
        <v>99</v>
      </c>
      <c r="C849" s="18" t="s">
        <v>126</v>
      </c>
      <c r="D849" s="18">
        <v>44</v>
      </c>
      <c r="E849" s="18" t="s">
        <v>129</v>
      </c>
      <c r="F849" s="18" t="str">
        <f>IF(OR(D849&gt;Answers!L864,D849&lt;Answers!L865),"Outlier","Normal")</f>
        <v>Outlier</v>
      </c>
      <c r="G849" s="19" t="str">
        <f t="shared" si="13"/>
        <v>40-50</v>
      </c>
    </row>
    <row r="850" spans="1:7" ht="20" customHeight="1" x14ac:dyDescent="0.35">
      <c r="A850" s="17">
        <v>849</v>
      </c>
      <c r="B850" s="23" t="s">
        <v>100</v>
      </c>
      <c r="C850" s="18" t="s">
        <v>125</v>
      </c>
      <c r="D850" s="18">
        <v>19</v>
      </c>
      <c r="E850" s="18" t="s">
        <v>129</v>
      </c>
      <c r="F850" s="18" t="str">
        <f>IF(OR(D850&gt;Answers!L865,D850&lt;Answers!L866),"Outlier","Normal")</f>
        <v>Outlier</v>
      </c>
      <c r="G850" s="19" t="str">
        <f t="shared" si="13"/>
        <v>&lt;20</v>
      </c>
    </row>
    <row r="851" spans="1:7" ht="20" customHeight="1" x14ac:dyDescent="0.35">
      <c r="A851" s="17">
        <v>850</v>
      </c>
      <c r="B851" s="23" t="s">
        <v>99</v>
      </c>
      <c r="C851" s="18" t="s">
        <v>126</v>
      </c>
      <c r="D851" s="18">
        <v>52</v>
      </c>
      <c r="E851" s="18" t="s">
        <v>129</v>
      </c>
      <c r="F851" s="18" t="str">
        <f>IF(OR(D851&gt;Answers!L866,D851&lt;Answers!L867),"Outlier","Normal")</f>
        <v>Outlier</v>
      </c>
      <c r="G851" s="19" t="str">
        <f t="shared" si="13"/>
        <v>40-50</v>
      </c>
    </row>
    <row r="852" spans="1:7" ht="20" customHeight="1" x14ac:dyDescent="0.35">
      <c r="A852" s="17">
        <v>851</v>
      </c>
      <c r="B852" s="23" t="s">
        <v>106</v>
      </c>
      <c r="C852" s="18" t="s">
        <v>126</v>
      </c>
      <c r="D852" s="18">
        <v>58</v>
      </c>
      <c r="E852" s="18" t="s">
        <v>129</v>
      </c>
      <c r="F852" s="18" t="str">
        <f>IF(OR(D852&gt;Answers!L867,D852&lt;Answers!L868),"Outlier","Normal")</f>
        <v>Outlier</v>
      </c>
      <c r="G852" s="19" t="str">
        <f t="shared" si="13"/>
        <v>40-50</v>
      </c>
    </row>
    <row r="853" spans="1:7" ht="20" customHeight="1" x14ac:dyDescent="0.35">
      <c r="A853" s="17">
        <v>852</v>
      </c>
      <c r="B853" s="23" t="s">
        <v>99</v>
      </c>
      <c r="C853" s="18" t="s">
        <v>125</v>
      </c>
      <c r="D853" s="18">
        <v>84</v>
      </c>
      <c r="E853" s="18" t="s">
        <v>129</v>
      </c>
      <c r="F853" s="18" t="str">
        <f>IF(OR(D853&gt;Answers!L868,D853&lt;Answers!L869),"Outlier","Normal")</f>
        <v>Outlier</v>
      </c>
      <c r="G853" s="19" t="str">
        <f t="shared" si="13"/>
        <v>40-50</v>
      </c>
    </row>
    <row r="854" spans="1:7" ht="20" customHeight="1" x14ac:dyDescent="0.35">
      <c r="A854" s="17">
        <v>853</v>
      </c>
      <c r="B854" s="23" t="s">
        <v>99</v>
      </c>
      <c r="C854" s="18" t="s">
        <v>125</v>
      </c>
      <c r="D854" s="18">
        <v>57</v>
      </c>
      <c r="E854" s="18" t="s">
        <v>129</v>
      </c>
      <c r="F854" s="18" t="str">
        <f>IF(OR(D854&gt;Answers!L869,D854&lt;Answers!L870),"Outlier","Normal")</f>
        <v>Outlier</v>
      </c>
      <c r="G854" s="19" t="str">
        <f t="shared" si="13"/>
        <v>40-50</v>
      </c>
    </row>
    <row r="855" spans="1:7" ht="20" customHeight="1" x14ac:dyDescent="0.35">
      <c r="A855" s="17">
        <v>854</v>
      </c>
      <c r="B855" s="23" t="s">
        <v>99</v>
      </c>
      <c r="C855" s="18" t="s">
        <v>126</v>
      </c>
      <c r="D855" s="18">
        <v>61</v>
      </c>
      <c r="E855" s="18" t="s">
        <v>129</v>
      </c>
      <c r="F855" s="18" t="str">
        <f>IF(OR(D855&gt;Answers!L870,D855&lt;Answers!L871),"Outlier","Normal")</f>
        <v>Outlier</v>
      </c>
      <c r="G855" s="19" t="str">
        <f t="shared" si="13"/>
        <v>40-50</v>
      </c>
    </row>
    <row r="856" spans="1:7" ht="20" customHeight="1" x14ac:dyDescent="0.35">
      <c r="A856" s="17">
        <v>855</v>
      </c>
      <c r="B856" s="23" t="s">
        <v>101</v>
      </c>
      <c r="C856" s="18" t="s">
        <v>125</v>
      </c>
      <c r="D856" s="18">
        <v>43</v>
      </c>
      <c r="E856" s="18" t="s">
        <v>129</v>
      </c>
      <c r="F856" s="18" t="str">
        <f>IF(OR(D856&gt;Answers!L871,D856&lt;Answers!L872),"Outlier","Normal")</f>
        <v>Outlier</v>
      </c>
      <c r="G856" s="19" t="str">
        <f t="shared" si="13"/>
        <v>40-50</v>
      </c>
    </row>
    <row r="857" spans="1:7" ht="20" customHeight="1" x14ac:dyDescent="0.35">
      <c r="A857" s="17">
        <v>856</v>
      </c>
      <c r="B857" s="23" t="s">
        <v>99</v>
      </c>
      <c r="C857" s="18" t="s">
        <v>125</v>
      </c>
      <c r="D857" s="18">
        <v>59</v>
      </c>
      <c r="E857" s="18" t="s">
        <v>129</v>
      </c>
      <c r="F857" s="18" t="str">
        <f>IF(OR(D857&gt;Answers!L872,D857&lt;Answers!L873),"Outlier","Normal")</f>
        <v>Outlier</v>
      </c>
      <c r="G857" s="19" t="str">
        <f t="shared" si="13"/>
        <v>40-50</v>
      </c>
    </row>
    <row r="858" spans="1:7" ht="20" customHeight="1" x14ac:dyDescent="0.35">
      <c r="A858" s="17">
        <v>857</v>
      </c>
      <c r="B858" s="23" t="s">
        <v>99</v>
      </c>
      <c r="C858" s="18" t="s">
        <v>126</v>
      </c>
      <c r="D858" s="18">
        <v>34</v>
      </c>
      <c r="E858" s="18" t="s">
        <v>129</v>
      </c>
      <c r="F858" s="18" t="str">
        <f>IF(OR(D858&gt;Answers!L873,D858&lt;Answers!L874),"Outlier","Normal")</f>
        <v>Outlier</v>
      </c>
      <c r="G858" s="19" t="str">
        <f t="shared" si="13"/>
        <v>30-40</v>
      </c>
    </row>
    <row r="859" spans="1:7" ht="20" customHeight="1" x14ac:dyDescent="0.35">
      <c r="A859" s="17">
        <v>858</v>
      </c>
      <c r="B859" s="23" t="s">
        <v>99</v>
      </c>
      <c r="C859" s="18" t="s">
        <v>126</v>
      </c>
      <c r="D859" s="18">
        <v>35</v>
      </c>
      <c r="E859" s="18" t="s">
        <v>129</v>
      </c>
      <c r="F859" s="18" t="str">
        <f>IF(OR(D859&gt;Answers!L874,D859&lt;Answers!L875),"Outlier","Normal")</f>
        <v>Outlier</v>
      </c>
      <c r="G859" s="19" t="str">
        <f t="shared" si="13"/>
        <v>30-40</v>
      </c>
    </row>
    <row r="860" spans="1:7" ht="20" customHeight="1" x14ac:dyDescent="0.35">
      <c r="A860" s="17">
        <v>859</v>
      </c>
      <c r="B860" s="23" t="s">
        <v>99</v>
      </c>
      <c r="C860" s="18" t="s">
        <v>125</v>
      </c>
      <c r="D860" s="18">
        <v>34</v>
      </c>
      <c r="E860" s="18" t="s">
        <v>129</v>
      </c>
      <c r="F860" s="18" t="str">
        <f>IF(OR(D860&gt;Answers!L875,D860&lt;Answers!L876),"Outlier","Normal")</f>
        <v>Outlier</v>
      </c>
      <c r="G860" s="19" t="str">
        <f t="shared" si="13"/>
        <v>30-40</v>
      </c>
    </row>
    <row r="861" spans="1:7" ht="20" customHeight="1" x14ac:dyDescent="0.35">
      <c r="A861" s="17">
        <v>860</v>
      </c>
      <c r="B861" s="23" t="s">
        <v>104</v>
      </c>
      <c r="C861" s="18" t="s">
        <v>125</v>
      </c>
      <c r="D861" s="18">
        <v>84</v>
      </c>
      <c r="E861" s="18" t="s">
        <v>129</v>
      </c>
      <c r="F861" s="18" t="str">
        <f>IF(OR(D861&gt;Answers!L876,D861&lt;Answers!L877),"Outlier","Normal")</f>
        <v>Outlier</v>
      </c>
      <c r="G861" s="19" t="str">
        <f t="shared" si="13"/>
        <v>40-50</v>
      </c>
    </row>
    <row r="862" spans="1:7" ht="20" customHeight="1" x14ac:dyDescent="0.35">
      <c r="A862" s="17">
        <v>861</v>
      </c>
      <c r="B862" s="23" t="s">
        <v>99</v>
      </c>
      <c r="C862" s="18" t="s">
        <v>126</v>
      </c>
      <c r="D862" s="18">
        <v>78</v>
      </c>
      <c r="E862" s="18" t="s">
        <v>129</v>
      </c>
      <c r="F862" s="18" t="str">
        <f>IF(OR(D862&gt;Answers!L877,D862&lt;Answers!L878),"Outlier","Normal")</f>
        <v>Outlier</v>
      </c>
      <c r="G862" s="19" t="str">
        <f t="shared" si="13"/>
        <v>40-50</v>
      </c>
    </row>
    <row r="863" spans="1:7" ht="20" customHeight="1" x14ac:dyDescent="0.35">
      <c r="A863" s="17">
        <v>862</v>
      </c>
      <c r="B863" s="23" t="s">
        <v>99</v>
      </c>
      <c r="C863" s="18" t="s">
        <v>126</v>
      </c>
      <c r="D863" s="18">
        <v>68</v>
      </c>
      <c r="E863" s="18" t="s">
        <v>129</v>
      </c>
      <c r="F863" s="18" t="str">
        <f>IF(OR(D863&gt;Answers!L878,D863&lt;Answers!L879),"Outlier","Normal")</f>
        <v>Outlier</v>
      </c>
      <c r="G863" s="19" t="str">
        <f t="shared" si="13"/>
        <v>40-50</v>
      </c>
    </row>
    <row r="864" spans="1:7" ht="20" customHeight="1" x14ac:dyDescent="0.35">
      <c r="A864" s="17">
        <v>863</v>
      </c>
      <c r="B864" s="23" t="s">
        <v>111</v>
      </c>
      <c r="C864" s="18" t="s">
        <v>126</v>
      </c>
      <c r="D864" s="18">
        <v>63</v>
      </c>
      <c r="E864" s="18" t="s">
        <v>129</v>
      </c>
      <c r="F864" s="18" t="str">
        <f>IF(OR(D864&gt;Answers!L879,D864&lt;Answers!L880),"Outlier","Normal")</f>
        <v>Outlier</v>
      </c>
      <c r="G864" s="19" t="str">
        <f t="shared" si="13"/>
        <v>40-50</v>
      </c>
    </row>
    <row r="865" spans="1:7" ht="20" customHeight="1" x14ac:dyDescent="0.35">
      <c r="A865" s="17">
        <v>864</v>
      </c>
      <c r="B865" s="23" t="s">
        <v>99</v>
      </c>
      <c r="C865" s="18" t="s">
        <v>126</v>
      </c>
      <c r="D865" s="18">
        <v>78</v>
      </c>
      <c r="E865" s="18" t="s">
        <v>129</v>
      </c>
      <c r="F865" s="18" t="str">
        <f>IF(OR(D865&gt;Answers!L880,D865&lt;Answers!L881),"Outlier","Normal")</f>
        <v>Outlier</v>
      </c>
      <c r="G865" s="19" t="str">
        <f t="shared" si="13"/>
        <v>40-50</v>
      </c>
    </row>
    <row r="866" spans="1:7" ht="20" customHeight="1" x14ac:dyDescent="0.35">
      <c r="A866" s="17">
        <v>865</v>
      </c>
      <c r="B866" s="23" t="s">
        <v>99</v>
      </c>
      <c r="C866" s="18" t="s">
        <v>125</v>
      </c>
      <c r="D866" s="18">
        <v>20</v>
      </c>
      <c r="E866" s="18" t="s">
        <v>129</v>
      </c>
      <c r="F866" s="18" t="str">
        <f>IF(OR(D866&gt;Answers!L881,D866&lt;Answers!L882),"Outlier","Normal")</f>
        <v>Outlier</v>
      </c>
      <c r="G866" s="19" t="str">
        <f t="shared" si="13"/>
        <v>20-30</v>
      </c>
    </row>
    <row r="867" spans="1:7" ht="20" customHeight="1" x14ac:dyDescent="0.35">
      <c r="A867" s="17">
        <v>866</v>
      </c>
      <c r="B867" s="23" t="s">
        <v>106</v>
      </c>
      <c r="C867" s="18" t="s">
        <v>126</v>
      </c>
      <c r="D867" s="18">
        <v>66</v>
      </c>
      <c r="E867" s="18" t="s">
        <v>129</v>
      </c>
      <c r="F867" s="18" t="str">
        <f>IF(OR(D867&gt;Answers!L882,D867&lt;Answers!L883),"Outlier","Normal")</f>
        <v>Outlier</v>
      </c>
      <c r="G867" s="19" t="str">
        <f t="shared" si="13"/>
        <v>40-50</v>
      </c>
    </row>
    <row r="868" spans="1:7" ht="20" customHeight="1" x14ac:dyDescent="0.35">
      <c r="A868" s="17">
        <v>867</v>
      </c>
      <c r="B868" s="23" t="s">
        <v>99</v>
      </c>
      <c r="C868" s="18" t="s">
        <v>126</v>
      </c>
      <c r="D868" s="18">
        <v>76</v>
      </c>
      <c r="E868" s="18" t="s">
        <v>129</v>
      </c>
      <c r="F868" s="18" t="str">
        <f>IF(OR(D868&gt;Answers!L883,D868&lt;Answers!L884),"Outlier","Normal")</f>
        <v>Outlier</v>
      </c>
      <c r="G868" s="19" t="str">
        <f t="shared" si="13"/>
        <v>40-50</v>
      </c>
    </row>
    <row r="869" spans="1:7" ht="20" customHeight="1" x14ac:dyDescent="0.35">
      <c r="A869" s="17">
        <v>868</v>
      </c>
      <c r="B869" s="23" t="s">
        <v>110</v>
      </c>
      <c r="C869" s="18" t="s">
        <v>126</v>
      </c>
      <c r="D869" s="18">
        <v>31</v>
      </c>
      <c r="E869" s="18" t="s">
        <v>129</v>
      </c>
      <c r="F869" s="18" t="str">
        <f>IF(OR(D869&gt;Answers!L884,D869&lt;Answers!L885),"Outlier","Normal")</f>
        <v>Outlier</v>
      </c>
      <c r="G869" s="19" t="str">
        <f t="shared" si="13"/>
        <v>30-40</v>
      </c>
    </row>
    <row r="870" spans="1:7" ht="20" customHeight="1" x14ac:dyDescent="0.35">
      <c r="A870" s="17">
        <v>869</v>
      </c>
      <c r="B870" s="23" t="s">
        <v>104</v>
      </c>
      <c r="C870" s="18" t="s">
        <v>126</v>
      </c>
      <c r="D870" s="18">
        <v>56</v>
      </c>
      <c r="E870" s="18" t="s">
        <v>129</v>
      </c>
      <c r="F870" s="18" t="str">
        <f>IF(OR(D870&gt;Answers!L885,D870&lt;Answers!L886),"Outlier","Normal")</f>
        <v>Outlier</v>
      </c>
      <c r="G870" s="19" t="str">
        <f t="shared" si="13"/>
        <v>40-50</v>
      </c>
    </row>
    <row r="871" spans="1:7" ht="20" customHeight="1" x14ac:dyDescent="0.35">
      <c r="A871" s="17">
        <v>870</v>
      </c>
      <c r="B871" s="23" t="s">
        <v>113</v>
      </c>
      <c r="C871" s="18" t="s">
        <v>125</v>
      </c>
      <c r="D871" s="18">
        <v>65</v>
      </c>
      <c r="E871" s="18" t="s">
        <v>129</v>
      </c>
      <c r="F871" s="18" t="str">
        <f>IF(OR(D871&gt;Answers!L886,D871&lt;Answers!L887),"Outlier","Normal")</f>
        <v>Outlier</v>
      </c>
      <c r="G871" s="19" t="str">
        <f t="shared" si="13"/>
        <v>40-50</v>
      </c>
    </row>
    <row r="872" spans="1:7" ht="20" customHeight="1" x14ac:dyDescent="0.35">
      <c r="A872" s="17">
        <v>871</v>
      </c>
      <c r="B872" s="23" t="s">
        <v>107</v>
      </c>
      <c r="C872" s="18" t="s">
        <v>126</v>
      </c>
      <c r="D872" s="18">
        <v>76</v>
      </c>
      <c r="E872" s="18" t="s">
        <v>129</v>
      </c>
      <c r="F872" s="18" t="str">
        <f>IF(OR(D872&gt;Answers!L887,D872&lt;Answers!L888),"Outlier","Normal")</f>
        <v>Outlier</v>
      </c>
      <c r="G872" s="19" t="str">
        <f t="shared" si="13"/>
        <v>40-50</v>
      </c>
    </row>
    <row r="873" spans="1:7" ht="20" customHeight="1" x14ac:dyDescent="0.35">
      <c r="A873" s="17">
        <v>872</v>
      </c>
      <c r="B873" s="23" t="s">
        <v>100</v>
      </c>
      <c r="C873" s="18" t="s">
        <v>126</v>
      </c>
      <c r="D873" s="18">
        <v>20</v>
      </c>
      <c r="E873" s="18" t="s">
        <v>129</v>
      </c>
      <c r="F873" s="18" t="str">
        <f>IF(OR(D873&gt;Answers!L888,D873&lt;Answers!L889),"Outlier","Normal")</f>
        <v>Outlier</v>
      </c>
      <c r="G873" s="19" t="str">
        <f t="shared" si="13"/>
        <v>20-30</v>
      </c>
    </row>
    <row r="874" spans="1:7" ht="20" customHeight="1" x14ac:dyDescent="0.35">
      <c r="A874" s="17">
        <v>873</v>
      </c>
      <c r="B874" s="23" t="s">
        <v>102</v>
      </c>
      <c r="C874" s="18" t="s">
        <v>125</v>
      </c>
      <c r="D874" s="18">
        <v>75</v>
      </c>
      <c r="E874" s="18" t="s">
        <v>129</v>
      </c>
      <c r="F874" s="18" t="str">
        <f>IF(OR(D874&gt;Answers!L889,D874&lt;Answers!L890),"Outlier","Normal")</f>
        <v>Outlier</v>
      </c>
      <c r="G874" s="19" t="str">
        <f t="shared" si="13"/>
        <v>40-50</v>
      </c>
    </row>
    <row r="875" spans="1:7" ht="20" customHeight="1" x14ac:dyDescent="0.35">
      <c r="A875" s="17">
        <v>874</v>
      </c>
      <c r="B875" s="23" t="s">
        <v>99</v>
      </c>
      <c r="C875" s="18" t="s">
        <v>126</v>
      </c>
      <c r="D875" s="18">
        <v>40</v>
      </c>
      <c r="E875" s="18" t="s">
        <v>129</v>
      </c>
      <c r="F875" s="18" t="str">
        <f>IF(OR(D875&gt;Answers!L890,D875&lt;Answers!L891),"Outlier","Normal")</f>
        <v>Outlier</v>
      </c>
      <c r="G875" s="19" t="str">
        <f t="shared" si="13"/>
        <v>30-40</v>
      </c>
    </row>
    <row r="876" spans="1:7" ht="20" customHeight="1" x14ac:dyDescent="0.35">
      <c r="A876" s="17">
        <v>875</v>
      </c>
      <c r="B876" s="23" t="s">
        <v>99</v>
      </c>
      <c r="C876" s="18" t="s">
        <v>125</v>
      </c>
      <c r="D876" s="18">
        <v>54</v>
      </c>
      <c r="E876" s="18" t="s">
        <v>129</v>
      </c>
      <c r="F876" s="18" t="str">
        <f>IF(OR(D876&gt;Answers!L891,D876&lt;Answers!L892),"Outlier","Normal")</f>
        <v>Outlier</v>
      </c>
      <c r="G876" s="19" t="str">
        <f t="shared" si="13"/>
        <v>40-50</v>
      </c>
    </row>
    <row r="877" spans="1:7" ht="20" customHeight="1" x14ac:dyDescent="0.35">
      <c r="A877" s="17">
        <v>876</v>
      </c>
      <c r="B877" s="23" t="s">
        <v>99</v>
      </c>
      <c r="C877" s="18" t="s">
        <v>125</v>
      </c>
      <c r="D877" s="18">
        <v>76</v>
      </c>
      <c r="E877" s="18" t="s">
        <v>129</v>
      </c>
      <c r="F877" s="18" t="str">
        <f>IF(OR(D877&gt;Answers!L892,D877&lt;Answers!L893),"Outlier","Normal")</f>
        <v>Outlier</v>
      </c>
      <c r="G877" s="19" t="str">
        <f t="shared" si="13"/>
        <v>40-50</v>
      </c>
    </row>
    <row r="878" spans="1:7" ht="20" customHeight="1" x14ac:dyDescent="0.35">
      <c r="A878" s="17">
        <v>877</v>
      </c>
      <c r="B878" s="23" t="s">
        <v>113</v>
      </c>
      <c r="C878" s="18" t="s">
        <v>125</v>
      </c>
      <c r="D878" s="18">
        <v>78</v>
      </c>
      <c r="E878" s="18" t="s">
        <v>129</v>
      </c>
      <c r="F878" s="18" t="str">
        <f>IF(OR(D878&gt;Answers!L893,D878&lt;Answers!L894),"Outlier","Normal")</f>
        <v>Outlier</v>
      </c>
      <c r="G878" s="19" t="str">
        <f t="shared" si="13"/>
        <v>40-50</v>
      </c>
    </row>
    <row r="879" spans="1:7" ht="20" customHeight="1" x14ac:dyDescent="0.35">
      <c r="A879" s="17">
        <v>878</v>
      </c>
      <c r="B879" s="23" t="s">
        <v>113</v>
      </c>
      <c r="C879" s="18" t="s">
        <v>126</v>
      </c>
      <c r="D879" s="18">
        <v>45</v>
      </c>
      <c r="E879" s="18" t="s">
        <v>129</v>
      </c>
      <c r="F879" s="18" t="str">
        <f>IF(OR(D879&gt;Answers!L894,D879&lt;Answers!L895),"Outlier","Normal")</f>
        <v>Outlier</v>
      </c>
      <c r="G879" s="19" t="str">
        <f t="shared" si="13"/>
        <v>40-50</v>
      </c>
    </row>
    <row r="880" spans="1:7" ht="20" customHeight="1" x14ac:dyDescent="0.35">
      <c r="A880" s="17">
        <v>879</v>
      </c>
      <c r="B880" s="23" t="s">
        <v>99</v>
      </c>
      <c r="C880" s="18" t="s">
        <v>126</v>
      </c>
      <c r="D880" s="18">
        <v>70</v>
      </c>
      <c r="E880" s="18" t="s">
        <v>129</v>
      </c>
      <c r="F880" s="18" t="str">
        <f>IF(OR(D880&gt;Answers!L895,D880&lt;Answers!L896),"Outlier","Normal")</f>
        <v>Outlier</v>
      </c>
      <c r="G880" s="19" t="str">
        <f t="shared" si="13"/>
        <v>40-50</v>
      </c>
    </row>
    <row r="881" spans="1:7" ht="20" customHeight="1" x14ac:dyDescent="0.35">
      <c r="A881" s="17">
        <v>880</v>
      </c>
      <c r="B881" s="23" t="s">
        <v>113</v>
      </c>
      <c r="C881" s="18" t="s">
        <v>125</v>
      </c>
      <c r="D881" s="18">
        <v>44</v>
      </c>
      <c r="E881" s="18" t="s">
        <v>129</v>
      </c>
      <c r="F881" s="18" t="str">
        <f>IF(OR(D881&gt;Answers!L896,D881&lt;Answers!L897),"Outlier","Normal")</f>
        <v>Outlier</v>
      </c>
      <c r="G881" s="19" t="str">
        <f t="shared" si="13"/>
        <v>40-50</v>
      </c>
    </row>
    <row r="882" spans="1:7" ht="20" customHeight="1" x14ac:dyDescent="0.35">
      <c r="A882" s="17">
        <v>881</v>
      </c>
      <c r="B882" s="23" t="s">
        <v>100</v>
      </c>
      <c r="C882" s="18" t="s">
        <v>125</v>
      </c>
      <c r="D882" s="18">
        <v>67</v>
      </c>
      <c r="E882" s="18" t="s">
        <v>129</v>
      </c>
      <c r="F882" s="18" t="str">
        <f>IF(OR(D882&gt;Answers!L897,D882&lt;Answers!L898),"Outlier","Normal")</f>
        <v>Outlier</v>
      </c>
      <c r="G882" s="19" t="str">
        <f t="shared" si="13"/>
        <v>40-50</v>
      </c>
    </row>
    <row r="883" spans="1:7" ht="20" customHeight="1" x14ac:dyDescent="0.35">
      <c r="A883" s="17">
        <v>882</v>
      </c>
      <c r="B883" s="23" t="s">
        <v>106</v>
      </c>
      <c r="C883" s="18" t="s">
        <v>125</v>
      </c>
      <c r="D883" s="18">
        <v>20</v>
      </c>
      <c r="E883" s="18" t="s">
        <v>129</v>
      </c>
      <c r="F883" s="18" t="str">
        <f>IF(OR(D883&gt;Answers!L898,D883&lt;Answers!L899),"Outlier","Normal")</f>
        <v>Outlier</v>
      </c>
      <c r="G883" s="19" t="str">
        <f t="shared" si="13"/>
        <v>20-30</v>
      </c>
    </row>
    <row r="884" spans="1:7" ht="20" customHeight="1" x14ac:dyDescent="0.35">
      <c r="A884" s="17">
        <v>883</v>
      </c>
      <c r="B884" s="23" t="s">
        <v>99</v>
      </c>
      <c r="C884" s="18" t="s">
        <v>125</v>
      </c>
      <c r="D884" s="18">
        <v>81</v>
      </c>
      <c r="E884" s="18" t="s">
        <v>129</v>
      </c>
      <c r="F884" s="18" t="str">
        <f>IF(OR(D884&gt;Answers!L899,D884&lt;Answers!L900),"Outlier","Normal")</f>
        <v>Outlier</v>
      </c>
      <c r="G884" s="19" t="str">
        <f t="shared" si="13"/>
        <v>40-50</v>
      </c>
    </row>
    <row r="885" spans="1:7" ht="20" customHeight="1" x14ac:dyDescent="0.35">
      <c r="A885" s="17">
        <v>884</v>
      </c>
      <c r="B885" s="23" t="s">
        <v>113</v>
      </c>
      <c r="C885" s="18" t="s">
        <v>125</v>
      </c>
      <c r="D885" s="18">
        <v>53</v>
      </c>
      <c r="E885" s="18" t="s">
        <v>129</v>
      </c>
      <c r="F885" s="18" t="str">
        <f>IF(OR(D885&gt;Answers!L900,D885&lt;Answers!L901),"Outlier","Normal")</f>
        <v>Outlier</v>
      </c>
      <c r="G885" s="19" t="str">
        <f t="shared" si="13"/>
        <v>40-50</v>
      </c>
    </row>
    <row r="886" spans="1:7" ht="20" customHeight="1" x14ac:dyDescent="0.35">
      <c r="A886" s="17">
        <v>885</v>
      </c>
      <c r="B886" s="23" t="s">
        <v>109</v>
      </c>
      <c r="C886" s="18" t="s">
        <v>126</v>
      </c>
      <c r="D886" s="18">
        <v>53</v>
      </c>
      <c r="E886" s="18" t="s">
        <v>129</v>
      </c>
      <c r="F886" s="18" t="str">
        <f>IF(OR(D886&gt;Answers!L901,D886&lt;Answers!L902),"Outlier","Normal")</f>
        <v>Outlier</v>
      </c>
      <c r="G886" s="19" t="str">
        <f t="shared" si="13"/>
        <v>40-50</v>
      </c>
    </row>
    <row r="887" spans="1:7" ht="20" customHeight="1" x14ac:dyDescent="0.35">
      <c r="A887" s="17">
        <v>886</v>
      </c>
      <c r="B887" s="23" t="s">
        <v>99</v>
      </c>
      <c r="C887" s="18" t="s">
        <v>125</v>
      </c>
      <c r="D887" s="18">
        <v>72</v>
      </c>
      <c r="E887" s="18" t="s">
        <v>129</v>
      </c>
      <c r="F887" s="18" t="str">
        <f>IF(OR(D887&gt;Answers!L902,D887&lt;Answers!L903),"Outlier","Normal")</f>
        <v>Outlier</v>
      </c>
      <c r="G887" s="19" t="str">
        <f t="shared" si="13"/>
        <v>40-50</v>
      </c>
    </row>
    <row r="888" spans="1:7" ht="20" customHeight="1" x14ac:dyDescent="0.35">
      <c r="A888" s="17">
        <v>887</v>
      </c>
      <c r="B888" s="23" t="s">
        <v>99</v>
      </c>
      <c r="C888" s="18" t="s">
        <v>126</v>
      </c>
      <c r="D888" s="18">
        <v>28</v>
      </c>
      <c r="E888" s="18" t="s">
        <v>129</v>
      </c>
      <c r="F888" s="18" t="str">
        <f>IF(OR(D888&gt;Answers!L903,D888&lt;Answers!L904),"Outlier","Normal")</f>
        <v>Outlier</v>
      </c>
      <c r="G888" s="19" t="str">
        <f t="shared" si="13"/>
        <v>20-30</v>
      </c>
    </row>
    <row r="889" spans="1:7" ht="20" customHeight="1" x14ac:dyDescent="0.35">
      <c r="A889" s="17">
        <v>888</v>
      </c>
      <c r="B889" s="23" t="s">
        <v>108</v>
      </c>
      <c r="C889" s="18" t="s">
        <v>125</v>
      </c>
      <c r="D889" s="18">
        <v>71</v>
      </c>
      <c r="E889" s="18" t="s">
        <v>129</v>
      </c>
      <c r="F889" s="18" t="str">
        <f>IF(OR(D889&gt;Answers!L904,D889&lt;Answers!L905),"Outlier","Normal")</f>
        <v>Outlier</v>
      </c>
      <c r="G889" s="19" t="str">
        <f t="shared" si="13"/>
        <v>40-50</v>
      </c>
    </row>
    <row r="890" spans="1:7" ht="20" customHeight="1" x14ac:dyDescent="0.35">
      <c r="A890" s="17">
        <v>889</v>
      </c>
      <c r="B890" s="23" t="s">
        <v>107</v>
      </c>
      <c r="C890" s="18" t="s">
        <v>126</v>
      </c>
      <c r="D890" s="18">
        <v>30</v>
      </c>
      <c r="E890" s="18" t="s">
        <v>129</v>
      </c>
      <c r="F890" s="18" t="str">
        <f>IF(OR(D890&gt;Answers!L905,D890&lt;Answers!L906),"Outlier","Normal")</f>
        <v>Outlier</v>
      </c>
      <c r="G890" s="19" t="str">
        <f t="shared" si="13"/>
        <v>20-30</v>
      </c>
    </row>
    <row r="891" spans="1:7" ht="20" customHeight="1" x14ac:dyDescent="0.35">
      <c r="A891" s="17">
        <v>890</v>
      </c>
      <c r="B891" s="23" t="s">
        <v>99</v>
      </c>
      <c r="C891" s="18" t="s">
        <v>126</v>
      </c>
      <c r="D891" s="18">
        <v>84</v>
      </c>
      <c r="E891" s="18" t="s">
        <v>129</v>
      </c>
      <c r="F891" s="18" t="str">
        <f>IF(OR(D891&gt;Answers!L906,D891&lt;Answers!L907),"Outlier","Normal")</f>
        <v>Outlier</v>
      </c>
      <c r="G891" s="19" t="str">
        <f t="shared" si="13"/>
        <v>40-50</v>
      </c>
    </row>
    <row r="892" spans="1:7" ht="20" customHeight="1" x14ac:dyDescent="0.35">
      <c r="A892" s="17">
        <v>891</v>
      </c>
      <c r="B892" s="23" t="s">
        <v>99</v>
      </c>
      <c r="C892" s="18" t="s">
        <v>125</v>
      </c>
      <c r="D892" s="18">
        <v>45</v>
      </c>
      <c r="E892" s="18" t="s">
        <v>129</v>
      </c>
      <c r="F892" s="18" t="str">
        <f>IF(OR(D892&gt;Answers!L907,D892&lt;Answers!L908),"Outlier","Normal")</f>
        <v>Outlier</v>
      </c>
      <c r="G892" s="19" t="str">
        <f t="shared" si="13"/>
        <v>40-50</v>
      </c>
    </row>
    <row r="893" spans="1:7" ht="20" customHeight="1" x14ac:dyDescent="0.35">
      <c r="A893" s="17">
        <v>892</v>
      </c>
      <c r="B893" s="23" t="s">
        <v>99</v>
      </c>
      <c r="C893" s="18" t="s">
        <v>126</v>
      </c>
      <c r="D893" s="18">
        <v>34</v>
      </c>
      <c r="E893" s="18" t="s">
        <v>129</v>
      </c>
      <c r="F893" s="18" t="str">
        <f>IF(OR(D893&gt;Answers!L908,D893&lt;Answers!L909),"Outlier","Normal")</f>
        <v>Outlier</v>
      </c>
      <c r="G893" s="19" t="str">
        <f t="shared" si="13"/>
        <v>30-40</v>
      </c>
    </row>
    <row r="894" spans="1:7" ht="20" customHeight="1" x14ac:dyDescent="0.35">
      <c r="A894" s="17">
        <v>893</v>
      </c>
      <c r="B894" s="23" t="s">
        <v>99</v>
      </c>
      <c r="C894" s="18" t="s">
        <v>125</v>
      </c>
      <c r="D894" s="18">
        <v>53</v>
      </c>
      <c r="E894" s="18" t="s">
        <v>129</v>
      </c>
      <c r="F894" s="18" t="str">
        <f>IF(OR(D894&gt;Answers!L909,D894&lt;Answers!L910),"Outlier","Normal")</f>
        <v>Outlier</v>
      </c>
      <c r="G894" s="19" t="str">
        <f t="shared" si="13"/>
        <v>40-50</v>
      </c>
    </row>
    <row r="895" spans="1:7" ht="20" customHeight="1" x14ac:dyDescent="0.35">
      <c r="A895" s="17">
        <v>894</v>
      </c>
      <c r="B895" s="23" t="s">
        <v>101</v>
      </c>
      <c r="C895" s="18" t="s">
        <v>126</v>
      </c>
      <c r="D895" s="18">
        <v>37</v>
      </c>
      <c r="E895" s="18" t="s">
        <v>129</v>
      </c>
      <c r="F895" s="18" t="str">
        <f>IF(OR(D895&gt;Answers!L910,D895&lt;Answers!L911),"Outlier","Normal")</f>
        <v>Outlier</v>
      </c>
      <c r="G895" s="19" t="str">
        <f t="shared" si="13"/>
        <v>30-40</v>
      </c>
    </row>
    <row r="896" spans="1:7" ht="20" customHeight="1" x14ac:dyDescent="0.35">
      <c r="A896" s="17">
        <v>895</v>
      </c>
      <c r="B896" s="23" t="s">
        <v>110</v>
      </c>
      <c r="C896" s="18" t="s">
        <v>125</v>
      </c>
      <c r="D896" s="18">
        <v>38</v>
      </c>
      <c r="E896" s="18" t="s">
        <v>129</v>
      </c>
      <c r="F896" s="18" t="str">
        <f>IF(OR(D896&gt;Answers!L911,D896&lt;Answers!L912),"Outlier","Normal")</f>
        <v>Outlier</v>
      </c>
      <c r="G896" s="19" t="str">
        <f t="shared" si="13"/>
        <v>30-40</v>
      </c>
    </row>
    <row r="897" spans="1:7" ht="20" customHeight="1" x14ac:dyDescent="0.35">
      <c r="A897" s="17">
        <v>896</v>
      </c>
      <c r="B897" s="23" t="s">
        <v>101</v>
      </c>
      <c r="C897" s="18" t="s">
        <v>126</v>
      </c>
      <c r="D897" s="18">
        <v>79</v>
      </c>
      <c r="E897" s="18" t="s">
        <v>129</v>
      </c>
      <c r="F897" s="18" t="str">
        <f>IF(OR(D897&gt;Answers!L912,D897&lt;Answers!L913),"Outlier","Normal")</f>
        <v>Outlier</v>
      </c>
      <c r="G897" s="19" t="str">
        <f t="shared" si="13"/>
        <v>40-50</v>
      </c>
    </row>
    <row r="898" spans="1:7" ht="20" customHeight="1" x14ac:dyDescent="0.35">
      <c r="A898" s="17">
        <v>897</v>
      </c>
      <c r="B898" s="23" t="s">
        <v>99</v>
      </c>
      <c r="C898" s="18" t="s">
        <v>125</v>
      </c>
      <c r="D898" s="18">
        <v>46</v>
      </c>
      <c r="E898" s="18" t="s">
        <v>129</v>
      </c>
      <c r="F898" s="18" t="str">
        <f>IF(OR(D898&gt;Answers!L913,D898&lt;Answers!L914),"Outlier","Normal")</f>
        <v>Outlier</v>
      </c>
      <c r="G898" s="19" t="str">
        <f t="shared" si="13"/>
        <v>40-50</v>
      </c>
    </row>
    <row r="899" spans="1:7" ht="20" customHeight="1" x14ac:dyDescent="0.35">
      <c r="A899" s="17">
        <v>898</v>
      </c>
      <c r="B899" s="23" t="s">
        <v>99</v>
      </c>
      <c r="C899" s="18" t="s">
        <v>125</v>
      </c>
      <c r="D899" s="18">
        <v>64</v>
      </c>
      <c r="E899" s="18" t="s">
        <v>129</v>
      </c>
      <c r="F899" s="18" t="str">
        <f>IF(OR(D899&gt;Answers!L914,D899&lt;Answers!L915),"Outlier","Normal")</f>
        <v>Outlier</v>
      </c>
      <c r="G899" s="19" t="str">
        <f t="shared" ref="G899:G962" si="14">IF(D899&lt;20,"&lt;20",
IF(D899&lt;=30,"20-30",
IF(D899&lt;=40,"30-40","40-50")))</f>
        <v>40-50</v>
      </c>
    </row>
    <row r="900" spans="1:7" ht="20" customHeight="1" x14ac:dyDescent="0.35">
      <c r="A900" s="17">
        <v>899</v>
      </c>
      <c r="B900" s="23" t="s">
        <v>99</v>
      </c>
      <c r="C900" s="18" t="s">
        <v>126</v>
      </c>
      <c r="D900" s="18">
        <v>75</v>
      </c>
      <c r="E900" s="18" t="s">
        <v>129</v>
      </c>
      <c r="F900" s="18" t="str">
        <f>IF(OR(D900&gt;Answers!L915,D900&lt;Answers!L916),"Outlier","Normal")</f>
        <v>Outlier</v>
      </c>
      <c r="G900" s="19" t="str">
        <f t="shared" si="14"/>
        <v>40-50</v>
      </c>
    </row>
    <row r="901" spans="1:7" ht="20" customHeight="1" x14ac:dyDescent="0.35">
      <c r="A901" s="17">
        <v>900</v>
      </c>
      <c r="B901" s="23" t="s">
        <v>99</v>
      </c>
      <c r="C901" s="18" t="s">
        <v>125</v>
      </c>
      <c r="D901" s="18">
        <v>54</v>
      </c>
      <c r="E901" s="18" t="s">
        <v>129</v>
      </c>
      <c r="F901" s="18" t="str">
        <f>IF(OR(D901&gt;Answers!L916,D901&lt;Answers!L917),"Outlier","Normal")</f>
        <v>Outlier</v>
      </c>
      <c r="G901" s="19" t="str">
        <f t="shared" si="14"/>
        <v>40-50</v>
      </c>
    </row>
    <row r="902" spans="1:7" ht="20" customHeight="1" x14ac:dyDescent="0.35">
      <c r="A902" s="17">
        <v>901</v>
      </c>
      <c r="B902" s="23" t="s">
        <v>99</v>
      </c>
      <c r="C902" s="18" t="s">
        <v>126</v>
      </c>
      <c r="D902" s="18">
        <v>44</v>
      </c>
      <c r="E902" s="18" t="s">
        <v>129</v>
      </c>
      <c r="F902" s="18" t="str">
        <f>IF(OR(D902&gt;Answers!L917,D902&lt;Answers!L918),"Outlier","Normal")</f>
        <v>Outlier</v>
      </c>
      <c r="G902" s="19" t="str">
        <f t="shared" si="14"/>
        <v>40-50</v>
      </c>
    </row>
    <row r="903" spans="1:7" ht="20" customHeight="1" x14ac:dyDescent="0.35">
      <c r="A903" s="17">
        <v>902</v>
      </c>
      <c r="B903" s="23" t="s">
        <v>99</v>
      </c>
      <c r="C903" s="18" t="s">
        <v>126</v>
      </c>
      <c r="D903" s="18">
        <v>82</v>
      </c>
      <c r="E903" s="18" t="s">
        <v>129</v>
      </c>
      <c r="F903" s="18" t="str">
        <f>IF(OR(D903&gt;Answers!L918,D903&lt;Answers!L919),"Outlier","Normal")</f>
        <v>Outlier</v>
      </c>
      <c r="G903" s="19" t="str">
        <f t="shared" si="14"/>
        <v>40-50</v>
      </c>
    </row>
    <row r="904" spans="1:7" ht="20" customHeight="1" x14ac:dyDescent="0.35">
      <c r="A904" s="17">
        <v>903</v>
      </c>
      <c r="B904" s="23" t="s">
        <v>99</v>
      </c>
      <c r="C904" s="18" t="s">
        <v>125</v>
      </c>
      <c r="D904" s="18">
        <v>27</v>
      </c>
      <c r="E904" s="18" t="s">
        <v>129</v>
      </c>
      <c r="F904" s="18" t="str">
        <f>IF(OR(D904&gt;Answers!L919,D904&lt;Answers!L920),"Outlier","Normal")</f>
        <v>Outlier</v>
      </c>
      <c r="G904" s="19" t="str">
        <f t="shared" si="14"/>
        <v>20-30</v>
      </c>
    </row>
    <row r="905" spans="1:7" ht="20" customHeight="1" x14ac:dyDescent="0.35">
      <c r="A905" s="17">
        <v>904</v>
      </c>
      <c r="B905" s="23" t="s">
        <v>113</v>
      </c>
      <c r="C905" s="18" t="s">
        <v>126</v>
      </c>
      <c r="D905" s="18">
        <v>34</v>
      </c>
      <c r="E905" s="18" t="s">
        <v>129</v>
      </c>
      <c r="F905" s="18" t="str">
        <f>IF(OR(D905&gt;Answers!L920,D905&lt;Answers!L921),"Outlier","Normal")</f>
        <v>Outlier</v>
      </c>
      <c r="G905" s="19" t="str">
        <f t="shared" si="14"/>
        <v>30-40</v>
      </c>
    </row>
    <row r="906" spans="1:7" ht="20" customHeight="1" x14ac:dyDescent="0.35">
      <c r="A906" s="17">
        <v>905</v>
      </c>
      <c r="B906" s="23" t="s">
        <v>99</v>
      </c>
      <c r="C906" s="18" t="s">
        <v>126</v>
      </c>
      <c r="D906" s="18">
        <v>25</v>
      </c>
      <c r="E906" s="18" t="s">
        <v>129</v>
      </c>
      <c r="F906" s="18" t="str">
        <f>IF(OR(D906&gt;Answers!L921,D906&lt;Answers!L922),"Outlier","Normal")</f>
        <v>Outlier</v>
      </c>
      <c r="G906" s="19" t="str">
        <f t="shared" si="14"/>
        <v>20-30</v>
      </c>
    </row>
    <row r="907" spans="1:7" ht="20" customHeight="1" x14ac:dyDescent="0.35">
      <c r="A907" s="17">
        <v>906</v>
      </c>
      <c r="B907" s="23" t="s">
        <v>100</v>
      </c>
      <c r="C907" s="18" t="s">
        <v>125</v>
      </c>
      <c r="D907" s="18">
        <v>79</v>
      </c>
      <c r="E907" s="18" t="s">
        <v>129</v>
      </c>
      <c r="F907" s="18" t="str">
        <f>IF(OR(D907&gt;Answers!L922,D907&lt;Answers!L923),"Outlier","Normal")</f>
        <v>Outlier</v>
      </c>
      <c r="G907" s="19" t="str">
        <f t="shared" si="14"/>
        <v>40-50</v>
      </c>
    </row>
    <row r="908" spans="1:7" ht="20" customHeight="1" x14ac:dyDescent="0.35">
      <c r="A908" s="17">
        <v>907</v>
      </c>
      <c r="B908" s="23" t="s">
        <v>108</v>
      </c>
      <c r="C908" s="18" t="s">
        <v>125</v>
      </c>
      <c r="D908" s="18">
        <v>55</v>
      </c>
      <c r="E908" s="18" t="s">
        <v>129</v>
      </c>
      <c r="F908" s="18" t="str">
        <f>IF(OR(D908&gt;Answers!L923,D908&lt;Answers!L924),"Outlier","Normal")</f>
        <v>Outlier</v>
      </c>
      <c r="G908" s="19" t="str">
        <f t="shared" si="14"/>
        <v>40-50</v>
      </c>
    </row>
    <row r="909" spans="1:7" ht="20" customHeight="1" x14ac:dyDescent="0.35">
      <c r="A909" s="17">
        <v>908</v>
      </c>
      <c r="B909" s="23" t="s">
        <v>99</v>
      </c>
      <c r="C909" s="18" t="s">
        <v>126</v>
      </c>
      <c r="D909" s="18">
        <v>75</v>
      </c>
      <c r="E909" s="18" t="s">
        <v>129</v>
      </c>
      <c r="F909" s="18" t="str">
        <f>IF(OR(D909&gt;Answers!L924,D909&lt;Answers!L925),"Outlier","Normal")</f>
        <v>Outlier</v>
      </c>
      <c r="G909" s="19" t="str">
        <f t="shared" si="14"/>
        <v>40-50</v>
      </c>
    </row>
    <row r="910" spans="1:7" ht="20" customHeight="1" x14ac:dyDescent="0.35">
      <c r="A910" s="17">
        <v>909</v>
      </c>
      <c r="B910" s="23" t="s">
        <v>113</v>
      </c>
      <c r="C910" s="18" t="s">
        <v>125</v>
      </c>
      <c r="D910" s="18">
        <v>71</v>
      </c>
      <c r="E910" s="18" t="s">
        <v>129</v>
      </c>
      <c r="F910" s="18" t="str">
        <f>IF(OR(D910&gt;Answers!L925,D910&lt;Answers!L926),"Outlier","Normal")</f>
        <v>Outlier</v>
      </c>
      <c r="G910" s="19" t="str">
        <f t="shared" si="14"/>
        <v>40-50</v>
      </c>
    </row>
    <row r="911" spans="1:7" ht="20" customHeight="1" x14ac:dyDescent="0.35">
      <c r="A911" s="17">
        <v>910</v>
      </c>
      <c r="B911" s="23" t="s">
        <v>99</v>
      </c>
      <c r="C911" s="18" t="s">
        <v>125</v>
      </c>
      <c r="D911" s="18">
        <v>68</v>
      </c>
      <c r="E911" s="18" t="s">
        <v>129</v>
      </c>
      <c r="F911" s="18" t="str">
        <f>IF(OR(D911&gt;Answers!L926,D911&lt;Answers!L927),"Outlier","Normal")</f>
        <v>Outlier</v>
      </c>
      <c r="G911" s="19" t="str">
        <f t="shared" si="14"/>
        <v>40-50</v>
      </c>
    </row>
    <row r="912" spans="1:7" ht="20" customHeight="1" x14ac:dyDescent="0.35">
      <c r="A912" s="17">
        <v>911</v>
      </c>
      <c r="B912" s="23" t="s">
        <v>99</v>
      </c>
      <c r="C912" s="18" t="s">
        <v>126</v>
      </c>
      <c r="D912" s="18">
        <v>27</v>
      </c>
      <c r="E912" s="18" t="s">
        <v>129</v>
      </c>
      <c r="F912" s="18" t="str">
        <f>IF(OR(D912&gt;Answers!L927,D912&lt;Answers!L928),"Outlier","Normal")</f>
        <v>Outlier</v>
      </c>
      <c r="G912" s="19" t="str">
        <f t="shared" si="14"/>
        <v>20-30</v>
      </c>
    </row>
    <row r="913" spans="1:7" ht="20" customHeight="1" x14ac:dyDescent="0.35">
      <c r="A913" s="17">
        <v>912</v>
      </c>
      <c r="B913" s="23" t="s">
        <v>99</v>
      </c>
      <c r="C913" s="18" t="s">
        <v>125</v>
      </c>
      <c r="D913" s="18">
        <v>33</v>
      </c>
      <c r="E913" s="18" t="s">
        <v>129</v>
      </c>
      <c r="F913" s="18" t="str">
        <f>IF(OR(D913&gt;Answers!L928,D913&lt;Answers!L929),"Outlier","Normal")</f>
        <v>Outlier</v>
      </c>
      <c r="G913" s="19" t="str">
        <f t="shared" si="14"/>
        <v>30-40</v>
      </c>
    </row>
    <row r="914" spans="1:7" ht="20" customHeight="1" x14ac:dyDescent="0.35">
      <c r="A914" s="17">
        <v>913</v>
      </c>
      <c r="B914" s="23" t="s">
        <v>99</v>
      </c>
      <c r="C914" s="18" t="s">
        <v>126</v>
      </c>
      <c r="D914" s="18">
        <v>28</v>
      </c>
      <c r="E914" s="18" t="s">
        <v>129</v>
      </c>
      <c r="F914" s="18" t="str">
        <f>IF(OR(D914&gt;Answers!L929,D914&lt;Answers!L930),"Outlier","Normal")</f>
        <v>Outlier</v>
      </c>
      <c r="G914" s="19" t="str">
        <f t="shared" si="14"/>
        <v>20-30</v>
      </c>
    </row>
    <row r="915" spans="1:7" ht="20" customHeight="1" x14ac:dyDescent="0.35">
      <c r="A915" s="17">
        <v>914</v>
      </c>
      <c r="B915" s="23" t="s">
        <v>99</v>
      </c>
      <c r="C915" s="18" t="s">
        <v>126</v>
      </c>
      <c r="D915" s="18">
        <v>80</v>
      </c>
      <c r="E915" s="18" t="s">
        <v>129</v>
      </c>
      <c r="F915" s="18" t="str">
        <f>IF(OR(D915&gt;Answers!L930,D915&lt;Answers!L931),"Outlier","Normal")</f>
        <v>Outlier</v>
      </c>
      <c r="G915" s="19" t="str">
        <f t="shared" si="14"/>
        <v>40-50</v>
      </c>
    </row>
    <row r="916" spans="1:7" ht="20" customHeight="1" x14ac:dyDescent="0.35">
      <c r="A916" s="17">
        <v>915</v>
      </c>
      <c r="B916" s="23" t="s">
        <v>100</v>
      </c>
      <c r="C916" s="18" t="s">
        <v>125</v>
      </c>
      <c r="D916" s="18">
        <v>39</v>
      </c>
      <c r="E916" s="18" t="s">
        <v>129</v>
      </c>
      <c r="F916" s="18" t="str">
        <f>IF(OR(D916&gt;Answers!L931,D916&lt;Answers!L932),"Outlier","Normal")</f>
        <v>Outlier</v>
      </c>
      <c r="G916" s="19" t="str">
        <f t="shared" si="14"/>
        <v>30-40</v>
      </c>
    </row>
    <row r="917" spans="1:7" ht="20" customHeight="1" x14ac:dyDescent="0.35">
      <c r="A917" s="17">
        <v>916</v>
      </c>
      <c r="B917" s="23" t="s">
        <v>100</v>
      </c>
      <c r="C917" s="18" t="s">
        <v>125</v>
      </c>
      <c r="D917" s="18">
        <v>61</v>
      </c>
      <c r="E917" s="18" t="s">
        <v>129</v>
      </c>
      <c r="F917" s="18" t="str">
        <f>IF(OR(D917&gt;Answers!L932,D917&lt;Answers!L933),"Outlier","Normal")</f>
        <v>Outlier</v>
      </c>
      <c r="G917" s="19" t="str">
        <f t="shared" si="14"/>
        <v>40-50</v>
      </c>
    </row>
    <row r="918" spans="1:7" ht="20" customHeight="1" x14ac:dyDescent="0.35">
      <c r="A918" s="17">
        <v>917</v>
      </c>
      <c r="B918" s="23" t="s">
        <v>103</v>
      </c>
      <c r="C918" s="18" t="s">
        <v>126</v>
      </c>
      <c r="D918" s="18">
        <v>41</v>
      </c>
      <c r="E918" s="18" t="s">
        <v>129</v>
      </c>
      <c r="F918" s="18" t="str">
        <f>IF(OR(D918&gt;Answers!L933,D918&lt;Answers!L934),"Outlier","Normal")</f>
        <v>Outlier</v>
      </c>
      <c r="G918" s="19" t="str">
        <f t="shared" si="14"/>
        <v>40-50</v>
      </c>
    </row>
    <row r="919" spans="1:7" ht="20" customHeight="1" x14ac:dyDescent="0.35">
      <c r="A919" s="17">
        <v>918</v>
      </c>
      <c r="B919" s="23" t="s">
        <v>101</v>
      </c>
      <c r="C919" s="18" t="s">
        <v>125</v>
      </c>
      <c r="D919" s="18">
        <v>75</v>
      </c>
      <c r="E919" s="18" t="s">
        <v>129</v>
      </c>
      <c r="F919" s="18" t="str">
        <f>IF(OR(D919&gt;Answers!L934,D919&lt;Answers!L935),"Outlier","Normal")</f>
        <v>Outlier</v>
      </c>
      <c r="G919" s="19" t="str">
        <f t="shared" si="14"/>
        <v>40-50</v>
      </c>
    </row>
    <row r="920" spans="1:7" ht="20" customHeight="1" x14ac:dyDescent="0.35">
      <c r="A920" s="17">
        <v>919</v>
      </c>
      <c r="B920" s="23" t="s">
        <v>108</v>
      </c>
      <c r="C920" s="18" t="s">
        <v>125</v>
      </c>
      <c r="D920" s="18">
        <v>27</v>
      </c>
      <c r="E920" s="18" t="s">
        <v>129</v>
      </c>
      <c r="F920" s="18" t="str">
        <f>IF(OR(D920&gt;Answers!L935,D920&lt;Answers!L936),"Outlier","Normal")</f>
        <v>Outlier</v>
      </c>
      <c r="G920" s="19" t="str">
        <f t="shared" si="14"/>
        <v>20-30</v>
      </c>
    </row>
    <row r="921" spans="1:7" ht="20" customHeight="1" x14ac:dyDescent="0.35">
      <c r="A921" s="17">
        <v>920</v>
      </c>
      <c r="B921" s="23" t="s">
        <v>99</v>
      </c>
      <c r="C921" s="18" t="s">
        <v>125</v>
      </c>
      <c r="D921" s="18">
        <v>67</v>
      </c>
      <c r="E921" s="18" t="s">
        <v>129</v>
      </c>
      <c r="F921" s="18" t="str">
        <f>IF(OR(D921&gt;Answers!L936,D921&lt;Answers!L937),"Outlier","Normal")</f>
        <v>Outlier</v>
      </c>
      <c r="G921" s="19" t="str">
        <f t="shared" si="14"/>
        <v>40-50</v>
      </c>
    </row>
    <row r="922" spans="1:7" ht="20" customHeight="1" x14ac:dyDescent="0.35">
      <c r="A922" s="17">
        <v>921</v>
      </c>
      <c r="B922" s="23" t="s">
        <v>99</v>
      </c>
      <c r="C922" s="18" t="s">
        <v>126</v>
      </c>
      <c r="D922" s="18">
        <v>52</v>
      </c>
      <c r="E922" s="18" t="s">
        <v>129</v>
      </c>
      <c r="F922" s="18" t="str">
        <f>IF(OR(D922&gt;Answers!L937,D922&lt;Answers!L938),"Outlier","Normal")</f>
        <v>Outlier</v>
      </c>
      <c r="G922" s="19" t="str">
        <f t="shared" si="14"/>
        <v>40-50</v>
      </c>
    </row>
    <row r="923" spans="1:7" ht="20" customHeight="1" x14ac:dyDescent="0.35">
      <c r="A923" s="17">
        <v>922</v>
      </c>
      <c r="B923" s="23" t="s">
        <v>110</v>
      </c>
      <c r="C923" s="18" t="s">
        <v>126</v>
      </c>
      <c r="D923" s="18">
        <v>31</v>
      </c>
      <c r="E923" s="18" t="s">
        <v>129</v>
      </c>
      <c r="F923" s="18" t="str">
        <f>IF(OR(D923&gt;Answers!L938,D923&lt;Answers!L939),"Outlier","Normal")</f>
        <v>Outlier</v>
      </c>
      <c r="G923" s="19" t="str">
        <f t="shared" si="14"/>
        <v>30-40</v>
      </c>
    </row>
    <row r="924" spans="1:7" ht="20" customHeight="1" x14ac:dyDescent="0.35">
      <c r="A924" s="17">
        <v>923</v>
      </c>
      <c r="B924" s="23" t="s">
        <v>99</v>
      </c>
      <c r="C924" s="18" t="s">
        <v>126</v>
      </c>
      <c r="D924" s="18">
        <v>44</v>
      </c>
      <c r="E924" s="18" t="s">
        <v>129</v>
      </c>
      <c r="F924" s="18" t="str">
        <f>IF(OR(D924&gt;Answers!L939,D924&lt;Answers!L940),"Outlier","Normal")</f>
        <v>Outlier</v>
      </c>
      <c r="G924" s="19" t="str">
        <f t="shared" si="14"/>
        <v>40-50</v>
      </c>
    </row>
    <row r="925" spans="1:7" ht="20" customHeight="1" x14ac:dyDescent="0.35">
      <c r="A925" s="17">
        <v>924</v>
      </c>
      <c r="B925" s="23" t="s">
        <v>113</v>
      </c>
      <c r="C925" s="18" t="s">
        <v>125</v>
      </c>
      <c r="D925" s="18">
        <v>64</v>
      </c>
      <c r="E925" s="18" t="s">
        <v>129</v>
      </c>
      <c r="F925" s="18" t="str">
        <f>IF(OR(D925&gt;Answers!L940,D925&lt;Answers!L941),"Outlier","Normal")</f>
        <v>Outlier</v>
      </c>
      <c r="G925" s="19" t="str">
        <f t="shared" si="14"/>
        <v>40-50</v>
      </c>
    </row>
    <row r="926" spans="1:7" ht="20" customHeight="1" x14ac:dyDescent="0.35">
      <c r="A926" s="17">
        <v>925</v>
      </c>
      <c r="B926" s="23" t="s">
        <v>99</v>
      </c>
      <c r="C926" s="18" t="s">
        <v>126</v>
      </c>
      <c r="D926" s="18">
        <v>34</v>
      </c>
      <c r="E926" s="18" t="s">
        <v>129</v>
      </c>
      <c r="F926" s="18" t="str">
        <f>IF(OR(D926&gt;Answers!L941,D926&lt;Answers!L942),"Outlier","Normal")</f>
        <v>Outlier</v>
      </c>
      <c r="G926" s="19" t="str">
        <f t="shared" si="14"/>
        <v>30-40</v>
      </c>
    </row>
    <row r="927" spans="1:7" ht="20" customHeight="1" x14ac:dyDescent="0.35">
      <c r="A927" s="17">
        <v>926</v>
      </c>
      <c r="B927" s="23" t="s">
        <v>99</v>
      </c>
      <c r="C927" s="18" t="s">
        <v>126</v>
      </c>
      <c r="D927" s="18">
        <v>19</v>
      </c>
      <c r="E927" s="18" t="s">
        <v>129</v>
      </c>
      <c r="F927" s="18" t="str">
        <f>IF(OR(D927&gt;Answers!L942,D927&lt;Answers!L943),"Outlier","Normal")</f>
        <v>Outlier</v>
      </c>
      <c r="G927" s="19" t="str">
        <f t="shared" si="14"/>
        <v>&lt;20</v>
      </c>
    </row>
    <row r="928" spans="1:7" ht="20" customHeight="1" x14ac:dyDescent="0.35">
      <c r="A928" s="17">
        <v>927</v>
      </c>
      <c r="B928" s="23" t="s">
        <v>113</v>
      </c>
      <c r="C928" s="18" t="s">
        <v>125</v>
      </c>
      <c r="D928" s="18">
        <v>77</v>
      </c>
      <c r="E928" s="18" t="s">
        <v>129</v>
      </c>
      <c r="F928" s="18" t="str">
        <f>IF(OR(D928&gt;Answers!L943,D928&lt;Answers!L944),"Outlier","Normal")</f>
        <v>Outlier</v>
      </c>
      <c r="G928" s="19" t="str">
        <f t="shared" si="14"/>
        <v>40-50</v>
      </c>
    </row>
    <row r="929" spans="1:7" ht="20" customHeight="1" x14ac:dyDescent="0.35">
      <c r="A929" s="17">
        <v>928</v>
      </c>
      <c r="B929" s="23" t="s">
        <v>104</v>
      </c>
      <c r="C929" s="18" t="s">
        <v>126</v>
      </c>
      <c r="D929" s="18">
        <v>56</v>
      </c>
      <c r="E929" s="18" t="s">
        <v>129</v>
      </c>
      <c r="F929" s="18" t="str">
        <f>IF(OR(D929&gt;Answers!L944,D929&lt;Answers!L945),"Outlier","Normal")</f>
        <v>Outlier</v>
      </c>
      <c r="G929" s="19" t="str">
        <f t="shared" si="14"/>
        <v>40-50</v>
      </c>
    </row>
    <row r="930" spans="1:7" ht="20" customHeight="1" x14ac:dyDescent="0.35">
      <c r="A930" s="17">
        <v>929</v>
      </c>
      <c r="B930" s="23" t="s">
        <v>99</v>
      </c>
      <c r="C930" s="18" t="s">
        <v>125</v>
      </c>
      <c r="D930" s="18">
        <v>18</v>
      </c>
      <c r="E930" s="18" t="s">
        <v>129</v>
      </c>
      <c r="F930" s="18" t="str">
        <f>IF(OR(D930&gt;Answers!L945,D930&lt;Answers!L946),"Outlier","Normal")</f>
        <v>Outlier</v>
      </c>
      <c r="G930" s="19" t="str">
        <f t="shared" si="14"/>
        <v>&lt;20</v>
      </c>
    </row>
    <row r="931" spans="1:7" ht="20" customHeight="1" x14ac:dyDescent="0.35">
      <c r="A931" s="17">
        <v>930</v>
      </c>
      <c r="B931" s="23" t="s">
        <v>101</v>
      </c>
      <c r="C931" s="18" t="s">
        <v>125</v>
      </c>
      <c r="D931" s="18">
        <v>21</v>
      </c>
      <c r="E931" s="18" t="s">
        <v>129</v>
      </c>
      <c r="F931" s="18" t="str">
        <f>IF(OR(D931&gt;Answers!L946,D931&lt;Answers!L947),"Outlier","Normal")</f>
        <v>Outlier</v>
      </c>
      <c r="G931" s="19" t="str">
        <f t="shared" si="14"/>
        <v>20-30</v>
      </c>
    </row>
    <row r="932" spans="1:7" ht="20" customHeight="1" x14ac:dyDescent="0.35">
      <c r="A932" s="17">
        <v>931</v>
      </c>
      <c r="B932" s="23" t="s">
        <v>99</v>
      </c>
      <c r="C932" s="18" t="s">
        <v>126</v>
      </c>
      <c r="D932" s="18">
        <v>58</v>
      </c>
      <c r="E932" s="18" t="s">
        <v>129</v>
      </c>
      <c r="F932" s="18" t="str">
        <f>IF(OR(D932&gt;Answers!L947,D932&lt;Answers!L948),"Outlier","Normal")</f>
        <v>Outlier</v>
      </c>
      <c r="G932" s="19" t="str">
        <f t="shared" si="14"/>
        <v>40-50</v>
      </c>
    </row>
    <row r="933" spans="1:7" ht="20" customHeight="1" x14ac:dyDescent="0.35">
      <c r="A933" s="17">
        <v>932</v>
      </c>
      <c r="B933" s="23" t="s">
        <v>110</v>
      </c>
      <c r="C933" s="18" t="s">
        <v>126</v>
      </c>
      <c r="D933" s="18">
        <v>61</v>
      </c>
      <c r="E933" s="18" t="s">
        <v>129</v>
      </c>
      <c r="F933" s="18" t="str">
        <f>IF(OR(D933&gt;Answers!L948,D933&lt;Answers!L949),"Outlier","Normal")</f>
        <v>Outlier</v>
      </c>
      <c r="G933" s="19" t="str">
        <f t="shared" si="14"/>
        <v>40-50</v>
      </c>
    </row>
    <row r="934" spans="1:7" ht="20" customHeight="1" x14ac:dyDescent="0.35">
      <c r="A934" s="17">
        <v>933</v>
      </c>
      <c r="B934" s="23" t="s">
        <v>99</v>
      </c>
      <c r="C934" s="18" t="s">
        <v>126</v>
      </c>
      <c r="D934" s="18">
        <v>24</v>
      </c>
      <c r="E934" s="18" t="s">
        <v>129</v>
      </c>
      <c r="F934" s="18" t="str">
        <f>IF(OR(D934&gt;Answers!L949,D934&lt;Answers!L950),"Outlier","Normal")</f>
        <v>Outlier</v>
      </c>
      <c r="G934" s="19" t="str">
        <f t="shared" si="14"/>
        <v>20-30</v>
      </c>
    </row>
    <row r="935" spans="1:7" ht="20" customHeight="1" x14ac:dyDescent="0.35">
      <c r="A935" s="17">
        <v>934</v>
      </c>
      <c r="B935" s="23" t="s">
        <v>99</v>
      </c>
      <c r="C935" s="18" t="s">
        <v>125</v>
      </c>
      <c r="D935" s="18">
        <v>70</v>
      </c>
      <c r="E935" s="18" t="s">
        <v>129</v>
      </c>
      <c r="F935" s="18" t="str">
        <f>IF(OR(D935&gt;Answers!L950,D935&lt;Answers!L951),"Outlier","Normal")</f>
        <v>Outlier</v>
      </c>
      <c r="G935" s="19" t="str">
        <f t="shared" si="14"/>
        <v>40-50</v>
      </c>
    </row>
    <row r="936" spans="1:7" ht="20" customHeight="1" x14ac:dyDescent="0.35">
      <c r="A936" s="17">
        <v>935</v>
      </c>
      <c r="B936" s="23" t="s">
        <v>100</v>
      </c>
      <c r="C936" s="18" t="s">
        <v>125</v>
      </c>
      <c r="D936" s="18">
        <v>38</v>
      </c>
      <c r="E936" s="18" t="s">
        <v>129</v>
      </c>
      <c r="F936" s="18" t="str">
        <f>IF(OR(D936&gt;Answers!L951,D936&lt;Answers!L952),"Outlier","Normal")</f>
        <v>Outlier</v>
      </c>
      <c r="G936" s="19" t="str">
        <f t="shared" si="14"/>
        <v>30-40</v>
      </c>
    </row>
    <row r="937" spans="1:7" ht="20" customHeight="1" x14ac:dyDescent="0.35">
      <c r="A937" s="17">
        <v>936</v>
      </c>
      <c r="B937" s="23" t="s">
        <v>106</v>
      </c>
      <c r="C937" s="18" t="s">
        <v>125</v>
      </c>
      <c r="D937" s="18">
        <v>34</v>
      </c>
      <c r="E937" s="18" t="s">
        <v>129</v>
      </c>
      <c r="F937" s="18" t="str">
        <f>IF(OR(D937&gt;Answers!L952,D937&lt;Answers!L953),"Outlier","Normal")</f>
        <v>Outlier</v>
      </c>
      <c r="G937" s="19" t="str">
        <f t="shared" si="14"/>
        <v>30-40</v>
      </c>
    </row>
    <row r="938" spans="1:7" ht="20" customHeight="1" x14ac:dyDescent="0.35">
      <c r="A938" s="17">
        <v>937</v>
      </c>
      <c r="B938" s="23" t="s">
        <v>109</v>
      </c>
      <c r="C938" s="18" t="s">
        <v>126</v>
      </c>
      <c r="D938" s="18">
        <v>21</v>
      </c>
      <c r="E938" s="18" t="s">
        <v>129</v>
      </c>
      <c r="F938" s="18" t="str">
        <f>IF(OR(D938&gt;Answers!L953,D938&lt;Answers!L954),"Outlier","Normal")</f>
        <v>Outlier</v>
      </c>
      <c r="G938" s="19" t="str">
        <f t="shared" si="14"/>
        <v>20-30</v>
      </c>
    </row>
    <row r="939" spans="1:7" ht="20" customHeight="1" x14ac:dyDescent="0.35">
      <c r="A939" s="17">
        <v>938</v>
      </c>
      <c r="B939" s="23" t="s">
        <v>109</v>
      </c>
      <c r="C939" s="18" t="s">
        <v>126</v>
      </c>
      <c r="D939" s="18">
        <v>42</v>
      </c>
      <c r="E939" s="18" t="s">
        <v>129</v>
      </c>
      <c r="F939" s="18" t="str">
        <f>IF(OR(D939&gt;Answers!L954,D939&lt;Answers!L955),"Outlier","Normal")</f>
        <v>Outlier</v>
      </c>
      <c r="G939" s="19" t="str">
        <f t="shared" si="14"/>
        <v>40-50</v>
      </c>
    </row>
    <row r="940" spans="1:7" ht="20" customHeight="1" x14ac:dyDescent="0.35">
      <c r="A940" s="17">
        <v>939</v>
      </c>
      <c r="B940" s="23" t="s">
        <v>99</v>
      </c>
      <c r="C940" s="18" t="s">
        <v>125</v>
      </c>
      <c r="D940" s="18">
        <v>73</v>
      </c>
      <c r="E940" s="18" t="s">
        <v>129</v>
      </c>
      <c r="F940" s="18" t="str">
        <f>IF(OR(D940&gt;Answers!L955,D940&lt;Answers!L956),"Outlier","Normal")</f>
        <v>Outlier</v>
      </c>
      <c r="G940" s="19" t="str">
        <f t="shared" si="14"/>
        <v>40-50</v>
      </c>
    </row>
    <row r="941" spans="1:7" ht="20" customHeight="1" x14ac:dyDescent="0.35">
      <c r="A941" s="17">
        <v>940</v>
      </c>
      <c r="B941" s="23" t="s">
        <v>99</v>
      </c>
      <c r="C941" s="18" t="s">
        <v>125</v>
      </c>
      <c r="D941" s="18">
        <v>79</v>
      </c>
      <c r="E941" s="18" t="s">
        <v>129</v>
      </c>
      <c r="F941" s="18" t="str">
        <f>IF(OR(D941&gt;Answers!L956,D941&lt;Answers!L957),"Outlier","Normal")</f>
        <v>Outlier</v>
      </c>
      <c r="G941" s="19" t="str">
        <f t="shared" si="14"/>
        <v>40-50</v>
      </c>
    </row>
    <row r="942" spans="1:7" ht="20" customHeight="1" x14ac:dyDescent="0.35">
      <c r="A942" s="17">
        <v>941</v>
      </c>
      <c r="B942" s="23" t="s">
        <v>99</v>
      </c>
      <c r="C942" s="18" t="s">
        <v>125</v>
      </c>
      <c r="D942" s="18">
        <v>81</v>
      </c>
      <c r="E942" s="18" t="s">
        <v>129</v>
      </c>
      <c r="F942" s="18" t="str">
        <f>IF(OR(D942&gt;Answers!L957,D942&lt;Answers!L958),"Outlier","Normal")</f>
        <v>Outlier</v>
      </c>
      <c r="G942" s="19" t="str">
        <f t="shared" si="14"/>
        <v>40-50</v>
      </c>
    </row>
    <row r="943" spans="1:7" ht="20" customHeight="1" x14ac:dyDescent="0.35">
      <c r="A943" s="17">
        <v>942</v>
      </c>
      <c r="B943" s="23" t="s">
        <v>99</v>
      </c>
      <c r="C943" s="18" t="s">
        <v>126</v>
      </c>
      <c r="D943" s="18">
        <v>72</v>
      </c>
      <c r="E943" s="18" t="s">
        <v>129</v>
      </c>
      <c r="F943" s="18" t="str">
        <f>IF(OR(D943&gt;Answers!L958,D943&lt;Answers!L959),"Outlier","Normal")</f>
        <v>Outlier</v>
      </c>
      <c r="G943" s="19" t="str">
        <f t="shared" si="14"/>
        <v>40-50</v>
      </c>
    </row>
    <row r="944" spans="1:7" ht="20" customHeight="1" x14ac:dyDescent="0.35">
      <c r="A944" s="17">
        <v>943</v>
      </c>
      <c r="B944" s="23" t="s">
        <v>99</v>
      </c>
      <c r="C944" s="18" t="s">
        <v>126</v>
      </c>
      <c r="D944" s="18">
        <v>48</v>
      </c>
      <c r="E944" s="18" t="s">
        <v>129</v>
      </c>
      <c r="F944" s="18" t="str">
        <f>IF(OR(D944&gt;Answers!L959,D944&lt;Answers!L960),"Outlier","Normal")</f>
        <v>Outlier</v>
      </c>
      <c r="G944" s="19" t="str">
        <f t="shared" si="14"/>
        <v>40-50</v>
      </c>
    </row>
    <row r="945" spans="1:7" ht="20" customHeight="1" x14ac:dyDescent="0.35">
      <c r="A945" s="17">
        <v>944</v>
      </c>
      <c r="B945" s="23" t="s">
        <v>113</v>
      </c>
      <c r="C945" s="18" t="s">
        <v>125</v>
      </c>
      <c r="D945" s="18">
        <v>38</v>
      </c>
      <c r="E945" s="18" t="s">
        <v>129</v>
      </c>
      <c r="F945" s="18" t="str">
        <f>IF(OR(D945&gt;Answers!L960,D945&lt;Answers!L961),"Outlier","Normal")</f>
        <v>Outlier</v>
      </c>
      <c r="G945" s="19" t="str">
        <f t="shared" si="14"/>
        <v>30-40</v>
      </c>
    </row>
    <row r="946" spans="1:7" ht="20" customHeight="1" x14ac:dyDescent="0.35">
      <c r="A946" s="17">
        <v>945</v>
      </c>
      <c r="B946" s="23" t="s">
        <v>100</v>
      </c>
      <c r="C946" s="18" t="s">
        <v>125</v>
      </c>
      <c r="D946" s="18">
        <v>34</v>
      </c>
      <c r="E946" s="18" t="s">
        <v>129</v>
      </c>
      <c r="F946" s="18" t="str">
        <f>IF(OR(D946&gt;Answers!L961,D946&lt;Answers!L962),"Outlier","Normal")</f>
        <v>Outlier</v>
      </c>
      <c r="G946" s="19" t="str">
        <f t="shared" si="14"/>
        <v>30-40</v>
      </c>
    </row>
    <row r="947" spans="1:7" ht="20" customHeight="1" x14ac:dyDescent="0.35">
      <c r="A947" s="17">
        <v>946</v>
      </c>
      <c r="B947" s="23" t="s">
        <v>113</v>
      </c>
      <c r="C947" s="18" t="s">
        <v>125</v>
      </c>
      <c r="D947" s="18">
        <v>27</v>
      </c>
      <c r="E947" s="18" t="s">
        <v>129</v>
      </c>
      <c r="F947" s="18" t="str">
        <f>IF(OR(D947&gt;Answers!L962,D947&lt;Answers!L963),"Outlier","Normal")</f>
        <v>Outlier</v>
      </c>
      <c r="G947" s="19" t="str">
        <f t="shared" si="14"/>
        <v>20-30</v>
      </c>
    </row>
    <row r="948" spans="1:7" ht="20" customHeight="1" x14ac:dyDescent="0.35">
      <c r="A948" s="17">
        <v>947</v>
      </c>
      <c r="B948" s="23" t="s">
        <v>101</v>
      </c>
      <c r="C948" s="18" t="s">
        <v>126</v>
      </c>
      <c r="D948" s="18">
        <v>22</v>
      </c>
      <c r="E948" s="18" t="s">
        <v>129</v>
      </c>
      <c r="F948" s="18" t="str">
        <f>IF(OR(D948&gt;Answers!L963,D948&lt;Answers!L964),"Outlier","Normal")</f>
        <v>Outlier</v>
      </c>
      <c r="G948" s="19" t="str">
        <f t="shared" si="14"/>
        <v>20-30</v>
      </c>
    </row>
    <row r="949" spans="1:7" ht="20" customHeight="1" x14ac:dyDescent="0.35">
      <c r="A949" s="17">
        <v>948</v>
      </c>
      <c r="B949" s="23" t="s">
        <v>102</v>
      </c>
      <c r="C949" s="18" t="s">
        <v>125</v>
      </c>
      <c r="D949" s="18">
        <v>27</v>
      </c>
      <c r="E949" s="18" t="s">
        <v>129</v>
      </c>
      <c r="F949" s="18" t="str">
        <f>IF(OR(D949&gt;Answers!L964,D949&lt;Answers!L965),"Outlier","Normal")</f>
        <v>Outlier</v>
      </c>
      <c r="G949" s="19" t="str">
        <f t="shared" si="14"/>
        <v>20-30</v>
      </c>
    </row>
    <row r="950" spans="1:7" ht="20" customHeight="1" x14ac:dyDescent="0.35">
      <c r="A950" s="17">
        <v>949</v>
      </c>
      <c r="B950" s="23" t="s">
        <v>103</v>
      </c>
      <c r="C950" s="18" t="s">
        <v>125</v>
      </c>
      <c r="D950" s="18">
        <v>71</v>
      </c>
      <c r="E950" s="18" t="s">
        <v>129</v>
      </c>
      <c r="F950" s="18" t="str">
        <f>IF(OR(D950&gt;Answers!L965,D950&lt;Answers!L966),"Outlier","Normal")</f>
        <v>Outlier</v>
      </c>
      <c r="G950" s="19" t="str">
        <f t="shared" si="14"/>
        <v>40-50</v>
      </c>
    </row>
    <row r="951" spans="1:7" ht="20" customHeight="1" x14ac:dyDescent="0.35">
      <c r="A951" s="17">
        <v>950</v>
      </c>
      <c r="B951" s="23" t="s">
        <v>100</v>
      </c>
      <c r="C951" s="18" t="s">
        <v>125</v>
      </c>
      <c r="D951" s="18">
        <v>72</v>
      </c>
      <c r="E951" s="18" t="s">
        <v>129</v>
      </c>
      <c r="F951" s="18" t="str">
        <f>IF(OR(D951&gt;Answers!L966,D951&lt;Answers!L967),"Outlier","Normal")</f>
        <v>Outlier</v>
      </c>
      <c r="G951" s="19" t="str">
        <f t="shared" si="14"/>
        <v>40-50</v>
      </c>
    </row>
    <row r="952" spans="1:7" ht="20" customHeight="1" x14ac:dyDescent="0.35">
      <c r="A952" s="17">
        <v>951</v>
      </c>
      <c r="B952" s="23" t="s">
        <v>109</v>
      </c>
      <c r="C952" s="18" t="s">
        <v>125</v>
      </c>
      <c r="D952" s="18">
        <v>22</v>
      </c>
      <c r="E952" s="18" t="s">
        <v>129</v>
      </c>
      <c r="F952" s="18" t="str">
        <f>IF(OR(D952&gt;Answers!L967,D952&lt;Answers!L968),"Outlier","Normal")</f>
        <v>Outlier</v>
      </c>
      <c r="G952" s="19" t="str">
        <f t="shared" si="14"/>
        <v>20-30</v>
      </c>
    </row>
    <row r="953" spans="1:7" ht="20" customHeight="1" x14ac:dyDescent="0.35">
      <c r="A953" s="17">
        <v>952</v>
      </c>
      <c r="B953" s="23" t="s">
        <v>104</v>
      </c>
      <c r="C953" s="18" t="s">
        <v>126</v>
      </c>
      <c r="D953" s="18">
        <v>40</v>
      </c>
      <c r="E953" s="18" t="s">
        <v>129</v>
      </c>
      <c r="F953" s="18" t="str">
        <f>IF(OR(D953&gt;Answers!L968,D953&lt;Answers!L969),"Outlier","Normal")</f>
        <v>Outlier</v>
      </c>
      <c r="G953" s="19" t="str">
        <f t="shared" si="14"/>
        <v>30-40</v>
      </c>
    </row>
    <row r="954" spans="1:7" ht="20" customHeight="1" x14ac:dyDescent="0.35">
      <c r="A954" s="17">
        <v>953</v>
      </c>
      <c r="B954" s="23" t="s">
        <v>99</v>
      </c>
      <c r="C954" s="18" t="s">
        <v>126</v>
      </c>
      <c r="D954" s="18">
        <v>67</v>
      </c>
      <c r="E954" s="18" t="s">
        <v>129</v>
      </c>
      <c r="F954" s="18" t="str">
        <f>IF(OR(D954&gt;Answers!L969,D954&lt;Answers!L970),"Outlier","Normal")</f>
        <v>Outlier</v>
      </c>
      <c r="G954" s="19" t="str">
        <f t="shared" si="14"/>
        <v>40-50</v>
      </c>
    </row>
    <row r="955" spans="1:7" ht="20" customHeight="1" x14ac:dyDescent="0.35">
      <c r="A955" s="17">
        <v>954</v>
      </c>
      <c r="B955" s="23" t="s">
        <v>113</v>
      </c>
      <c r="C955" s="18" t="s">
        <v>125</v>
      </c>
      <c r="D955" s="18">
        <v>35</v>
      </c>
      <c r="E955" s="18" t="s">
        <v>129</v>
      </c>
      <c r="F955" s="18" t="str">
        <f>IF(OR(D955&gt;Answers!L970,D955&lt;Answers!L971),"Outlier","Normal")</f>
        <v>Outlier</v>
      </c>
      <c r="G955" s="19" t="str">
        <f t="shared" si="14"/>
        <v>30-40</v>
      </c>
    </row>
    <row r="956" spans="1:7" ht="20" customHeight="1" x14ac:dyDescent="0.35">
      <c r="A956" s="17">
        <v>955</v>
      </c>
      <c r="B956" s="23" t="s">
        <v>113</v>
      </c>
      <c r="C956" s="18" t="s">
        <v>125</v>
      </c>
      <c r="D956" s="18">
        <v>85</v>
      </c>
      <c r="E956" s="18" t="s">
        <v>129</v>
      </c>
      <c r="F956" s="18" t="str">
        <f>IF(OR(D956&gt;Answers!L971,D956&lt;Answers!L972),"Outlier","Normal")</f>
        <v>Outlier</v>
      </c>
      <c r="G956" s="19" t="str">
        <f t="shared" si="14"/>
        <v>40-50</v>
      </c>
    </row>
    <row r="957" spans="1:7" ht="20" customHeight="1" x14ac:dyDescent="0.35">
      <c r="A957" s="17">
        <v>956</v>
      </c>
      <c r="B957" s="23" t="s">
        <v>100</v>
      </c>
      <c r="C957" s="18" t="s">
        <v>125</v>
      </c>
      <c r="D957" s="18">
        <v>27</v>
      </c>
      <c r="E957" s="18" t="s">
        <v>129</v>
      </c>
      <c r="F957" s="18" t="str">
        <f>IF(OR(D957&gt;Answers!L972,D957&lt;Answers!L973),"Outlier","Normal")</f>
        <v>Outlier</v>
      </c>
      <c r="G957" s="19" t="str">
        <f t="shared" si="14"/>
        <v>20-30</v>
      </c>
    </row>
    <row r="958" spans="1:7" ht="20" customHeight="1" x14ac:dyDescent="0.35">
      <c r="A958" s="17">
        <v>957</v>
      </c>
      <c r="B958" s="23" t="s">
        <v>103</v>
      </c>
      <c r="C958" s="18" t="s">
        <v>126</v>
      </c>
      <c r="D958" s="18">
        <v>24</v>
      </c>
      <c r="E958" s="18" t="s">
        <v>129</v>
      </c>
      <c r="F958" s="18" t="str">
        <f>IF(OR(D958&gt;Answers!L973,D958&lt;Answers!L974),"Outlier","Normal")</f>
        <v>Outlier</v>
      </c>
      <c r="G958" s="19" t="str">
        <f t="shared" si="14"/>
        <v>20-30</v>
      </c>
    </row>
    <row r="959" spans="1:7" ht="20" customHeight="1" x14ac:dyDescent="0.35">
      <c r="A959" s="17">
        <v>958</v>
      </c>
      <c r="B959" s="23" t="s">
        <v>99</v>
      </c>
      <c r="C959" s="18" t="s">
        <v>125</v>
      </c>
      <c r="D959" s="18">
        <v>89</v>
      </c>
      <c r="E959" s="18" t="s">
        <v>129</v>
      </c>
      <c r="F959" s="18" t="str">
        <f>IF(OR(D959&gt;Answers!L974,D959&lt;Answers!L975),"Outlier","Normal")</f>
        <v>Outlier</v>
      </c>
      <c r="G959" s="19" t="str">
        <f t="shared" si="14"/>
        <v>40-50</v>
      </c>
    </row>
    <row r="960" spans="1:7" ht="20" customHeight="1" x14ac:dyDescent="0.35">
      <c r="A960" s="17">
        <v>959</v>
      </c>
      <c r="B960" s="23" t="s">
        <v>99</v>
      </c>
      <c r="C960" s="18" t="s">
        <v>126</v>
      </c>
      <c r="D960" s="18">
        <v>72</v>
      </c>
      <c r="E960" s="18" t="s">
        <v>129</v>
      </c>
      <c r="F960" s="18" t="str">
        <f>IF(OR(D960&gt;Answers!L975,D960&lt;Answers!L976),"Outlier","Normal")</f>
        <v>Outlier</v>
      </c>
      <c r="G960" s="19" t="str">
        <f t="shared" si="14"/>
        <v>40-50</v>
      </c>
    </row>
    <row r="961" spans="1:7" ht="20" customHeight="1" x14ac:dyDescent="0.35">
      <c r="A961" s="17">
        <v>960</v>
      </c>
      <c r="B961" s="23" t="s">
        <v>99</v>
      </c>
      <c r="C961" s="18" t="s">
        <v>126</v>
      </c>
      <c r="D961" s="18">
        <v>69</v>
      </c>
      <c r="E961" s="18" t="s">
        <v>129</v>
      </c>
      <c r="F961" s="18" t="str">
        <f>IF(OR(D961&gt;Answers!L976,D961&lt;Answers!L977),"Outlier","Normal")</f>
        <v>Outlier</v>
      </c>
      <c r="G961" s="19" t="str">
        <f t="shared" si="14"/>
        <v>40-50</v>
      </c>
    </row>
    <row r="962" spans="1:7" ht="20" customHeight="1" x14ac:dyDescent="0.35">
      <c r="A962" s="17">
        <v>961</v>
      </c>
      <c r="B962" s="23" t="s">
        <v>99</v>
      </c>
      <c r="C962" s="18" t="s">
        <v>126</v>
      </c>
      <c r="D962" s="18">
        <v>82</v>
      </c>
      <c r="E962" s="18" t="s">
        <v>129</v>
      </c>
      <c r="F962" s="18" t="str">
        <f>IF(OR(D962&gt;Answers!L977,D962&lt;Answers!L978),"Outlier","Normal")</f>
        <v>Outlier</v>
      </c>
      <c r="G962" s="19" t="str">
        <f t="shared" si="14"/>
        <v>40-50</v>
      </c>
    </row>
    <row r="963" spans="1:7" ht="20" customHeight="1" x14ac:dyDescent="0.35">
      <c r="A963" s="17">
        <v>962</v>
      </c>
      <c r="B963" s="23" t="s">
        <v>99</v>
      </c>
      <c r="C963" s="18" t="s">
        <v>126</v>
      </c>
      <c r="D963" s="18">
        <v>75</v>
      </c>
      <c r="E963" s="18" t="s">
        <v>129</v>
      </c>
      <c r="F963" s="18" t="str">
        <f>IF(OR(D963&gt;Answers!L978,D963&lt;Answers!L979),"Outlier","Normal")</f>
        <v>Outlier</v>
      </c>
      <c r="G963" s="19" t="str">
        <f t="shared" ref="G963:G1026" si="15">IF(D963&lt;20,"&lt;20",
IF(D963&lt;=30,"20-30",
IF(D963&lt;=40,"30-40","40-50")))</f>
        <v>40-50</v>
      </c>
    </row>
    <row r="964" spans="1:7" ht="20" customHeight="1" x14ac:dyDescent="0.35">
      <c r="A964" s="17">
        <v>963</v>
      </c>
      <c r="B964" s="23" t="s">
        <v>99</v>
      </c>
      <c r="C964" s="18" t="s">
        <v>126</v>
      </c>
      <c r="D964" s="18">
        <v>67</v>
      </c>
      <c r="E964" s="18" t="s">
        <v>129</v>
      </c>
      <c r="F964" s="18" t="str">
        <f>IF(OR(D964&gt;Answers!L979,D964&lt;Answers!L980),"Outlier","Normal")</f>
        <v>Outlier</v>
      </c>
      <c r="G964" s="19" t="str">
        <f t="shared" si="15"/>
        <v>40-50</v>
      </c>
    </row>
    <row r="965" spans="1:7" ht="20" customHeight="1" x14ac:dyDescent="0.35">
      <c r="A965" s="17">
        <v>964</v>
      </c>
      <c r="B965" s="23" t="s">
        <v>100</v>
      </c>
      <c r="C965" s="18" t="s">
        <v>126</v>
      </c>
      <c r="D965" s="18">
        <v>53</v>
      </c>
      <c r="E965" s="18" t="s">
        <v>129</v>
      </c>
      <c r="F965" s="18" t="str">
        <f>IF(OR(D965&gt;Answers!L980,D965&lt;Answers!L981),"Outlier","Normal")</f>
        <v>Outlier</v>
      </c>
      <c r="G965" s="19" t="str">
        <f t="shared" si="15"/>
        <v>40-50</v>
      </c>
    </row>
    <row r="966" spans="1:7" ht="20" customHeight="1" x14ac:dyDescent="0.35">
      <c r="A966" s="17">
        <v>965</v>
      </c>
      <c r="B966" s="23" t="s">
        <v>101</v>
      </c>
      <c r="C966" s="18" t="s">
        <v>126</v>
      </c>
      <c r="D966" s="18">
        <v>50</v>
      </c>
      <c r="E966" s="18" t="s">
        <v>129</v>
      </c>
      <c r="F966" s="18" t="str">
        <f>IF(OR(D966&gt;Answers!L981,D966&lt;Answers!L982),"Outlier","Normal")</f>
        <v>Outlier</v>
      </c>
      <c r="G966" s="19" t="str">
        <f t="shared" si="15"/>
        <v>40-50</v>
      </c>
    </row>
    <row r="967" spans="1:7" ht="20" customHeight="1" x14ac:dyDescent="0.35">
      <c r="A967" s="17">
        <v>966</v>
      </c>
      <c r="B967" s="23" t="s">
        <v>99</v>
      </c>
      <c r="C967" s="18" t="s">
        <v>126</v>
      </c>
      <c r="D967" s="18">
        <v>49</v>
      </c>
      <c r="E967" s="18" t="s">
        <v>129</v>
      </c>
      <c r="F967" s="18" t="str">
        <f>IF(OR(D967&gt;Answers!L982,D967&lt;Answers!L983),"Outlier","Normal")</f>
        <v>Outlier</v>
      </c>
      <c r="G967" s="19" t="str">
        <f t="shared" si="15"/>
        <v>40-50</v>
      </c>
    </row>
    <row r="968" spans="1:7" ht="20" customHeight="1" x14ac:dyDescent="0.35">
      <c r="A968" s="17">
        <v>967</v>
      </c>
      <c r="B968" s="23" t="s">
        <v>101</v>
      </c>
      <c r="C968" s="18" t="s">
        <v>126</v>
      </c>
      <c r="D968" s="18">
        <v>54</v>
      </c>
      <c r="E968" s="18" t="s">
        <v>129</v>
      </c>
      <c r="F968" s="18" t="str">
        <f>IF(OR(D968&gt;Answers!L983,D968&lt;Answers!L984),"Outlier","Normal")</f>
        <v>Outlier</v>
      </c>
      <c r="G968" s="19" t="str">
        <f t="shared" si="15"/>
        <v>40-50</v>
      </c>
    </row>
    <row r="969" spans="1:7" ht="20" customHeight="1" x14ac:dyDescent="0.35">
      <c r="A969" s="17">
        <v>968</v>
      </c>
      <c r="B969" s="23" t="s">
        <v>108</v>
      </c>
      <c r="C969" s="18" t="s">
        <v>126</v>
      </c>
      <c r="D969" s="18">
        <v>44</v>
      </c>
      <c r="E969" s="18" t="s">
        <v>129</v>
      </c>
      <c r="F969" s="18" t="str">
        <f>IF(OR(D969&gt;Answers!L984,D969&lt;Answers!L985),"Outlier","Normal")</f>
        <v>Outlier</v>
      </c>
      <c r="G969" s="19" t="str">
        <f t="shared" si="15"/>
        <v>40-50</v>
      </c>
    </row>
    <row r="970" spans="1:7" ht="20" customHeight="1" x14ac:dyDescent="0.35">
      <c r="A970" s="17">
        <v>969</v>
      </c>
      <c r="B970" s="23" t="s">
        <v>99</v>
      </c>
      <c r="C970" s="18" t="s">
        <v>126</v>
      </c>
      <c r="D970" s="18">
        <v>27</v>
      </c>
      <c r="E970" s="18" t="s">
        <v>129</v>
      </c>
      <c r="F970" s="18" t="str">
        <f>IF(OR(D970&gt;Answers!L985,D970&lt;Answers!L986),"Outlier","Normal")</f>
        <v>Outlier</v>
      </c>
      <c r="G970" s="19" t="str">
        <f t="shared" si="15"/>
        <v>20-30</v>
      </c>
    </row>
    <row r="971" spans="1:7" ht="20" customHeight="1" x14ac:dyDescent="0.35">
      <c r="A971" s="17">
        <v>970</v>
      </c>
      <c r="B971" s="23" t="s">
        <v>99</v>
      </c>
      <c r="C971" s="18" t="s">
        <v>125</v>
      </c>
      <c r="D971" s="18">
        <v>72</v>
      </c>
      <c r="E971" s="18" t="s">
        <v>129</v>
      </c>
      <c r="F971" s="18" t="str">
        <f>IF(OR(D971&gt;Answers!L986,D971&lt;Answers!L987),"Outlier","Normal")</f>
        <v>Outlier</v>
      </c>
      <c r="G971" s="19" t="str">
        <f t="shared" si="15"/>
        <v>40-50</v>
      </c>
    </row>
    <row r="972" spans="1:7" ht="20" customHeight="1" x14ac:dyDescent="0.35">
      <c r="A972" s="17">
        <v>971</v>
      </c>
      <c r="B972" s="23" t="s">
        <v>100</v>
      </c>
      <c r="C972" s="18" t="s">
        <v>125</v>
      </c>
      <c r="D972" s="18">
        <v>22</v>
      </c>
      <c r="E972" s="18" t="s">
        <v>129</v>
      </c>
      <c r="F972" s="18" t="str">
        <f>IF(OR(D972&gt;Answers!L987,D972&lt;Answers!L988),"Outlier","Normal")</f>
        <v>Outlier</v>
      </c>
      <c r="G972" s="19" t="str">
        <f t="shared" si="15"/>
        <v>20-30</v>
      </c>
    </row>
    <row r="973" spans="1:7" ht="20" customHeight="1" x14ac:dyDescent="0.35">
      <c r="A973" s="17">
        <v>972</v>
      </c>
      <c r="B973" s="23" t="s">
        <v>100</v>
      </c>
      <c r="C973" s="18" t="s">
        <v>126</v>
      </c>
      <c r="D973" s="18">
        <v>35</v>
      </c>
      <c r="E973" s="18" t="s">
        <v>129</v>
      </c>
      <c r="F973" s="18" t="str">
        <f>IF(OR(D973&gt;Answers!L988,D973&lt;Answers!L989),"Outlier","Normal")</f>
        <v>Outlier</v>
      </c>
      <c r="G973" s="19" t="str">
        <f t="shared" si="15"/>
        <v>30-40</v>
      </c>
    </row>
    <row r="974" spans="1:7" ht="20" customHeight="1" x14ac:dyDescent="0.35">
      <c r="A974" s="17">
        <v>973</v>
      </c>
      <c r="B974" s="23" t="s">
        <v>99</v>
      </c>
      <c r="C974" s="18" t="s">
        <v>125</v>
      </c>
      <c r="D974" s="18">
        <v>50</v>
      </c>
      <c r="E974" s="18" t="s">
        <v>129</v>
      </c>
      <c r="F974" s="18" t="str">
        <f>IF(OR(D974&gt;Answers!L989,D974&lt;Answers!L990),"Outlier","Normal")</f>
        <v>Outlier</v>
      </c>
      <c r="G974" s="19" t="str">
        <f t="shared" si="15"/>
        <v>40-50</v>
      </c>
    </row>
    <row r="975" spans="1:7" ht="20" customHeight="1" x14ac:dyDescent="0.35">
      <c r="A975" s="17">
        <v>974</v>
      </c>
      <c r="B975" s="23" t="s">
        <v>100</v>
      </c>
      <c r="C975" s="18" t="s">
        <v>125</v>
      </c>
      <c r="D975" s="18">
        <v>60</v>
      </c>
      <c r="E975" s="18" t="s">
        <v>129</v>
      </c>
      <c r="F975" s="18" t="str">
        <f>IF(OR(D975&gt;Answers!L990,D975&lt;Answers!L991),"Outlier","Normal")</f>
        <v>Outlier</v>
      </c>
      <c r="G975" s="19" t="str">
        <f t="shared" si="15"/>
        <v>40-50</v>
      </c>
    </row>
    <row r="976" spans="1:7" ht="20" customHeight="1" x14ac:dyDescent="0.35">
      <c r="A976" s="17">
        <v>975</v>
      </c>
      <c r="B976" s="23" t="s">
        <v>100</v>
      </c>
      <c r="C976" s="18" t="s">
        <v>125</v>
      </c>
      <c r="D976" s="18">
        <v>45</v>
      </c>
      <c r="E976" s="18" t="s">
        <v>129</v>
      </c>
      <c r="F976" s="18" t="str">
        <f>IF(OR(D976&gt;Answers!L991,D976&lt;Answers!L992),"Outlier","Normal")</f>
        <v>Outlier</v>
      </c>
      <c r="G976" s="19" t="str">
        <f t="shared" si="15"/>
        <v>40-50</v>
      </c>
    </row>
    <row r="977" spans="1:7" ht="20" customHeight="1" x14ac:dyDescent="0.35">
      <c r="A977" s="17">
        <v>976</v>
      </c>
      <c r="B977" s="23" t="s">
        <v>106</v>
      </c>
      <c r="C977" s="18" t="s">
        <v>126</v>
      </c>
      <c r="D977" s="18">
        <v>48</v>
      </c>
      <c r="E977" s="18" t="s">
        <v>129</v>
      </c>
      <c r="F977" s="18" t="str">
        <f>IF(OR(D977&gt;Answers!L992,D977&lt;Answers!L993),"Outlier","Normal")</f>
        <v>Outlier</v>
      </c>
      <c r="G977" s="19" t="str">
        <f t="shared" si="15"/>
        <v>40-50</v>
      </c>
    </row>
    <row r="978" spans="1:7" ht="20" customHeight="1" x14ac:dyDescent="0.35">
      <c r="A978" s="17">
        <v>977</v>
      </c>
      <c r="B978" s="23" t="s">
        <v>113</v>
      </c>
      <c r="C978" s="18" t="s">
        <v>125</v>
      </c>
      <c r="D978" s="18">
        <v>31</v>
      </c>
      <c r="E978" s="18" t="s">
        <v>129</v>
      </c>
      <c r="F978" s="18" t="str">
        <f>IF(OR(D978&gt;Answers!L993,D978&lt;Answers!L994),"Outlier","Normal")</f>
        <v>Outlier</v>
      </c>
      <c r="G978" s="19" t="str">
        <f t="shared" si="15"/>
        <v>30-40</v>
      </c>
    </row>
    <row r="979" spans="1:7" ht="20" customHeight="1" x14ac:dyDescent="0.35">
      <c r="A979" s="17">
        <v>978</v>
      </c>
      <c r="B979" s="23" t="s">
        <v>99</v>
      </c>
      <c r="C979" s="18" t="s">
        <v>125</v>
      </c>
      <c r="D979" s="18">
        <v>80</v>
      </c>
      <c r="E979" s="18" t="s">
        <v>129</v>
      </c>
      <c r="F979" s="18" t="str">
        <f>IF(OR(D979&gt;Answers!L994,D979&lt;Answers!L995),"Outlier","Normal")</f>
        <v>Outlier</v>
      </c>
      <c r="G979" s="19" t="str">
        <f t="shared" si="15"/>
        <v>40-50</v>
      </c>
    </row>
    <row r="980" spans="1:7" ht="20" customHeight="1" x14ac:dyDescent="0.35">
      <c r="A980" s="17">
        <v>979</v>
      </c>
      <c r="B980" s="23" t="s">
        <v>101</v>
      </c>
      <c r="C980" s="18" t="s">
        <v>126</v>
      </c>
      <c r="D980" s="18">
        <v>47</v>
      </c>
      <c r="E980" s="18" t="s">
        <v>129</v>
      </c>
      <c r="F980" s="18" t="str">
        <f>IF(OR(D980&gt;Answers!L995,D980&lt;Answers!L996),"Outlier","Normal")</f>
        <v>Outlier</v>
      </c>
      <c r="G980" s="19" t="str">
        <f t="shared" si="15"/>
        <v>40-50</v>
      </c>
    </row>
    <row r="981" spans="1:7" ht="20" customHeight="1" x14ac:dyDescent="0.35">
      <c r="A981" s="17">
        <v>980</v>
      </c>
      <c r="B981" s="23" t="s">
        <v>99</v>
      </c>
      <c r="C981" s="18" t="s">
        <v>126</v>
      </c>
      <c r="D981" s="18">
        <v>31</v>
      </c>
      <c r="E981" s="18" t="s">
        <v>129</v>
      </c>
      <c r="F981" s="18" t="str">
        <f>IF(OR(D981&gt;Answers!L996,D981&lt;Answers!L997),"Outlier","Normal")</f>
        <v>Outlier</v>
      </c>
      <c r="G981" s="19" t="str">
        <f t="shared" si="15"/>
        <v>30-40</v>
      </c>
    </row>
    <row r="982" spans="1:7" ht="20" customHeight="1" x14ac:dyDescent="0.35">
      <c r="A982" s="17">
        <v>981</v>
      </c>
      <c r="B982" s="23" t="s">
        <v>99</v>
      </c>
      <c r="C982" s="18" t="s">
        <v>126</v>
      </c>
      <c r="D982" s="18">
        <v>78</v>
      </c>
      <c r="E982" s="18" t="s">
        <v>129</v>
      </c>
      <c r="F982" s="18" t="str">
        <f>IF(OR(D982&gt;Answers!L997,D982&lt;Answers!L998),"Outlier","Normal")</f>
        <v>Outlier</v>
      </c>
      <c r="G982" s="19" t="str">
        <f t="shared" si="15"/>
        <v>40-50</v>
      </c>
    </row>
    <row r="983" spans="1:7" ht="20" customHeight="1" x14ac:dyDescent="0.35">
      <c r="A983" s="17">
        <v>982</v>
      </c>
      <c r="B983" s="23" t="s">
        <v>99</v>
      </c>
      <c r="C983" s="18" t="s">
        <v>126</v>
      </c>
      <c r="D983" s="18">
        <v>35</v>
      </c>
      <c r="E983" s="18" t="s">
        <v>129</v>
      </c>
      <c r="F983" s="18" t="str">
        <f>IF(OR(D983&gt;Answers!L998,D983&lt;Answers!L999),"Outlier","Normal")</f>
        <v>Outlier</v>
      </c>
      <c r="G983" s="19" t="str">
        <f t="shared" si="15"/>
        <v>30-40</v>
      </c>
    </row>
    <row r="984" spans="1:7" ht="20" customHeight="1" x14ac:dyDescent="0.35">
      <c r="A984" s="17">
        <v>983</v>
      </c>
      <c r="B984" s="23" t="s">
        <v>99</v>
      </c>
      <c r="C984" s="18" t="s">
        <v>125</v>
      </c>
      <c r="D984" s="18">
        <v>58</v>
      </c>
      <c r="E984" s="18" t="s">
        <v>129</v>
      </c>
      <c r="F984" s="18" t="str">
        <f>IF(OR(D984&gt;Answers!L999,D984&lt;Answers!L1000),"Outlier","Normal")</f>
        <v>Outlier</v>
      </c>
      <c r="G984" s="19" t="str">
        <f t="shared" si="15"/>
        <v>40-50</v>
      </c>
    </row>
    <row r="985" spans="1:7" ht="20" customHeight="1" x14ac:dyDescent="0.35">
      <c r="A985" s="17">
        <v>984</v>
      </c>
      <c r="B985" s="23" t="s">
        <v>100</v>
      </c>
      <c r="C985" s="18" t="s">
        <v>126</v>
      </c>
      <c r="D985" s="18">
        <v>33</v>
      </c>
      <c r="E985" s="18" t="s">
        <v>129</v>
      </c>
      <c r="F985" s="18" t="str">
        <f>IF(OR(D985&gt;Answers!L1000,D985&lt;Answers!L1001),"Outlier","Normal")</f>
        <v>Outlier</v>
      </c>
      <c r="G985" s="19" t="str">
        <f t="shared" si="15"/>
        <v>30-40</v>
      </c>
    </row>
    <row r="986" spans="1:7" ht="20" customHeight="1" x14ac:dyDescent="0.35">
      <c r="A986" s="17">
        <v>985</v>
      </c>
      <c r="B986" s="23" t="s">
        <v>99</v>
      </c>
      <c r="C986" s="18" t="s">
        <v>125</v>
      </c>
      <c r="D986" s="18">
        <v>69</v>
      </c>
      <c r="E986" s="18" t="s">
        <v>129</v>
      </c>
      <c r="F986" s="18" t="str">
        <f>IF(OR(D986&gt;Answers!L1001,D986&lt;Answers!L1002),"Outlier","Normal")</f>
        <v>Outlier</v>
      </c>
      <c r="G986" s="19" t="str">
        <f t="shared" si="15"/>
        <v>40-50</v>
      </c>
    </row>
    <row r="987" spans="1:7" ht="20" customHeight="1" x14ac:dyDescent="0.35">
      <c r="A987" s="17">
        <v>986</v>
      </c>
      <c r="B987" s="23" t="s">
        <v>101</v>
      </c>
      <c r="C987" s="18" t="s">
        <v>126</v>
      </c>
      <c r="D987" s="18">
        <v>44</v>
      </c>
      <c r="E987" s="18" t="s">
        <v>129</v>
      </c>
      <c r="F987" s="18" t="str">
        <f>IF(OR(D987&gt;Answers!L1002,D987&lt;Answers!L1003),"Outlier","Normal")</f>
        <v>Outlier</v>
      </c>
      <c r="G987" s="19" t="str">
        <f t="shared" si="15"/>
        <v>40-50</v>
      </c>
    </row>
    <row r="988" spans="1:7" ht="20" customHeight="1" x14ac:dyDescent="0.35">
      <c r="A988" s="17">
        <v>987</v>
      </c>
      <c r="B988" s="23" t="s">
        <v>99</v>
      </c>
      <c r="C988" s="18" t="s">
        <v>126</v>
      </c>
      <c r="D988" s="18">
        <v>23</v>
      </c>
      <c r="E988" s="18" t="s">
        <v>129</v>
      </c>
      <c r="F988" s="18" t="str">
        <f>IF(OR(D988&gt;Answers!L1003,D988&lt;Answers!L1004),"Outlier","Normal")</f>
        <v>Outlier</v>
      </c>
      <c r="G988" s="19" t="str">
        <f t="shared" si="15"/>
        <v>20-30</v>
      </c>
    </row>
    <row r="989" spans="1:7" ht="20" customHeight="1" x14ac:dyDescent="0.35">
      <c r="A989" s="17">
        <v>988</v>
      </c>
      <c r="B989" s="23" t="s">
        <v>99</v>
      </c>
      <c r="C989" s="18" t="s">
        <v>125</v>
      </c>
      <c r="D989" s="18">
        <v>62</v>
      </c>
      <c r="E989" s="18" t="s">
        <v>129</v>
      </c>
      <c r="F989" s="18" t="str">
        <f>IF(OR(D989&gt;Answers!L1004,D989&lt;Answers!L1005),"Outlier","Normal")</f>
        <v>Outlier</v>
      </c>
      <c r="G989" s="19" t="str">
        <f t="shared" si="15"/>
        <v>40-50</v>
      </c>
    </row>
    <row r="990" spans="1:7" ht="20" customHeight="1" x14ac:dyDescent="0.35">
      <c r="A990" s="17">
        <v>989</v>
      </c>
      <c r="B990" s="23" t="s">
        <v>113</v>
      </c>
      <c r="C990" s="18" t="s">
        <v>126</v>
      </c>
      <c r="D990" s="18">
        <v>32</v>
      </c>
      <c r="E990" s="18" t="s">
        <v>129</v>
      </c>
      <c r="F990" s="18" t="str">
        <f>IF(OR(D990&gt;Answers!L1005,D990&lt;Answers!L1006),"Outlier","Normal")</f>
        <v>Outlier</v>
      </c>
      <c r="G990" s="19" t="str">
        <f t="shared" si="15"/>
        <v>30-40</v>
      </c>
    </row>
    <row r="991" spans="1:7" ht="20" customHeight="1" x14ac:dyDescent="0.35">
      <c r="A991" s="17">
        <v>990</v>
      </c>
      <c r="B991" s="23" t="s">
        <v>109</v>
      </c>
      <c r="C991" s="18" t="s">
        <v>125</v>
      </c>
      <c r="D991" s="18">
        <v>37</v>
      </c>
      <c r="E991" s="18" t="s">
        <v>129</v>
      </c>
      <c r="F991" s="18" t="str">
        <f>IF(OR(D991&gt;Answers!L1006,D991&lt;Answers!L1007),"Outlier","Normal")</f>
        <v>Outlier</v>
      </c>
      <c r="G991" s="19" t="str">
        <f t="shared" si="15"/>
        <v>30-40</v>
      </c>
    </row>
    <row r="992" spans="1:7" ht="20" customHeight="1" x14ac:dyDescent="0.35">
      <c r="A992" s="17">
        <v>991</v>
      </c>
      <c r="B992" s="23" t="s">
        <v>99</v>
      </c>
      <c r="C992" s="18" t="s">
        <v>126</v>
      </c>
      <c r="D992" s="18">
        <v>55</v>
      </c>
      <c r="E992" s="18" t="s">
        <v>129</v>
      </c>
      <c r="F992" s="18" t="str">
        <f>IF(OR(D992&gt;Answers!L1007,D992&lt;Answers!L1008),"Outlier","Normal")</f>
        <v>Outlier</v>
      </c>
      <c r="G992" s="19" t="str">
        <f t="shared" si="15"/>
        <v>40-50</v>
      </c>
    </row>
    <row r="993" spans="1:7" ht="20" customHeight="1" x14ac:dyDescent="0.35">
      <c r="A993" s="17">
        <v>992</v>
      </c>
      <c r="B993" s="23" t="s">
        <v>99</v>
      </c>
      <c r="C993" s="18" t="s">
        <v>125</v>
      </c>
      <c r="D993" s="18">
        <v>51</v>
      </c>
      <c r="E993" s="18" t="s">
        <v>129</v>
      </c>
      <c r="F993" s="18" t="str">
        <f>IF(OR(D993&gt;Answers!L1008,D993&lt;Answers!L1009),"Outlier","Normal")</f>
        <v>Outlier</v>
      </c>
      <c r="G993" s="19" t="str">
        <f t="shared" si="15"/>
        <v>40-50</v>
      </c>
    </row>
    <row r="994" spans="1:7" ht="20" customHeight="1" x14ac:dyDescent="0.35">
      <c r="A994" s="17">
        <v>993</v>
      </c>
      <c r="B994" s="23" t="s">
        <v>102</v>
      </c>
      <c r="C994" s="18" t="s">
        <v>126</v>
      </c>
      <c r="D994" s="18">
        <v>86</v>
      </c>
      <c r="E994" s="18" t="s">
        <v>129</v>
      </c>
      <c r="F994" s="18" t="str">
        <f>IF(OR(D994&gt;Answers!L1009,D994&lt;Answers!L1010),"Outlier","Normal")</f>
        <v>Outlier</v>
      </c>
      <c r="G994" s="19" t="str">
        <f t="shared" si="15"/>
        <v>40-50</v>
      </c>
    </row>
    <row r="995" spans="1:7" ht="20" customHeight="1" x14ac:dyDescent="0.35">
      <c r="A995" s="17">
        <v>994</v>
      </c>
      <c r="B995" s="23" t="s">
        <v>99</v>
      </c>
      <c r="C995" s="18" t="s">
        <v>125</v>
      </c>
      <c r="D995" s="18">
        <v>37</v>
      </c>
      <c r="E995" s="18" t="s">
        <v>129</v>
      </c>
      <c r="F995" s="18" t="str">
        <f>IF(OR(D995&gt;Answers!L1010,D995&lt;Answers!L1011),"Outlier","Normal")</f>
        <v>Outlier</v>
      </c>
      <c r="G995" s="19" t="str">
        <f t="shared" si="15"/>
        <v>30-40</v>
      </c>
    </row>
    <row r="996" spans="1:7" ht="20" customHeight="1" x14ac:dyDescent="0.35">
      <c r="A996" s="17">
        <v>995</v>
      </c>
      <c r="B996" s="23" t="s">
        <v>100</v>
      </c>
      <c r="C996" s="18" t="s">
        <v>126</v>
      </c>
      <c r="D996" s="18">
        <v>82</v>
      </c>
      <c r="E996" s="18" t="s">
        <v>129</v>
      </c>
      <c r="F996" s="18" t="str">
        <f>IF(OR(D996&gt;Answers!L1011,D996&lt;Answers!L1012),"Outlier","Normal")</f>
        <v>Outlier</v>
      </c>
      <c r="G996" s="19" t="str">
        <f t="shared" si="15"/>
        <v>40-50</v>
      </c>
    </row>
    <row r="997" spans="1:7" ht="20" customHeight="1" x14ac:dyDescent="0.35">
      <c r="A997" s="17">
        <v>996</v>
      </c>
      <c r="B997" s="23" t="s">
        <v>113</v>
      </c>
      <c r="C997" s="18" t="s">
        <v>126</v>
      </c>
      <c r="D997" s="18">
        <v>27</v>
      </c>
      <c r="E997" s="18" t="s">
        <v>129</v>
      </c>
      <c r="F997" s="18" t="str">
        <f>IF(OR(D997&gt;Answers!L1012,D997&lt;Answers!L1013),"Outlier","Normal")</f>
        <v>Outlier</v>
      </c>
      <c r="G997" s="19" t="str">
        <f t="shared" si="15"/>
        <v>20-30</v>
      </c>
    </row>
    <row r="998" spans="1:7" ht="20" customHeight="1" x14ac:dyDescent="0.35">
      <c r="A998" s="17">
        <v>997</v>
      </c>
      <c r="B998" s="23" t="s">
        <v>113</v>
      </c>
      <c r="C998" s="18" t="s">
        <v>126</v>
      </c>
      <c r="D998" s="18">
        <v>58</v>
      </c>
      <c r="E998" s="18" t="s">
        <v>129</v>
      </c>
      <c r="F998" s="18" t="str">
        <f>IF(OR(D998&gt;Answers!L1013,D998&lt;Answers!L1014),"Outlier","Normal")</f>
        <v>Outlier</v>
      </c>
      <c r="G998" s="19" t="str">
        <f t="shared" si="15"/>
        <v>40-50</v>
      </c>
    </row>
    <row r="999" spans="1:7" ht="20" customHeight="1" x14ac:dyDescent="0.35">
      <c r="A999" s="17">
        <v>998</v>
      </c>
      <c r="B999" s="23" t="s">
        <v>103</v>
      </c>
      <c r="C999" s="18" t="s">
        <v>126</v>
      </c>
      <c r="D999" s="18">
        <v>89</v>
      </c>
      <c r="E999" s="18" t="s">
        <v>129</v>
      </c>
      <c r="F999" s="18" t="str">
        <f>IF(OR(D999&gt;Answers!L1014,D999&lt;Answers!L1015),"Outlier","Normal")</f>
        <v>Outlier</v>
      </c>
      <c r="G999" s="19" t="str">
        <f t="shared" si="15"/>
        <v>40-50</v>
      </c>
    </row>
    <row r="1000" spans="1:7" ht="20" customHeight="1" x14ac:dyDescent="0.35">
      <c r="A1000" s="17">
        <v>999</v>
      </c>
      <c r="B1000" s="23" t="s">
        <v>99</v>
      </c>
      <c r="C1000" s="18" t="s">
        <v>125</v>
      </c>
      <c r="D1000" s="18">
        <v>74</v>
      </c>
      <c r="E1000" s="18" t="s">
        <v>129</v>
      </c>
      <c r="F1000" s="18" t="str">
        <f>IF(OR(D1000&gt;Answers!L1015,D1000&lt;Answers!L1016),"Outlier","Normal")</f>
        <v>Outlier</v>
      </c>
      <c r="G1000" s="19" t="str">
        <f t="shared" si="15"/>
        <v>40-50</v>
      </c>
    </row>
    <row r="1001" spans="1:7" ht="20" customHeight="1" x14ac:dyDescent="0.35">
      <c r="A1001" s="17">
        <v>1000</v>
      </c>
      <c r="B1001" s="23" t="s">
        <v>113</v>
      </c>
      <c r="C1001" s="18" t="s">
        <v>126</v>
      </c>
      <c r="D1001" s="18">
        <v>69</v>
      </c>
      <c r="E1001" s="18" t="s">
        <v>129</v>
      </c>
      <c r="F1001" s="18" t="str">
        <f>IF(OR(D1001&gt;Answers!L1016,D1001&lt;Answers!L1017),"Outlier","Normal")</f>
        <v>Outlier</v>
      </c>
      <c r="G1001" s="19" t="str">
        <f t="shared" si="15"/>
        <v>40-50</v>
      </c>
    </row>
    <row r="1002" spans="1:7" ht="20" customHeight="1" x14ac:dyDescent="0.35">
      <c r="A1002" s="17">
        <v>1001</v>
      </c>
      <c r="B1002" s="23" t="s">
        <v>99</v>
      </c>
      <c r="C1002" s="18" t="s">
        <v>126</v>
      </c>
      <c r="D1002" s="18">
        <v>41</v>
      </c>
      <c r="E1002" s="18" t="s">
        <v>130</v>
      </c>
      <c r="F1002" s="18" t="str">
        <f>IF(OR(D1002&gt;Answers!L1017,D1002&lt;Answers!L1018),"Outlier","Normal")</f>
        <v>Outlier</v>
      </c>
      <c r="G1002" s="19" t="str">
        <f t="shared" si="15"/>
        <v>40-50</v>
      </c>
    </row>
    <row r="1003" spans="1:7" ht="20" customHeight="1" x14ac:dyDescent="0.35">
      <c r="A1003" s="17">
        <v>1002</v>
      </c>
      <c r="B1003" s="23" t="s">
        <v>113</v>
      </c>
      <c r="C1003" s="18" t="s">
        <v>125</v>
      </c>
      <c r="D1003" s="18">
        <v>86</v>
      </c>
      <c r="E1003" s="18" t="s">
        <v>130</v>
      </c>
      <c r="F1003" s="18" t="str">
        <f>IF(OR(D1003&gt;Answers!L1018,D1003&lt;Answers!L1019),"Outlier","Normal")</f>
        <v>Outlier</v>
      </c>
      <c r="G1003" s="19" t="str">
        <f t="shared" si="15"/>
        <v>40-50</v>
      </c>
    </row>
    <row r="1004" spans="1:7" ht="20" customHeight="1" x14ac:dyDescent="0.35">
      <c r="A1004" s="17">
        <v>1003</v>
      </c>
      <c r="B1004" s="23" t="s">
        <v>99</v>
      </c>
      <c r="C1004" s="18" t="s">
        <v>126</v>
      </c>
      <c r="D1004" s="18">
        <v>64</v>
      </c>
      <c r="E1004" s="18" t="s">
        <v>130</v>
      </c>
      <c r="F1004" s="18" t="str">
        <f>IF(OR(D1004&gt;Answers!L1019,D1004&lt;Answers!L1020),"Outlier","Normal")</f>
        <v>Outlier</v>
      </c>
      <c r="G1004" s="19" t="str">
        <f t="shared" si="15"/>
        <v>40-50</v>
      </c>
    </row>
    <row r="1005" spans="1:7" ht="20" customHeight="1" x14ac:dyDescent="0.35">
      <c r="A1005" s="17">
        <v>1004</v>
      </c>
      <c r="B1005" s="23" t="s">
        <v>99</v>
      </c>
      <c r="C1005" s="18" t="s">
        <v>125</v>
      </c>
      <c r="D1005" s="18">
        <v>55</v>
      </c>
      <c r="E1005" s="18" t="s">
        <v>130</v>
      </c>
      <c r="F1005" s="18" t="str">
        <f>IF(OR(D1005&gt;Answers!L1020,D1005&lt;Answers!L1021),"Outlier","Normal")</f>
        <v>Outlier</v>
      </c>
      <c r="G1005" s="19" t="str">
        <f t="shared" si="15"/>
        <v>40-50</v>
      </c>
    </row>
    <row r="1006" spans="1:7" ht="20" customHeight="1" x14ac:dyDescent="0.35">
      <c r="A1006" s="17">
        <v>1005</v>
      </c>
      <c r="B1006" s="23" t="s">
        <v>100</v>
      </c>
      <c r="C1006" s="18" t="s">
        <v>125</v>
      </c>
      <c r="D1006" s="18">
        <v>60</v>
      </c>
      <c r="E1006" s="18" t="s">
        <v>130</v>
      </c>
      <c r="F1006" s="18" t="str">
        <f>IF(OR(D1006&gt;Answers!L1021,D1006&lt;Answers!L1022),"Outlier","Normal")</f>
        <v>Outlier</v>
      </c>
      <c r="G1006" s="19" t="str">
        <f t="shared" si="15"/>
        <v>40-50</v>
      </c>
    </row>
    <row r="1007" spans="1:7" ht="20" customHeight="1" x14ac:dyDescent="0.35">
      <c r="A1007" s="17">
        <v>1006</v>
      </c>
      <c r="B1007" s="23" t="s">
        <v>101</v>
      </c>
      <c r="C1007" s="18" t="s">
        <v>126</v>
      </c>
      <c r="D1007" s="18">
        <v>18</v>
      </c>
      <c r="E1007" s="18" t="s">
        <v>130</v>
      </c>
      <c r="F1007" s="18" t="str">
        <f>IF(OR(D1007&gt;Answers!L1022,D1007&lt;Answers!L1023),"Outlier","Normal")</f>
        <v>Outlier</v>
      </c>
      <c r="G1007" s="19" t="str">
        <f t="shared" si="15"/>
        <v>&lt;20</v>
      </c>
    </row>
    <row r="1008" spans="1:7" ht="20" customHeight="1" x14ac:dyDescent="0.35">
      <c r="A1008" s="17">
        <v>1007</v>
      </c>
      <c r="B1008" s="23" t="s">
        <v>99</v>
      </c>
      <c r="C1008" s="18" t="s">
        <v>126</v>
      </c>
      <c r="D1008" s="18">
        <v>62</v>
      </c>
      <c r="E1008" s="18" t="s">
        <v>130</v>
      </c>
      <c r="F1008" s="18" t="str">
        <f>IF(OR(D1008&gt;Answers!L1023,D1008&lt;Answers!L1024),"Outlier","Normal")</f>
        <v>Outlier</v>
      </c>
      <c r="G1008" s="19" t="str">
        <f t="shared" si="15"/>
        <v>40-50</v>
      </c>
    </row>
    <row r="1009" spans="1:7" ht="20" customHeight="1" x14ac:dyDescent="0.35">
      <c r="A1009" s="17">
        <v>1008</v>
      </c>
      <c r="B1009" s="23" t="s">
        <v>106</v>
      </c>
      <c r="C1009" s="18" t="s">
        <v>126</v>
      </c>
      <c r="D1009" s="18">
        <v>27</v>
      </c>
      <c r="E1009" s="18" t="s">
        <v>130</v>
      </c>
      <c r="F1009" s="18" t="str">
        <f>IF(OR(D1009&gt;Answers!L1024,D1009&lt;Answers!L1025),"Outlier","Normal")</f>
        <v>Outlier</v>
      </c>
      <c r="G1009" s="19" t="str">
        <f t="shared" si="15"/>
        <v>20-30</v>
      </c>
    </row>
    <row r="1010" spans="1:7" ht="20" customHeight="1" x14ac:dyDescent="0.35">
      <c r="A1010" s="17">
        <v>1009</v>
      </c>
      <c r="B1010" s="23" t="s">
        <v>99</v>
      </c>
      <c r="C1010" s="18" t="s">
        <v>126</v>
      </c>
      <c r="D1010" s="18">
        <v>44</v>
      </c>
      <c r="E1010" s="18" t="s">
        <v>130</v>
      </c>
      <c r="F1010" s="18" t="str">
        <f>IF(OR(D1010&gt;Answers!L1025,D1010&lt;Answers!L1026),"Outlier","Normal")</f>
        <v>Outlier</v>
      </c>
      <c r="G1010" s="19" t="str">
        <f t="shared" si="15"/>
        <v>40-50</v>
      </c>
    </row>
    <row r="1011" spans="1:7" ht="20" customHeight="1" x14ac:dyDescent="0.35">
      <c r="A1011" s="17">
        <v>1010</v>
      </c>
      <c r="B1011" s="23" t="s">
        <v>105</v>
      </c>
      <c r="C1011" s="18" t="s">
        <v>126</v>
      </c>
      <c r="D1011" s="18">
        <v>28</v>
      </c>
      <c r="E1011" s="18" t="s">
        <v>130</v>
      </c>
      <c r="F1011" s="18" t="str">
        <f>IF(OR(D1011&gt;Answers!L1026,D1011&lt;Answers!L1027),"Outlier","Normal")</f>
        <v>Outlier</v>
      </c>
      <c r="G1011" s="19" t="str">
        <f t="shared" si="15"/>
        <v>20-30</v>
      </c>
    </row>
    <row r="1012" spans="1:7" ht="20" customHeight="1" x14ac:dyDescent="0.35">
      <c r="A1012" s="17">
        <v>1011</v>
      </c>
      <c r="B1012" s="23" t="s">
        <v>100</v>
      </c>
      <c r="C1012" s="18" t="s">
        <v>125</v>
      </c>
      <c r="D1012" s="18">
        <v>20</v>
      </c>
      <c r="E1012" s="18" t="s">
        <v>130</v>
      </c>
      <c r="F1012" s="18" t="str">
        <f>IF(OR(D1012&gt;Answers!L1027,D1012&lt;Answers!L1028),"Outlier","Normal")</f>
        <v>Outlier</v>
      </c>
      <c r="G1012" s="19" t="str">
        <f t="shared" si="15"/>
        <v>20-30</v>
      </c>
    </row>
    <row r="1013" spans="1:7" ht="20" customHeight="1" x14ac:dyDescent="0.35">
      <c r="A1013" s="17">
        <v>1012</v>
      </c>
      <c r="B1013" s="23" t="s">
        <v>105</v>
      </c>
      <c r="C1013" s="18" t="s">
        <v>125</v>
      </c>
      <c r="D1013" s="18">
        <v>42</v>
      </c>
      <c r="E1013" s="18" t="s">
        <v>130</v>
      </c>
      <c r="F1013" s="18" t="str">
        <f>IF(OR(D1013&gt;Answers!L1028,D1013&lt;Answers!L1029),"Outlier","Normal")</f>
        <v>Outlier</v>
      </c>
      <c r="G1013" s="19" t="str">
        <f t="shared" si="15"/>
        <v>40-50</v>
      </c>
    </row>
    <row r="1014" spans="1:7" ht="20" customHeight="1" x14ac:dyDescent="0.35">
      <c r="A1014" s="17">
        <v>1013</v>
      </c>
      <c r="B1014" s="23" t="s">
        <v>113</v>
      </c>
      <c r="C1014" s="18" t="s">
        <v>126</v>
      </c>
      <c r="D1014" s="18">
        <v>54</v>
      </c>
      <c r="E1014" s="18" t="s">
        <v>130</v>
      </c>
      <c r="F1014" s="18" t="str">
        <f>IF(OR(D1014&gt;Answers!L1029,D1014&lt;Answers!L1030),"Outlier","Normal")</f>
        <v>Outlier</v>
      </c>
      <c r="G1014" s="19" t="str">
        <f t="shared" si="15"/>
        <v>40-50</v>
      </c>
    </row>
    <row r="1015" spans="1:7" ht="20" customHeight="1" x14ac:dyDescent="0.35">
      <c r="A1015" s="17">
        <v>1014</v>
      </c>
      <c r="B1015" s="23" t="s">
        <v>113</v>
      </c>
      <c r="C1015" s="18" t="s">
        <v>126</v>
      </c>
      <c r="D1015" s="18">
        <v>69</v>
      </c>
      <c r="E1015" s="18" t="s">
        <v>130</v>
      </c>
      <c r="F1015" s="18" t="str">
        <f>IF(OR(D1015&gt;Answers!L1030,D1015&lt;Answers!L1031),"Outlier","Normal")</f>
        <v>Outlier</v>
      </c>
      <c r="G1015" s="19" t="str">
        <f t="shared" si="15"/>
        <v>40-50</v>
      </c>
    </row>
    <row r="1016" spans="1:7" ht="20" customHeight="1" x14ac:dyDescent="0.35">
      <c r="A1016" s="17">
        <v>1015</v>
      </c>
      <c r="B1016" s="23" t="s">
        <v>107</v>
      </c>
      <c r="C1016" s="18" t="s">
        <v>126</v>
      </c>
      <c r="D1016" s="18">
        <v>50</v>
      </c>
      <c r="E1016" s="18" t="s">
        <v>130</v>
      </c>
      <c r="F1016" s="18" t="str">
        <f>IF(OR(D1016&gt;Answers!L1031,D1016&lt;Answers!L1032),"Outlier","Normal")</f>
        <v>Outlier</v>
      </c>
      <c r="G1016" s="19" t="str">
        <f t="shared" si="15"/>
        <v>40-50</v>
      </c>
    </row>
    <row r="1017" spans="1:7" ht="20" customHeight="1" x14ac:dyDescent="0.35">
      <c r="A1017" s="17">
        <v>1016</v>
      </c>
      <c r="B1017" s="23" t="s">
        <v>113</v>
      </c>
      <c r="C1017" s="18" t="s">
        <v>126</v>
      </c>
      <c r="D1017" s="18">
        <v>23</v>
      </c>
      <c r="E1017" s="18" t="s">
        <v>130</v>
      </c>
      <c r="F1017" s="18" t="str">
        <f>IF(OR(D1017&gt;Answers!L1032,D1017&lt;Answers!L1033),"Outlier","Normal")</f>
        <v>Outlier</v>
      </c>
      <c r="G1017" s="19" t="str">
        <f t="shared" si="15"/>
        <v>20-30</v>
      </c>
    </row>
    <row r="1018" spans="1:7" ht="20" customHeight="1" x14ac:dyDescent="0.35">
      <c r="A1018" s="17">
        <v>1017</v>
      </c>
      <c r="B1018" s="23" t="s">
        <v>113</v>
      </c>
      <c r="C1018" s="18" t="s">
        <v>125</v>
      </c>
      <c r="D1018" s="18">
        <v>38</v>
      </c>
      <c r="E1018" s="18" t="s">
        <v>130</v>
      </c>
      <c r="F1018" s="18" t="str">
        <f>IF(OR(D1018&gt;Answers!L1033,D1018&lt;Answers!L1034),"Outlier","Normal")</f>
        <v>Outlier</v>
      </c>
      <c r="G1018" s="19" t="str">
        <f t="shared" si="15"/>
        <v>30-40</v>
      </c>
    </row>
    <row r="1019" spans="1:7" ht="20" customHeight="1" x14ac:dyDescent="0.35">
      <c r="A1019" s="17">
        <v>1018</v>
      </c>
      <c r="B1019" s="23" t="s">
        <v>100</v>
      </c>
      <c r="C1019" s="18" t="s">
        <v>126</v>
      </c>
      <c r="D1019" s="18">
        <v>52</v>
      </c>
      <c r="E1019" s="18" t="s">
        <v>130</v>
      </c>
      <c r="F1019" s="18" t="str">
        <f>IF(OR(D1019&gt;Answers!L1034,D1019&lt;Answers!L1035),"Outlier","Normal")</f>
        <v>Outlier</v>
      </c>
      <c r="G1019" s="19" t="str">
        <f t="shared" si="15"/>
        <v>40-50</v>
      </c>
    </row>
    <row r="1020" spans="1:7" ht="20" customHeight="1" x14ac:dyDescent="0.35">
      <c r="A1020" s="17">
        <v>1019</v>
      </c>
      <c r="B1020" s="23" t="s">
        <v>107</v>
      </c>
      <c r="C1020" s="18" t="s">
        <v>126</v>
      </c>
      <c r="D1020" s="18">
        <v>64</v>
      </c>
      <c r="E1020" s="18" t="s">
        <v>130</v>
      </c>
      <c r="F1020" s="18" t="str">
        <f>IF(OR(D1020&gt;Answers!L1035,D1020&lt;Answers!L1036),"Outlier","Normal")</f>
        <v>Outlier</v>
      </c>
      <c r="G1020" s="19" t="str">
        <f t="shared" si="15"/>
        <v>40-50</v>
      </c>
    </row>
    <row r="1021" spans="1:7" ht="20" customHeight="1" x14ac:dyDescent="0.35">
      <c r="A1021" s="17">
        <v>1020</v>
      </c>
      <c r="B1021" s="23" t="s">
        <v>101</v>
      </c>
      <c r="C1021" s="18" t="s">
        <v>126</v>
      </c>
      <c r="D1021" s="18">
        <v>86</v>
      </c>
      <c r="E1021" s="18" t="s">
        <v>130</v>
      </c>
      <c r="F1021" s="18" t="str">
        <f>IF(OR(D1021&gt;Answers!L1036,D1021&lt;Answers!L1037),"Outlier","Normal")</f>
        <v>Outlier</v>
      </c>
      <c r="G1021" s="19" t="str">
        <f t="shared" si="15"/>
        <v>40-50</v>
      </c>
    </row>
    <row r="1022" spans="1:7" ht="20" customHeight="1" x14ac:dyDescent="0.35">
      <c r="A1022" s="17">
        <v>1021</v>
      </c>
      <c r="B1022" s="23" t="s">
        <v>106</v>
      </c>
      <c r="C1022" s="18" t="s">
        <v>125</v>
      </c>
      <c r="D1022" s="18">
        <v>49</v>
      </c>
      <c r="E1022" s="18" t="s">
        <v>130</v>
      </c>
      <c r="F1022" s="18" t="str">
        <f>IF(OR(D1022&gt;Answers!L1037,D1022&lt;Answers!L1038),"Outlier","Normal")</f>
        <v>Outlier</v>
      </c>
      <c r="G1022" s="19" t="str">
        <f t="shared" si="15"/>
        <v>40-50</v>
      </c>
    </row>
    <row r="1023" spans="1:7" ht="20" customHeight="1" x14ac:dyDescent="0.35">
      <c r="A1023" s="17">
        <v>1022</v>
      </c>
      <c r="B1023" s="23" t="s">
        <v>113</v>
      </c>
      <c r="C1023" s="18" t="s">
        <v>126</v>
      </c>
      <c r="D1023" s="18">
        <v>60</v>
      </c>
      <c r="E1023" s="18" t="s">
        <v>130</v>
      </c>
      <c r="F1023" s="18" t="str">
        <f>IF(OR(D1023&gt;Answers!L1038,D1023&lt;Answers!L1039),"Outlier","Normal")</f>
        <v>Outlier</v>
      </c>
      <c r="G1023" s="19" t="str">
        <f t="shared" si="15"/>
        <v>40-50</v>
      </c>
    </row>
    <row r="1024" spans="1:7" ht="20" customHeight="1" x14ac:dyDescent="0.35">
      <c r="A1024" s="17">
        <v>1023</v>
      </c>
      <c r="B1024" s="23" t="s">
        <v>109</v>
      </c>
      <c r="C1024" s="18" t="s">
        <v>125</v>
      </c>
      <c r="D1024" s="18">
        <v>52</v>
      </c>
      <c r="E1024" s="18" t="s">
        <v>130</v>
      </c>
      <c r="F1024" s="18" t="str">
        <f>IF(OR(D1024&gt;Answers!L1039,D1024&lt;Answers!L1040),"Outlier","Normal")</f>
        <v>Outlier</v>
      </c>
      <c r="G1024" s="19" t="str">
        <f t="shared" si="15"/>
        <v>40-50</v>
      </c>
    </row>
    <row r="1025" spans="1:7" ht="20" customHeight="1" x14ac:dyDescent="0.35">
      <c r="A1025" s="17">
        <v>1024</v>
      </c>
      <c r="B1025" s="23" t="s">
        <v>105</v>
      </c>
      <c r="C1025" s="18" t="s">
        <v>126</v>
      </c>
      <c r="D1025" s="18">
        <v>80</v>
      </c>
      <c r="E1025" s="18" t="s">
        <v>130</v>
      </c>
      <c r="F1025" s="18" t="str">
        <f>IF(OR(D1025&gt;Answers!L1040,D1025&lt;Answers!L1041),"Outlier","Normal")</f>
        <v>Outlier</v>
      </c>
      <c r="G1025" s="19" t="str">
        <f t="shared" si="15"/>
        <v>40-50</v>
      </c>
    </row>
    <row r="1026" spans="1:7" ht="20" customHeight="1" x14ac:dyDescent="0.35">
      <c r="A1026" s="17">
        <v>1025</v>
      </c>
      <c r="B1026" s="23" t="s">
        <v>101</v>
      </c>
      <c r="C1026" s="18" t="s">
        <v>125</v>
      </c>
      <c r="D1026" s="18">
        <v>48</v>
      </c>
      <c r="E1026" s="18" t="s">
        <v>130</v>
      </c>
      <c r="F1026" s="18" t="str">
        <f>IF(OR(D1026&gt;Answers!L1041,D1026&lt;Answers!L1042),"Outlier","Normal")</f>
        <v>Outlier</v>
      </c>
      <c r="G1026" s="19" t="str">
        <f t="shared" si="15"/>
        <v>40-50</v>
      </c>
    </row>
    <row r="1027" spans="1:7" ht="20" customHeight="1" x14ac:dyDescent="0.35">
      <c r="A1027" s="17">
        <v>1026</v>
      </c>
      <c r="B1027" s="23" t="s">
        <v>108</v>
      </c>
      <c r="C1027" s="18" t="s">
        <v>126</v>
      </c>
      <c r="D1027" s="18">
        <v>62</v>
      </c>
      <c r="E1027" s="18" t="s">
        <v>130</v>
      </c>
      <c r="F1027" s="18" t="str">
        <f>IF(OR(D1027&gt;Answers!L1042,D1027&lt;Answers!L1043),"Outlier","Normal")</f>
        <v>Outlier</v>
      </c>
      <c r="G1027" s="19" t="str">
        <f t="shared" ref="G1027:G1090" si="16">IF(D1027&lt;20,"&lt;20",
IF(D1027&lt;=30,"20-30",
IF(D1027&lt;=40,"30-40","40-50")))</f>
        <v>40-50</v>
      </c>
    </row>
    <row r="1028" spans="1:7" ht="20" customHeight="1" x14ac:dyDescent="0.35">
      <c r="A1028" s="17">
        <v>1027</v>
      </c>
      <c r="B1028" s="23" t="s">
        <v>105</v>
      </c>
      <c r="C1028" s="18" t="s">
        <v>125</v>
      </c>
      <c r="D1028" s="18">
        <v>45</v>
      </c>
      <c r="E1028" s="18" t="s">
        <v>130</v>
      </c>
      <c r="F1028" s="18" t="str">
        <f>IF(OR(D1028&gt;Answers!L1043,D1028&lt;Answers!L1044),"Outlier","Normal")</f>
        <v>Outlier</v>
      </c>
      <c r="G1028" s="19" t="str">
        <f t="shared" si="16"/>
        <v>40-50</v>
      </c>
    </row>
    <row r="1029" spans="1:7" ht="20" customHeight="1" x14ac:dyDescent="0.35">
      <c r="A1029" s="17">
        <v>1028</v>
      </c>
      <c r="B1029" s="23" t="s">
        <v>113</v>
      </c>
      <c r="C1029" s="18" t="s">
        <v>126</v>
      </c>
      <c r="D1029" s="18">
        <v>82</v>
      </c>
      <c r="E1029" s="18" t="s">
        <v>130</v>
      </c>
      <c r="F1029" s="18" t="str">
        <f>IF(OR(D1029&gt;Answers!L1044,D1029&lt;Answers!L1045),"Outlier","Normal")</f>
        <v>Outlier</v>
      </c>
      <c r="G1029" s="19" t="str">
        <f t="shared" si="16"/>
        <v>40-50</v>
      </c>
    </row>
    <row r="1030" spans="1:7" ht="20" customHeight="1" x14ac:dyDescent="0.35">
      <c r="A1030" s="17">
        <v>1029</v>
      </c>
      <c r="B1030" s="23" t="s">
        <v>105</v>
      </c>
      <c r="C1030" s="18" t="s">
        <v>126</v>
      </c>
      <c r="D1030" s="18">
        <v>45</v>
      </c>
      <c r="E1030" s="18" t="s">
        <v>130</v>
      </c>
      <c r="F1030" s="18" t="str">
        <f>IF(OR(D1030&gt;Answers!L1045,D1030&lt;Answers!L1046),"Outlier","Normal")</f>
        <v>Outlier</v>
      </c>
      <c r="G1030" s="19" t="str">
        <f t="shared" si="16"/>
        <v>40-50</v>
      </c>
    </row>
    <row r="1031" spans="1:7" ht="20" customHeight="1" x14ac:dyDescent="0.35">
      <c r="A1031" s="17">
        <v>1030</v>
      </c>
      <c r="B1031" s="23" t="s">
        <v>113</v>
      </c>
      <c r="C1031" s="18" t="s">
        <v>126</v>
      </c>
      <c r="D1031" s="18">
        <v>68</v>
      </c>
      <c r="E1031" s="18" t="s">
        <v>130</v>
      </c>
      <c r="F1031" s="18" t="str">
        <f>IF(OR(D1031&gt;Answers!L1046,D1031&lt;Answers!L1047),"Outlier","Normal")</f>
        <v>Outlier</v>
      </c>
      <c r="G1031" s="19" t="str">
        <f t="shared" si="16"/>
        <v>40-50</v>
      </c>
    </row>
    <row r="1032" spans="1:7" ht="20" customHeight="1" x14ac:dyDescent="0.35">
      <c r="A1032" s="17">
        <v>1031</v>
      </c>
      <c r="B1032" s="23" t="s">
        <v>101</v>
      </c>
      <c r="C1032" s="18" t="s">
        <v>125</v>
      </c>
      <c r="D1032" s="18">
        <v>40</v>
      </c>
      <c r="E1032" s="18" t="s">
        <v>130</v>
      </c>
      <c r="F1032" s="18" t="str">
        <f>IF(OR(D1032&gt;Answers!L1047,D1032&lt;Answers!L1048),"Outlier","Normal")</f>
        <v>Outlier</v>
      </c>
      <c r="G1032" s="19" t="str">
        <f t="shared" si="16"/>
        <v>30-40</v>
      </c>
    </row>
    <row r="1033" spans="1:7" ht="20" customHeight="1" x14ac:dyDescent="0.35">
      <c r="A1033" s="17">
        <v>1032</v>
      </c>
      <c r="B1033" s="23" t="s">
        <v>100</v>
      </c>
      <c r="C1033" s="18" t="s">
        <v>125</v>
      </c>
      <c r="D1033" s="18">
        <v>21</v>
      </c>
      <c r="E1033" s="18" t="s">
        <v>130</v>
      </c>
      <c r="F1033" s="18" t="str">
        <f>IF(OR(D1033&gt;Answers!L1048,D1033&lt;Answers!L1049),"Outlier","Normal")</f>
        <v>Outlier</v>
      </c>
      <c r="G1033" s="19" t="str">
        <f t="shared" si="16"/>
        <v>20-30</v>
      </c>
    </row>
    <row r="1034" spans="1:7" ht="20" customHeight="1" x14ac:dyDescent="0.35">
      <c r="A1034" s="17">
        <v>1033</v>
      </c>
      <c r="B1034" s="23" t="s">
        <v>113</v>
      </c>
      <c r="C1034" s="18" t="s">
        <v>126</v>
      </c>
      <c r="D1034" s="18">
        <v>56</v>
      </c>
      <c r="E1034" s="18" t="s">
        <v>130</v>
      </c>
      <c r="F1034" s="18" t="str">
        <f>IF(OR(D1034&gt;Answers!L1049,D1034&lt;Answers!L1050),"Outlier","Normal")</f>
        <v>Outlier</v>
      </c>
      <c r="G1034" s="19" t="str">
        <f t="shared" si="16"/>
        <v>40-50</v>
      </c>
    </row>
    <row r="1035" spans="1:7" ht="20" customHeight="1" x14ac:dyDescent="0.35">
      <c r="A1035" s="17">
        <v>1034</v>
      </c>
      <c r="B1035" s="23" t="s">
        <v>107</v>
      </c>
      <c r="C1035" s="18" t="s">
        <v>126</v>
      </c>
      <c r="D1035" s="18">
        <v>31</v>
      </c>
      <c r="E1035" s="18" t="s">
        <v>130</v>
      </c>
      <c r="F1035" s="18" t="str">
        <f>IF(OR(D1035&gt;Answers!L1050,D1035&lt;Answers!L1051),"Outlier","Normal")</f>
        <v>Outlier</v>
      </c>
      <c r="G1035" s="19" t="str">
        <f t="shared" si="16"/>
        <v>30-40</v>
      </c>
    </row>
    <row r="1036" spans="1:7" ht="20" customHeight="1" x14ac:dyDescent="0.35">
      <c r="A1036" s="17">
        <v>1035</v>
      </c>
      <c r="B1036" s="23" t="s">
        <v>113</v>
      </c>
      <c r="C1036" s="18" t="s">
        <v>125</v>
      </c>
      <c r="D1036" s="18">
        <v>56</v>
      </c>
      <c r="E1036" s="18" t="s">
        <v>130</v>
      </c>
      <c r="F1036" s="18" t="str">
        <f>IF(OR(D1036&gt;Answers!L1051,D1036&lt;Answers!L1052),"Outlier","Normal")</f>
        <v>Outlier</v>
      </c>
      <c r="G1036" s="19" t="str">
        <f t="shared" si="16"/>
        <v>40-50</v>
      </c>
    </row>
    <row r="1037" spans="1:7" ht="20" customHeight="1" x14ac:dyDescent="0.35">
      <c r="A1037" s="17">
        <v>1036</v>
      </c>
      <c r="B1037" s="23" t="s">
        <v>113</v>
      </c>
      <c r="C1037" s="18" t="s">
        <v>126</v>
      </c>
      <c r="D1037" s="18">
        <v>29</v>
      </c>
      <c r="E1037" s="18" t="s">
        <v>130</v>
      </c>
      <c r="F1037" s="18" t="str">
        <f>IF(OR(D1037&gt;Answers!L1052,D1037&lt;Answers!L1053),"Outlier","Normal")</f>
        <v>Outlier</v>
      </c>
      <c r="G1037" s="19" t="str">
        <f t="shared" si="16"/>
        <v>20-30</v>
      </c>
    </row>
    <row r="1038" spans="1:7" ht="20" customHeight="1" x14ac:dyDescent="0.35">
      <c r="A1038" s="17">
        <v>1037</v>
      </c>
      <c r="B1038" s="23" t="s">
        <v>113</v>
      </c>
      <c r="C1038" s="18" t="s">
        <v>126</v>
      </c>
      <c r="D1038" s="18">
        <v>21</v>
      </c>
      <c r="E1038" s="18" t="s">
        <v>130</v>
      </c>
      <c r="F1038" s="18" t="str">
        <f>IF(OR(D1038&gt;Answers!L1053,D1038&lt;Answers!L1054),"Outlier","Normal")</f>
        <v>Outlier</v>
      </c>
      <c r="G1038" s="19" t="str">
        <f t="shared" si="16"/>
        <v>20-30</v>
      </c>
    </row>
    <row r="1039" spans="1:7" ht="20" customHeight="1" x14ac:dyDescent="0.35">
      <c r="A1039" s="17">
        <v>1038</v>
      </c>
      <c r="B1039" s="23" t="s">
        <v>100</v>
      </c>
      <c r="C1039" s="18" t="s">
        <v>125</v>
      </c>
      <c r="D1039" s="18">
        <v>32</v>
      </c>
      <c r="E1039" s="18" t="s">
        <v>130</v>
      </c>
      <c r="F1039" s="18" t="str">
        <f>IF(OR(D1039&gt;Answers!L1054,D1039&lt;Answers!L1055),"Outlier","Normal")</f>
        <v>Outlier</v>
      </c>
      <c r="G1039" s="19" t="str">
        <f t="shared" si="16"/>
        <v>30-40</v>
      </c>
    </row>
    <row r="1040" spans="1:7" ht="20" customHeight="1" x14ac:dyDescent="0.35">
      <c r="A1040" s="17">
        <v>1039</v>
      </c>
      <c r="B1040" s="23" t="s">
        <v>105</v>
      </c>
      <c r="C1040" s="18" t="s">
        <v>126</v>
      </c>
      <c r="D1040" s="18">
        <v>66</v>
      </c>
      <c r="E1040" s="18" t="s">
        <v>130</v>
      </c>
      <c r="F1040" s="18" t="str">
        <f>IF(OR(D1040&gt;Answers!L1055,D1040&lt;Answers!L1056),"Outlier","Normal")</f>
        <v>Outlier</v>
      </c>
      <c r="G1040" s="19" t="str">
        <f t="shared" si="16"/>
        <v>40-50</v>
      </c>
    </row>
    <row r="1041" spans="1:7" ht="20" customHeight="1" x14ac:dyDescent="0.35">
      <c r="A1041" s="17">
        <v>1040</v>
      </c>
      <c r="B1041" s="23" t="s">
        <v>113</v>
      </c>
      <c r="C1041" s="18" t="s">
        <v>126</v>
      </c>
      <c r="D1041" s="18">
        <v>63</v>
      </c>
      <c r="E1041" s="18" t="s">
        <v>130</v>
      </c>
      <c r="F1041" s="18" t="str">
        <f>IF(OR(D1041&gt;Answers!L1056,D1041&lt;Answers!L1057),"Outlier","Normal")</f>
        <v>Outlier</v>
      </c>
      <c r="G1041" s="19" t="str">
        <f t="shared" si="16"/>
        <v>40-50</v>
      </c>
    </row>
    <row r="1042" spans="1:7" ht="20" customHeight="1" x14ac:dyDescent="0.35">
      <c r="A1042" s="17">
        <v>1041</v>
      </c>
      <c r="B1042" s="23" t="s">
        <v>107</v>
      </c>
      <c r="C1042" s="18" t="s">
        <v>125</v>
      </c>
      <c r="D1042" s="18">
        <v>30</v>
      </c>
      <c r="E1042" s="18" t="s">
        <v>130</v>
      </c>
      <c r="F1042" s="18" t="str">
        <f>IF(OR(D1042&gt;Answers!L1057,D1042&lt;Answers!L1058),"Outlier","Normal")</f>
        <v>Outlier</v>
      </c>
      <c r="G1042" s="19" t="str">
        <f t="shared" si="16"/>
        <v>20-30</v>
      </c>
    </row>
    <row r="1043" spans="1:7" ht="20" customHeight="1" x14ac:dyDescent="0.35">
      <c r="A1043" s="17">
        <v>1042</v>
      </c>
      <c r="B1043" s="23" t="s">
        <v>100</v>
      </c>
      <c r="C1043" s="18" t="s">
        <v>125</v>
      </c>
      <c r="D1043" s="18">
        <v>57</v>
      </c>
      <c r="E1043" s="18" t="s">
        <v>130</v>
      </c>
      <c r="F1043" s="18" t="str">
        <f>IF(OR(D1043&gt;Answers!L1058,D1043&lt;Answers!L1059),"Outlier","Normal")</f>
        <v>Outlier</v>
      </c>
      <c r="G1043" s="19" t="str">
        <f t="shared" si="16"/>
        <v>40-50</v>
      </c>
    </row>
    <row r="1044" spans="1:7" ht="20" customHeight="1" x14ac:dyDescent="0.35">
      <c r="A1044" s="17">
        <v>1043</v>
      </c>
      <c r="B1044" s="23" t="s">
        <v>113</v>
      </c>
      <c r="C1044" s="18" t="s">
        <v>126</v>
      </c>
      <c r="D1044" s="18">
        <v>42</v>
      </c>
      <c r="E1044" s="18" t="s">
        <v>130</v>
      </c>
      <c r="F1044" s="18" t="str">
        <f>IF(OR(D1044&gt;Answers!L1059,D1044&lt;Answers!L1060),"Outlier","Normal")</f>
        <v>Outlier</v>
      </c>
      <c r="G1044" s="19" t="str">
        <f t="shared" si="16"/>
        <v>40-50</v>
      </c>
    </row>
    <row r="1045" spans="1:7" ht="20" customHeight="1" x14ac:dyDescent="0.35">
      <c r="A1045" s="17">
        <v>1044</v>
      </c>
      <c r="B1045" s="23" t="s">
        <v>113</v>
      </c>
      <c r="C1045" s="18" t="s">
        <v>125</v>
      </c>
      <c r="D1045" s="18">
        <v>26</v>
      </c>
      <c r="E1045" s="18" t="s">
        <v>130</v>
      </c>
      <c r="F1045" s="18" t="str">
        <f>IF(OR(D1045&gt;Answers!L1060,D1045&lt;Answers!L1061),"Outlier","Normal")</f>
        <v>Outlier</v>
      </c>
      <c r="G1045" s="19" t="str">
        <f t="shared" si="16"/>
        <v>20-30</v>
      </c>
    </row>
    <row r="1046" spans="1:7" ht="20" customHeight="1" x14ac:dyDescent="0.35">
      <c r="A1046" s="17">
        <v>1045</v>
      </c>
      <c r="B1046" s="23" t="s">
        <v>105</v>
      </c>
      <c r="C1046" s="18" t="s">
        <v>126</v>
      </c>
      <c r="D1046" s="18">
        <v>19</v>
      </c>
      <c r="E1046" s="18" t="s">
        <v>130</v>
      </c>
      <c r="F1046" s="18" t="str">
        <f>IF(OR(D1046&gt;Answers!L1061,D1046&lt;Answers!L1062),"Outlier","Normal")</f>
        <v>Outlier</v>
      </c>
      <c r="G1046" s="19" t="str">
        <f t="shared" si="16"/>
        <v>&lt;20</v>
      </c>
    </row>
    <row r="1047" spans="1:7" ht="20" customHeight="1" x14ac:dyDescent="0.35">
      <c r="A1047" s="17">
        <v>1046</v>
      </c>
      <c r="B1047" s="23" t="s">
        <v>113</v>
      </c>
      <c r="C1047" s="18" t="s">
        <v>125</v>
      </c>
      <c r="D1047" s="18">
        <v>52</v>
      </c>
      <c r="E1047" s="18" t="s">
        <v>130</v>
      </c>
      <c r="F1047" s="18" t="str">
        <f>IF(OR(D1047&gt;Answers!L1062,D1047&lt;Answers!L1063),"Outlier","Normal")</f>
        <v>Outlier</v>
      </c>
      <c r="G1047" s="19" t="str">
        <f t="shared" si="16"/>
        <v>40-50</v>
      </c>
    </row>
    <row r="1048" spans="1:7" ht="20" customHeight="1" x14ac:dyDescent="0.35">
      <c r="A1048" s="17">
        <v>1047</v>
      </c>
      <c r="B1048" s="23" t="s">
        <v>107</v>
      </c>
      <c r="C1048" s="18" t="s">
        <v>126</v>
      </c>
      <c r="D1048" s="18">
        <v>20</v>
      </c>
      <c r="E1048" s="18" t="s">
        <v>130</v>
      </c>
      <c r="F1048" s="18" t="str">
        <f>IF(OR(D1048&gt;Answers!L1063,D1048&lt;Answers!L1064),"Outlier","Normal")</f>
        <v>Outlier</v>
      </c>
      <c r="G1048" s="19" t="str">
        <f t="shared" si="16"/>
        <v>20-30</v>
      </c>
    </row>
    <row r="1049" spans="1:7" ht="20" customHeight="1" x14ac:dyDescent="0.35">
      <c r="A1049" s="17">
        <v>1048</v>
      </c>
      <c r="B1049" s="23" t="s">
        <v>113</v>
      </c>
      <c r="C1049" s="18" t="s">
        <v>126</v>
      </c>
      <c r="D1049" s="18">
        <v>26</v>
      </c>
      <c r="E1049" s="18" t="s">
        <v>130</v>
      </c>
      <c r="F1049" s="18" t="str">
        <f>IF(OR(D1049&gt;Answers!L1064,D1049&lt;Answers!L1065),"Outlier","Normal")</f>
        <v>Outlier</v>
      </c>
      <c r="G1049" s="19" t="str">
        <f t="shared" si="16"/>
        <v>20-30</v>
      </c>
    </row>
    <row r="1050" spans="1:7" ht="20" customHeight="1" x14ac:dyDescent="0.35">
      <c r="A1050" s="17">
        <v>1049</v>
      </c>
      <c r="B1050" s="23" t="s">
        <v>105</v>
      </c>
      <c r="C1050" s="18" t="s">
        <v>125</v>
      </c>
      <c r="D1050" s="18">
        <v>83</v>
      </c>
      <c r="E1050" s="18" t="s">
        <v>130</v>
      </c>
      <c r="F1050" s="18" t="str">
        <f>IF(OR(D1050&gt;Answers!L1065,D1050&lt;Answers!L1066),"Outlier","Normal")</f>
        <v>Outlier</v>
      </c>
      <c r="G1050" s="19" t="str">
        <f t="shared" si="16"/>
        <v>40-50</v>
      </c>
    </row>
    <row r="1051" spans="1:7" ht="20" customHeight="1" x14ac:dyDescent="0.35">
      <c r="A1051" s="17">
        <v>1050</v>
      </c>
      <c r="B1051" s="23" t="s">
        <v>100</v>
      </c>
      <c r="C1051" s="18" t="s">
        <v>126</v>
      </c>
      <c r="D1051" s="18">
        <v>31</v>
      </c>
      <c r="E1051" s="18" t="s">
        <v>130</v>
      </c>
      <c r="F1051" s="18" t="str">
        <f>IF(OR(D1051&gt;Answers!L1066,D1051&lt;Answers!L1067),"Outlier","Normal")</f>
        <v>Outlier</v>
      </c>
      <c r="G1051" s="19" t="str">
        <f t="shared" si="16"/>
        <v>30-40</v>
      </c>
    </row>
    <row r="1052" spans="1:7" ht="20" customHeight="1" x14ac:dyDescent="0.35">
      <c r="A1052" s="17">
        <v>1051</v>
      </c>
      <c r="B1052" s="23" t="s">
        <v>105</v>
      </c>
      <c r="C1052" s="18" t="s">
        <v>125</v>
      </c>
      <c r="D1052" s="18">
        <v>36</v>
      </c>
      <c r="E1052" s="18" t="s">
        <v>130</v>
      </c>
      <c r="F1052" s="18" t="str">
        <f>IF(OR(D1052&gt;Answers!L1067,D1052&lt;Answers!L1068),"Outlier","Normal")</f>
        <v>Outlier</v>
      </c>
      <c r="G1052" s="19" t="str">
        <f t="shared" si="16"/>
        <v>30-40</v>
      </c>
    </row>
    <row r="1053" spans="1:7" ht="20" customHeight="1" x14ac:dyDescent="0.35">
      <c r="A1053" s="17">
        <v>1052</v>
      </c>
      <c r="B1053" s="23" t="s">
        <v>109</v>
      </c>
      <c r="C1053" s="18" t="s">
        <v>125</v>
      </c>
      <c r="D1053" s="18">
        <v>66</v>
      </c>
      <c r="E1053" s="18" t="s">
        <v>130</v>
      </c>
      <c r="F1053" s="18" t="str">
        <f>IF(OR(D1053&gt;Answers!L1068,D1053&lt;Answers!L1069),"Outlier","Normal")</f>
        <v>Outlier</v>
      </c>
      <c r="G1053" s="19" t="str">
        <f t="shared" si="16"/>
        <v>40-50</v>
      </c>
    </row>
    <row r="1054" spans="1:7" ht="20" customHeight="1" x14ac:dyDescent="0.35">
      <c r="A1054" s="17">
        <v>1053</v>
      </c>
      <c r="B1054" s="23" t="s">
        <v>113</v>
      </c>
      <c r="C1054" s="18" t="s">
        <v>126</v>
      </c>
      <c r="D1054" s="18">
        <v>67</v>
      </c>
      <c r="E1054" s="18" t="s">
        <v>130</v>
      </c>
      <c r="F1054" s="18" t="str">
        <f>IF(OR(D1054&gt;Answers!L1069,D1054&lt;Answers!L1070),"Outlier","Normal")</f>
        <v>Outlier</v>
      </c>
      <c r="G1054" s="19" t="str">
        <f t="shared" si="16"/>
        <v>40-50</v>
      </c>
    </row>
    <row r="1055" spans="1:7" ht="20" customHeight="1" x14ac:dyDescent="0.35">
      <c r="A1055" s="17">
        <v>1054</v>
      </c>
      <c r="B1055" s="23" t="s">
        <v>113</v>
      </c>
      <c r="C1055" s="18" t="s">
        <v>125</v>
      </c>
      <c r="D1055" s="18">
        <v>86</v>
      </c>
      <c r="E1055" s="18" t="s">
        <v>130</v>
      </c>
      <c r="F1055" s="18" t="str">
        <f>IF(OR(D1055&gt;Answers!L1070,D1055&lt;Answers!L1071),"Outlier","Normal")</f>
        <v>Outlier</v>
      </c>
      <c r="G1055" s="19" t="str">
        <f t="shared" si="16"/>
        <v>40-50</v>
      </c>
    </row>
    <row r="1056" spans="1:7" ht="20" customHeight="1" x14ac:dyDescent="0.35">
      <c r="A1056" s="17">
        <v>1055</v>
      </c>
      <c r="B1056" s="23" t="s">
        <v>113</v>
      </c>
      <c r="C1056" s="18" t="s">
        <v>125</v>
      </c>
      <c r="D1056" s="18">
        <v>21</v>
      </c>
      <c r="E1056" s="18" t="s">
        <v>130</v>
      </c>
      <c r="F1056" s="18" t="str">
        <f>IF(OR(D1056&gt;Answers!L1071,D1056&lt;Answers!L1072),"Outlier","Normal")</f>
        <v>Outlier</v>
      </c>
      <c r="G1056" s="19" t="str">
        <f t="shared" si="16"/>
        <v>20-30</v>
      </c>
    </row>
    <row r="1057" spans="1:7" ht="20" customHeight="1" x14ac:dyDescent="0.35">
      <c r="A1057" s="17">
        <v>1056</v>
      </c>
      <c r="B1057" s="23" t="s">
        <v>105</v>
      </c>
      <c r="C1057" s="18" t="s">
        <v>125</v>
      </c>
      <c r="D1057" s="18">
        <v>83</v>
      </c>
      <c r="E1057" s="18" t="s">
        <v>130</v>
      </c>
      <c r="F1057" s="18" t="str">
        <f>IF(OR(D1057&gt;Answers!L1072,D1057&lt;Answers!L1073),"Outlier","Normal")</f>
        <v>Outlier</v>
      </c>
      <c r="G1057" s="19" t="str">
        <f t="shared" si="16"/>
        <v>40-50</v>
      </c>
    </row>
    <row r="1058" spans="1:7" ht="20" customHeight="1" x14ac:dyDescent="0.35">
      <c r="A1058" s="17">
        <v>1057</v>
      </c>
      <c r="B1058" s="23" t="s">
        <v>105</v>
      </c>
      <c r="C1058" s="18" t="s">
        <v>125</v>
      </c>
      <c r="D1058" s="18">
        <v>71</v>
      </c>
      <c r="E1058" s="18" t="s">
        <v>130</v>
      </c>
      <c r="F1058" s="18" t="str">
        <f>IF(OR(D1058&gt;Answers!L1073,D1058&lt;Answers!L1074),"Outlier","Normal")</f>
        <v>Outlier</v>
      </c>
      <c r="G1058" s="19" t="str">
        <f t="shared" si="16"/>
        <v>40-50</v>
      </c>
    </row>
    <row r="1059" spans="1:7" ht="20" customHeight="1" x14ac:dyDescent="0.35">
      <c r="A1059" s="17">
        <v>1058</v>
      </c>
      <c r="B1059" s="23" t="s">
        <v>113</v>
      </c>
      <c r="C1059" s="18" t="s">
        <v>126</v>
      </c>
      <c r="D1059" s="18">
        <v>74</v>
      </c>
      <c r="E1059" s="18" t="s">
        <v>130</v>
      </c>
      <c r="F1059" s="18" t="str">
        <f>IF(OR(D1059&gt;Answers!L1074,D1059&lt;Answers!L1075),"Outlier","Normal")</f>
        <v>Outlier</v>
      </c>
      <c r="G1059" s="19" t="str">
        <f t="shared" si="16"/>
        <v>40-50</v>
      </c>
    </row>
    <row r="1060" spans="1:7" ht="20" customHeight="1" x14ac:dyDescent="0.35">
      <c r="A1060" s="17">
        <v>1059</v>
      </c>
      <c r="B1060" s="23" t="s">
        <v>113</v>
      </c>
      <c r="C1060" s="18" t="s">
        <v>126</v>
      </c>
      <c r="D1060" s="18">
        <v>75</v>
      </c>
      <c r="E1060" s="18" t="s">
        <v>130</v>
      </c>
      <c r="F1060" s="18" t="str">
        <f>IF(OR(D1060&gt;Answers!L1075,D1060&lt;Answers!L1076),"Outlier","Normal")</f>
        <v>Outlier</v>
      </c>
      <c r="G1060" s="19" t="str">
        <f t="shared" si="16"/>
        <v>40-50</v>
      </c>
    </row>
    <row r="1061" spans="1:7" ht="20" customHeight="1" x14ac:dyDescent="0.35">
      <c r="A1061" s="17">
        <v>1060</v>
      </c>
      <c r="B1061" s="23" t="s">
        <v>113</v>
      </c>
      <c r="C1061" s="18" t="s">
        <v>126</v>
      </c>
      <c r="D1061" s="18">
        <v>62</v>
      </c>
      <c r="E1061" s="18" t="s">
        <v>130</v>
      </c>
      <c r="F1061" s="18" t="str">
        <f>IF(OR(D1061&gt;Answers!L1076,D1061&lt;Answers!L1077),"Outlier","Normal")</f>
        <v>Outlier</v>
      </c>
      <c r="G1061" s="19" t="str">
        <f t="shared" si="16"/>
        <v>40-50</v>
      </c>
    </row>
    <row r="1062" spans="1:7" ht="20" customHeight="1" x14ac:dyDescent="0.35">
      <c r="A1062" s="17">
        <v>1061</v>
      </c>
      <c r="B1062" s="23" t="s">
        <v>102</v>
      </c>
      <c r="C1062" s="18" t="s">
        <v>126</v>
      </c>
      <c r="D1062" s="18">
        <v>61</v>
      </c>
      <c r="E1062" s="18" t="s">
        <v>130</v>
      </c>
      <c r="F1062" s="18" t="str">
        <f>IF(OR(D1062&gt;Answers!L1077,D1062&lt;Answers!L1078),"Outlier","Normal")</f>
        <v>Outlier</v>
      </c>
      <c r="G1062" s="19" t="str">
        <f t="shared" si="16"/>
        <v>40-50</v>
      </c>
    </row>
    <row r="1063" spans="1:7" ht="20" customHeight="1" x14ac:dyDescent="0.35">
      <c r="A1063" s="17">
        <v>1062</v>
      </c>
      <c r="B1063" s="23" t="s">
        <v>113</v>
      </c>
      <c r="C1063" s="18" t="s">
        <v>126</v>
      </c>
      <c r="D1063" s="18">
        <v>68</v>
      </c>
      <c r="E1063" s="18" t="s">
        <v>130</v>
      </c>
      <c r="F1063" s="18" t="str">
        <f>IF(OR(D1063&gt;Answers!L1078,D1063&lt;Answers!L1079),"Outlier","Normal")</f>
        <v>Outlier</v>
      </c>
      <c r="G1063" s="19" t="str">
        <f t="shared" si="16"/>
        <v>40-50</v>
      </c>
    </row>
    <row r="1064" spans="1:7" ht="20" customHeight="1" x14ac:dyDescent="0.35">
      <c r="A1064" s="17">
        <v>1063</v>
      </c>
      <c r="B1064" s="23" t="s">
        <v>113</v>
      </c>
      <c r="C1064" s="18" t="s">
        <v>126</v>
      </c>
      <c r="D1064" s="18">
        <v>82</v>
      </c>
      <c r="E1064" s="18" t="s">
        <v>130</v>
      </c>
      <c r="F1064" s="18" t="str">
        <f>IF(OR(D1064&gt;Answers!L1079,D1064&lt;Answers!L1080),"Outlier","Normal")</f>
        <v>Outlier</v>
      </c>
      <c r="G1064" s="19" t="str">
        <f t="shared" si="16"/>
        <v>40-50</v>
      </c>
    </row>
    <row r="1065" spans="1:7" ht="20" customHeight="1" x14ac:dyDescent="0.35">
      <c r="A1065" s="17">
        <v>1064</v>
      </c>
      <c r="B1065" s="23" t="s">
        <v>104</v>
      </c>
      <c r="C1065" s="18" t="s">
        <v>125</v>
      </c>
      <c r="D1065" s="18">
        <v>75</v>
      </c>
      <c r="E1065" s="18" t="s">
        <v>130</v>
      </c>
      <c r="F1065" s="18" t="str">
        <f>IF(OR(D1065&gt;Answers!L1080,D1065&lt;Answers!L1081),"Outlier","Normal")</f>
        <v>Outlier</v>
      </c>
      <c r="G1065" s="19" t="str">
        <f t="shared" si="16"/>
        <v>40-50</v>
      </c>
    </row>
    <row r="1066" spans="1:7" ht="20" customHeight="1" x14ac:dyDescent="0.35">
      <c r="A1066" s="17">
        <v>1065</v>
      </c>
      <c r="B1066" s="23" t="s">
        <v>103</v>
      </c>
      <c r="C1066" s="18" t="s">
        <v>126</v>
      </c>
      <c r="D1066" s="18">
        <v>25</v>
      </c>
      <c r="E1066" s="18" t="s">
        <v>130</v>
      </c>
      <c r="F1066" s="18" t="str">
        <f>IF(OR(D1066&gt;Answers!L1081,D1066&lt;Answers!L1082),"Outlier","Normal")</f>
        <v>Outlier</v>
      </c>
      <c r="G1066" s="19" t="str">
        <f t="shared" si="16"/>
        <v>20-30</v>
      </c>
    </row>
    <row r="1067" spans="1:7" ht="20" customHeight="1" x14ac:dyDescent="0.35">
      <c r="A1067" s="17">
        <v>1066</v>
      </c>
      <c r="B1067" s="23" t="s">
        <v>113</v>
      </c>
      <c r="C1067" s="18" t="s">
        <v>125</v>
      </c>
      <c r="D1067" s="18">
        <v>70</v>
      </c>
      <c r="E1067" s="18" t="s">
        <v>130</v>
      </c>
      <c r="F1067" s="18" t="str">
        <f>IF(OR(D1067&gt;Answers!L1082,D1067&lt;Answers!L1083),"Outlier","Normal")</f>
        <v>Outlier</v>
      </c>
      <c r="G1067" s="19" t="str">
        <f t="shared" si="16"/>
        <v>40-50</v>
      </c>
    </row>
    <row r="1068" spans="1:7" ht="20" customHeight="1" x14ac:dyDescent="0.35">
      <c r="A1068" s="17">
        <v>1067</v>
      </c>
      <c r="B1068" s="23" t="s">
        <v>113</v>
      </c>
      <c r="C1068" s="18" t="s">
        <v>126</v>
      </c>
      <c r="D1068" s="18">
        <v>60</v>
      </c>
      <c r="E1068" s="18" t="s">
        <v>130</v>
      </c>
      <c r="F1068" s="18" t="str">
        <f>IF(OR(D1068&gt;Answers!L1083,D1068&lt;Answers!L1084),"Outlier","Normal")</f>
        <v>Outlier</v>
      </c>
      <c r="G1068" s="19" t="str">
        <f t="shared" si="16"/>
        <v>40-50</v>
      </c>
    </row>
    <row r="1069" spans="1:7" ht="20" customHeight="1" x14ac:dyDescent="0.35">
      <c r="A1069" s="17">
        <v>1068</v>
      </c>
      <c r="B1069" s="23" t="s">
        <v>105</v>
      </c>
      <c r="C1069" s="18" t="s">
        <v>125</v>
      </c>
      <c r="D1069" s="18">
        <v>56</v>
      </c>
      <c r="E1069" s="18" t="s">
        <v>130</v>
      </c>
      <c r="F1069" s="18" t="str">
        <f>IF(OR(D1069&gt;Answers!L1084,D1069&lt;Answers!L1085),"Outlier","Normal")</f>
        <v>Outlier</v>
      </c>
      <c r="G1069" s="19" t="str">
        <f t="shared" si="16"/>
        <v>40-50</v>
      </c>
    </row>
    <row r="1070" spans="1:7" ht="20" customHeight="1" x14ac:dyDescent="0.35">
      <c r="A1070" s="17">
        <v>1069</v>
      </c>
      <c r="B1070" s="23" t="s">
        <v>101</v>
      </c>
      <c r="C1070" s="18" t="s">
        <v>125</v>
      </c>
      <c r="D1070" s="18">
        <v>80</v>
      </c>
      <c r="E1070" s="18" t="s">
        <v>130</v>
      </c>
      <c r="F1070" s="18" t="str">
        <f>IF(OR(D1070&gt;Answers!L1085,D1070&lt;Answers!L1086),"Outlier","Normal")</f>
        <v>Outlier</v>
      </c>
      <c r="G1070" s="19" t="str">
        <f t="shared" si="16"/>
        <v>40-50</v>
      </c>
    </row>
    <row r="1071" spans="1:7" ht="20" customHeight="1" x14ac:dyDescent="0.35">
      <c r="A1071" s="17">
        <v>1070</v>
      </c>
      <c r="B1071" s="23" t="s">
        <v>106</v>
      </c>
      <c r="C1071" s="18" t="s">
        <v>126</v>
      </c>
      <c r="D1071" s="18">
        <v>60</v>
      </c>
      <c r="E1071" s="18" t="s">
        <v>130</v>
      </c>
      <c r="F1071" s="18" t="str">
        <f>IF(OR(D1071&gt;Answers!L1086,D1071&lt;Answers!L1087),"Outlier","Normal")</f>
        <v>Outlier</v>
      </c>
      <c r="G1071" s="19" t="str">
        <f t="shared" si="16"/>
        <v>40-50</v>
      </c>
    </row>
    <row r="1072" spans="1:7" ht="20" customHeight="1" x14ac:dyDescent="0.35">
      <c r="A1072" s="17">
        <v>1071</v>
      </c>
      <c r="B1072" s="23" t="s">
        <v>113</v>
      </c>
      <c r="C1072" s="18" t="s">
        <v>126</v>
      </c>
      <c r="D1072" s="18">
        <v>32</v>
      </c>
      <c r="E1072" s="18" t="s">
        <v>130</v>
      </c>
      <c r="F1072" s="18" t="str">
        <f>IF(OR(D1072&gt;Answers!L1087,D1072&lt;Answers!L1088),"Outlier","Normal")</f>
        <v>Outlier</v>
      </c>
      <c r="G1072" s="19" t="str">
        <f t="shared" si="16"/>
        <v>30-40</v>
      </c>
    </row>
    <row r="1073" spans="1:7" ht="20" customHeight="1" x14ac:dyDescent="0.35">
      <c r="A1073" s="17">
        <v>1072</v>
      </c>
      <c r="B1073" s="23" t="s">
        <v>113</v>
      </c>
      <c r="C1073" s="18" t="s">
        <v>126</v>
      </c>
      <c r="D1073" s="18">
        <v>78</v>
      </c>
      <c r="E1073" s="18" t="s">
        <v>130</v>
      </c>
      <c r="F1073" s="18" t="str">
        <f>IF(OR(D1073&gt;Answers!L1088,D1073&lt;Answers!L1089),"Outlier","Normal")</f>
        <v>Outlier</v>
      </c>
      <c r="G1073" s="19" t="str">
        <f t="shared" si="16"/>
        <v>40-50</v>
      </c>
    </row>
    <row r="1074" spans="1:7" ht="20" customHeight="1" x14ac:dyDescent="0.35">
      <c r="A1074" s="17">
        <v>1073</v>
      </c>
      <c r="B1074" s="23" t="s">
        <v>105</v>
      </c>
      <c r="C1074" s="18" t="s">
        <v>126</v>
      </c>
      <c r="D1074" s="18">
        <v>60</v>
      </c>
      <c r="E1074" s="18" t="s">
        <v>130</v>
      </c>
      <c r="F1074" s="18" t="str">
        <f>IF(OR(D1074&gt;Answers!L1089,D1074&lt;Answers!L1090),"Outlier","Normal")</f>
        <v>Outlier</v>
      </c>
      <c r="G1074" s="19" t="str">
        <f t="shared" si="16"/>
        <v>40-50</v>
      </c>
    </row>
    <row r="1075" spans="1:7" ht="20" customHeight="1" x14ac:dyDescent="0.35">
      <c r="A1075" s="17">
        <v>1074</v>
      </c>
      <c r="B1075" s="23" t="s">
        <v>105</v>
      </c>
      <c r="C1075" s="18" t="s">
        <v>126</v>
      </c>
      <c r="D1075" s="18">
        <v>48</v>
      </c>
      <c r="E1075" s="18" t="s">
        <v>130</v>
      </c>
      <c r="F1075" s="18" t="str">
        <f>IF(OR(D1075&gt;Answers!L1090,D1075&lt;Answers!L1091),"Outlier","Normal")</f>
        <v>Outlier</v>
      </c>
      <c r="G1075" s="19" t="str">
        <f t="shared" si="16"/>
        <v>40-50</v>
      </c>
    </row>
    <row r="1076" spans="1:7" ht="20" customHeight="1" x14ac:dyDescent="0.35">
      <c r="A1076" s="17">
        <v>1075</v>
      </c>
      <c r="B1076" s="23" t="s">
        <v>108</v>
      </c>
      <c r="C1076" s="18" t="s">
        <v>125</v>
      </c>
      <c r="D1076" s="18">
        <v>55</v>
      </c>
      <c r="E1076" s="18" t="s">
        <v>130</v>
      </c>
      <c r="F1076" s="18" t="str">
        <f>IF(OR(D1076&gt;Answers!L1091,D1076&lt;Answers!L1092),"Outlier","Normal")</f>
        <v>Outlier</v>
      </c>
      <c r="G1076" s="19" t="str">
        <f t="shared" si="16"/>
        <v>40-50</v>
      </c>
    </row>
    <row r="1077" spans="1:7" ht="20" customHeight="1" x14ac:dyDescent="0.35">
      <c r="A1077" s="17">
        <v>1076</v>
      </c>
      <c r="B1077" s="23" t="s">
        <v>113</v>
      </c>
      <c r="C1077" s="18" t="s">
        <v>126</v>
      </c>
      <c r="D1077" s="18">
        <v>18</v>
      </c>
      <c r="E1077" s="18" t="s">
        <v>130</v>
      </c>
      <c r="F1077" s="18" t="str">
        <f>IF(OR(D1077&gt;Answers!L1092,D1077&lt;Answers!L1093),"Outlier","Normal")</f>
        <v>Outlier</v>
      </c>
      <c r="G1077" s="19" t="str">
        <f t="shared" si="16"/>
        <v>&lt;20</v>
      </c>
    </row>
    <row r="1078" spans="1:7" ht="20" customHeight="1" x14ac:dyDescent="0.35">
      <c r="A1078" s="17">
        <v>1077</v>
      </c>
      <c r="B1078" s="23" t="s">
        <v>113</v>
      </c>
      <c r="C1078" s="18" t="s">
        <v>125</v>
      </c>
      <c r="D1078" s="18">
        <v>24</v>
      </c>
      <c r="E1078" s="18" t="s">
        <v>130</v>
      </c>
      <c r="F1078" s="18" t="str">
        <f>IF(OR(D1078&gt;Answers!L1093,D1078&lt;Answers!L1094),"Outlier","Normal")</f>
        <v>Outlier</v>
      </c>
      <c r="G1078" s="19" t="str">
        <f t="shared" si="16"/>
        <v>20-30</v>
      </c>
    </row>
    <row r="1079" spans="1:7" ht="20" customHeight="1" x14ac:dyDescent="0.35">
      <c r="A1079" s="17">
        <v>1078</v>
      </c>
      <c r="B1079" s="23" t="s">
        <v>101</v>
      </c>
      <c r="C1079" s="18" t="s">
        <v>126</v>
      </c>
      <c r="D1079" s="18">
        <v>55</v>
      </c>
      <c r="E1079" s="18" t="s">
        <v>130</v>
      </c>
      <c r="F1079" s="18" t="str">
        <f>IF(OR(D1079&gt;Answers!L1094,D1079&lt;Answers!L1095),"Outlier","Normal")</f>
        <v>Outlier</v>
      </c>
      <c r="G1079" s="19" t="str">
        <f t="shared" si="16"/>
        <v>40-50</v>
      </c>
    </row>
    <row r="1080" spans="1:7" ht="20" customHeight="1" x14ac:dyDescent="0.35">
      <c r="A1080" s="17">
        <v>1079</v>
      </c>
      <c r="B1080" s="23" t="s">
        <v>113</v>
      </c>
      <c r="C1080" s="18" t="s">
        <v>126</v>
      </c>
      <c r="D1080" s="18">
        <v>29</v>
      </c>
      <c r="E1080" s="18" t="s">
        <v>130</v>
      </c>
      <c r="F1080" s="18" t="str">
        <f>IF(OR(D1080&gt;Answers!L1095,D1080&lt;Answers!L1096),"Outlier","Normal")</f>
        <v>Outlier</v>
      </c>
      <c r="G1080" s="19" t="str">
        <f t="shared" si="16"/>
        <v>20-30</v>
      </c>
    </row>
    <row r="1081" spans="1:7" ht="20" customHeight="1" x14ac:dyDescent="0.35">
      <c r="A1081" s="17">
        <v>1080</v>
      </c>
      <c r="B1081" s="23" t="s">
        <v>113</v>
      </c>
      <c r="C1081" s="18" t="s">
        <v>125</v>
      </c>
      <c r="D1081" s="18">
        <v>78</v>
      </c>
      <c r="E1081" s="18" t="s">
        <v>130</v>
      </c>
      <c r="F1081" s="18" t="str">
        <f>IF(OR(D1081&gt;Answers!L1096,D1081&lt;Answers!L1097),"Outlier","Normal")</f>
        <v>Outlier</v>
      </c>
      <c r="G1081" s="19" t="str">
        <f t="shared" si="16"/>
        <v>40-50</v>
      </c>
    </row>
    <row r="1082" spans="1:7" ht="20" customHeight="1" x14ac:dyDescent="0.35">
      <c r="A1082" s="17">
        <v>1081</v>
      </c>
      <c r="B1082" s="23" t="s">
        <v>107</v>
      </c>
      <c r="C1082" s="18" t="s">
        <v>126</v>
      </c>
      <c r="D1082" s="18">
        <v>77</v>
      </c>
      <c r="E1082" s="18" t="s">
        <v>130</v>
      </c>
      <c r="F1082" s="18" t="str">
        <f>IF(OR(D1082&gt;Answers!L1097,D1082&lt;Answers!L1098),"Outlier","Normal")</f>
        <v>Outlier</v>
      </c>
      <c r="G1082" s="19" t="str">
        <f t="shared" si="16"/>
        <v>40-50</v>
      </c>
    </row>
    <row r="1083" spans="1:7" ht="20" customHeight="1" x14ac:dyDescent="0.35">
      <c r="A1083" s="17">
        <v>1082</v>
      </c>
      <c r="B1083" s="23" t="s">
        <v>113</v>
      </c>
      <c r="C1083" s="18" t="s">
        <v>125</v>
      </c>
      <c r="D1083" s="18">
        <v>70</v>
      </c>
      <c r="E1083" s="18" t="s">
        <v>130</v>
      </c>
      <c r="F1083" s="18" t="str">
        <f>IF(OR(D1083&gt;Answers!L1098,D1083&lt;Answers!L1099),"Outlier","Normal")</f>
        <v>Outlier</v>
      </c>
      <c r="G1083" s="19" t="str">
        <f t="shared" si="16"/>
        <v>40-50</v>
      </c>
    </row>
    <row r="1084" spans="1:7" ht="20" customHeight="1" x14ac:dyDescent="0.35">
      <c r="A1084" s="17">
        <v>1083</v>
      </c>
      <c r="B1084" s="23" t="s">
        <v>105</v>
      </c>
      <c r="C1084" s="18" t="s">
        <v>126</v>
      </c>
      <c r="D1084" s="18">
        <v>25</v>
      </c>
      <c r="E1084" s="18" t="s">
        <v>130</v>
      </c>
      <c r="F1084" s="18" t="str">
        <f>IF(OR(D1084&gt;Answers!L1099,D1084&lt;Answers!L1100),"Outlier","Normal")</f>
        <v>Outlier</v>
      </c>
      <c r="G1084" s="19" t="str">
        <f t="shared" si="16"/>
        <v>20-30</v>
      </c>
    </row>
    <row r="1085" spans="1:7" ht="20" customHeight="1" x14ac:dyDescent="0.35">
      <c r="A1085" s="17">
        <v>1084</v>
      </c>
      <c r="B1085" s="23" t="s">
        <v>113</v>
      </c>
      <c r="C1085" s="18" t="s">
        <v>125</v>
      </c>
      <c r="D1085" s="18">
        <v>75</v>
      </c>
      <c r="E1085" s="18" t="s">
        <v>130</v>
      </c>
      <c r="F1085" s="18" t="str">
        <f>IF(OR(D1085&gt;Answers!L1100,D1085&lt;Answers!L1101),"Outlier","Normal")</f>
        <v>Outlier</v>
      </c>
      <c r="G1085" s="19" t="str">
        <f t="shared" si="16"/>
        <v>40-50</v>
      </c>
    </row>
    <row r="1086" spans="1:7" ht="20" customHeight="1" x14ac:dyDescent="0.35">
      <c r="A1086" s="17">
        <v>1085</v>
      </c>
      <c r="B1086" s="23" t="s">
        <v>105</v>
      </c>
      <c r="C1086" s="18" t="s">
        <v>125</v>
      </c>
      <c r="D1086" s="18">
        <v>78</v>
      </c>
      <c r="E1086" s="18" t="s">
        <v>130</v>
      </c>
      <c r="F1086" s="18" t="str">
        <f>IF(OR(D1086&gt;Answers!L1101,D1086&lt;Answers!L1102),"Outlier","Normal")</f>
        <v>Outlier</v>
      </c>
      <c r="G1086" s="19" t="str">
        <f t="shared" si="16"/>
        <v>40-50</v>
      </c>
    </row>
    <row r="1087" spans="1:7" ht="20" customHeight="1" x14ac:dyDescent="0.35">
      <c r="A1087" s="17">
        <v>1086</v>
      </c>
      <c r="B1087" s="23" t="s">
        <v>100</v>
      </c>
      <c r="C1087" s="18" t="s">
        <v>125</v>
      </c>
      <c r="D1087" s="18">
        <v>63</v>
      </c>
      <c r="E1087" s="18" t="s">
        <v>130</v>
      </c>
      <c r="F1087" s="18" t="str">
        <f>IF(OR(D1087&gt;Answers!L1102,D1087&lt;Answers!L1103),"Outlier","Normal")</f>
        <v>Outlier</v>
      </c>
      <c r="G1087" s="19" t="str">
        <f t="shared" si="16"/>
        <v>40-50</v>
      </c>
    </row>
    <row r="1088" spans="1:7" ht="20" customHeight="1" x14ac:dyDescent="0.35">
      <c r="A1088" s="17">
        <v>1087</v>
      </c>
      <c r="B1088" s="23" t="s">
        <v>113</v>
      </c>
      <c r="C1088" s="18" t="s">
        <v>126</v>
      </c>
      <c r="D1088" s="18">
        <v>32</v>
      </c>
      <c r="E1088" s="18" t="s">
        <v>130</v>
      </c>
      <c r="F1088" s="18" t="str">
        <f>IF(OR(D1088&gt;Answers!L1103,D1088&lt;Answers!L1104),"Outlier","Normal")</f>
        <v>Outlier</v>
      </c>
      <c r="G1088" s="19" t="str">
        <f t="shared" si="16"/>
        <v>30-40</v>
      </c>
    </row>
    <row r="1089" spans="1:7" ht="20" customHeight="1" x14ac:dyDescent="0.35">
      <c r="A1089" s="17">
        <v>1088</v>
      </c>
      <c r="B1089" s="23" t="s">
        <v>113</v>
      </c>
      <c r="C1089" s="18" t="s">
        <v>126</v>
      </c>
      <c r="D1089" s="18">
        <v>72</v>
      </c>
      <c r="E1089" s="18" t="s">
        <v>130</v>
      </c>
      <c r="F1089" s="18" t="str">
        <f>IF(OR(D1089&gt;Answers!L1104,D1089&lt;Answers!L1105),"Outlier","Normal")</f>
        <v>Outlier</v>
      </c>
      <c r="G1089" s="19" t="str">
        <f t="shared" si="16"/>
        <v>40-50</v>
      </c>
    </row>
    <row r="1090" spans="1:7" ht="20" customHeight="1" x14ac:dyDescent="0.35">
      <c r="A1090" s="17">
        <v>1089</v>
      </c>
      <c r="B1090" s="23" t="s">
        <v>100</v>
      </c>
      <c r="C1090" s="18" t="s">
        <v>125</v>
      </c>
      <c r="D1090" s="18">
        <v>28</v>
      </c>
      <c r="E1090" s="18" t="s">
        <v>130</v>
      </c>
      <c r="F1090" s="18" t="str">
        <f>IF(OR(D1090&gt;Answers!L1105,D1090&lt;Answers!L1106),"Outlier","Normal")</f>
        <v>Outlier</v>
      </c>
      <c r="G1090" s="19" t="str">
        <f t="shared" si="16"/>
        <v>20-30</v>
      </c>
    </row>
    <row r="1091" spans="1:7" ht="20" customHeight="1" x14ac:dyDescent="0.35">
      <c r="A1091" s="17">
        <v>1090</v>
      </c>
      <c r="B1091" s="23" t="s">
        <v>100</v>
      </c>
      <c r="C1091" s="18" t="s">
        <v>126</v>
      </c>
      <c r="D1091" s="18">
        <v>19</v>
      </c>
      <c r="E1091" s="18" t="s">
        <v>130</v>
      </c>
      <c r="F1091" s="18" t="str">
        <f>IF(OR(D1091&gt;Answers!L1106,D1091&lt;Answers!L1107),"Outlier","Normal")</f>
        <v>Outlier</v>
      </c>
      <c r="G1091" s="19" t="str">
        <f t="shared" ref="G1091:G1154" si="17">IF(D1091&lt;20,"&lt;20",
IF(D1091&lt;=30,"20-30",
IF(D1091&lt;=40,"30-40","40-50")))</f>
        <v>&lt;20</v>
      </c>
    </row>
    <row r="1092" spans="1:7" ht="20" customHeight="1" x14ac:dyDescent="0.35">
      <c r="A1092" s="17">
        <v>1091</v>
      </c>
      <c r="B1092" s="23" t="s">
        <v>100</v>
      </c>
      <c r="C1092" s="18" t="s">
        <v>126</v>
      </c>
      <c r="D1092" s="18">
        <v>26</v>
      </c>
      <c r="E1092" s="18" t="s">
        <v>130</v>
      </c>
      <c r="F1092" s="18" t="str">
        <f>IF(OR(D1092&gt;Answers!L1107,D1092&lt;Answers!L1108),"Outlier","Normal")</f>
        <v>Outlier</v>
      </c>
      <c r="G1092" s="19" t="str">
        <f t="shared" si="17"/>
        <v>20-30</v>
      </c>
    </row>
    <row r="1093" spans="1:7" ht="20" customHeight="1" x14ac:dyDescent="0.35">
      <c r="A1093" s="17">
        <v>1092</v>
      </c>
      <c r="B1093" s="23" t="s">
        <v>113</v>
      </c>
      <c r="C1093" s="18" t="s">
        <v>125</v>
      </c>
      <c r="D1093" s="18">
        <v>35</v>
      </c>
      <c r="E1093" s="18" t="s">
        <v>130</v>
      </c>
      <c r="F1093" s="18" t="str">
        <f>IF(OR(D1093&gt;Answers!L1108,D1093&lt;Answers!L1109),"Outlier","Normal")</f>
        <v>Outlier</v>
      </c>
      <c r="G1093" s="19" t="str">
        <f t="shared" si="17"/>
        <v>30-40</v>
      </c>
    </row>
    <row r="1094" spans="1:7" ht="20" customHeight="1" x14ac:dyDescent="0.35">
      <c r="A1094" s="17">
        <v>1093</v>
      </c>
      <c r="B1094" s="23" t="s">
        <v>113</v>
      </c>
      <c r="C1094" s="18" t="s">
        <v>126</v>
      </c>
      <c r="D1094" s="18">
        <v>34</v>
      </c>
      <c r="E1094" s="18" t="s">
        <v>130</v>
      </c>
      <c r="F1094" s="18" t="str">
        <f>IF(OR(D1094&gt;Answers!L1109,D1094&lt;Answers!L1110),"Outlier","Normal")</f>
        <v>Outlier</v>
      </c>
      <c r="G1094" s="19" t="str">
        <f t="shared" si="17"/>
        <v>30-40</v>
      </c>
    </row>
    <row r="1095" spans="1:7" ht="20" customHeight="1" x14ac:dyDescent="0.35">
      <c r="A1095" s="17">
        <v>1094</v>
      </c>
      <c r="B1095" s="23" t="s">
        <v>113</v>
      </c>
      <c r="C1095" s="18" t="s">
        <v>125</v>
      </c>
      <c r="D1095" s="18">
        <v>66</v>
      </c>
      <c r="E1095" s="18" t="s">
        <v>130</v>
      </c>
      <c r="F1095" s="18" t="str">
        <f>IF(OR(D1095&gt;Answers!L1110,D1095&lt;Answers!L1111),"Outlier","Normal")</f>
        <v>Outlier</v>
      </c>
      <c r="G1095" s="19" t="str">
        <f t="shared" si="17"/>
        <v>40-50</v>
      </c>
    </row>
    <row r="1096" spans="1:7" ht="20" customHeight="1" x14ac:dyDescent="0.35">
      <c r="A1096" s="17">
        <v>1095</v>
      </c>
      <c r="B1096" s="23" t="s">
        <v>113</v>
      </c>
      <c r="C1096" s="18" t="s">
        <v>125</v>
      </c>
      <c r="D1096" s="18">
        <v>58</v>
      </c>
      <c r="E1096" s="18" t="s">
        <v>130</v>
      </c>
      <c r="F1096" s="18" t="str">
        <f>IF(OR(D1096&gt;Answers!L1111,D1096&lt;Answers!L1112),"Outlier","Normal")</f>
        <v>Outlier</v>
      </c>
      <c r="G1096" s="19" t="str">
        <f t="shared" si="17"/>
        <v>40-50</v>
      </c>
    </row>
    <row r="1097" spans="1:7" ht="20" customHeight="1" x14ac:dyDescent="0.35">
      <c r="A1097" s="17">
        <v>1096</v>
      </c>
      <c r="B1097" s="23" t="s">
        <v>105</v>
      </c>
      <c r="C1097" s="18" t="s">
        <v>125</v>
      </c>
      <c r="D1097" s="18">
        <v>87</v>
      </c>
      <c r="E1097" s="18" t="s">
        <v>130</v>
      </c>
      <c r="F1097" s="18" t="str">
        <f>IF(OR(D1097&gt;Answers!L1112,D1097&lt;Answers!L1113),"Outlier","Normal")</f>
        <v>Outlier</v>
      </c>
      <c r="G1097" s="19" t="str">
        <f t="shared" si="17"/>
        <v>40-50</v>
      </c>
    </row>
    <row r="1098" spans="1:7" ht="20" customHeight="1" x14ac:dyDescent="0.35">
      <c r="A1098" s="17">
        <v>1097</v>
      </c>
      <c r="B1098" s="23" t="s">
        <v>113</v>
      </c>
      <c r="C1098" s="18" t="s">
        <v>126</v>
      </c>
      <c r="D1098" s="18">
        <v>81</v>
      </c>
      <c r="E1098" s="18" t="s">
        <v>130</v>
      </c>
      <c r="F1098" s="18" t="str">
        <f>IF(OR(D1098&gt;Answers!L1113,D1098&lt;Answers!L1114),"Outlier","Normal")</f>
        <v>Outlier</v>
      </c>
      <c r="G1098" s="19" t="str">
        <f t="shared" si="17"/>
        <v>40-50</v>
      </c>
    </row>
    <row r="1099" spans="1:7" ht="20" customHeight="1" x14ac:dyDescent="0.35">
      <c r="A1099" s="17">
        <v>1098</v>
      </c>
      <c r="B1099" s="23" t="s">
        <v>106</v>
      </c>
      <c r="C1099" s="18" t="s">
        <v>125</v>
      </c>
      <c r="D1099" s="18">
        <v>31</v>
      </c>
      <c r="E1099" s="18" t="s">
        <v>130</v>
      </c>
      <c r="F1099" s="18" t="str">
        <f>IF(OR(D1099&gt;Answers!L1114,D1099&lt;Answers!L1115),"Outlier","Normal")</f>
        <v>Outlier</v>
      </c>
      <c r="G1099" s="19" t="str">
        <f t="shared" si="17"/>
        <v>30-40</v>
      </c>
    </row>
    <row r="1100" spans="1:7" ht="20" customHeight="1" x14ac:dyDescent="0.35">
      <c r="A1100" s="17">
        <v>1099</v>
      </c>
      <c r="B1100" s="23" t="s">
        <v>100</v>
      </c>
      <c r="C1100" s="18" t="s">
        <v>126</v>
      </c>
      <c r="D1100" s="18">
        <v>76</v>
      </c>
      <c r="E1100" s="18" t="s">
        <v>130</v>
      </c>
      <c r="F1100" s="18" t="str">
        <f>IF(OR(D1100&gt;Answers!L1115,D1100&lt;Answers!L1116),"Outlier","Normal")</f>
        <v>Outlier</v>
      </c>
      <c r="G1100" s="19" t="str">
        <f t="shared" si="17"/>
        <v>40-50</v>
      </c>
    </row>
    <row r="1101" spans="1:7" ht="20" customHeight="1" x14ac:dyDescent="0.35">
      <c r="A1101" s="17">
        <v>1100</v>
      </c>
      <c r="B1101" s="23" t="s">
        <v>105</v>
      </c>
      <c r="C1101" s="18" t="s">
        <v>126</v>
      </c>
      <c r="D1101" s="18">
        <v>30</v>
      </c>
      <c r="E1101" s="18" t="s">
        <v>130</v>
      </c>
      <c r="F1101" s="18" t="str">
        <f>IF(OR(D1101&gt;Answers!L1116,D1101&lt;Answers!L1117),"Outlier","Normal")</f>
        <v>Outlier</v>
      </c>
      <c r="G1101" s="19" t="str">
        <f t="shared" si="17"/>
        <v>20-30</v>
      </c>
    </row>
    <row r="1102" spans="1:7" ht="20" customHeight="1" x14ac:dyDescent="0.35">
      <c r="A1102" s="17">
        <v>1101</v>
      </c>
      <c r="B1102" s="23" t="s">
        <v>113</v>
      </c>
      <c r="C1102" s="18" t="s">
        <v>126</v>
      </c>
      <c r="D1102" s="18">
        <v>27</v>
      </c>
      <c r="E1102" s="18" t="s">
        <v>130</v>
      </c>
      <c r="F1102" s="18" t="str">
        <f>IF(OR(D1102&gt;Answers!L1117,D1102&lt;Answers!L1118),"Outlier","Normal")</f>
        <v>Outlier</v>
      </c>
      <c r="G1102" s="19" t="str">
        <f t="shared" si="17"/>
        <v>20-30</v>
      </c>
    </row>
    <row r="1103" spans="1:7" ht="20" customHeight="1" x14ac:dyDescent="0.35">
      <c r="A1103" s="17">
        <v>1102</v>
      </c>
      <c r="B1103" s="23" t="s">
        <v>113</v>
      </c>
      <c r="C1103" s="18" t="s">
        <v>125</v>
      </c>
      <c r="D1103" s="18">
        <v>66</v>
      </c>
      <c r="E1103" s="18" t="s">
        <v>130</v>
      </c>
      <c r="F1103" s="18" t="str">
        <f>IF(OR(D1103&gt;Answers!L1118,D1103&lt;Answers!L1119),"Outlier","Normal")</f>
        <v>Outlier</v>
      </c>
      <c r="G1103" s="19" t="str">
        <f t="shared" si="17"/>
        <v>40-50</v>
      </c>
    </row>
    <row r="1104" spans="1:7" ht="20" customHeight="1" x14ac:dyDescent="0.35">
      <c r="A1104" s="17">
        <v>1103</v>
      </c>
      <c r="B1104" s="23" t="s">
        <v>113</v>
      </c>
      <c r="C1104" s="18" t="s">
        <v>126</v>
      </c>
      <c r="D1104" s="18">
        <v>32</v>
      </c>
      <c r="E1104" s="18" t="s">
        <v>130</v>
      </c>
      <c r="F1104" s="18" t="str">
        <f>IF(OR(D1104&gt;Answers!L1119,D1104&lt;Answers!L1120),"Outlier","Normal")</f>
        <v>Outlier</v>
      </c>
      <c r="G1104" s="19" t="str">
        <f t="shared" si="17"/>
        <v>30-40</v>
      </c>
    </row>
    <row r="1105" spans="1:7" ht="20" customHeight="1" x14ac:dyDescent="0.35">
      <c r="A1105" s="17">
        <v>1104</v>
      </c>
      <c r="B1105" s="23" t="s">
        <v>105</v>
      </c>
      <c r="C1105" s="18" t="s">
        <v>126</v>
      </c>
      <c r="D1105" s="18">
        <v>21</v>
      </c>
      <c r="E1105" s="18" t="s">
        <v>130</v>
      </c>
      <c r="F1105" s="18" t="str">
        <f>IF(OR(D1105&gt;Answers!L1120,D1105&lt;Answers!L1121),"Outlier","Normal")</f>
        <v>Outlier</v>
      </c>
      <c r="G1105" s="19" t="str">
        <f t="shared" si="17"/>
        <v>20-30</v>
      </c>
    </row>
    <row r="1106" spans="1:7" ht="20" customHeight="1" x14ac:dyDescent="0.35">
      <c r="A1106" s="17">
        <v>1105</v>
      </c>
      <c r="B1106" s="23" t="s">
        <v>100</v>
      </c>
      <c r="C1106" s="18" t="s">
        <v>126</v>
      </c>
      <c r="D1106" s="18">
        <v>79</v>
      </c>
      <c r="E1106" s="18" t="s">
        <v>130</v>
      </c>
      <c r="F1106" s="18" t="str">
        <f>IF(OR(D1106&gt;Answers!L1121,D1106&lt;Answers!L1122),"Outlier","Normal")</f>
        <v>Outlier</v>
      </c>
      <c r="G1106" s="19" t="str">
        <f t="shared" si="17"/>
        <v>40-50</v>
      </c>
    </row>
    <row r="1107" spans="1:7" ht="20" customHeight="1" x14ac:dyDescent="0.35">
      <c r="A1107" s="17">
        <v>1106</v>
      </c>
      <c r="B1107" s="23" t="s">
        <v>106</v>
      </c>
      <c r="C1107" s="18" t="s">
        <v>125</v>
      </c>
      <c r="D1107" s="18">
        <v>70</v>
      </c>
      <c r="E1107" s="18" t="s">
        <v>130</v>
      </c>
      <c r="F1107" s="18" t="str">
        <f>IF(OR(D1107&gt;Answers!L1122,D1107&lt;Answers!L1123),"Outlier","Normal")</f>
        <v>Outlier</v>
      </c>
      <c r="G1107" s="19" t="str">
        <f t="shared" si="17"/>
        <v>40-50</v>
      </c>
    </row>
    <row r="1108" spans="1:7" ht="20" customHeight="1" x14ac:dyDescent="0.35">
      <c r="A1108" s="17">
        <v>1107</v>
      </c>
      <c r="B1108" s="23" t="s">
        <v>113</v>
      </c>
      <c r="C1108" s="18" t="s">
        <v>126</v>
      </c>
      <c r="D1108" s="18">
        <v>40</v>
      </c>
      <c r="E1108" s="18" t="s">
        <v>130</v>
      </c>
      <c r="F1108" s="18" t="str">
        <f>IF(OR(D1108&gt;Answers!L1123,D1108&lt;Answers!L1124),"Outlier","Normal")</f>
        <v>Outlier</v>
      </c>
      <c r="G1108" s="19" t="str">
        <f t="shared" si="17"/>
        <v>30-40</v>
      </c>
    </row>
    <row r="1109" spans="1:7" ht="20" customHeight="1" x14ac:dyDescent="0.35">
      <c r="A1109" s="17">
        <v>1108</v>
      </c>
      <c r="B1109" s="23" t="s">
        <v>113</v>
      </c>
      <c r="C1109" s="18" t="s">
        <v>126</v>
      </c>
      <c r="D1109" s="18">
        <v>47</v>
      </c>
      <c r="E1109" s="18" t="s">
        <v>130</v>
      </c>
      <c r="F1109" s="18" t="str">
        <f>IF(OR(D1109&gt;Answers!L1124,D1109&lt;Answers!L1125),"Outlier","Normal")</f>
        <v>Outlier</v>
      </c>
      <c r="G1109" s="19" t="str">
        <f t="shared" si="17"/>
        <v>40-50</v>
      </c>
    </row>
    <row r="1110" spans="1:7" ht="20" customHeight="1" x14ac:dyDescent="0.35">
      <c r="A1110" s="17">
        <v>1109</v>
      </c>
      <c r="B1110" s="23" t="s">
        <v>113</v>
      </c>
      <c r="C1110" s="18" t="s">
        <v>126</v>
      </c>
      <c r="D1110" s="18">
        <v>86</v>
      </c>
      <c r="E1110" s="18" t="s">
        <v>130</v>
      </c>
      <c r="F1110" s="18" t="str">
        <f>IF(OR(D1110&gt;Answers!L1125,D1110&lt;Answers!L1126),"Outlier","Normal")</f>
        <v>Outlier</v>
      </c>
      <c r="G1110" s="19" t="str">
        <f t="shared" si="17"/>
        <v>40-50</v>
      </c>
    </row>
    <row r="1111" spans="1:7" ht="20" customHeight="1" x14ac:dyDescent="0.35">
      <c r="A1111" s="17">
        <v>1110</v>
      </c>
      <c r="B1111" s="23" t="s">
        <v>108</v>
      </c>
      <c r="C1111" s="18" t="s">
        <v>126</v>
      </c>
      <c r="D1111" s="18">
        <v>43</v>
      </c>
      <c r="E1111" s="18" t="s">
        <v>130</v>
      </c>
      <c r="F1111" s="18" t="str">
        <f>IF(OR(D1111&gt;Answers!L1126,D1111&lt;Answers!L1127),"Outlier","Normal")</f>
        <v>Outlier</v>
      </c>
      <c r="G1111" s="19" t="str">
        <f t="shared" si="17"/>
        <v>40-50</v>
      </c>
    </row>
    <row r="1112" spans="1:7" ht="20" customHeight="1" x14ac:dyDescent="0.35">
      <c r="A1112" s="17">
        <v>1111</v>
      </c>
      <c r="B1112" s="23" t="s">
        <v>110</v>
      </c>
      <c r="C1112" s="18" t="s">
        <v>126</v>
      </c>
      <c r="D1112" s="18">
        <v>31</v>
      </c>
      <c r="E1112" s="18" t="s">
        <v>130</v>
      </c>
      <c r="F1112" s="18" t="str">
        <f>IF(OR(D1112&gt;Answers!L1127,D1112&lt;Answers!L1128),"Outlier","Normal")</f>
        <v>Outlier</v>
      </c>
      <c r="G1112" s="19" t="str">
        <f t="shared" si="17"/>
        <v>30-40</v>
      </c>
    </row>
    <row r="1113" spans="1:7" ht="20" customHeight="1" x14ac:dyDescent="0.35">
      <c r="A1113" s="17">
        <v>1112</v>
      </c>
      <c r="B1113" s="23" t="s">
        <v>105</v>
      </c>
      <c r="C1113" s="18" t="s">
        <v>126</v>
      </c>
      <c r="D1113" s="18">
        <v>30</v>
      </c>
      <c r="E1113" s="18" t="s">
        <v>130</v>
      </c>
      <c r="F1113" s="18" t="str">
        <f>IF(OR(D1113&gt;Answers!L1128,D1113&lt;Answers!L1129),"Outlier","Normal")</f>
        <v>Outlier</v>
      </c>
      <c r="G1113" s="19" t="str">
        <f t="shared" si="17"/>
        <v>20-30</v>
      </c>
    </row>
    <row r="1114" spans="1:7" ht="20" customHeight="1" x14ac:dyDescent="0.35">
      <c r="A1114" s="17">
        <v>1113</v>
      </c>
      <c r="B1114" s="23" t="s">
        <v>106</v>
      </c>
      <c r="C1114" s="18" t="s">
        <v>126</v>
      </c>
      <c r="D1114" s="18">
        <v>39</v>
      </c>
      <c r="E1114" s="18" t="s">
        <v>130</v>
      </c>
      <c r="F1114" s="18" t="str">
        <f>IF(OR(D1114&gt;Answers!L1129,D1114&lt;Answers!L1130),"Outlier","Normal")</f>
        <v>Outlier</v>
      </c>
      <c r="G1114" s="19" t="str">
        <f t="shared" si="17"/>
        <v>30-40</v>
      </c>
    </row>
    <row r="1115" spans="1:7" ht="20" customHeight="1" x14ac:dyDescent="0.35">
      <c r="A1115" s="17">
        <v>1114</v>
      </c>
      <c r="B1115" s="23" t="s">
        <v>113</v>
      </c>
      <c r="C1115" s="18" t="s">
        <v>126</v>
      </c>
      <c r="D1115" s="18">
        <v>39</v>
      </c>
      <c r="E1115" s="18" t="s">
        <v>130</v>
      </c>
      <c r="F1115" s="18" t="str">
        <f>IF(OR(D1115&gt;Answers!L1130,D1115&lt;Answers!L1131),"Outlier","Normal")</f>
        <v>Outlier</v>
      </c>
      <c r="G1115" s="19" t="str">
        <f t="shared" si="17"/>
        <v>30-40</v>
      </c>
    </row>
    <row r="1116" spans="1:7" ht="20" customHeight="1" x14ac:dyDescent="0.35">
      <c r="A1116" s="17">
        <v>1115</v>
      </c>
      <c r="B1116" s="23" t="s">
        <v>102</v>
      </c>
      <c r="C1116" s="18" t="s">
        <v>125</v>
      </c>
      <c r="D1116" s="18">
        <v>22</v>
      </c>
      <c r="E1116" s="18" t="s">
        <v>130</v>
      </c>
      <c r="F1116" s="18" t="str">
        <f>IF(OR(D1116&gt;Answers!L1131,D1116&lt;Answers!L1132),"Outlier","Normal")</f>
        <v>Outlier</v>
      </c>
      <c r="G1116" s="19" t="str">
        <f t="shared" si="17"/>
        <v>20-30</v>
      </c>
    </row>
    <row r="1117" spans="1:7" ht="20" customHeight="1" x14ac:dyDescent="0.35">
      <c r="A1117" s="17">
        <v>1116</v>
      </c>
      <c r="B1117" s="23" t="s">
        <v>100</v>
      </c>
      <c r="C1117" s="18" t="s">
        <v>125</v>
      </c>
      <c r="D1117" s="18">
        <v>79</v>
      </c>
      <c r="E1117" s="18" t="s">
        <v>130</v>
      </c>
      <c r="F1117" s="18" t="str">
        <f>IF(OR(D1117&gt;Answers!L1132,D1117&lt;Answers!L1133),"Outlier","Normal")</f>
        <v>Outlier</v>
      </c>
      <c r="G1117" s="19" t="str">
        <f t="shared" si="17"/>
        <v>40-50</v>
      </c>
    </row>
    <row r="1118" spans="1:7" ht="20" customHeight="1" x14ac:dyDescent="0.35">
      <c r="A1118" s="17">
        <v>1117</v>
      </c>
      <c r="B1118" s="23" t="s">
        <v>101</v>
      </c>
      <c r="C1118" s="18" t="s">
        <v>126</v>
      </c>
      <c r="D1118" s="18">
        <v>63</v>
      </c>
      <c r="E1118" s="18" t="s">
        <v>130</v>
      </c>
      <c r="F1118" s="18" t="str">
        <f>IF(OR(D1118&gt;Answers!L1133,D1118&lt;Answers!L1134),"Outlier","Normal")</f>
        <v>Outlier</v>
      </c>
      <c r="G1118" s="19" t="str">
        <f t="shared" si="17"/>
        <v>40-50</v>
      </c>
    </row>
    <row r="1119" spans="1:7" ht="20" customHeight="1" x14ac:dyDescent="0.35">
      <c r="A1119" s="17">
        <v>1118</v>
      </c>
      <c r="B1119" s="23" t="s">
        <v>101</v>
      </c>
      <c r="C1119" s="18" t="s">
        <v>125</v>
      </c>
      <c r="D1119" s="18">
        <v>45</v>
      </c>
      <c r="E1119" s="18" t="s">
        <v>130</v>
      </c>
      <c r="F1119" s="18" t="str">
        <f>IF(OR(D1119&gt;Answers!L1134,D1119&lt;Answers!L1135),"Outlier","Normal")</f>
        <v>Outlier</v>
      </c>
      <c r="G1119" s="19" t="str">
        <f t="shared" si="17"/>
        <v>40-50</v>
      </c>
    </row>
    <row r="1120" spans="1:7" ht="20" customHeight="1" x14ac:dyDescent="0.35">
      <c r="A1120" s="17">
        <v>1119</v>
      </c>
      <c r="B1120" s="23" t="s">
        <v>101</v>
      </c>
      <c r="C1120" s="18" t="s">
        <v>125</v>
      </c>
      <c r="D1120" s="18">
        <v>89</v>
      </c>
      <c r="E1120" s="18" t="s">
        <v>130</v>
      </c>
      <c r="F1120" s="18" t="str">
        <f>IF(OR(D1120&gt;Answers!L1135,D1120&lt;Answers!L1136),"Outlier","Normal")</f>
        <v>Outlier</v>
      </c>
      <c r="G1120" s="19" t="str">
        <f t="shared" si="17"/>
        <v>40-50</v>
      </c>
    </row>
    <row r="1121" spans="1:7" ht="20" customHeight="1" x14ac:dyDescent="0.35">
      <c r="A1121" s="17">
        <v>1120</v>
      </c>
      <c r="B1121" s="23" t="s">
        <v>108</v>
      </c>
      <c r="C1121" s="18" t="s">
        <v>126</v>
      </c>
      <c r="D1121" s="18">
        <v>53</v>
      </c>
      <c r="E1121" s="18" t="s">
        <v>130</v>
      </c>
      <c r="F1121" s="18" t="str">
        <f>IF(OR(D1121&gt;Answers!L1136,D1121&lt;Answers!L1137),"Outlier","Normal")</f>
        <v>Outlier</v>
      </c>
      <c r="G1121" s="19" t="str">
        <f t="shared" si="17"/>
        <v>40-50</v>
      </c>
    </row>
    <row r="1122" spans="1:7" ht="20" customHeight="1" x14ac:dyDescent="0.35">
      <c r="A1122" s="17">
        <v>1121</v>
      </c>
      <c r="B1122" s="23" t="s">
        <v>113</v>
      </c>
      <c r="C1122" s="18" t="s">
        <v>126</v>
      </c>
      <c r="D1122" s="18">
        <v>51</v>
      </c>
      <c r="E1122" s="18" t="s">
        <v>130</v>
      </c>
      <c r="F1122" s="18" t="str">
        <f>IF(OR(D1122&gt;Answers!L1137,D1122&lt;Answers!L1138),"Outlier","Normal")</f>
        <v>Outlier</v>
      </c>
      <c r="G1122" s="19" t="str">
        <f t="shared" si="17"/>
        <v>40-50</v>
      </c>
    </row>
    <row r="1123" spans="1:7" ht="20" customHeight="1" x14ac:dyDescent="0.35">
      <c r="A1123" s="17">
        <v>1122</v>
      </c>
      <c r="B1123" s="23" t="s">
        <v>109</v>
      </c>
      <c r="C1123" s="18" t="s">
        <v>125</v>
      </c>
      <c r="D1123" s="18">
        <v>33</v>
      </c>
      <c r="E1123" s="18" t="s">
        <v>130</v>
      </c>
      <c r="F1123" s="18" t="str">
        <f>IF(OR(D1123&gt;Answers!L1138,D1123&lt;Answers!L1139),"Outlier","Normal")</f>
        <v>Outlier</v>
      </c>
      <c r="G1123" s="19" t="str">
        <f t="shared" si="17"/>
        <v>30-40</v>
      </c>
    </row>
    <row r="1124" spans="1:7" ht="20" customHeight="1" x14ac:dyDescent="0.35">
      <c r="A1124" s="17">
        <v>1123</v>
      </c>
      <c r="B1124" s="23" t="s">
        <v>100</v>
      </c>
      <c r="C1124" s="18" t="s">
        <v>126</v>
      </c>
      <c r="D1124" s="18">
        <v>54</v>
      </c>
      <c r="E1124" s="18" t="s">
        <v>130</v>
      </c>
      <c r="F1124" s="18" t="str">
        <f>IF(OR(D1124&gt;Answers!L1139,D1124&lt;Answers!L1140),"Outlier","Normal")</f>
        <v>Outlier</v>
      </c>
      <c r="G1124" s="19" t="str">
        <f t="shared" si="17"/>
        <v>40-50</v>
      </c>
    </row>
    <row r="1125" spans="1:7" ht="20" customHeight="1" x14ac:dyDescent="0.35">
      <c r="A1125" s="17">
        <v>1124</v>
      </c>
      <c r="B1125" s="23" t="s">
        <v>105</v>
      </c>
      <c r="C1125" s="18" t="s">
        <v>125</v>
      </c>
      <c r="D1125" s="18">
        <v>36</v>
      </c>
      <c r="E1125" s="18" t="s">
        <v>130</v>
      </c>
      <c r="F1125" s="18" t="str">
        <f>IF(OR(D1125&gt;Answers!L1140,D1125&lt;Answers!L1141),"Outlier","Normal")</f>
        <v>Outlier</v>
      </c>
      <c r="G1125" s="19" t="str">
        <f t="shared" si="17"/>
        <v>30-40</v>
      </c>
    </row>
    <row r="1126" spans="1:7" ht="20" customHeight="1" x14ac:dyDescent="0.35">
      <c r="A1126" s="17">
        <v>1125</v>
      </c>
      <c r="B1126" s="23" t="s">
        <v>106</v>
      </c>
      <c r="C1126" s="18" t="s">
        <v>125</v>
      </c>
      <c r="D1126" s="18">
        <v>18</v>
      </c>
      <c r="E1126" s="18" t="s">
        <v>130</v>
      </c>
      <c r="F1126" s="18" t="str">
        <f>IF(OR(D1126&gt;Answers!L1141,D1126&lt;Answers!L1142),"Outlier","Normal")</f>
        <v>Outlier</v>
      </c>
      <c r="G1126" s="19" t="str">
        <f t="shared" si="17"/>
        <v>&lt;20</v>
      </c>
    </row>
    <row r="1127" spans="1:7" ht="20" customHeight="1" x14ac:dyDescent="0.35">
      <c r="A1127" s="17">
        <v>1126</v>
      </c>
      <c r="B1127" s="23" t="s">
        <v>100</v>
      </c>
      <c r="C1127" s="18" t="s">
        <v>125</v>
      </c>
      <c r="D1127" s="18">
        <v>65</v>
      </c>
      <c r="E1127" s="18" t="s">
        <v>130</v>
      </c>
      <c r="F1127" s="18" t="str">
        <f>IF(OR(D1127&gt;Answers!L1142,D1127&lt;Answers!L1143),"Outlier","Normal")</f>
        <v>Outlier</v>
      </c>
      <c r="G1127" s="19" t="str">
        <f t="shared" si="17"/>
        <v>40-50</v>
      </c>
    </row>
    <row r="1128" spans="1:7" ht="20" customHeight="1" x14ac:dyDescent="0.35">
      <c r="A1128" s="17">
        <v>1127</v>
      </c>
      <c r="B1128" s="23" t="s">
        <v>103</v>
      </c>
      <c r="C1128" s="18" t="s">
        <v>126</v>
      </c>
      <c r="D1128" s="18">
        <v>83</v>
      </c>
      <c r="E1128" s="18" t="s">
        <v>130</v>
      </c>
      <c r="F1128" s="18" t="str">
        <f>IF(OR(D1128&gt;Answers!L1143,D1128&lt;Answers!L1144),"Outlier","Normal")</f>
        <v>Outlier</v>
      </c>
      <c r="G1128" s="19" t="str">
        <f t="shared" si="17"/>
        <v>40-50</v>
      </c>
    </row>
    <row r="1129" spans="1:7" ht="20" customHeight="1" x14ac:dyDescent="0.35">
      <c r="A1129" s="17">
        <v>1128</v>
      </c>
      <c r="B1129" s="23" t="s">
        <v>100</v>
      </c>
      <c r="C1129" s="18" t="s">
        <v>126</v>
      </c>
      <c r="D1129" s="18">
        <v>18</v>
      </c>
      <c r="E1129" s="18" t="s">
        <v>130</v>
      </c>
      <c r="F1129" s="18" t="str">
        <f>IF(OR(D1129&gt;Answers!L1144,D1129&lt;Answers!L1145),"Outlier","Normal")</f>
        <v>Outlier</v>
      </c>
      <c r="G1129" s="19" t="str">
        <f t="shared" si="17"/>
        <v>&lt;20</v>
      </c>
    </row>
    <row r="1130" spans="1:7" ht="20" customHeight="1" x14ac:dyDescent="0.35">
      <c r="A1130" s="17">
        <v>1129</v>
      </c>
      <c r="B1130" s="23" t="s">
        <v>113</v>
      </c>
      <c r="C1130" s="18" t="s">
        <v>125</v>
      </c>
      <c r="D1130" s="18">
        <v>67</v>
      </c>
      <c r="E1130" s="18" t="s">
        <v>130</v>
      </c>
      <c r="F1130" s="18" t="str">
        <f>IF(OR(D1130&gt;Answers!L1145,D1130&lt;Answers!L1146),"Outlier","Normal")</f>
        <v>Outlier</v>
      </c>
      <c r="G1130" s="19" t="str">
        <f t="shared" si="17"/>
        <v>40-50</v>
      </c>
    </row>
    <row r="1131" spans="1:7" ht="20" customHeight="1" x14ac:dyDescent="0.35">
      <c r="A1131" s="17">
        <v>1130</v>
      </c>
      <c r="B1131" s="23" t="s">
        <v>113</v>
      </c>
      <c r="C1131" s="18" t="s">
        <v>125</v>
      </c>
      <c r="D1131" s="18">
        <v>30</v>
      </c>
      <c r="E1131" s="18" t="s">
        <v>130</v>
      </c>
      <c r="F1131" s="18" t="str">
        <f>IF(OR(D1131&gt;Answers!L1146,D1131&lt;Answers!L1147),"Outlier","Normal")</f>
        <v>Outlier</v>
      </c>
      <c r="G1131" s="19" t="str">
        <f t="shared" si="17"/>
        <v>20-30</v>
      </c>
    </row>
    <row r="1132" spans="1:7" ht="20" customHeight="1" x14ac:dyDescent="0.35">
      <c r="A1132" s="17">
        <v>1131</v>
      </c>
      <c r="B1132" s="23" t="s">
        <v>101</v>
      </c>
      <c r="C1132" s="18" t="s">
        <v>126</v>
      </c>
      <c r="D1132" s="18">
        <v>38</v>
      </c>
      <c r="E1132" s="18" t="s">
        <v>130</v>
      </c>
      <c r="F1132" s="18" t="str">
        <f>IF(OR(D1132&gt;Answers!L1147,D1132&lt;Answers!L1148),"Outlier","Normal")</f>
        <v>Outlier</v>
      </c>
      <c r="G1132" s="19" t="str">
        <f t="shared" si="17"/>
        <v>30-40</v>
      </c>
    </row>
    <row r="1133" spans="1:7" ht="20" customHeight="1" x14ac:dyDescent="0.35">
      <c r="A1133" s="17">
        <v>1132</v>
      </c>
      <c r="B1133" s="23" t="s">
        <v>100</v>
      </c>
      <c r="C1133" s="18" t="s">
        <v>125</v>
      </c>
      <c r="D1133" s="18">
        <v>27</v>
      </c>
      <c r="E1133" s="18" t="s">
        <v>130</v>
      </c>
      <c r="F1133" s="18" t="str">
        <f>IF(OR(D1133&gt;Answers!L1148,D1133&lt;Answers!L1149),"Outlier","Normal")</f>
        <v>Outlier</v>
      </c>
      <c r="G1133" s="19" t="str">
        <f t="shared" si="17"/>
        <v>20-30</v>
      </c>
    </row>
    <row r="1134" spans="1:7" ht="20" customHeight="1" x14ac:dyDescent="0.35">
      <c r="A1134" s="17">
        <v>1133</v>
      </c>
      <c r="B1134" s="23" t="s">
        <v>113</v>
      </c>
      <c r="C1134" s="18" t="s">
        <v>126</v>
      </c>
      <c r="D1134" s="18">
        <v>59</v>
      </c>
      <c r="E1134" s="18" t="s">
        <v>130</v>
      </c>
      <c r="F1134" s="18" t="str">
        <f>IF(OR(D1134&gt;Answers!L1149,D1134&lt;Answers!L1150),"Outlier","Normal")</f>
        <v>Outlier</v>
      </c>
      <c r="G1134" s="19" t="str">
        <f t="shared" si="17"/>
        <v>40-50</v>
      </c>
    </row>
    <row r="1135" spans="1:7" ht="20" customHeight="1" x14ac:dyDescent="0.35">
      <c r="A1135" s="17">
        <v>1134</v>
      </c>
      <c r="B1135" s="23" t="s">
        <v>107</v>
      </c>
      <c r="C1135" s="18" t="s">
        <v>125</v>
      </c>
      <c r="D1135" s="18">
        <v>53</v>
      </c>
      <c r="E1135" s="18" t="s">
        <v>130</v>
      </c>
      <c r="F1135" s="18" t="str">
        <f>IF(OR(D1135&gt;Answers!L1150,D1135&lt;Answers!L1151),"Outlier","Normal")</f>
        <v>Outlier</v>
      </c>
      <c r="G1135" s="19" t="str">
        <f t="shared" si="17"/>
        <v>40-50</v>
      </c>
    </row>
    <row r="1136" spans="1:7" ht="20" customHeight="1" x14ac:dyDescent="0.35">
      <c r="A1136" s="17">
        <v>1135</v>
      </c>
      <c r="B1136" s="23" t="s">
        <v>113</v>
      </c>
      <c r="C1136" s="18" t="s">
        <v>125</v>
      </c>
      <c r="D1136" s="18">
        <v>74</v>
      </c>
      <c r="E1136" s="18" t="s">
        <v>130</v>
      </c>
      <c r="F1136" s="18" t="str">
        <f>IF(OR(D1136&gt;Answers!L1151,D1136&lt;Answers!L1152),"Outlier","Normal")</f>
        <v>Outlier</v>
      </c>
      <c r="G1136" s="19" t="str">
        <f t="shared" si="17"/>
        <v>40-50</v>
      </c>
    </row>
    <row r="1137" spans="1:7" ht="20" customHeight="1" x14ac:dyDescent="0.35">
      <c r="A1137" s="17">
        <v>1136</v>
      </c>
      <c r="B1137" s="23" t="s">
        <v>106</v>
      </c>
      <c r="C1137" s="18" t="s">
        <v>126</v>
      </c>
      <c r="D1137" s="18">
        <v>89</v>
      </c>
      <c r="E1137" s="18" t="s">
        <v>130</v>
      </c>
      <c r="F1137" s="18" t="str">
        <f>IF(OR(D1137&gt;Answers!L1152,D1137&lt;Answers!L1153),"Outlier","Normal")</f>
        <v>Outlier</v>
      </c>
      <c r="G1137" s="19" t="str">
        <f t="shared" si="17"/>
        <v>40-50</v>
      </c>
    </row>
    <row r="1138" spans="1:7" ht="20" customHeight="1" x14ac:dyDescent="0.35">
      <c r="A1138" s="17">
        <v>1137</v>
      </c>
      <c r="B1138" s="23" t="s">
        <v>100</v>
      </c>
      <c r="C1138" s="18" t="s">
        <v>125</v>
      </c>
      <c r="D1138" s="18">
        <v>52</v>
      </c>
      <c r="E1138" s="18" t="s">
        <v>130</v>
      </c>
      <c r="F1138" s="18" t="str">
        <f>IF(OR(D1138&gt;Answers!L1153,D1138&lt;Answers!L1154),"Outlier","Normal")</f>
        <v>Outlier</v>
      </c>
      <c r="G1138" s="19" t="str">
        <f t="shared" si="17"/>
        <v>40-50</v>
      </c>
    </row>
    <row r="1139" spans="1:7" ht="20" customHeight="1" x14ac:dyDescent="0.35">
      <c r="A1139" s="17">
        <v>1138</v>
      </c>
      <c r="B1139" s="23" t="s">
        <v>101</v>
      </c>
      <c r="C1139" s="18" t="s">
        <v>126</v>
      </c>
      <c r="D1139" s="18">
        <v>83</v>
      </c>
      <c r="E1139" s="18" t="s">
        <v>130</v>
      </c>
      <c r="F1139" s="18" t="str">
        <f>IF(OR(D1139&gt;Answers!L1154,D1139&lt;Answers!L1155),"Outlier","Normal")</f>
        <v>Outlier</v>
      </c>
      <c r="G1139" s="19" t="str">
        <f t="shared" si="17"/>
        <v>40-50</v>
      </c>
    </row>
    <row r="1140" spans="1:7" ht="20" customHeight="1" x14ac:dyDescent="0.35">
      <c r="A1140" s="17">
        <v>1139</v>
      </c>
      <c r="B1140" s="23" t="s">
        <v>99</v>
      </c>
      <c r="C1140" s="18" t="s">
        <v>126</v>
      </c>
      <c r="D1140" s="18">
        <v>84</v>
      </c>
      <c r="E1140" s="18" t="s">
        <v>130</v>
      </c>
      <c r="F1140" s="18" t="str">
        <f>IF(OR(D1140&gt;Answers!L1155,D1140&lt;Answers!L1156),"Outlier","Normal")</f>
        <v>Outlier</v>
      </c>
      <c r="G1140" s="19" t="str">
        <f t="shared" si="17"/>
        <v>40-50</v>
      </c>
    </row>
    <row r="1141" spans="1:7" ht="20" customHeight="1" x14ac:dyDescent="0.35">
      <c r="A1141" s="17">
        <v>1140</v>
      </c>
      <c r="B1141" s="23" t="s">
        <v>102</v>
      </c>
      <c r="C1141" s="18" t="s">
        <v>125</v>
      </c>
      <c r="D1141" s="18">
        <v>69</v>
      </c>
      <c r="E1141" s="18" t="s">
        <v>130</v>
      </c>
      <c r="F1141" s="18" t="str">
        <f>IF(OR(D1141&gt;Answers!L1156,D1141&lt;Answers!L1157),"Outlier","Normal")</f>
        <v>Outlier</v>
      </c>
      <c r="G1141" s="19" t="str">
        <f t="shared" si="17"/>
        <v>40-50</v>
      </c>
    </row>
    <row r="1142" spans="1:7" ht="20" customHeight="1" x14ac:dyDescent="0.35">
      <c r="A1142" s="17">
        <v>1141</v>
      </c>
      <c r="B1142" s="23" t="s">
        <v>100</v>
      </c>
      <c r="C1142" s="18" t="s">
        <v>125</v>
      </c>
      <c r="D1142" s="18">
        <v>60</v>
      </c>
      <c r="E1142" s="18" t="s">
        <v>130</v>
      </c>
      <c r="F1142" s="18" t="str">
        <f>IF(OR(D1142&gt;Answers!L1157,D1142&lt;Answers!L1158),"Outlier","Normal")</f>
        <v>Outlier</v>
      </c>
      <c r="G1142" s="19" t="str">
        <f t="shared" si="17"/>
        <v>40-50</v>
      </c>
    </row>
    <row r="1143" spans="1:7" ht="20" customHeight="1" x14ac:dyDescent="0.35">
      <c r="A1143" s="17">
        <v>1142</v>
      </c>
      <c r="B1143" s="23" t="s">
        <v>99</v>
      </c>
      <c r="C1143" s="18" t="s">
        <v>126</v>
      </c>
      <c r="D1143" s="18">
        <v>59</v>
      </c>
      <c r="E1143" s="18" t="s">
        <v>130</v>
      </c>
      <c r="F1143" s="18" t="str">
        <f>IF(OR(D1143&gt;Answers!L1158,D1143&lt;Answers!L1159),"Outlier","Normal")</f>
        <v>Outlier</v>
      </c>
      <c r="G1143" s="19" t="str">
        <f t="shared" si="17"/>
        <v>40-50</v>
      </c>
    </row>
    <row r="1144" spans="1:7" ht="20" customHeight="1" x14ac:dyDescent="0.35">
      <c r="A1144" s="17">
        <v>1143</v>
      </c>
      <c r="B1144" s="23" t="s">
        <v>107</v>
      </c>
      <c r="C1144" s="18" t="s">
        <v>125</v>
      </c>
      <c r="D1144" s="18">
        <v>59</v>
      </c>
      <c r="E1144" s="18" t="s">
        <v>130</v>
      </c>
      <c r="F1144" s="18" t="str">
        <f>IF(OR(D1144&gt;Answers!L1159,D1144&lt;Answers!L1160),"Outlier","Normal")</f>
        <v>Outlier</v>
      </c>
      <c r="G1144" s="19" t="str">
        <f t="shared" si="17"/>
        <v>40-50</v>
      </c>
    </row>
    <row r="1145" spans="1:7" ht="20" customHeight="1" x14ac:dyDescent="0.35">
      <c r="A1145" s="17">
        <v>1144</v>
      </c>
      <c r="B1145" s="23" t="s">
        <v>99</v>
      </c>
      <c r="C1145" s="18" t="s">
        <v>126</v>
      </c>
      <c r="D1145" s="18">
        <v>61</v>
      </c>
      <c r="E1145" s="18" t="s">
        <v>130</v>
      </c>
      <c r="F1145" s="18" t="str">
        <f>IF(OR(D1145&gt;Answers!L1160,D1145&lt;Answers!L1161),"Outlier","Normal")</f>
        <v>Outlier</v>
      </c>
      <c r="G1145" s="19" t="str">
        <f t="shared" si="17"/>
        <v>40-50</v>
      </c>
    </row>
    <row r="1146" spans="1:7" ht="20" customHeight="1" x14ac:dyDescent="0.35">
      <c r="A1146" s="17">
        <v>1145</v>
      </c>
      <c r="B1146" s="23" t="s">
        <v>99</v>
      </c>
      <c r="C1146" s="18" t="s">
        <v>126</v>
      </c>
      <c r="D1146" s="18">
        <v>50</v>
      </c>
      <c r="E1146" s="18" t="s">
        <v>130</v>
      </c>
      <c r="F1146" s="18" t="str">
        <f>IF(OR(D1146&gt;Answers!L1161,D1146&lt;Answers!L1162),"Outlier","Normal")</f>
        <v>Outlier</v>
      </c>
      <c r="G1146" s="19" t="str">
        <f t="shared" si="17"/>
        <v>40-50</v>
      </c>
    </row>
    <row r="1147" spans="1:7" ht="20" customHeight="1" x14ac:dyDescent="0.35">
      <c r="A1147" s="17">
        <v>1146</v>
      </c>
      <c r="B1147" s="23" t="s">
        <v>99</v>
      </c>
      <c r="C1147" s="18" t="s">
        <v>125</v>
      </c>
      <c r="D1147" s="18">
        <v>23</v>
      </c>
      <c r="E1147" s="18" t="s">
        <v>130</v>
      </c>
      <c r="F1147" s="18" t="str">
        <f>IF(OR(D1147&gt;Answers!L1162,D1147&lt;Answers!L1163),"Outlier","Normal")</f>
        <v>Outlier</v>
      </c>
      <c r="G1147" s="19" t="str">
        <f t="shared" si="17"/>
        <v>20-30</v>
      </c>
    </row>
    <row r="1148" spans="1:7" ht="20" customHeight="1" x14ac:dyDescent="0.35">
      <c r="A1148" s="17">
        <v>1147</v>
      </c>
      <c r="B1148" s="23" t="s">
        <v>100</v>
      </c>
      <c r="C1148" s="18" t="s">
        <v>125</v>
      </c>
      <c r="D1148" s="18">
        <v>53</v>
      </c>
      <c r="E1148" s="18" t="s">
        <v>130</v>
      </c>
      <c r="F1148" s="18" t="str">
        <f>IF(OR(D1148&gt;Answers!L1163,D1148&lt;Answers!L1164),"Outlier","Normal")</f>
        <v>Outlier</v>
      </c>
      <c r="G1148" s="19" t="str">
        <f t="shared" si="17"/>
        <v>40-50</v>
      </c>
    </row>
    <row r="1149" spans="1:7" ht="20" customHeight="1" x14ac:dyDescent="0.35">
      <c r="A1149" s="17">
        <v>1148</v>
      </c>
      <c r="B1149" s="23" t="s">
        <v>102</v>
      </c>
      <c r="C1149" s="18" t="s">
        <v>126</v>
      </c>
      <c r="D1149" s="18">
        <v>53</v>
      </c>
      <c r="E1149" s="18" t="s">
        <v>130</v>
      </c>
      <c r="F1149" s="18" t="str">
        <f>IF(OR(D1149&gt;Answers!L1164,D1149&lt;Answers!L1165),"Outlier","Normal")</f>
        <v>Outlier</v>
      </c>
      <c r="G1149" s="19" t="str">
        <f t="shared" si="17"/>
        <v>40-50</v>
      </c>
    </row>
    <row r="1150" spans="1:7" ht="20" customHeight="1" x14ac:dyDescent="0.35">
      <c r="A1150" s="17">
        <v>1149</v>
      </c>
      <c r="B1150" s="23" t="s">
        <v>99</v>
      </c>
      <c r="C1150" s="18" t="s">
        <v>125</v>
      </c>
      <c r="D1150" s="18">
        <v>31</v>
      </c>
      <c r="E1150" s="18" t="s">
        <v>130</v>
      </c>
      <c r="F1150" s="18" t="str">
        <f>IF(OR(D1150&gt;Answers!L1165,D1150&lt;Answers!L1166),"Outlier","Normal")</f>
        <v>Outlier</v>
      </c>
      <c r="G1150" s="19" t="str">
        <f t="shared" si="17"/>
        <v>30-40</v>
      </c>
    </row>
    <row r="1151" spans="1:7" ht="20" customHeight="1" x14ac:dyDescent="0.35">
      <c r="A1151" s="17">
        <v>1150</v>
      </c>
      <c r="B1151" s="23" t="s">
        <v>99</v>
      </c>
      <c r="C1151" s="18" t="s">
        <v>125</v>
      </c>
      <c r="D1151" s="18">
        <v>77</v>
      </c>
      <c r="E1151" s="18" t="s">
        <v>130</v>
      </c>
      <c r="F1151" s="18" t="str">
        <f>IF(OR(D1151&gt;Answers!L1166,D1151&lt;Answers!L1167),"Outlier","Normal")</f>
        <v>Outlier</v>
      </c>
      <c r="G1151" s="19" t="str">
        <f t="shared" si="17"/>
        <v>40-50</v>
      </c>
    </row>
    <row r="1152" spans="1:7" ht="20" customHeight="1" x14ac:dyDescent="0.35">
      <c r="A1152" s="17">
        <v>1151</v>
      </c>
      <c r="B1152" s="23" t="s">
        <v>101</v>
      </c>
      <c r="C1152" s="18" t="s">
        <v>126</v>
      </c>
      <c r="D1152" s="18">
        <v>76</v>
      </c>
      <c r="E1152" s="18" t="s">
        <v>130</v>
      </c>
      <c r="F1152" s="18" t="str">
        <f>IF(OR(D1152&gt;Answers!L1167,D1152&lt;Answers!L1168),"Outlier","Normal")</f>
        <v>Outlier</v>
      </c>
      <c r="G1152" s="19" t="str">
        <f t="shared" si="17"/>
        <v>40-50</v>
      </c>
    </row>
    <row r="1153" spans="1:7" ht="20" customHeight="1" x14ac:dyDescent="0.35">
      <c r="A1153" s="17">
        <v>1152</v>
      </c>
      <c r="B1153" s="23" t="s">
        <v>105</v>
      </c>
      <c r="C1153" s="18" t="s">
        <v>125</v>
      </c>
      <c r="D1153" s="18">
        <v>67</v>
      </c>
      <c r="E1153" s="18" t="s">
        <v>130</v>
      </c>
      <c r="F1153" s="18" t="str">
        <f>IF(OR(D1153&gt;Answers!L1168,D1153&lt;Answers!L1169),"Outlier","Normal")</f>
        <v>Outlier</v>
      </c>
      <c r="G1153" s="19" t="str">
        <f t="shared" si="17"/>
        <v>40-50</v>
      </c>
    </row>
    <row r="1154" spans="1:7" ht="20" customHeight="1" x14ac:dyDescent="0.35">
      <c r="A1154" s="17">
        <v>1153</v>
      </c>
      <c r="B1154" s="23" t="s">
        <v>107</v>
      </c>
      <c r="C1154" s="18" t="s">
        <v>126</v>
      </c>
      <c r="D1154" s="18">
        <v>39</v>
      </c>
      <c r="E1154" s="18" t="s">
        <v>130</v>
      </c>
      <c r="F1154" s="18" t="str">
        <f>IF(OR(D1154&gt;Answers!L1169,D1154&lt;Answers!L1170),"Outlier","Normal")</f>
        <v>Outlier</v>
      </c>
      <c r="G1154" s="19" t="str">
        <f t="shared" si="17"/>
        <v>30-40</v>
      </c>
    </row>
    <row r="1155" spans="1:7" ht="20" customHeight="1" x14ac:dyDescent="0.35">
      <c r="A1155" s="17">
        <v>1154</v>
      </c>
      <c r="B1155" s="23" t="s">
        <v>105</v>
      </c>
      <c r="C1155" s="18" t="s">
        <v>125</v>
      </c>
      <c r="D1155" s="18">
        <v>88</v>
      </c>
      <c r="E1155" s="18" t="s">
        <v>130</v>
      </c>
      <c r="F1155" s="18" t="str">
        <f>IF(OR(D1155&gt;Answers!L1170,D1155&lt;Answers!L1171),"Outlier","Normal")</f>
        <v>Outlier</v>
      </c>
      <c r="G1155" s="19" t="str">
        <f t="shared" ref="G1155:G1218" si="18">IF(D1155&lt;20,"&lt;20",
IF(D1155&lt;=30,"20-30",
IF(D1155&lt;=40,"30-40","40-50")))</f>
        <v>40-50</v>
      </c>
    </row>
    <row r="1156" spans="1:7" ht="20" customHeight="1" x14ac:dyDescent="0.35">
      <c r="A1156" s="17">
        <v>1155</v>
      </c>
      <c r="B1156" s="23" t="s">
        <v>105</v>
      </c>
      <c r="C1156" s="18" t="s">
        <v>125</v>
      </c>
      <c r="D1156" s="18">
        <v>58</v>
      </c>
      <c r="E1156" s="18" t="s">
        <v>130</v>
      </c>
      <c r="F1156" s="18" t="str">
        <f>IF(OR(D1156&gt;Answers!L1171,D1156&lt;Answers!L1172),"Outlier","Normal")</f>
        <v>Outlier</v>
      </c>
      <c r="G1156" s="19" t="str">
        <f t="shared" si="18"/>
        <v>40-50</v>
      </c>
    </row>
    <row r="1157" spans="1:7" ht="20" customHeight="1" x14ac:dyDescent="0.35">
      <c r="A1157" s="17">
        <v>1156</v>
      </c>
      <c r="B1157" s="23" t="s">
        <v>103</v>
      </c>
      <c r="C1157" s="18" t="s">
        <v>125</v>
      </c>
      <c r="D1157" s="18">
        <v>35</v>
      </c>
      <c r="E1157" s="18" t="s">
        <v>130</v>
      </c>
      <c r="F1157" s="18" t="str">
        <f>IF(OR(D1157&gt;Answers!L1172,D1157&lt;Answers!L1173),"Outlier","Normal")</f>
        <v>Outlier</v>
      </c>
      <c r="G1157" s="19" t="str">
        <f t="shared" si="18"/>
        <v>30-40</v>
      </c>
    </row>
    <row r="1158" spans="1:7" ht="20" customHeight="1" x14ac:dyDescent="0.35">
      <c r="A1158" s="17">
        <v>1157</v>
      </c>
      <c r="B1158" s="23" t="s">
        <v>106</v>
      </c>
      <c r="C1158" s="18" t="s">
        <v>126</v>
      </c>
      <c r="D1158" s="18">
        <v>70</v>
      </c>
      <c r="E1158" s="18" t="s">
        <v>130</v>
      </c>
      <c r="F1158" s="18" t="str">
        <f>IF(OR(D1158&gt;Answers!L1173,D1158&lt;Answers!L1174),"Outlier","Normal")</f>
        <v>Outlier</v>
      </c>
      <c r="G1158" s="19" t="str">
        <f t="shared" si="18"/>
        <v>40-50</v>
      </c>
    </row>
    <row r="1159" spans="1:7" ht="20" customHeight="1" x14ac:dyDescent="0.35">
      <c r="A1159" s="17">
        <v>1158</v>
      </c>
      <c r="B1159" s="23" t="s">
        <v>103</v>
      </c>
      <c r="C1159" s="18" t="s">
        <v>125</v>
      </c>
      <c r="D1159" s="18">
        <v>59</v>
      </c>
      <c r="E1159" s="18" t="s">
        <v>130</v>
      </c>
      <c r="F1159" s="18" t="str">
        <f>IF(OR(D1159&gt;Answers!L1174,D1159&lt;Answers!L1175),"Outlier","Normal")</f>
        <v>Outlier</v>
      </c>
      <c r="G1159" s="19" t="str">
        <f t="shared" si="18"/>
        <v>40-50</v>
      </c>
    </row>
    <row r="1160" spans="1:7" ht="20" customHeight="1" x14ac:dyDescent="0.35">
      <c r="A1160" s="17">
        <v>1159</v>
      </c>
      <c r="B1160" s="23" t="s">
        <v>99</v>
      </c>
      <c r="C1160" s="18" t="s">
        <v>126</v>
      </c>
      <c r="D1160" s="18">
        <v>58</v>
      </c>
      <c r="E1160" s="18" t="s">
        <v>130</v>
      </c>
      <c r="F1160" s="18" t="str">
        <f>IF(OR(D1160&gt;Answers!L1175,D1160&lt;Answers!L1176),"Outlier","Normal")</f>
        <v>Outlier</v>
      </c>
      <c r="G1160" s="19" t="str">
        <f t="shared" si="18"/>
        <v>40-50</v>
      </c>
    </row>
    <row r="1161" spans="1:7" ht="20" customHeight="1" x14ac:dyDescent="0.35">
      <c r="A1161" s="17">
        <v>1160</v>
      </c>
      <c r="B1161" s="23" t="s">
        <v>101</v>
      </c>
      <c r="C1161" s="18" t="s">
        <v>125</v>
      </c>
      <c r="D1161" s="18">
        <v>58</v>
      </c>
      <c r="E1161" s="18" t="s">
        <v>130</v>
      </c>
      <c r="F1161" s="18" t="str">
        <f>IF(OR(D1161&gt;Answers!L1176,D1161&lt;Answers!L1177),"Outlier","Normal")</f>
        <v>Outlier</v>
      </c>
      <c r="G1161" s="19" t="str">
        <f t="shared" si="18"/>
        <v>40-50</v>
      </c>
    </row>
    <row r="1162" spans="1:7" ht="20" customHeight="1" x14ac:dyDescent="0.35">
      <c r="A1162" s="17">
        <v>1161</v>
      </c>
      <c r="B1162" s="23" t="s">
        <v>105</v>
      </c>
      <c r="C1162" s="18" t="s">
        <v>126</v>
      </c>
      <c r="D1162" s="18">
        <v>36</v>
      </c>
      <c r="E1162" s="18" t="s">
        <v>130</v>
      </c>
      <c r="F1162" s="18" t="str">
        <f>IF(OR(D1162&gt;Answers!L1177,D1162&lt;Answers!L1178),"Outlier","Normal")</f>
        <v>Outlier</v>
      </c>
      <c r="G1162" s="19" t="str">
        <f t="shared" si="18"/>
        <v>30-40</v>
      </c>
    </row>
    <row r="1163" spans="1:7" ht="20" customHeight="1" x14ac:dyDescent="0.35">
      <c r="A1163" s="17">
        <v>1162</v>
      </c>
      <c r="B1163" s="23" t="s">
        <v>99</v>
      </c>
      <c r="C1163" s="18" t="s">
        <v>126</v>
      </c>
      <c r="D1163" s="18">
        <v>87</v>
      </c>
      <c r="E1163" s="18" t="s">
        <v>130</v>
      </c>
      <c r="F1163" s="18" t="str">
        <f>IF(OR(D1163&gt;Answers!L1178,D1163&lt;Answers!L1179),"Outlier","Normal")</f>
        <v>Outlier</v>
      </c>
      <c r="G1163" s="19" t="str">
        <f t="shared" si="18"/>
        <v>40-50</v>
      </c>
    </row>
    <row r="1164" spans="1:7" ht="20" customHeight="1" x14ac:dyDescent="0.35">
      <c r="A1164" s="17">
        <v>1163</v>
      </c>
      <c r="B1164" s="23" t="s">
        <v>108</v>
      </c>
      <c r="C1164" s="18" t="s">
        <v>126</v>
      </c>
      <c r="D1164" s="18">
        <v>72</v>
      </c>
      <c r="E1164" s="18" t="s">
        <v>130</v>
      </c>
      <c r="F1164" s="18" t="str">
        <f>IF(OR(D1164&gt;Answers!L1179,D1164&lt;Answers!L1180),"Outlier","Normal")</f>
        <v>Outlier</v>
      </c>
      <c r="G1164" s="19" t="str">
        <f t="shared" si="18"/>
        <v>40-50</v>
      </c>
    </row>
    <row r="1165" spans="1:7" ht="20" customHeight="1" x14ac:dyDescent="0.35">
      <c r="A1165" s="17">
        <v>1164</v>
      </c>
      <c r="B1165" s="23" t="s">
        <v>99</v>
      </c>
      <c r="C1165" s="18" t="s">
        <v>125</v>
      </c>
      <c r="D1165" s="18">
        <v>63</v>
      </c>
      <c r="E1165" s="18" t="s">
        <v>130</v>
      </c>
      <c r="F1165" s="18" t="str">
        <f>IF(OR(D1165&gt;Answers!L1180,D1165&lt;Answers!L1181),"Outlier","Normal")</f>
        <v>Outlier</v>
      </c>
      <c r="G1165" s="19" t="str">
        <f t="shared" si="18"/>
        <v>40-50</v>
      </c>
    </row>
    <row r="1166" spans="1:7" ht="20" customHeight="1" x14ac:dyDescent="0.35">
      <c r="A1166" s="17">
        <v>1165</v>
      </c>
      <c r="B1166" s="23" t="s">
        <v>105</v>
      </c>
      <c r="C1166" s="18" t="s">
        <v>125</v>
      </c>
      <c r="D1166" s="18">
        <v>28</v>
      </c>
      <c r="E1166" s="18" t="s">
        <v>130</v>
      </c>
      <c r="F1166" s="18" t="str">
        <f>IF(OR(D1166&gt;Answers!L1181,D1166&lt;Answers!L1182),"Outlier","Normal")</f>
        <v>Outlier</v>
      </c>
      <c r="G1166" s="19" t="str">
        <f t="shared" si="18"/>
        <v>20-30</v>
      </c>
    </row>
    <row r="1167" spans="1:7" ht="20" customHeight="1" x14ac:dyDescent="0.35">
      <c r="A1167" s="17">
        <v>1166</v>
      </c>
      <c r="B1167" s="23" t="s">
        <v>99</v>
      </c>
      <c r="C1167" s="18" t="s">
        <v>126</v>
      </c>
      <c r="D1167" s="18">
        <v>31</v>
      </c>
      <c r="E1167" s="18" t="s">
        <v>130</v>
      </c>
      <c r="F1167" s="18" t="str">
        <f>IF(OR(D1167&gt;Answers!L1182,D1167&lt;Answers!L1183),"Outlier","Normal")</f>
        <v>Outlier</v>
      </c>
      <c r="G1167" s="19" t="str">
        <f t="shared" si="18"/>
        <v>30-40</v>
      </c>
    </row>
    <row r="1168" spans="1:7" ht="20" customHeight="1" x14ac:dyDescent="0.35">
      <c r="A1168" s="17">
        <v>1167</v>
      </c>
      <c r="B1168" s="23" t="s">
        <v>99</v>
      </c>
      <c r="C1168" s="18" t="s">
        <v>125</v>
      </c>
      <c r="D1168" s="18">
        <v>78</v>
      </c>
      <c r="E1168" s="18" t="s">
        <v>130</v>
      </c>
      <c r="F1168" s="18" t="str">
        <f>IF(OR(D1168&gt;Answers!L1183,D1168&lt;Answers!L1184),"Outlier","Normal")</f>
        <v>Outlier</v>
      </c>
      <c r="G1168" s="19" t="str">
        <f t="shared" si="18"/>
        <v>40-50</v>
      </c>
    </row>
    <row r="1169" spans="1:7" ht="20" customHeight="1" x14ac:dyDescent="0.35">
      <c r="A1169" s="17">
        <v>1168</v>
      </c>
      <c r="B1169" s="23" t="s">
        <v>99</v>
      </c>
      <c r="C1169" s="18" t="s">
        <v>126</v>
      </c>
      <c r="D1169" s="18">
        <v>41</v>
      </c>
      <c r="E1169" s="18" t="s">
        <v>130</v>
      </c>
      <c r="F1169" s="18" t="str">
        <f>IF(OR(D1169&gt;Answers!L1184,D1169&lt;Answers!L1185),"Outlier","Normal")</f>
        <v>Outlier</v>
      </c>
      <c r="G1169" s="19" t="str">
        <f t="shared" si="18"/>
        <v>40-50</v>
      </c>
    </row>
    <row r="1170" spans="1:7" ht="20" customHeight="1" x14ac:dyDescent="0.35">
      <c r="A1170" s="17">
        <v>1169</v>
      </c>
      <c r="B1170" s="23" t="s">
        <v>100</v>
      </c>
      <c r="C1170" s="18" t="s">
        <v>125</v>
      </c>
      <c r="D1170" s="18">
        <v>26</v>
      </c>
      <c r="E1170" s="18" t="s">
        <v>130</v>
      </c>
      <c r="F1170" s="18" t="str">
        <f>IF(OR(D1170&gt;Answers!L1185,D1170&lt;Answers!L1186),"Outlier","Normal")</f>
        <v>Outlier</v>
      </c>
      <c r="G1170" s="19" t="str">
        <f t="shared" si="18"/>
        <v>20-30</v>
      </c>
    </row>
    <row r="1171" spans="1:7" ht="20" customHeight="1" x14ac:dyDescent="0.35">
      <c r="A1171" s="17">
        <v>1170</v>
      </c>
      <c r="B1171" s="23" t="s">
        <v>109</v>
      </c>
      <c r="C1171" s="18" t="s">
        <v>126</v>
      </c>
      <c r="D1171" s="18">
        <v>65</v>
      </c>
      <c r="E1171" s="18" t="s">
        <v>130</v>
      </c>
      <c r="F1171" s="18" t="str">
        <f>IF(OR(D1171&gt;Answers!L1186,D1171&lt;Answers!L1187),"Outlier","Normal")</f>
        <v>Outlier</v>
      </c>
      <c r="G1171" s="19" t="str">
        <f t="shared" si="18"/>
        <v>40-50</v>
      </c>
    </row>
    <row r="1172" spans="1:7" ht="20" customHeight="1" x14ac:dyDescent="0.35">
      <c r="A1172" s="17">
        <v>1171</v>
      </c>
      <c r="B1172" s="23" t="s">
        <v>100</v>
      </c>
      <c r="C1172" s="18" t="s">
        <v>125</v>
      </c>
      <c r="D1172" s="18">
        <v>53</v>
      </c>
      <c r="E1172" s="18" t="s">
        <v>130</v>
      </c>
      <c r="F1172" s="18" t="str">
        <f>IF(OR(D1172&gt;Answers!L1187,D1172&lt;Answers!L1188),"Outlier","Normal")</f>
        <v>Outlier</v>
      </c>
      <c r="G1172" s="19" t="str">
        <f t="shared" si="18"/>
        <v>40-50</v>
      </c>
    </row>
    <row r="1173" spans="1:7" ht="20" customHeight="1" x14ac:dyDescent="0.35">
      <c r="A1173" s="17">
        <v>1172</v>
      </c>
      <c r="B1173" s="23" t="s">
        <v>101</v>
      </c>
      <c r="C1173" s="18" t="s">
        <v>126</v>
      </c>
      <c r="D1173" s="18">
        <v>23</v>
      </c>
      <c r="E1173" s="18" t="s">
        <v>130</v>
      </c>
      <c r="F1173" s="18" t="str">
        <f>IF(OR(D1173&gt;Answers!L1188,D1173&lt;Answers!L1189),"Outlier","Normal")</f>
        <v>Outlier</v>
      </c>
      <c r="G1173" s="19" t="str">
        <f t="shared" si="18"/>
        <v>20-30</v>
      </c>
    </row>
    <row r="1174" spans="1:7" ht="20" customHeight="1" x14ac:dyDescent="0.35">
      <c r="A1174" s="17">
        <v>1173</v>
      </c>
      <c r="B1174" s="23" t="s">
        <v>99</v>
      </c>
      <c r="C1174" s="18" t="s">
        <v>125</v>
      </c>
      <c r="D1174" s="18">
        <v>84</v>
      </c>
      <c r="E1174" s="18" t="s">
        <v>130</v>
      </c>
      <c r="F1174" s="18" t="str">
        <f>IF(OR(D1174&gt;Answers!L1189,D1174&lt;Answers!L1190),"Outlier","Normal")</f>
        <v>Outlier</v>
      </c>
      <c r="G1174" s="19" t="str">
        <f t="shared" si="18"/>
        <v>40-50</v>
      </c>
    </row>
    <row r="1175" spans="1:7" ht="20" customHeight="1" x14ac:dyDescent="0.35">
      <c r="A1175" s="17">
        <v>1174</v>
      </c>
      <c r="B1175" s="23" t="s">
        <v>99</v>
      </c>
      <c r="C1175" s="18" t="s">
        <v>125</v>
      </c>
      <c r="D1175" s="18">
        <v>60</v>
      </c>
      <c r="E1175" s="18" t="s">
        <v>130</v>
      </c>
      <c r="F1175" s="18" t="str">
        <f>IF(OR(D1175&gt;Answers!L1190,D1175&lt;Answers!L1191),"Outlier","Normal")</f>
        <v>Outlier</v>
      </c>
      <c r="G1175" s="19" t="str">
        <f t="shared" si="18"/>
        <v>40-50</v>
      </c>
    </row>
    <row r="1176" spans="1:7" ht="20" customHeight="1" x14ac:dyDescent="0.35">
      <c r="A1176" s="17">
        <v>1175</v>
      </c>
      <c r="B1176" s="23" t="s">
        <v>109</v>
      </c>
      <c r="C1176" s="18" t="s">
        <v>126</v>
      </c>
      <c r="D1176" s="18">
        <v>87</v>
      </c>
      <c r="E1176" s="18" t="s">
        <v>130</v>
      </c>
      <c r="F1176" s="18" t="str">
        <f>IF(OR(D1176&gt;Answers!L1191,D1176&lt;Answers!L1192),"Outlier","Normal")</f>
        <v>Outlier</v>
      </c>
      <c r="G1176" s="19" t="str">
        <f t="shared" si="18"/>
        <v>40-50</v>
      </c>
    </row>
    <row r="1177" spans="1:7" ht="20" customHeight="1" x14ac:dyDescent="0.35">
      <c r="A1177" s="17">
        <v>1176</v>
      </c>
      <c r="B1177" s="23" t="s">
        <v>99</v>
      </c>
      <c r="C1177" s="18" t="s">
        <v>126</v>
      </c>
      <c r="D1177" s="18">
        <v>89</v>
      </c>
      <c r="E1177" s="18" t="s">
        <v>130</v>
      </c>
      <c r="F1177" s="18" t="str">
        <f>IF(OR(D1177&gt;Answers!L1192,D1177&lt;Answers!L1193),"Outlier","Normal")</f>
        <v>Outlier</v>
      </c>
      <c r="G1177" s="19" t="str">
        <f t="shared" si="18"/>
        <v>40-50</v>
      </c>
    </row>
    <row r="1178" spans="1:7" ht="20" customHeight="1" x14ac:dyDescent="0.35">
      <c r="A1178" s="17">
        <v>1177</v>
      </c>
      <c r="B1178" s="23" t="s">
        <v>108</v>
      </c>
      <c r="C1178" s="18" t="s">
        <v>126</v>
      </c>
      <c r="D1178" s="18">
        <v>90</v>
      </c>
      <c r="E1178" s="18" t="s">
        <v>130</v>
      </c>
      <c r="F1178" s="18" t="str">
        <f>IF(OR(D1178&gt;Answers!L1193,D1178&lt;Answers!L1194),"Outlier","Normal")</f>
        <v>Outlier</v>
      </c>
      <c r="G1178" s="19" t="str">
        <f t="shared" si="18"/>
        <v>40-50</v>
      </c>
    </row>
    <row r="1179" spans="1:7" ht="20" customHeight="1" x14ac:dyDescent="0.35">
      <c r="A1179" s="17">
        <v>1178</v>
      </c>
      <c r="B1179" s="23" t="s">
        <v>101</v>
      </c>
      <c r="C1179" s="18" t="s">
        <v>126</v>
      </c>
      <c r="D1179" s="18">
        <v>56</v>
      </c>
      <c r="E1179" s="18" t="s">
        <v>130</v>
      </c>
      <c r="F1179" s="18" t="str">
        <f>IF(OR(D1179&gt;Answers!L1194,D1179&lt;Answers!L1195),"Outlier","Normal")</f>
        <v>Outlier</v>
      </c>
      <c r="G1179" s="19" t="str">
        <f t="shared" si="18"/>
        <v>40-50</v>
      </c>
    </row>
    <row r="1180" spans="1:7" ht="20" customHeight="1" x14ac:dyDescent="0.35">
      <c r="A1180" s="17">
        <v>1179</v>
      </c>
      <c r="B1180" s="23" t="s">
        <v>105</v>
      </c>
      <c r="C1180" s="18" t="s">
        <v>126</v>
      </c>
      <c r="D1180" s="18">
        <v>49</v>
      </c>
      <c r="E1180" s="18" t="s">
        <v>130</v>
      </c>
      <c r="F1180" s="18" t="str">
        <f>IF(OR(D1180&gt;Answers!L1195,D1180&lt;Answers!L1196),"Outlier","Normal")</f>
        <v>Outlier</v>
      </c>
      <c r="G1180" s="19" t="str">
        <f t="shared" si="18"/>
        <v>40-50</v>
      </c>
    </row>
    <row r="1181" spans="1:7" ht="20" customHeight="1" x14ac:dyDescent="0.35">
      <c r="A1181" s="17">
        <v>1180</v>
      </c>
      <c r="B1181" s="23" t="s">
        <v>105</v>
      </c>
      <c r="C1181" s="18" t="s">
        <v>126</v>
      </c>
      <c r="D1181" s="18">
        <v>85</v>
      </c>
      <c r="E1181" s="18" t="s">
        <v>130</v>
      </c>
      <c r="F1181" s="18" t="str">
        <f>IF(OR(D1181&gt;Answers!L1196,D1181&lt;Answers!L1197),"Outlier","Normal")</f>
        <v>Outlier</v>
      </c>
      <c r="G1181" s="19" t="str">
        <f t="shared" si="18"/>
        <v>40-50</v>
      </c>
    </row>
    <row r="1182" spans="1:7" ht="20" customHeight="1" x14ac:dyDescent="0.35">
      <c r="A1182" s="17">
        <v>1181</v>
      </c>
      <c r="B1182" s="23" t="s">
        <v>106</v>
      </c>
      <c r="C1182" s="18" t="s">
        <v>126</v>
      </c>
      <c r="D1182" s="18">
        <v>68</v>
      </c>
      <c r="E1182" s="18" t="s">
        <v>130</v>
      </c>
      <c r="F1182" s="18" t="str">
        <f>IF(OR(D1182&gt;Answers!L1197,D1182&lt;Answers!L1198),"Outlier","Normal")</f>
        <v>Outlier</v>
      </c>
      <c r="G1182" s="19" t="str">
        <f t="shared" si="18"/>
        <v>40-50</v>
      </c>
    </row>
    <row r="1183" spans="1:7" ht="20" customHeight="1" x14ac:dyDescent="0.35">
      <c r="A1183" s="17">
        <v>1182</v>
      </c>
      <c r="B1183" s="23" t="s">
        <v>99</v>
      </c>
      <c r="C1183" s="18" t="s">
        <v>125</v>
      </c>
      <c r="D1183" s="18">
        <v>36</v>
      </c>
      <c r="E1183" s="18" t="s">
        <v>130</v>
      </c>
      <c r="F1183" s="18" t="str">
        <f>IF(OR(D1183&gt;Answers!L1198,D1183&lt;Answers!L1199),"Outlier","Normal")</f>
        <v>Outlier</v>
      </c>
      <c r="G1183" s="19" t="str">
        <f t="shared" si="18"/>
        <v>30-40</v>
      </c>
    </row>
    <row r="1184" spans="1:7" ht="20" customHeight="1" x14ac:dyDescent="0.35">
      <c r="A1184" s="17">
        <v>1183</v>
      </c>
      <c r="B1184" s="23" t="s">
        <v>100</v>
      </c>
      <c r="C1184" s="18" t="s">
        <v>125</v>
      </c>
      <c r="D1184" s="18">
        <v>66</v>
      </c>
      <c r="E1184" s="18" t="s">
        <v>130</v>
      </c>
      <c r="F1184" s="18" t="str">
        <f>IF(OR(D1184&gt;Answers!L1199,D1184&lt;Answers!L1200),"Outlier","Normal")</f>
        <v>Outlier</v>
      </c>
      <c r="G1184" s="19" t="str">
        <f t="shared" si="18"/>
        <v>40-50</v>
      </c>
    </row>
    <row r="1185" spans="1:7" ht="20" customHeight="1" x14ac:dyDescent="0.35">
      <c r="A1185" s="17">
        <v>1184</v>
      </c>
      <c r="B1185" s="23" t="s">
        <v>100</v>
      </c>
      <c r="C1185" s="18" t="s">
        <v>126</v>
      </c>
      <c r="D1185" s="18">
        <v>64</v>
      </c>
      <c r="E1185" s="18" t="s">
        <v>130</v>
      </c>
      <c r="F1185" s="18" t="str">
        <f>IF(OR(D1185&gt;Answers!L1200,D1185&lt;Answers!L1201),"Outlier","Normal")</f>
        <v>Outlier</v>
      </c>
      <c r="G1185" s="19" t="str">
        <f t="shared" si="18"/>
        <v>40-50</v>
      </c>
    </row>
    <row r="1186" spans="1:7" ht="20" customHeight="1" x14ac:dyDescent="0.35">
      <c r="A1186" s="17">
        <v>1185</v>
      </c>
      <c r="B1186" s="23" t="s">
        <v>101</v>
      </c>
      <c r="C1186" s="18" t="s">
        <v>126</v>
      </c>
      <c r="D1186" s="18">
        <v>34</v>
      </c>
      <c r="E1186" s="18" t="s">
        <v>130</v>
      </c>
      <c r="F1186" s="18" t="str">
        <f>IF(OR(D1186&gt;Answers!L1201,D1186&lt;Answers!L1202),"Outlier","Normal")</f>
        <v>Outlier</v>
      </c>
      <c r="G1186" s="19" t="str">
        <f t="shared" si="18"/>
        <v>30-40</v>
      </c>
    </row>
    <row r="1187" spans="1:7" ht="20" customHeight="1" x14ac:dyDescent="0.35">
      <c r="A1187" s="17">
        <v>1186</v>
      </c>
      <c r="B1187" s="23" t="s">
        <v>106</v>
      </c>
      <c r="C1187" s="18" t="s">
        <v>125</v>
      </c>
      <c r="D1187" s="18">
        <v>89</v>
      </c>
      <c r="E1187" s="18" t="s">
        <v>130</v>
      </c>
      <c r="F1187" s="18" t="str">
        <f>IF(OR(D1187&gt;Answers!L1202,D1187&lt;Answers!L1203),"Outlier","Normal")</f>
        <v>Outlier</v>
      </c>
      <c r="G1187" s="19" t="str">
        <f t="shared" si="18"/>
        <v>40-50</v>
      </c>
    </row>
    <row r="1188" spans="1:7" ht="20" customHeight="1" x14ac:dyDescent="0.35">
      <c r="A1188" s="17">
        <v>1187</v>
      </c>
      <c r="B1188" s="23" t="s">
        <v>101</v>
      </c>
      <c r="C1188" s="18" t="s">
        <v>125</v>
      </c>
      <c r="D1188" s="18">
        <v>31</v>
      </c>
      <c r="E1188" s="18" t="s">
        <v>130</v>
      </c>
      <c r="F1188" s="18" t="str">
        <f>IF(OR(D1188&gt;Answers!L1203,D1188&lt;Answers!L1204),"Outlier","Normal")</f>
        <v>Outlier</v>
      </c>
      <c r="G1188" s="19" t="str">
        <f t="shared" si="18"/>
        <v>30-40</v>
      </c>
    </row>
    <row r="1189" spans="1:7" ht="20" customHeight="1" x14ac:dyDescent="0.35">
      <c r="A1189" s="17">
        <v>1188</v>
      </c>
      <c r="B1189" s="23" t="s">
        <v>99</v>
      </c>
      <c r="C1189" s="18" t="s">
        <v>125</v>
      </c>
      <c r="D1189" s="18">
        <v>89</v>
      </c>
      <c r="E1189" s="18" t="s">
        <v>130</v>
      </c>
      <c r="F1189" s="18" t="str">
        <f>IF(OR(D1189&gt;Answers!L1204,D1189&lt;Answers!L1205),"Outlier","Normal")</f>
        <v>Outlier</v>
      </c>
      <c r="G1189" s="19" t="str">
        <f t="shared" si="18"/>
        <v>40-50</v>
      </c>
    </row>
    <row r="1190" spans="1:7" ht="20" customHeight="1" x14ac:dyDescent="0.35">
      <c r="A1190" s="17">
        <v>1189</v>
      </c>
      <c r="B1190" s="23" t="s">
        <v>100</v>
      </c>
      <c r="C1190" s="18" t="s">
        <v>126</v>
      </c>
      <c r="D1190" s="18">
        <v>69</v>
      </c>
      <c r="E1190" s="18" t="s">
        <v>130</v>
      </c>
      <c r="F1190" s="18" t="str">
        <f>IF(OR(D1190&gt;Answers!L1205,D1190&lt;Answers!L1206),"Outlier","Normal")</f>
        <v>Outlier</v>
      </c>
      <c r="G1190" s="19" t="str">
        <f t="shared" si="18"/>
        <v>40-50</v>
      </c>
    </row>
    <row r="1191" spans="1:7" ht="20" customHeight="1" x14ac:dyDescent="0.35">
      <c r="A1191" s="17">
        <v>1190</v>
      </c>
      <c r="B1191" s="23" t="s">
        <v>103</v>
      </c>
      <c r="C1191" s="18" t="s">
        <v>125</v>
      </c>
      <c r="D1191" s="18">
        <v>50</v>
      </c>
      <c r="E1191" s="18" t="s">
        <v>130</v>
      </c>
      <c r="F1191" s="18" t="str">
        <f>IF(OR(D1191&gt;Answers!L1206,D1191&lt;Answers!L1207),"Outlier","Normal")</f>
        <v>Outlier</v>
      </c>
      <c r="G1191" s="19" t="str">
        <f t="shared" si="18"/>
        <v>40-50</v>
      </c>
    </row>
    <row r="1192" spans="1:7" ht="20" customHeight="1" x14ac:dyDescent="0.35">
      <c r="A1192" s="17">
        <v>1191</v>
      </c>
      <c r="B1192" s="23" t="s">
        <v>101</v>
      </c>
      <c r="C1192" s="18" t="s">
        <v>125</v>
      </c>
      <c r="D1192" s="18">
        <v>48</v>
      </c>
      <c r="E1192" s="18" t="s">
        <v>130</v>
      </c>
      <c r="F1192" s="18" t="str">
        <f>IF(OR(D1192&gt;Answers!L1207,D1192&lt;Answers!L1208),"Outlier","Normal")</f>
        <v>Outlier</v>
      </c>
      <c r="G1192" s="19" t="str">
        <f t="shared" si="18"/>
        <v>40-50</v>
      </c>
    </row>
    <row r="1193" spans="1:7" ht="20" customHeight="1" x14ac:dyDescent="0.35">
      <c r="A1193" s="17">
        <v>1192</v>
      </c>
      <c r="B1193" s="23" t="s">
        <v>99</v>
      </c>
      <c r="C1193" s="18" t="s">
        <v>126</v>
      </c>
      <c r="D1193" s="18">
        <v>87</v>
      </c>
      <c r="E1193" s="18" t="s">
        <v>130</v>
      </c>
      <c r="F1193" s="18" t="str">
        <f>IF(OR(D1193&gt;Answers!L1208,D1193&lt;Answers!L1209),"Outlier","Normal")</f>
        <v>Outlier</v>
      </c>
      <c r="G1193" s="19" t="str">
        <f t="shared" si="18"/>
        <v>40-50</v>
      </c>
    </row>
    <row r="1194" spans="1:7" ht="20" customHeight="1" x14ac:dyDescent="0.35">
      <c r="A1194" s="17">
        <v>1193</v>
      </c>
      <c r="B1194" s="23" t="s">
        <v>107</v>
      </c>
      <c r="C1194" s="18" t="s">
        <v>125</v>
      </c>
      <c r="D1194" s="18">
        <v>69</v>
      </c>
      <c r="E1194" s="18" t="s">
        <v>130</v>
      </c>
      <c r="F1194" s="18" t="str">
        <f>IF(OR(D1194&gt;Answers!L1209,D1194&lt;Answers!L1210),"Outlier","Normal")</f>
        <v>Outlier</v>
      </c>
      <c r="G1194" s="19" t="str">
        <f t="shared" si="18"/>
        <v>40-50</v>
      </c>
    </row>
    <row r="1195" spans="1:7" ht="20" customHeight="1" x14ac:dyDescent="0.35">
      <c r="A1195" s="17">
        <v>1194</v>
      </c>
      <c r="B1195" s="23" t="s">
        <v>104</v>
      </c>
      <c r="C1195" s="18" t="s">
        <v>125</v>
      </c>
      <c r="D1195" s="18">
        <v>64</v>
      </c>
      <c r="E1195" s="18" t="s">
        <v>130</v>
      </c>
      <c r="F1195" s="18" t="str">
        <f>IF(OR(D1195&gt;Answers!L1210,D1195&lt;Answers!L1211),"Outlier","Normal")</f>
        <v>Outlier</v>
      </c>
      <c r="G1195" s="19" t="str">
        <f t="shared" si="18"/>
        <v>40-50</v>
      </c>
    </row>
    <row r="1196" spans="1:7" ht="20" customHeight="1" x14ac:dyDescent="0.35">
      <c r="A1196" s="17">
        <v>1195</v>
      </c>
      <c r="B1196" s="23" t="s">
        <v>105</v>
      </c>
      <c r="C1196" s="18" t="s">
        <v>125</v>
      </c>
      <c r="D1196" s="18">
        <v>35</v>
      </c>
      <c r="E1196" s="18" t="s">
        <v>130</v>
      </c>
      <c r="F1196" s="18" t="str">
        <f>IF(OR(D1196&gt;Answers!L1211,D1196&lt;Answers!L1212),"Outlier","Normal")</f>
        <v>Outlier</v>
      </c>
      <c r="G1196" s="19" t="str">
        <f t="shared" si="18"/>
        <v>30-40</v>
      </c>
    </row>
    <row r="1197" spans="1:7" ht="20" customHeight="1" x14ac:dyDescent="0.35">
      <c r="A1197" s="17">
        <v>1196</v>
      </c>
      <c r="B1197" s="23" t="s">
        <v>99</v>
      </c>
      <c r="C1197" s="18" t="s">
        <v>125</v>
      </c>
      <c r="D1197" s="18">
        <v>82</v>
      </c>
      <c r="E1197" s="18" t="s">
        <v>130</v>
      </c>
      <c r="F1197" s="18" t="str">
        <f>IF(OR(D1197&gt;Answers!L1212,D1197&lt;Answers!L1213),"Outlier","Normal")</f>
        <v>Outlier</v>
      </c>
      <c r="G1197" s="19" t="str">
        <f t="shared" si="18"/>
        <v>40-50</v>
      </c>
    </row>
    <row r="1198" spans="1:7" ht="20" customHeight="1" x14ac:dyDescent="0.35">
      <c r="A1198" s="17">
        <v>1197</v>
      </c>
      <c r="B1198" s="23" t="s">
        <v>106</v>
      </c>
      <c r="C1198" s="18" t="s">
        <v>126</v>
      </c>
      <c r="D1198" s="18">
        <v>55</v>
      </c>
      <c r="E1198" s="18" t="s">
        <v>130</v>
      </c>
      <c r="F1198" s="18" t="str">
        <f>IF(OR(D1198&gt;Answers!L1213,D1198&lt;Answers!L1214),"Outlier","Normal")</f>
        <v>Outlier</v>
      </c>
      <c r="G1198" s="19" t="str">
        <f t="shared" si="18"/>
        <v>40-50</v>
      </c>
    </row>
    <row r="1199" spans="1:7" ht="20" customHeight="1" x14ac:dyDescent="0.35">
      <c r="A1199" s="17">
        <v>1198</v>
      </c>
      <c r="B1199" s="23" t="s">
        <v>99</v>
      </c>
      <c r="C1199" s="18" t="s">
        <v>125</v>
      </c>
      <c r="D1199" s="18">
        <v>63</v>
      </c>
      <c r="E1199" s="18" t="s">
        <v>130</v>
      </c>
      <c r="F1199" s="18" t="str">
        <f>IF(OR(D1199&gt;Answers!L1214,D1199&lt;Answers!L1215),"Outlier","Normal")</f>
        <v>Outlier</v>
      </c>
      <c r="G1199" s="19" t="str">
        <f t="shared" si="18"/>
        <v>40-50</v>
      </c>
    </row>
    <row r="1200" spans="1:7" ht="20" customHeight="1" x14ac:dyDescent="0.35">
      <c r="A1200" s="17">
        <v>1199</v>
      </c>
      <c r="B1200" s="23" t="s">
        <v>107</v>
      </c>
      <c r="C1200" s="18" t="s">
        <v>125</v>
      </c>
      <c r="D1200" s="18">
        <v>38</v>
      </c>
      <c r="E1200" s="18" t="s">
        <v>130</v>
      </c>
      <c r="F1200" s="18" t="str">
        <f>IF(OR(D1200&gt;Answers!L1215,D1200&lt;Answers!L1216),"Outlier","Normal")</f>
        <v>Outlier</v>
      </c>
      <c r="G1200" s="19" t="str">
        <f t="shared" si="18"/>
        <v>30-40</v>
      </c>
    </row>
    <row r="1201" spans="1:7" ht="20" customHeight="1" x14ac:dyDescent="0.35">
      <c r="A1201" s="17">
        <v>1200</v>
      </c>
      <c r="B1201" s="23" t="s">
        <v>99</v>
      </c>
      <c r="C1201" s="18" t="s">
        <v>126</v>
      </c>
      <c r="D1201" s="18">
        <v>31</v>
      </c>
      <c r="E1201" s="18" t="s">
        <v>130</v>
      </c>
      <c r="F1201" s="18" t="str">
        <f>IF(OR(D1201&gt;Answers!L1216,D1201&lt;Answers!L1217),"Outlier","Normal")</f>
        <v>Outlier</v>
      </c>
      <c r="G1201" s="19" t="str">
        <f t="shared" si="18"/>
        <v>30-40</v>
      </c>
    </row>
    <row r="1202" spans="1:7" ht="20" customHeight="1" x14ac:dyDescent="0.35">
      <c r="A1202" s="17">
        <v>1201</v>
      </c>
      <c r="B1202" s="23" t="s">
        <v>100</v>
      </c>
      <c r="C1202" s="18" t="s">
        <v>125</v>
      </c>
      <c r="D1202" s="18">
        <v>89</v>
      </c>
      <c r="E1202" s="18" t="s">
        <v>130</v>
      </c>
      <c r="F1202" s="18" t="str">
        <f>IF(OR(D1202&gt;Answers!L1217,D1202&lt;Answers!L1218),"Outlier","Normal")</f>
        <v>Outlier</v>
      </c>
      <c r="G1202" s="19" t="str">
        <f t="shared" si="18"/>
        <v>40-50</v>
      </c>
    </row>
    <row r="1203" spans="1:7" ht="20" customHeight="1" x14ac:dyDescent="0.35">
      <c r="A1203" s="17">
        <v>1202</v>
      </c>
      <c r="B1203" s="23" t="s">
        <v>100</v>
      </c>
      <c r="C1203" s="18" t="s">
        <v>126</v>
      </c>
      <c r="D1203" s="18">
        <v>25</v>
      </c>
      <c r="E1203" s="18" t="s">
        <v>130</v>
      </c>
      <c r="F1203" s="18" t="str">
        <f>IF(OR(D1203&gt;Answers!L1218,D1203&lt;Answers!L1219),"Outlier","Normal")</f>
        <v>Outlier</v>
      </c>
      <c r="G1203" s="19" t="str">
        <f t="shared" si="18"/>
        <v>20-30</v>
      </c>
    </row>
    <row r="1204" spans="1:7" ht="20" customHeight="1" x14ac:dyDescent="0.35">
      <c r="A1204" s="17">
        <v>1203</v>
      </c>
      <c r="B1204" s="23" t="s">
        <v>99</v>
      </c>
      <c r="C1204" s="18" t="s">
        <v>125</v>
      </c>
      <c r="D1204" s="18">
        <v>64</v>
      </c>
      <c r="E1204" s="18" t="s">
        <v>130</v>
      </c>
      <c r="F1204" s="18" t="str">
        <f>IF(OR(D1204&gt;Answers!L1219,D1204&lt;Answers!L1220),"Outlier","Normal")</f>
        <v>Outlier</v>
      </c>
      <c r="G1204" s="19" t="str">
        <f t="shared" si="18"/>
        <v>40-50</v>
      </c>
    </row>
    <row r="1205" spans="1:7" ht="20" customHeight="1" x14ac:dyDescent="0.35">
      <c r="A1205" s="17">
        <v>1204</v>
      </c>
      <c r="B1205" s="23" t="s">
        <v>99</v>
      </c>
      <c r="C1205" s="18" t="s">
        <v>126</v>
      </c>
      <c r="D1205" s="18">
        <v>89</v>
      </c>
      <c r="E1205" s="18" t="s">
        <v>130</v>
      </c>
      <c r="F1205" s="18" t="str">
        <f>IF(OR(D1205&gt;Answers!L1220,D1205&lt;Answers!L1221),"Outlier","Normal")</f>
        <v>Outlier</v>
      </c>
      <c r="G1205" s="19" t="str">
        <f t="shared" si="18"/>
        <v>40-50</v>
      </c>
    </row>
    <row r="1206" spans="1:7" ht="20" customHeight="1" x14ac:dyDescent="0.35">
      <c r="A1206" s="17">
        <v>1205</v>
      </c>
      <c r="B1206" s="23" t="s">
        <v>105</v>
      </c>
      <c r="C1206" s="18" t="s">
        <v>126</v>
      </c>
      <c r="D1206" s="18">
        <v>89</v>
      </c>
      <c r="E1206" s="18" t="s">
        <v>130</v>
      </c>
      <c r="F1206" s="18" t="str">
        <f>IF(OR(D1206&gt;Answers!L1221,D1206&lt;Answers!L1222),"Outlier","Normal")</f>
        <v>Outlier</v>
      </c>
      <c r="G1206" s="19" t="str">
        <f t="shared" si="18"/>
        <v>40-50</v>
      </c>
    </row>
    <row r="1207" spans="1:7" ht="20" customHeight="1" x14ac:dyDescent="0.35">
      <c r="A1207" s="17">
        <v>1206</v>
      </c>
      <c r="B1207" s="23" t="s">
        <v>99</v>
      </c>
      <c r="C1207" s="18" t="s">
        <v>126</v>
      </c>
      <c r="D1207" s="18">
        <v>89</v>
      </c>
      <c r="E1207" s="18" t="s">
        <v>130</v>
      </c>
      <c r="F1207" s="18" t="str">
        <f>IF(OR(D1207&gt;Answers!L1222,D1207&lt;Answers!L1223),"Outlier","Normal")</f>
        <v>Outlier</v>
      </c>
      <c r="G1207" s="19" t="str">
        <f t="shared" si="18"/>
        <v>40-50</v>
      </c>
    </row>
    <row r="1208" spans="1:7" ht="20" customHeight="1" x14ac:dyDescent="0.35">
      <c r="A1208" s="17">
        <v>1207</v>
      </c>
      <c r="B1208" s="23" t="s">
        <v>107</v>
      </c>
      <c r="C1208" s="18" t="s">
        <v>126</v>
      </c>
      <c r="D1208" s="18">
        <v>44</v>
      </c>
      <c r="E1208" s="18" t="s">
        <v>130</v>
      </c>
      <c r="F1208" s="18" t="str">
        <f>IF(OR(D1208&gt;Answers!L1223,D1208&lt;Answers!L1224),"Outlier","Normal")</f>
        <v>Outlier</v>
      </c>
      <c r="G1208" s="19" t="str">
        <f t="shared" si="18"/>
        <v>40-50</v>
      </c>
    </row>
    <row r="1209" spans="1:7" ht="20" customHeight="1" x14ac:dyDescent="0.35">
      <c r="A1209" s="17">
        <v>1208</v>
      </c>
      <c r="B1209" s="23" t="s">
        <v>99</v>
      </c>
      <c r="C1209" s="18" t="s">
        <v>125</v>
      </c>
      <c r="D1209" s="18">
        <v>73</v>
      </c>
      <c r="E1209" s="18" t="s">
        <v>130</v>
      </c>
      <c r="F1209" s="18" t="str">
        <f>IF(OR(D1209&gt;Answers!L1224,D1209&lt;Answers!L1225),"Outlier","Normal")</f>
        <v>Outlier</v>
      </c>
      <c r="G1209" s="19" t="str">
        <f t="shared" si="18"/>
        <v>40-50</v>
      </c>
    </row>
    <row r="1210" spans="1:7" ht="20" customHeight="1" x14ac:dyDescent="0.35">
      <c r="A1210" s="17">
        <v>1209</v>
      </c>
      <c r="B1210" s="23" t="s">
        <v>102</v>
      </c>
      <c r="C1210" s="18" t="s">
        <v>125</v>
      </c>
      <c r="D1210" s="18">
        <v>38</v>
      </c>
      <c r="E1210" s="18" t="s">
        <v>130</v>
      </c>
      <c r="F1210" s="18" t="str">
        <f>IF(OR(D1210&gt;Answers!L1225,D1210&lt;Answers!L1226),"Outlier","Normal")</f>
        <v>Outlier</v>
      </c>
      <c r="G1210" s="19" t="str">
        <f t="shared" si="18"/>
        <v>30-40</v>
      </c>
    </row>
    <row r="1211" spans="1:7" ht="20" customHeight="1" x14ac:dyDescent="0.35">
      <c r="A1211" s="17">
        <v>1210</v>
      </c>
      <c r="B1211" s="23" t="s">
        <v>105</v>
      </c>
      <c r="C1211" s="18" t="s">
        <v>125</v>
      </c>
      <c r="D1211" s="18">
        <v>88</v>
      </c>
      <c r="E1211" s="18" t="s">
        <v>130</v>
      </c>
      <c r="F1211" s="18" t="str">
        <f>IF(OR(D1211&gt;Answers!L1226,D1211&lt;Answers!L1227),"Outlier","Normal")</f>
        <v>Outlier</v>
      </c>
      <c r="G1211" s="19" t="str">
        <f t="shared" si="18"/>
        <v>40-50</v>
      </c>
    </row>
    <row r="1212" spans="1:7" ht="20" customHeight="1" x14ac:dyDescent="0.35">
      <c r="A1212" s="17">
        <v>1211</v>
      </c>
      <c r="B1212" s="23" t="s">
        <v>99</v>
      </c>
      <c r="C1212" s="18" t="s">
        <v>126</v>
      </c>
      <c r="D1212" s="18">
        <v>41</v>
      </c>
      <c r="E1212" s="18" t="s">
        <v>130</v>
      </c>
      <c r="F1212" s="18" t="str">
        <f>IF(OR(D1212&gt;Answers!L1227,D1212&lt;Answers!L1228),"Outlier","Normal")</f>
        <v>Outlier</v>
      </c>
      <c r="G1212" s="19" t="str">
        <f t="shared" si="18"/>
        <v>40-50</v>
      </c>
    </row>
    <row r="1213" spans="1:7" ht="20" customHeight="1" x14ac:dyDescent="0.35">
      <c r="A1213" s="17">
        <v>1212</v>
      </c>
      <c r="B1213" s="23" t="s">
        <v>106</v>
      </c>
      <c r="C1213" s="18" t="s">
        <v>126</v>
      </c>
      <c r="D1213" s="18">
        <v>43</v>
      </c>
      <c r="E1213" s="18" t="s">
        <v>130</v>
      </c>
      <c r="F1213" s="18" t="str">
        <f>IF(OR(D1213&gt;Answers!L1228,D1213&lt;Answers!L1229),"Outlier","Normal")</f>
        <v>Outlier</v>
      </c>
      <c r="G1213" s="19" t="str">
        <f t="shared" si="18"/>
        <v>40-50</v>
      </c>
    </row>
    <row r="1214" spans="1:7" ht="20" customHeight="1" x14ac:dyDescent="0.35">
      <c r="A1214" s="17">
        <v>1213</v>
      </c>
      <c r="B1214" s="23" t="s">
        <v>105</v>
      </c>
      <c r="C1214" s="18" t="s">
        <v>126</v>
      </c>
      <c r="D1214" s="18">
        <v>75</v>
      </c>
      <c r="E1214" s="18" t="s">
        <v>130</v>
      </c>
      <c r="F1214" s="18" t="str">
        <f>IF(OR(D1214&gt;Answers!L1229,D1214&lt;Answers!L1230),"Outlier","Normal")</f>
        <v>Outlier</v>
      </c>
      <c r="G1214" s="19" t="str">
        <f t="shared" si="18"/>
        <v>40-50</v>
      </c>
    </row>
    <row r="1215" spans="1:7" ht="20" customHeight="1" x14ac:dyDescent="0.35">
      <c r="A1215" s="17">
        <v>1214</v>
      </c>
      <c r="B1215" s="23" t="s">
        <v>100</v>
      </c>
      <c r="C1215" s="18" t="s">
        <v>125</v>
      </c>
      <c r="D1215" s="18">
        <v>29</v>
      </c>
      <c r="E1215" s="18" t="s">
        <v>130</v>
      </c>
      <c r="F1215" s="18" t="str">
        <f>IF(OR(D1215&gt;Answers!L1230,D1215&lt;Answers!L1231),"Outlier","Normal")</f>
        <v>Outlier</v>
      </c>
      <c r="G1215" s="19" t="str">
        <f t="shared" si="18"/>
        <v>20-30</v>
      </c>
    </row>
    <row r="1216" spans="1:7" ht="20" customHeight="1" x14ac:dyDescent="0.35">
      <c r="A1216" s="17">
        <v>1215</v>
      </c>
      <c r="B1216" s="23" t="s">
        <v>99</v>
      </c>
      <c r="C1216" s="18" t="s">
        <v>125</v>
      </c>
      <c r="D1216" s="18">
        <v>33</v>
      </c>
      <c r="E1216" s="18" t="s">
        <v>130</v>
      </c>
      <c r="F1216" s="18" t="str">
        <f>IF(OR(D1216&gt;Answers!L1231,D1216&lt;Answers!L1232),"Outlier","Normal")</f>
        <v>Outlier</v>
      </c>
      <c r="G1216" s="19" t="str">
        <f t="shared" si="18"/>
        <v>30-40</v>
      </c>
    </row>
    <row r="1217" spans="1:7" ht="20" customHeight="1" x14ac:dyDescent="0.35">
      <c r="A1217" s="17">
        <v>1216</v>
      </c>
      <c r="B1217" s="23" t="s">
        <v>101</v>
      </c>
      <c r="C1217" s="18" t="s">
        <v>125</v>
      </c>
      <c r="D1217" s="18">
        <v>63</v>
      </c>
      <c r="E1217" s="18" t="s">
        <v>130</v>
      </c>
      <c r="F1217" s="18" t="str">
        <f>IF(OR(D1217&gt;Answers!L1232,D1217&lt;Answers!L1233),"Outlier","Normal")</f>
        <v>Outlier</v>
      </c>
      <c r="G1217" s="19" t="str">
        <f t="shared" si="18"/>
        <v>40-50</v>
      </c>
    </row>
    <row r="1218" spans="1:7" ht="20" customHeight="1" x14ac:dyDescent="0.35">
      <c r="A1218" s="17">
        <v>1217</v>
      </c>
      <c r="B1218" s="23" t="s">
        <v>99</v>
      </c>
      <c r="C1218" s="18" t="s">
        <v>126</v>
      </c>
      <c r="D1218" s="18">
        <v>68</v>
      </c>
      <c r="E1218" s="18" t="s">
        <v>130</v>
      </c>
      <c r="F1218" s="18" t="str">
        <f>IF(OR(D1218&gt;Answers!L1233,D1218&lt;Answers!L1234),"Outlier","Normal")</f>
        <v>Outlier</v>
      </c>
      <c r="G1218" s="19" t="str">
        <f t="shared" si="18"/>
        <v>40-50</v>
      </c>
    </row>
    <row r="1219" spans="1:7" ht="20" customHeight="1" x14ac:dyDescent="0.35">
      <c r="A1219" s="17">
        <v>1218</v>
      </c>
      <c r="B1219" s="23" t="s">
        <v>99</v>
      </c>
      <c r="C1219" s="18" t="s">
        <v>125</v>
      </c>
      <c r="D1219" s="18">
        <v>68</v>
      </c>
      <c r="E1219" s="18" t="s">
        <v>130</v>
      </c>
      <c r="F1219" s="18" t="str">
        <f>IF(OR(D1219&gt;Answers!L1234,D1219&lt;Answers!L1235),"Outlier","Normal")</f>
        <v>Outlier</v>
      </c>
      <c r="G1219" s="19" t="str">
        <f t="shared" ref="G1219:G1282" si="19">IF(D1219&lt;20,"&lt;20",
IF(D1219&lt;=30,"20-30",
IF(D1219&lt;=40,"30-40","40-50")))</f>
        <v>40-50</v>
      </c>
    </row>
    <row r="1220" spans="1:7" ht="20" customHeight="1" x14ac:dyDescent="0.35">
      <c r="A1220" s="17">
        <v>1219</v>
      </c>
      <c r="B1220" s="23" t="s">
        <v>99</v>
      </c>
      <c r="C1220" s="18" t="s">
        <v>125</v>
      </c>
      <c r="D1220" s="18">
        <v>19</v>
      </c>
      <c r="E1220" s="18" t="s">
        <v>130</v>
      </c>
      <c r="F1220" s="18" t="str">
        <f>IF(OR(D1220&gt;Answers!L1235,D1220&lt;Answers!L1236),"Outlier","Normal")</f>
        <v>Outlier</v>
      </c>
      <c r="G1220" s="19" t="str">
        <f t="shared" si="19"/>
        <v>&lt;20</v>
      </c>
    </row>
    <row r="1221" spans="1:7" ht="20" customHeight="1" x14ac:dyDescent="0.35">
      <c r="A1221" s="17">
        <v>1220</v>
      </c>
      <c r="B1221" s="23" t="s">
        <v>99</v>
      </c>
      <c r="C1221" s="18" t="s">
        <v>125</v>
      </c>
      <c r="D1221" s="18">
        <v>58</v>
      </c>
      <c r="E1221" s="18" t="s">
        <v>130</v>
      </c>
      <c r="F1221" s="18" t="str">
        <f>IF(OR(D1221&gt;Answers!L1236,D1221&lt;Answers!L1237),"Outlier","Normal")</f>
        <v>Outlier</v>
      </c>
      <c r="G1221" s="19" t="str">
        <f t="shared" si="19"/>
        <v>40-50</v>
      </c>
    </row>
    <row r="1222" spans="1:7" ht="20" customHeight="1" x14ac:dyDescent="0.35">
      <c r="A1222" s="17">
        <v>1221</v>
      </c>
      <c r="B1222" s="23" t="s">
        <v>108</v>
      </c>
      <c r="C1222" s="18" t="s">
        <v>125</v>
      </c>
      <c r="D1222" s="18">
        <v>54</v>
      </c>
      <c r="E1222" s="18" t="s">
        <v>130</v>
      </c>
      <c r="F1222" s="18" t="str">
        <f>IF(OR(D1222&gt;Answers!L1237,D1222&lt;Answers!L1238),"Outlier","Normal")</f>
        <v>Outlier</v>
      </c>
      <c r="G1222" s="19" t="str">
        <f t="shared" si="19"/>
        <v>40-50</v>
      </c>
    </row>
    <row r="1223" spans="1:7" ht="20" customHeight="1" x14ac:dyDescent="0.35">
      <c r="A1223" s="17">
        <v>1222</v>
      </c>
      <c r="B1223" s="23" t="s">
        <v>105</v>
      </c>
      <c r="C1223" s="18" t="s">
        <v>126</v>
      </c>
      <c r="D1223" s="18">
        <v>58</v>
      </c>
      <c r="E1223" s="18" t="s">
        <v>130</v>
      </c>
      <c r="F1223" s="18" t="str">
        <f>IF(OR(D1223&gt;Answers!L1238,D1223&lt;Answers!L1239),"Outlier","Normal")</f>
        <v>Outlier</v>
      </c>
      <c r="G1223" s="19" t="str">
        <f t="shared" si="19"/>
        <v>40-50</v>
      </c>
    </row>
    <row r="1224" spans="1:7" ht="20" customHeight="1" x14ac:dyDescent="0.35">
      <c r="A1224" s="17">
        <v>1223</v>
      </c>
      <c r="B1224" s="23" t="s">
        <v>99</v>
      </c>
      <c r="C1224" s="18" t="s">
        <v>125</v>
      </c>
      <c r="D1224" s="18">
        <v>63</v>
      </c>
      <c r="E1224" s="18" t="s">
        <v>130</v>
      </c>
      <c r="F1224" s="18" t="str">
        <f>IF(OR(D1224&gt;Answers!L1239,D1224&lt;Answers!L1240),"Outlier","Normal")</f>
        <v>Outlier</v>
      </c>
      <c r="G1224" s="19" t="str">
        <f t="shared" si="19"/>
        <v>40-50</v>
      </c>
    </row>
    <row r="1225" spans="1:7" ht="20" customHeight="1" x14ac:dyDescent="0.35">
      <c r="A1225" s="17">
        <v>1224</v>
      </c>
      <c r="B1225" s="23" t="s">
        <v>100</v>
      </c>
      <c r="C1225" s="18" t="s">
        <v>126</v>
      </c>
      <c r="D1225" s="18">
        <v>71</v>
      </c>
      <c r="E1225" s="18" t="s">
        <v>130</v>
      </c>
      <c r="F1225" s="18" t="str">
        <f>IF(OR(D1225&gt;Answers!L1240,D1225&lt;Answers!L1241),"Outlier","Normal")</f>
        <v>Outlier</v>
      </c>
      <c r="G1225" s="19" t="str">
        <f t="shared" si="19"/>
        <v>40-50</v>
      </c>
    </row>
    <row r="1226" spans="1:7" ht="20" customHeight="1" x14ac:dyDescent="0.35">
      <c r="A1226" s="17">
        <v>1225</v>
      </c>
      <c r="B1226" s="23" t="s">
        <v>105</v>
      </c>
      <c r="C1226" s="18" t="s">
        <v>125</v>
      </c>
      <c r="D1226" s="18">
        <v>84</v>
      </c>
      <c r="E1226" s="18" t="s">
        <v>130</v>
      </c>
      <c r="F1226" s="18" t="str">
        <f>IF(OR(D1226&gt;Answers!L1241,D1226&lt;Answers!L1242),"Outlier","Normal")</f>
        <v>Outlier</v>
      </c>
      <c r="G1226" s="19" t="str">
        <f t="shared" si="19"/>
        <v>40-50</v>
      </c>
    </row>
    <row r="1227" spans="1:7" ht="20" customHeight="1" x14ac:dyDescent="0.35">
      <c r="A1227" s="17">
        <v>1226</v>
      </c>
      <c r="B1227" s="23" t="s">
        <v>103</v>
      </c>
      <c r="C1227" s="18" t="s">
        <v>125</v>
      </c>
      <c r="D1227" s="18">
        <v>55</v>
      </c>
      <c r="E1227" s="18" t="s">
        <v>130</v>
      </c>
      <c r="F1227" s="18" t="str">
        <f>IF(OR(D1227&gt;Answers!L1242,D1227&lt;Answers!L1243),"Outlier","Normal")</f>
        <v>Outlier</v>
      </c>
      <c r="G1227" s="19" t="str">
        <f t="shared" si="19"/>
        <v>40-50</v>
      </c>
    </row>
    <row r="1228" spans="1:7" ht="20" customHeight="1" x14ac:dyDescent="0.35">
      <c r="A1228" s="17">
        <v>1227</v>
      </c>
      <c r="B1228" s="23" t="s">
        <v>99</v>
      </c>
      <c r="C1228" s="18" t="s">
        <v>126</v>
      </c>
      <c r="D1228" s="18">
        <v>40</v>
      </c>
      <c r="E1228" s="18" t="s">
        <v>130</v>
      </c>
      <c r="F1228" s="18" t="str">
        <f>IF(OR(D1228&gt;Answers!L1243,D1228&lt;Answers!L1244),"Outlier","Normal")</f>
        <v>Outlier</v>
      </c>
      <c r="G1228" s="19" t="str">
        <f t="shared" si="19"/>
        <v>30-40</v>
      </c>
    </row>
    <row r="1229" spans="1:7" ht="20" customHeight="1" x14ac:dyDescent="0.35">
      <c r="A1229" s="17">
        <v>1228</v>
      </c>
      <c r="B1229" s="23" t="s">
        <v>99</v>
      </c>
      <c r="C1229" s="18" t="s">
        <v>125</v>
      </c>
      <c r="D1229" s="18">
        <v>87</v>
      </c>
      <c r="E1229" s="18" t="s">
        <v>130</v>
      </c>
      <c r="F1229" s="18" t="str">
        <f>IF(OR(D1229&gt;Answers!L1244,D1229&lt;Answers!L1245),"Outlier","Normal")</f>
        <v>Outlier</v>
      </c>
      <c r="G1229" s="19" t="str">
        <f t="shared" si="19"/>
        <v>40-50</v>
      </c>
    </row>
    <row r="1230" spans="1:7" ht="20" customHeight="1" x14ac:dyDescent="0.35">
      <c r="A1230" s="17">
        <v>1229</v>
      </c>
      <c r="B1230" s="23" t="s">
        <v>101</v>
      </c>
      <c r="C1230" s="18" t="s">
        <v>126</v>
      </c>
      <c r="D1230" s="18">
        <v>67</v>
      </c>
      <c r="E1230" s="18" t="s">
        <v>130</v>
      </c>
      <c r="F1230" s="18" t="str">
        <f>IF(OR(D1230&gt;Answers!L1245,D1230&lt;Answers!L1246),"Outlier","Normal")</f>
        <v>Outlier</v>
      </c>
      <c r="G1230" s="19" t="str">
        <f t="shared" si="19"/>
        <v>40-50</v>
      </c>
    </row>
    <row r="1231" spans="1:7" ht="20" customHeight="1" x14ac:dyDescent="0.35">
      <c r="A1231" s="17">
        <v>1230</v>
      </c>
      <c r="B1231" s="23" t="s">
        <v>105</v>
      </c>
      <c r="C1231" s="18" t="s">
        <v>126</v>
      </c>
      <c r="D1231" s="18">
        <v>80</v>
      </c>
      <c r="E1231" s="18" t="s">
        <v>130</v>
      </c>
      <c r="F1231" s="18" t="str">
        <f>IF(OR(D1231&gt;Answers!L1246,D1231&lt;Answers!L1247),"Outlier","Normal")</f>
        <v>Outlier</v>
      </c>
      <c r="G1231" s="19" t="str">
        <f t="shared" si="19"/>
        <v>40-50</v>
      </c>
    </row>
    <row r="1232" spans="1:7" ht="20" customHeight="1" x14ac:dyDescent="0.35">
      <c r="A1232" s="17">
        <v>1231</v>
      </c>
      <c r="B1232" s="23" t="s">
        <v>104</v>
      </c>
      <c r="C1232" s="18" t="s">
        <v>125</v>
      </c>
      <c r="D1232" s="18">
        <v>83</v>
      </c>
      <c r="E1232" s="18" t="s">
        <v>130</v>
      </c>
      <c r="F1232" s="18" t="str">
        <f>IF(OR(D1232&gt;Answers!L1247,D1232&lt;Answers!L1248),"Outlier","Normal")</f>
        <v>Outlier</v>
      </c>
      <c r="G1232" s="19" t="str">
        <f t="shared" si="19"/>
        <v>40-50</v>
      </c>
    </row>
    <row r="1233" spans="1:7" ht="20" customHeight="1" x14ac:dyDescent="0.35">
      <c r="A1233" s="17">
        <v>1232</v>
      </c>
      <c r="B1233" s="23" t="s">
        <v>105</v>
      </c>
      <c r="C1233" s="18" t="s">
        <v>125</v>
      </c>
      <c r="D1233" s="18">
        <v>31</v>
      </c>
      <c r="E1233" s="18" t="s">
        <v>130</v>
      </c>
      <c r="F1233" s="18" t="str">
        <f>IF(OR(D1233&gt;Answers!L1248,D1233&lt;Answers!L1249),"Outlier","Normal")</f>
        <v>Outlier</v>
      </c>
      <c r="G1233" s="19" t="str">
        <f t="shared" si="19"/>
        <v>30-40</v>
      </c>
    </row>
    <row r="1234" spans="1:7" ht="20" customHeight="1" x14ac:dyDescent="0.35">
      <c r="A1234" s="17">
        <v>1233</v>
      </c>
      <c r="B1234" s="23" t="s">
        <v>111</v>
      </c>
      <c r="C1234" s="18" t="s">
        <v>126</v>
      </c>
      <c r="D1234" s="18">
        <v>47</v>
      </c>
      <c r="E1234" s="18" t="s">
        <v>130</v>
      </c>
      <c r="F1234" s="18" t="str">
        <f>IF(OR(D1234&gt;Answers!L1249,D1234&lt;Answers!L1250),"Outlier","Normal")</f>
        <v>Outlier</v>
      </c>
      <c r="G1234" s="19" t="str">
        <f t="shared" si="19"/>
        <v>40-50</v>
      </c>
    </row>
    <row r="1235" spans="1:7" ht="20" customHeight="1" x14ac:dyDescent="0.35">
      <c r="A1235" s="17">
        <v>1234</v>
      </c>
      <c r="B1235" s="23" t="s">
        <v>99</v>
      </c>
      <c r="C1235" s="18" t="s">
        <v>125</v>
      </c>
      <c r="D1235" s="18">
        <v>89</v>
      </c>
      <c r="E1235" s="18" t="s">
        <v>130</v>
      </c>
      <c r="F1235" s="18" t="str">
        <f>IF(OR(D1235&gt;Answers!L1250,D1235&lt;Answers!L1251),"Outlier","Normal")</f>
        <v>Outlier</v>
      </c>
      <c r="G1235" s="19" t="str">
        <f t="shared" si="19"/>
        <v>40-50</v>
      </c>
    </row>
    <row r="1236" spans="1:7" ht="20" customHeight="1" x14ac:dyDescent="0.35">
      <c r="A1236" s="17">
        <v>1235</v>
      </c>
      <c r="B1236" s="23" t="s">
        <v>106</v>
      </c>
      <c r="C1236" s="18" t="s">
        <v>125</v>
      </c>
      <c r="D1236" s="18">
        <v>69</v>
      </c>
      <c r="E1236" s="18" t="s">
        <v>130</v>
      </c>
      <c r="F1236" s="18" t="str">
        <f>IF(OR(D1236&gt;Answers!L1251,D1236&lt;Answers!L1252),"Outlier","Normal")</f>
        <v>Outlier</v>
      </c>
      <c r="G1236" s="19" t="str">
        <f t="shared" si="19"/>
        <v>40-50</v>
      </c>
    </row>
    <row r="1237" spans="1:7" ht="20" customHeight="1" x14ac:dyDescent="0.35">
      <c r="A1237" s="17">
        <v>1236</v>
      </c>
      <c r="B1237" s="23" t="s">
        <v>99</v>
      </c>
      <c r="C1237" s="18" t="s">
        <v>125</v>
      </c>
      <c r="D1237" s="18">
        <v>47</v>
      </c>
      <c r="E1237" s="18" t="s">
        <v>130</v>
      </c>
      <c r="F1237" s="18" t="str">
        <f>IF(OR(D1237&gt;Answers!L1252,D1237&lt;Answers!L1253),"Outlier","Normal")</f>
        <v>Outlier</v>
      </c>
      <c r="G1237" s="19" t="str">
        <f t="shared" si="19"/>
        <v>40-50</v>
      </c>
    </row>
    <row r="1238" spans="1:7" ht="20" customHeight="1" x14ac:dyDescent="0.35">
      <c r="A1238" s="17">
        <v>1237</v>
      </c>
      <c r="B1238" s="23" t="s">
        <v>99</v>
      </c>
      <c r="C1238" s="18" t="s">
        <v>126</v>
      </c>
      <c r="D1238" s="18">
        <v>87</v>
      </c>
      <c r="E1238" s="18" t="s">
        <v>130</v>
      </c>
      <c r="F1238" s="18" t="str">
        <f>IF(OR(D1238&gt;Answers!L1253,D1238&lt;Answers!L1254),"Outlier","Normal")</f>
        <v>Outlier</v>
      </c>
      <c r="G1238" s="19" t="str">
        <f t="shared" si="19"/>
        <v>40-50</v>
      </c>
    </row>
    <row r="1239" spans="1:7" ht="20" customHeight="1" x14ac:dyDescent="0.35">
      <c r="A1239" s="17">
        <v>1238</v>
      </c>
      <c r="B1239" s="23" t="s">
        <v>99</v>
      </c>
      <c r="C1239" s="18" t="s">
        <v>126</v>
      </c>
      <c r="D1239" s="18">
        <v>65</v>
      </c>
      <c r="E1239" s="18" t="s">
        <v>130</v>
      </c>
      <c r="F1239" s="18" t="str">
        <f>IF(OR(D1239&gt;Answers!L1254,D1239&lt;Answers!L1255),"Outlier","Normal")</f>
        <v>Outlier</v>
      </c>
      <c r="G1239" s="19" t="str">
        <f t="shared" si="19"/>
        <v>40-50</v>
      </c>
    </row>
    <row r="1240" spans="1:7" ht="20" customHeight="1" x14ac:dyDescent="0.35">
      <c r="A1240" s="17">
        <v>1239</v>
      </c>
      <c r="B1240" s="23" t="s">
        <v>105</v>
      </c>
      <c r="C1240" s="18" t="s">
        <v>126</v>
      </c>
      <c r="D1240" s="18">
        <v>86</v>
      </c>
      <c r="E1240" s="18" t="s">
        <v>130</v>
      </c>
      <c r="F1240" s="18" t="str">
        <f>IF(OR(D1240&gt;Answers!L1255,D1240&lt;Answers!L1256),"Outlier","Normal")</f>
        <v>Outlier</v>
      </c>
      <c r="G1240" s="19" t="str">
        <f t="shared" si="19"/>
        <v>40-50</v>
      </c>
    </row>
    <row r="1241" spans="1:7" ht="20" customHeight="1" x14ac:dyDescent="0.35">
      <c r="A1241" s="17">
        <v>1240</v>
      </c>
      <c r="B1241" s="23" t="s">
        <v>109</v>
      </c>
      <c r="C1241" s="18" t="s">
        <v>125</v>
      </c>
      <c r="D1241" s="18">
        <v>24</v>
      </c>
      <c r="E1241" s="18" t="s">
        <v>130</v>
      </c>
      <c r="F1241" s="18" t="str">
        <f>IF(OR(D1241&gt;Answers!L1256,D1241&lt;Answers!L1257),"Outlier","Normal")</f>
        <v>Outlier</v>
      </c>
      <c r="G1241" s="19" t="str">
        <f t="shared" si="19"/>
        <v>20-30</v>
      </c>
    </row>
    <row r="1242" spans="1:7" ht="20" customHeight="1" x14ac:dyDescent="0.35">
      <c r="A1242" s="17">
        <v>1241</v>
      </c>
      <c r="B1242" s="23" t="s">
        <v>104</v>
      </c>
      <c r="C1242" s="18" t="s">
        <v>126</v>
      </c>
      <c r="D1242" s="18">
        <v>34</v>
      </c>
      <c r="E1242" s="18" t="s">
        <v>130</v>
      </c>
      <c r="F1242" s="18" t="str">
        <f>IF(OR(D1242&gt;Answers!L1257,D1242&lt;Answers!L1258),"Outlier","Normal")</f>
        <v>Outlier</v>
      </c>
      <c r="G1242" s="19" t="str">
        <f t="shared" si="19"/>
        <v>30-40</v>
      </c>
    </row>
    <row r="1243" spans="1:7" ht="20" customHeight="1" x14ac:dyDescent="0.35">
      <c r="A1243" s="17">
        <v>1242</v>
      </c>
      <c r="B1243" s="23" t="s">
        <v>105</v>
      </c>
      <c r="C1243" s="18" t="s">
        <v>126</v>
      </c>
      <c r="D1243" s="18">
        <v>55</v>
      </c>
      <c r="E1243" s="18" t="s">
        <v>130</v>
      </c>
      <c r="F1243" s="18" t="str">
        <f>IF(OR(D1243&gt;Answers!L1258,D1243&lt;Answers!L1259),"Outlier","Normal")</f>
        <v>Outlier</v>
      </c>
      <c r="G1243" s="19" t="str">
        <f t="shared" si="19"/>
        <v>40-50</v>
      </c>
    </row>
    <row r="1244" spans="1:7" ht="20" customHeight="1" x14ac:dyDescent="0.35">
      <c r="A1244" s="17">
        <v>1243</v>
      </c>
      <c r="B1244" s="23" t="s">
        <v>105</v>
      </c>
      <c r="C1244" s="18" t="s">
        <v>125</v>
      </c>
      <c r="D1244" s="18">
        <v>24</v>
      </c>
      <c r="E1244" s="18" t="s">
        <v>130</v>
      </c>
      <c r="F1244" s="18" t="str">
        <f>IF(OR(D1244&gt;Answers!L1259,D1244&lt;Answers!L1260),"Outlier","Normal")</f>
        <v>Outlier</v>
      </c>
      <c r="G1244" s="19" t="str">
        <f t="shared" si="19"/>
        <v>20-30</v>
      </c>
    </row>
    <row r="1245" spans="1:7" ht="20" customHeight="1" x14ac:dyDescent="0.35">
      <c r="A1245" s="17">
        <v>1244</v>
      </c>
      <c r="B1245" s="23" t="s">
        <v>105</v>
      </c>
      <c r="C1245" s="18" t="s">
        <v>126</v>
      </c>
      <c r="D1245" s="18">
        <v>20</v>
      </c>
      <c r="E1245" s="18" t="s">
        <v>130</v>
      </c>
      <c r="F1245" s="18" t="str">
        <f>IF(OR(D1245&gt;Answers!L1260,D1245&lt;Answers!L1261),"Outlier","Normal")</f>
        <v>Outlier</v>
      </c>
      <c r="G1245" s="19" t="str">
        <f t="shared" si="19"/>
        <v>20-30</v>
      </c>
    </row>
    <row r="1246" spans="1:7" ht="20" customHeight="1" x14ac:dyDescent="0.35">
      <c r="A1246" s="17">
        <v>1245</v>
      </c>
      <c r="B1246" s="23" t="s">
        <v>105</v>
      </c>
      <c r="C1246" s="18" t="s">
        <v>126</v>
      </c>
      <c r="D1246" s="18">
        <v>62</v>
      </c>
      <c r="E1246" s="18" t="s">
        <v>130</v>
      </c>
      <c r="F1246" s="18" t="str">
        <f>IF(OR(D1246&gt;Answers!L1261,D1246&lt;Answers!L1262),"Outlier","Normal")</f>
        <v>Outlier</v>
      </c>
      <c r="G1246" s="19" t="str">
        <f t="shared" si="19"/>
        <v>40-50</v>
      </c>
    </row>
    <row r="1247" spans="1:7" ht="20" customHeight="1" x14ac:dyDescent="0.35">
      <c r="A1247" s="17">
        <v>1246</v>
      </c>
      <c r="B1247" s="23" t="s">
        <v>100</v>
      </c>
      <c r="C1247" s="18" t="s">
        <v>125</v>
      </c>
      <c r="D1247" s="18">
        <v>85</v>
      </c>
      <c r="E1247" s="18" t="s">
        <v>130</v>
      </c>
      <c r="F1247" s="18" t="str">
        <f>IF(OR(D1247&gt;Answers!L1262,D1247&lt;Answers!L1263),"Outlier","Normal")</f>
        <v>Outlier</v>
      </c>
      <c r="G1247" s="19" t="str">
        <f t="shared" si="19"/>
        <v>40-50</v>
      </c>
    </row>
    <row r="1248" spans="1:7" ht="20" customHeight="1" x14ac:dyDescent="0.35">
      <c r="A1248" s="17">
        <v>1247</v>
      </c>
      <c r="B1248" s="23" t="s">
        <v>99</v>
      </c>
      <c r="C1248" s="18" t="s">
        <v>126</v>
      </c>
      <c r="D1248" s="18">
        <v>24</v>
      </c>
      <c r="E1248" s="18" t="s">
        <v>130</v>
      </c>
      <c r="F1248" s="18" t="str">
        <f>IF(OR(D1248&gt;Answers!L1263,D1248&lt;Answers!L1264),"Outlier","Normal")</f>
        <v>Outlier</v>
      </c>
      <c r="G1248" s="19" t="str">
        <f t="shared" si="19"/>
        <v>20-30</v>
      </c>
    </row>
    <row r="1249" spans="1:7" ht="20" customHeight="1" x14ac:dyDescent="0.35">
      <c r="A1249" s="17">
        <v>1248</v>
      </c>
      <c r="B1249" s="23" t="s">
        <v>99</v>
      </c>
      <c r="C1249" s="18" t="s">
        <v>125</v>
      </c>
      <c r="D1249" s="18">
        <v>87</v>
      </c>
      <c r="E1249" s="18" t="s">
        <v>130</v>
      </c>
      <c r="F1249" s="18" t="str">
        <f>IF(OR(D1249&gt;Answers!L1264,D1249&lt;Answers!L1265),"Outlier","Normal")</f>
        <v>Outlier</v>
      </c>
      <c r="G1249" s="19" t="str">
        <f t="shared" si="19"/>
        <v>40-50</v>
      </c>
    </row>
    <row r="1250" spans="1:7" ht="20" customHeight="1" x14ac:dyDescent="0.35">
      <c r="A1250" s="17">
        <v>1249</v>
      </c>
      <c r="B1250" s="23" t="s">
        <v>99</v>
      </c>
      <c r="C1250" s="18" t="s">
        <v>126</v>
      </c>
      <c r="D1250" s="18">
        <v>76</v>
      </c>
      <c r="E1250" s="18" t="s">
        <v>130</v>
      </c>
      <c r="F1250" s="18" t="str">
        <f>IF(OR(D1250&gt;Answers!L1265,D1250&lt;Answers!L1266),"Outlier","Normal")</f>
        <v>Outlier</v>
      </c>
      <c r="G1250" s="19" t="str">
        <f t="shared" si="19"/>
        <v>40-50</v>
      </c>
    </row>
    <row r="1251" spans="1:7" ht="20" customHeight="1" x14ac:dyDescent="0.35">
      <c r="A1251" s="17">
        <v>1250</v>
      </c>
      <c r="B1251" s="23" t="s">
        <v>99</v>
      </c>
      <c r="C1251" s="18" t="s">
        <v>125</v>
      </c>
      <c r="D1251" s="18">
        <v>57</v>
      </c>
      <c r="E1251" s="18" t="s">
        <v>130</v>
      </c>
      <c r="F1251" s="18" t="str">
        <f>IF(OR(D1251&gt;Answers!L1266,D1251&lt;Answers!L1267),"Outlier","Normal")</f>
        <v>Outlier</v>
      </c>
      <c r="G1251" s="19" t="str">
        <f t="shared" si="19"/>
        <v>40-50</v>
      </c>
    </row>
    <row r="1252" spans="1:7" ht="20" customHeight="1" x14ac:dyDescent="0.35">
      <c r="A1252" s="17">
        <v>1251</v>
      </c>
      <c r="B1252" s="23" t="s">
        <v>99</v>
      </c>
      <c r="C1252" s="18" t="s">
        <v>125</v>
      </c>
      <c r="D1252" s="18">
        <v>31</v>
      </c>
      <c r="E1252" s="18" t="s">
        <v>130</v>
      </c>
      <c r="F1252" s="18" t="str">
        <f>IF(OR(D1252&gt;Answers!L1267,D1252&lt;Answers!L1268),"Outlier","Normal")</f>
        <v>Outlier</v>
      </c>
      <c r="G1252" s="19" t="str">
        <f t="shared" si="19"/>
        <v>30-40</v>
      </c>
    </row>
    <row r="1253" spans="1:7" ht="20" customHeight="1" x14ac:dyDescent="0.35">
      <c r="A1253" s="17">
        <v>1252</v>
      </c>
      <c r="B1253" s="23" t="s">
        <v>99</v>
      </c>
      <c r="C1253" s="18" t="s">
        <v>126</v>
      </c>
      <c r="D1253" s="18">
        <v>66</v>
      </c>
      <c r="E1253" s="18" t="s">
        <v>130</v>
      </c>
      <c r="F1253" s="18" t="str">
        <f>IF(OR(D1253&gt;Answers!L1268,D1253&lt;Answers!L1269),"Outlier","Normal")</f>
        <v>Outlier</v>
      </c>
      <c r="G1253" s="19" t="str">
        <f t="shared" si="19"/>
        <v>40-50</v>
      </c>
    </row>
    <row r="1254" spans="1:7" ht="20" customHeight="1" x14ac:dyDescent="0.35">
      <c r="A1254" s="17">
        <v>1253</v>
      </c>
      <c r="B1254" s="23" t="s">
        <v>99</v>
      </c>
      <c r="C1254" s="18" t="s">
        <v>126</v>
      </c>
      <c r="D1254" s="18">
        <v>79</v>
      </c>
      <c r="E1254" s="18" t="s">
        <v>130</v>
      </c>
      <c r="F1254" s="18" t="str">
        <f>IF(OR(D1254&gt;Answers!L1269,D1254&lt;Answers!L1270),"Outlier","Normal")</f>
        <v>Outlier</v>
      </c>
      <c r="G1254" s="19" t="str">
        <f t="shared" si="19"/>
        <v>40-50</v>
      </c>
    </row>
    <row r="1255" spans="1:7" ht="20" customHeight="1" x14ac:dyDescent="0.35">
      <c r="A1255" s="17">
        <v>1254</v>
      </c>
      <c r="B1255" s="23" t="s">
        <v>100</v>
      </c>
      <c r="C1255" s="18" t="s">
        <v>125</v>
      </c>
      <c r="D1255" s="18">
        <v>71</v>
      </c>
      <c r="E1255" s="18" t="s">
        <v>130</v>
      </c>
      <c r="F1255" s="18" t="str">
        <f>IF(OR(D1255&gt;Answers!L1270,D1255&lt;Answers!L1271),"Outlier","Normal")</f>
        <v>Outlier</v>
      </c>
      <c r="G1255" s="19" t="str">
        <f t="shared" si="19"/>
        <v>40-50</v>
      </c>
    </row>
    <row r="1256" spans="1:7" ht="20" customHeight="1" x14ac:dyDescent="0.35">
      <c r="A1256" s="17">
        <v>1255</v>
      </c>
      <c r="B1256" s="23" t="s">
        <v>105</v>
      </c>
      <c r="C1256" s="18" t="s">
        <v>125</v>
      </c>
      <c r="D1256" s="18">
        <v>77</v>
      </c>
      <c r="E1256" s="18" t="s">
        <v>130</v>
      </c>
      <c r="F1256" s="18" t="str">
        <f>IF(OR(D1256&gt;Answers!L1271,D1256&lt;Answers!L1272),"Outlier","Normal")</f>
        <v>Outlier</v>
      </c>
      <c r="G1256" s="19" t="str">
        <f t="shared" si="19"/>
        <v>40-50</v>
      </c>
    </row>
    <row r="1257" spans="1:7" ht="20" customHeight="1" x14ac:dyDescent="0.35">
      <c r="A1257" s="17">
        <v>1256</v>
      </c>
      <c r="B1257" s="23" t="s">
        <v>105</v>
      </c>
      <c r="C1257" s="18" t="s">
        <v>125</v>
      </c>
      <c r="D1257" s="18">
        <v>29</v>
      </c>
      <c r="E1257" s="18" t="s">
        <v>130</v>
      </c>
      <c r="F1257" s="18" t="str">
        <f>IF(OR(D1257&gt;Answers!L1272,D1257&lt;Answers!L1273),"Outlier","Normal")</f>
        <v>Outlier</v>
      </c>
      <c r="G1257" s="19" t="str">
        <f t="shared" si="19"/>
        <v>20-30</v>
      </c>
    </row>
    <row r="1258" spans="1:7" ht="20" customHeight="1" x14ac:dyDescent="0.35">
      <c r="A1258" s="17">
        <v>1257</v>
      </c>
      <c r="B1258" s="23" t="s">
        <v>99</v>
      </c>
      <c r="C1258" s="18" t="s">
        <v>125</v>
      </c>
      <c r="D1258" s="18">
        <v>69</v>
      </c>
      <c r="E1258" s="18" t="s">
        <v>130</v>
      </c>
      <c r="F1258" s="18" t="str">
        <f>IF(OR(D1258&gt;Answers!L1273,D1258&lt;Answers!L1274),"Outlier","Normal")</f>
        <v>Outlier</v>
      </c>
      <c r="G1258" s="19" t="str">
        <f t="shared" si="19"/>
        <v>40-50</v>
      </c>
    </row>
    <row r="1259" spans="1:7" ht="20" customHeight="1" x14ac:dyDescent="0.35">
      <c r="A1259" s="17">
        <v>1258</v>
      </c>
      <c r="B1259" s="23" t="s">
        <v>99</v>
      </c>
      <c r="C1259" s="18" t="s">
        <v>125</v>
      </c>
      <c r="D1259" s="18">
        <v>87</v>
      </c>
      <c r="E1259" s="18" t="s">
        <v>130</v>
      </c>
      <c r="F1259" s="18" t="str">
        <f>IF(OR(D1259&gt;Answers!L1274,D1259&lt;Answers!L1275),"Outlier","Normal")</f>
        <v>Outlier</v>
      </c>
      <c r="G1259" s="19" t="str">
        <f t="shared" si="19"/>
        <v>40-50</v>
      </c>
    </row>
    <row r="1260" spans="1:7" ht="20" customHeight="1" x14ac:dyDescent="0.35">
      <c r="A1260" s="17">
        <v>1259</v>
      </c>
      <c r="B1260" s="23" t="s">
        <v>99</v>
      </c>
      <c r="C1260" s="18" t="s">
        <v>125</v>
      </c>
      <c r="D1260" s="18">
        <v>45</v>
      </c>
      <c r="E1260" s="18" t="s">
        <v>130</v>
      </c>
      <c r="F1260" s="18" t="str">
        <f>IF(OR(D1260&gt;Answers!L1275,D1260&lt;Answers!L1276),"Outlier","Normal")</f>
        <v>Outlier</v>
      </c>
      <c r="G1260" s="19" t="str">
        <f t="shared" si="19"/>
        <v>40-50</v>
      </c>
    </row>
    <row r="1261" spans="1:7" ht="20" customHeight="1" x14ac:dyDescent="0.35">
      <c r="A1261" s="17">
        <v>1260</v>
      </c>
      <c r="B1261" s="23" t="s">
        <v>100</v>
      </c>
      <c r="C1261" s="18" t="s">
        <v>125</v>
      </c>
      <c r="D1261" s="18">
        <f>ROUND(AVERAGE(D1258:D1260),0)</f>
        <v>67</v>
      </c>
      <c r="E1261" s="18" t="s">
        <v>130</v>
      </c>
      <c r="F1261" s="18" t="str">
        <f>IF(OR(D1261&gt;Answers!L1276,D1261&lt;Answers!L1277),"Outlier","Normal")</f>
        <v>Outlier</v>
      </c>
      <c r="G1261" s="19" t="str">
        <f t="shared" si="19"/>
        <v>40-50</v>
      </c>
    </row>
    <row r="1262" spans="1:7" ht="20" customHeight="1" x14ac:dyDescent="0.35">
      <c r="A1262" s="17">
        <v>1261</v>
      </c>
      <c r="B1262" s="23" t="s">
        <v>99</v>
      </c>
      <c r="C1262" s="18" t="s">
        <v>125</v>
      </c>
      <c r="D1262" s="18">
        <v>49</v>
      </c>
      <c r="E1262" s="18" t="s">
        <v>130</v>
      </c>
      <c r="F1262" s="18" t="str">
        <f>IF(OR(D1262&gt;Answers!L1277,D1262&lt;Answers!L1278),"Outlier","Normal")</f>
        <v>Outlier</v>
      </c>
      <c r="G1262" s="19" t="str">
        <f t="shared" si="19"/>
        <v>40-50</v>
      </c>
    </row>
    <row r="1263" spans="1:7" ht="20" customHeight="1" x14ac:dyDescent="0.35">
      <c r="A1263" s="17">
        <v>1262</v>
      </c>
      <c r="B1263" s="23" t="s">
        <v>99</v>
      </c>
      <c r="C1263" s="18" t="s">
        <v>125</v>
      </c>
      <c r="D1263" s="18">
        <v>41</v>
      </c>
      <c r="E1263" s="18" t="s">
        <v>130</v>
      </c>
      <c r="F1263" s="18" t="str">
        <f>IF(OR(D1263&gt;Answers!L1278,D1263&lt;Answers!L1279),"Outlier","Normal")</f>
        <v>Outlier</v>
      </c>
      <c r="G1263" s="19" t="str">
        <f t="shared" si="19"/>
        <v>40-50</v>
      </c>
    </row>
    <row r="1264" spans="1:7" ht="20" customHeight="1" x14ac:dyDescent="0.35">
      <c r="A1264" s="17">
        <v>1263</v>
      </c>
      <c r="B1264" s="23" t="s">
        <v>99</v>
      </c>
      <c r="C1264" s="18" t="s">
        <v>126</v>
      </c>
      <c r="D1264" s="18">
        <v>78</v>
      </c>
      <c r="E1264" s="18" t="s">
        <v>130</v>
      </c>
      <c r="F1264" s="18" t="str">
        <f>IF(OR(D1264&gt;Answers!L1279,D1264&lt;Answers!L1280),"Outlier","Normal")</f>
        <v>Outlier</v>
      </c>
      <c r="G1264" s="19" t="str">
        <f t="shared" si="19"/>
        <v>40-50</v>
      </c>
    </row>
    <row r="1265" spans="1:7" ht="20" customHeight="1" x14ac:dyDescent="0.35">
      <c r="A1265" s="17">
        <v>1264</v>
      </c>
      <c r="B1265" s="23" t="s">
        <v>107</v>
      </c>
      <c r="C1265" s="18" t="s">
        <v>126</v>
      </c>
      <c r="D1265" s="18">
        <v>47</v>
      </c>
      <c r="E1265" s="18" t="s">
        <v>130</v>
      </c>
      <c r="F1265" s="18" t="str">
        <f>IF(OR(D1265&gt;Answers!L1280,D1265&lt;Answers!L1281),"Outlier","Normal")</f>
        <v>Outlier</v>
      </c>
      <c r="G1265" s="19" t="str">
        <f t="shared" si="19"/>
        <v>40-50</v>
      </c>
    </row>
    <row r="1266" spans="1:7" ht="20" customHeight="1" x14ac:dyDescent="0.35">
      <c r="A1266" s="17">
        <v>1265</v>
      </c>
      <c r="B1266" s="23" t="s">
        <v>99</v>
      </c>
      <c r="C1266" s="18" t="s">
        <v>125</v>
      </c>
      <c r="D1266" s="18">
        <v>72</v>
      </c>
      <c r="E1266" s="18" t="s">
        <v>130</v>
      </c>
      <c r="F1266" s="18" t="str">
        <f>IF(OR(D1266&gt;Answers!L1281,D1266&lt;Answers!L1282),"Outlier","Normal")</f>
        <v>Outlier</v>
      </c>
      <c r="G1266" s="19" t="str">
        <f t="shared" si="19"/>
        <v>40-50</v>
      </c>
    </row>
    <row r="1267" spans="1:7" ht="20" customHeight="1" x14ac:dyDescent="0.35">
      <c r="A1267" s="17">
        <v>1266</v>
      </c>
      <c r="B1267" s="23" t="s">
        <v>99</v>
      </c>
      <c r="C1267" s="18" t="s">
        <v>125</v>
      </c>
      <c r="D1267" s="18">
        <v>42</v>
      </c>
      <c r="E1267" s="18" t="s">
        <v>130</v>
      </c>
      <c r="F1267" s="18" t="str">
        <f>IF(OR(D1267&gt;Answers!L1282,D1267&lt;Answers!L1283),"Outlier","Normal")</f>
        <v>Outlier</v>
      </c>
      <c r="G1267" s="19" t="str">
        <f t="shared" si="19"/>
        <v>40-50</v>
      </c>
    </row>
    <row r="1268" spans="1:7" ht="20" customHeight="1" x14ac:dyDescent="0.35">
      <c r="A1268" s="17">
        <v>1267</v>
      </c>
      <c r="B1268" s="23" t="s">
        <v>107</v>
      </c>
      <c r="C1268" s="18" t="s">
        <v>125</v>
      </c>
      <c r="D1268" s="18">
        <v>62</v>
      </c>
      <c r="E1268" s="18" t="s">
        <v>130</v>
      </c>
      <c r="F1268" s="18" t="str">
        <f>IF(OR(D1268&gt;Answers!L1283,D1268&lt;Answers!L1284),"Outlier","Normal")</f>
        <v>Outlier</v>
      </c>
      <c r="G1268" s="19" t="str">
        <f t="shared" si="19"/>
        <v>40-50</v>
      </c>
    </row>
    <row r="1269" spans="1:7" ht="20" customHeight="1" x14ac:dyDescent="0.35">
      <c r="A1269" s="17">
        <v>1268</v>
      </c>
      <c r="B1269" s="23" t="s">
        <v>99</v>
      </c>
      <c r="C1269" s="18" t="s">
        <v>125</v>
      </c>
      <c r="D1269" s="18">
        <v>48</v>
      </c>
      <c r="E1269" s="18" t="s">
        <v>130</v>
      </c>
      <c r="F1269" s="18" t="str">
        <f>IF(OR(D1269&gt;Answers!L1284,D1269&lt;Answers!L1285),"Outlier","Normal")</f>
        <v>Outlier</v>
      </c>
      <c r="G1269" s="19" t="str">
        <f t="shared" si="19"/>
        <v>40-50</v>
      </c>
    </row>
    <row r="1270" spans="1:7" ht="20" customHeight="1" x14ac:dyDescent="0.35">
      <c r="A1270" s="17">
        <v>1269</v>
      </c>
      <c r="B1270" s="23" t="s">
        <v>110</v>
      </c>
      <c r="C1270" s="18" t="s">
        <v>125</v>
      </c>
      <c r="D1270" s="18">
        <v>48</v>
      </c>
      <c r="E1270" s="18" t="s">
        <v>130</v>
      </c>
      <c r="F1270" s="18" t="str">
        <f>IF(OR(D1270&gt;Answers!L1285,D1270&lt;Answers!L1286),"Outlier","Normal")</f>
        <v>Outlier</v>
      </c>
      <c r="G1270" s="19" t="str">
        <f t="shared" si="19"/>
        <v>40-50</v>
      </c>
    </row>
    <row r="1271" spans="1:7" ht="20" customHeight="1" x14ac:dyDescent="0.35">
      <c r="A1271" s="17">
        <v>1270</v>
      </c>
      <c r="B1271" s="23" t="s">
        <v>99</v>
      </c>
      <c r="C1271" s="18" t="s">
        <v>125</v>
      </c>
      <c r="D1271" s="18">
        <v>48</v>
      </c>
      <c r="E1271" s="18" t="s">
        <v>130</v>
      </c>
      <c r="F1271" s="18" t="str">
        <f>IF(OR(D1271&gt;Answers!L1286,D1271&lt;Answers!L1287),"Outlier","Normal")</f>
        <v>Outlier</v>
      </c>
      <c r="G1271" s="19" t="str">
        <f t="shared" si="19"/>
        <v>40-50</v>
      </c>
    </row>
    <row r="1272" spans="1:7" ht="20" customHeight="1" x14ac:dyDescent="0.35">
      <c r="A1272" s="17">
        <v>1271</v>
      </c>
      <c r="B1272" s="23" t="s">
        <v>100</v>
      </c>
      <c r="C1272" s="18" t="s">
        <v>126</v>
      </c>
      <c r="D1272" s="18">
        <v>43</v>
      </c>
      <c r="E1272" s="18" t="s">
        <v>130</v>
      </c>
      <c r="F1272" s="18" t="str">
        <f>IF(OR(D1272&gt;Answers!L1287,D1272&lt;Answers!L1288),"Outlier","Normal")</f>
        <v>Outlier</v>
      </c>
      <c r="G1272" s="19" t="str">
        <f t="shared" si="19"/>
        <v>40-50</v>
      </c>
    </row>
    <row r="1273" spans="1:7" ht="20" customHeight="1" x14ac:dyDescent="0.35">
      <c r="A1273" s="17">
        <v>1272</v>
      </c>
      <c r="B1273" s="23" t="s">
        <v>101</v>
      </c>
      <c r="C1273" s="18" t="s">
        <v>126</v>
      </c>
      <c r="D1273" s="18">
        <v>39</v>
      </c>
      <c r="E1273" s="18" t="s">
        <v>130</v>
      </c>
      <c r="F1273" s="18" t="str">
        <f>IF(OR(D1273&gt;Answers!L1288,D1273&lt;Answers!L1289),"Outlier","Normal")</f>
        <v>Outlier</v>
      </c>
      <c r="G1273" s="19" t="str">
        <f t="shared" si="19"/>
        <v>30-40</v>
      </c>
    </row>
    <row r="1274" spans="1:7" ht="20" customHeight="1" x14ac:dyDescent="0.35">
      <c r="A1274" s="17">
        <v>1273</v>
      </c>
      <c r="B1274" s="23" t="s">
        <v>105</v>
      </c>
      <c r="C1274" s="18" t="s">
        <v>126</v>
      </c>
      <c r="D1274" s="18">
        <v>18</v>
      </c>
      <c r="E1274" s="18" t="s">
        <v>130</v>
      </c>
      <c r="F1274" s="18" t="str">
        <f>IF(OR(D1274&gt;Answers!L1289,D1274&lt;Answers!L1290),"Outlier","Normal")</f>
        <v>Outlier</v>
      </c>
      <c r="G1274" s="19" t="str">
        <f t="shared" si="19"/>
        <v>&lt;20</v>
      </c>
    </row>
    <row r="1275" spans="1:7" ht="20" customHeight="1" x14ac:dyDescent="0.35">
      <c r="A1275" s="17">
        <v>1274</v>
      </c>
      <c r="B1275" s="23" t="s">
        <v>99</v>
      </c>
      <c r="C1275" s="18" t="s">
        <v>126</v>
      </c>
      <c r="D1275" s="18">
        <v>78</v>
      </c>
      <c r="E1275" s="18" t="s">
        <v>130</v>
      </c>
      <c r="F1275" s="18" t="str">
        <f>IF(OR(D1275&gt;Answers!L1290,D1275&lt;Answers!L1291),"Outlier","Normal")</f>
        <v>Outlier</v>
      </c>
      <c r="G1275" s="19" t="str">
        <f t="shared" si="19"/>
        <v>40-50</v>
      </c>
    </row>
    <row r="1276" spans="1:7" ht="20" customHeight="1" x14ac:dyDescent="0.35">
      <c r="A1276" s="17">
        <v>1275</v>
      </c>
      <c r="B1276" s="23" t="s">
        <v>106</v>
      </c>
      <c r="C1276" s="18" t="s">
        <v>126</v>
      </c>
      <c r="D1276" s="18">
        <v>88</v>
      </c>
      <c r="E1276" s="18" t="s">
        <v>130</v>
      </c>
      <c r="F1276" s="18" t="str">
        <f>IF(OR(D1276&gt;Answers!L1291,D1276&lt;Answers!L1292),"Outlier","Normal")</f>
        <v>Outlier</v>
      </c>
      <c r="G1276" s="19" t="str">
        <f t="shared" si="19"/>
        <v>40-50</v>
      </c>
    </row>
    <row r="1277" spans="1:7" ht="20" customHeight="1" x14ac:dyDescent="0.35">
      <c r="A1277" s="17">
        <v>1276</v>
      </c>
      <c r="B1277" s="23" t="s">
        <v>100</v>
      </c>
      <c r="C1277" s="18" t="s">
        <v>125</v>
      </c>
      <c r="D1277" s="18">
        <v>88</v>
      </c>
      <c r="E1277" s="18" t="s">
        <v>130</v>
      </c>
      <c r="F1277" s="18" t="str">
        <f>IF(OR(D1277&gt;Answers!L1292,D1277&lt;Answers!L1293),"Outlier","Normal")</f>
        <v>Outlier</v>
      </c>
      <c r="G1277" s="19" t="str">
        <f t="shared" si="19"/>
        <v>40-50</v>
      </c>
    </row>
    <row r="1278" spans="1:7" ht="20" customHeight="1" x14ac:dyDescent="0.35">
      <c r="A1278" s="17">
        <v>1277</v>
      </c>
      <c r="B1278" s="23" t="s">
        <v>110</v>
      </c>
      <c r="C1278" s="18" t="s">
        <v>126</v>
      </c>
      <c r="D1278" s="18">
        <v>73</v>
      </c>
      <c r="E1278" s="18" t="s">
        <v>130</v>
      </c>
      <c r="F1278" s="18" t="str">
        <f>IF(OR(D1278&gt;Answers!L1293,D1278&lt;Answers!L1294),"Outlier","Normal")</f>
        <v>Outlier</v>
      </c>
      <c r="G1278" s="19" t="str">
        <f t="shared" si="19"/>
        <v>40-50</v>
      </c>
    </row>
    <row r="1279" spans="1:7" ht="20" customHeight="1" x14ac:dyDescent="0.35">
      <c r="A1279" s="17">
        <v>1278</v>
      </c>
      <c r="B1279" s="23" t="s">
        <v>99</v>
      </c>
      <c r="C1279" s="18" t="s">
        <v>126</v>
      </c>
      <c r="D1279" s="18">
        <v>69</v>
      </c>
      <c r="E1279" s="18" t="s">
        <v>130</v>
      </c>
      <c r="F1279" s="18" t="str">
        <f>IF(OR(D1279&gt;Answers!L1294,D1279&lt;Answers!L1295),"Outlier","Normal")</f>
        <v>Outlier</v>
      </c>
      <c r="G1279" s="19" t="str">
        <f t="shared" si="19"/>
        <v>40-50</v>
      </c>
    </row>
    <row r="1280" spans="1:7" ht="20" customHeight="1" x14ac:dyDescent="0.35">
      <c r="A1280" s="17">
        <v>1279</v>
      </c>
      <c r="B1280" s="23" t="s">
        <v>99</v>
      </c>
      <c r="C1280" s="18" t="s">
        <v>126</v>
      </c>
      <c r="D1280" s="18">
        <v>52</v>
      </c>
      <c r="E1280" s="18" t="s">
        <v>130</v>
      </c>
      <c r="F1280" s="18" t="str">
        <f>IF(OR(D1280&gt;Answers!L1295,D1280&lt;Answers!L1296),"Outlier","Normal")</f>
        <v>Outlier</v>
      </c>
      <c r="G1280" s="19" t="str">
        <f t="shared" si="19"/>
        <v>40-50</v>
      </c>
    </row>
    <row r="1281" spans="1:7" ht="20" customHeight="1" x14ac:dyDescent="0.35">
      <c r="A1281" s="17">
        <v>1280</v>
      </c>
      <c r="B1281" s="23" t="s">
        <v>99</v>
      </c>
      <c r="C1281" s="18" t="s">
        <v>125</v>
      </c>
      <c r="D1281" s="18">
        <v>69</v>
      </c>
      <c r="E1281" s="18" t="s">
        <v>130</v>
      </c>
      <c r="F1281" s="18" t="str">
        <f>IF(OR(D1281&gt;Answers!L1296,D1281&lt;Answers!L1297),"Outlier","Normal")</f>
        <v>Outlier</v>
      </c>
      <c r="G1281" s="19" t="str">
        <f t="shared" si="19"/>
        <v>40-50</v>
      </c>
    </row>
    <row r="1282" spans="1:7" ht="20" customHeight="1" x14ac:dyDescent="0.35">
      <c r="A1282" s="17">
        <v>1281</v>
      </c>
      <c r="B1282" s="23" t="s">
        <v>105</v>
      </c>
      <c r="C1282" s="18" t="s">
        <v>126</v>
      </c>
      <c r="D1282" s="18">
        <v>61</v>
      </c>
      <c r="E1282" s="18" t="s">
        <v>130</v>
      </c>
      <c r="F1282" s="18" t="str">
        <f>IF(OR(D1282&gt;Answers!L1297,D1282&lt;Answers!L1298),"Outlier","Normal")</f>
        <v>Outlier</v>
      </c>
      <c r="G1282" s="19" t="str">
        <f t="shared" si="19"/>
        <v>40-50</v>
      </c>
    </row>
    <row r="1283" spans="1:7" ht="20" customHeight="1" x14ac:dyDescent="0.35">
      <c r="A1283" s="17">
        <v>1282</v>
      </c>
      <c r="B1283" s="23" t="s">
        <v>100</v>
      </c>
      <c r="C1283" s="18" t="s">
        <v>125</v>
      </c>
      <c r="D1283" s="18">
        <v>35</v>
      </c>
      <c r="E1283" s="18" t="s">
        <v>130</v>
      </c>
      <c r="F1283" s="18" t="str">
        <f>IF(OR(D1283&gt;Answers!L1298,D1283&lt;Answers!L1299),"Outlier","Normal")</f>
        <v>Outlier</v>
      </c>
      <c r="G1283" s="19" t="str">
        <f t="shared" ref="G1283:G1346" si="20">IF(D1283&lt;20,"&lt;20",
IF(D1283&lt;=30,"20-30",
IF(D1283&lt;=40,"30-40","40-50")))</f>
        <v>30-40</v>
      </c>
    </row>
    <row r="1284" spans="1:7" ht="20" customHeight="1" x14ac:dyDescent="0.35">
      <c r="A1284" s="17">
        <v>1283</v>
      </c>
      <c r="B1284" s="23" t="s">
        <v>99</v>
      </c>
      <c r="C1284" s="18" t="s">
        <v>125</v>
      </c>
      <c r="D1284" s="18">
        <v>30</v>
      </c>
      <c r="E1284" s="18" t="s">
        <v>130</v>
      </c>
      <c r="F1284" s="18" t="str">
        <f>IF(OR(D1284&gt;Answers!L1299,D1284&lt;Answers!L1300),"Outlier","Normal")</f>
        <v>Outlier</v>
      </c>
      <c r="G1284" s="19" t="str">
        <f t="shared" si="20"/>
        <v>20-30</v>
      </c>
    </row>
    <row r="1285" spans="1:7" ht="20" customHeight="1" x14ac:dyDescent="0.35">
      <c r="A1285" s="17">
        <v>1284</v>
      </c>
      <c r="B1285" s="23" t="s">
        <v>105</v>
      </c>
      <c r="C1285" s="18" t="s">
        <v>125</v>
      </c>
      <c r="D1285" s="18">
        <v>73</v>
      </c>
      <c r="E1285" s="18" t="s">
        <v>130</v>
      </c>
      <c r="F1285" s="18" t="str">
        <f>IF(OR(D1285&gt;Answers!L1300,D1285&lt;Answers!L1301),"Outlier","Normal")</f>
        <v>Outlier</v>
      </c>
      <c r="G1285" s="19" t="str">
        <f t="shared" si="20"/>
        <v>40-50</v>
      </c>
    </row>
    <row r="1286" spans="1:7" ht="20" customHeight="1" x14ac:dyDescent="0.35">
      <c r="A1286" s="17">
        <v>1285</v>
      </c>
      <c r="B1286" s="23" t="s">
        <v>105</v>
      </c>
      <c r="C1286" s="18" t="s">
        <v>126</v>
      </c>
      <c r="D1286" s="18">
        <v>56</v>
      </c>
      <c r="E1286" s="18" t="s">
        <v>130</v>
      </c>
      <c r="F1286" s="18" t="str">
        <f>IF(OR(D1286&gt;Answers!L1301,D1286&lt;Answers!L1302),"Outlier","Normal")</f>
        <v>Outlier</v>
      </c>
      <c r="G1286" s="19" t="str">
        <f t="shared" si="20"/>
        <v>40-50</v>
      </c>
    </row>
    <row r="1287" spans="1:7" ht="20" customHeight="1" x14ac:dyDescent="0.35">
      <c r="A1287" s="17">
        <v>1286</v>
      </c>
      <c r="B1287" s="23" t="s">
        <v>99</v>
      </c>
      <c r="C1287" s="18" t="s">
        <v>125</v>
      </c>
      <c r="D1287" s="18">
        <v>61</v>
      </c>
      <c r="E1287" s="18" t="s">
        <v>130</v>
      </c>
      <c r="F1287" s="18" t="str">
        <f>IF(OR(D1287&gt;Answers!L1302,D1287&lt;Answers!L1303),"Outlier","Normal")</f>
        <v>Outlier</v>
      </c>
      <c r="G1287" s="19" t="str">
        <f t="shared" si="20"/>
        <v>40-50</v>
      </c>
    </row>
    <row r="1288" spans="1:7" ht="20" customHeight="1" x14ac:dyDescent="0.35">
      <c r="A1288" s="17">
        <v>1287</v>
      </c>
      <c r="B1288" s="23" t="s">
        <v>99</v>
      </c>
      <c r="C1288" s="18" t="s">
        <v>125</v>
      </c>
      <c r="D1288" s="18">
        <v>55</v>
      </c>
      <c r="E1288" s="18" t="s">
        <v>130</v>
      </c>
      <c r="F1288" s="18" t="str">
        <f>IF(OR(D1288&gt;Answers!L1303,D1288&lt;Answers!L1304),"Outlier","Normal")</f>
        <v>Outlier</v>
      </c>
      <c r="G1288" s="19" t="str">
        <f t="shared" si="20"/>
        <v>40-50</v>
      </c>
    </row>
    <row r="1289" spans="1:7" ht="20" customHeight="1" x14ac:dyDescent="0.35">
      <c r="A1289" s="17">
        <v>1288</v>
      </c>
      <c r="B1289" s="23" t="s">
        <v>99</v>
      </c>
      <c r="C1289" s="18" t="s">
        <v>125</v>
      </c>
      <c r="D1289" s="18">
        <v>39</v>
      </c>
      <c r="E1289" s="18" t="s">
        <v>130</v>
      </c>
      <c r="F1289" s="18" t="str">
        <f>IF(OR(D1289&gt;Answers!L1304,D1289&lt;Answers!L1305),"Outlier","Normal")</f>
        <v>Outlier</v>
      </c>
      <c r="G1289" s="19" t="str">
        <f t="shared" si="20"/>
        <v>30-40</v>
      </c>
    </row>
    <row r="1290" spans="1:7" ht="20" customHeight="1" x14ac:dyDescent="0.35">
      <c r="A1290" s="17">
        <v>1289</v>
      </c>
      <c r="B1290" s="23" t="s">
        <v>99</v>
      </c>
      <c r="C1290" s="18" t="s">
        <v>126</v>
      </c>
      <c r="D1290" s="18">
        <v>30</v>
      </c>
      <c r="E1290" s="18" t="s">
        <v>130</v>
      </c>
      <c r="F1290" s="18" t="str">
        <f>IF(OR(D1290&gt;Answers!L1305,D1290&lt;Answers!L1306),"Outlier","Normal")</f>
        <v>Outlier</v>
      </c>
      <c r="G1290" s="19" t="str">
        <f t="shared" si="20"/>
        <v>20-30</v>
      </c>
    </row>
    <row r="1291" spans="1:7" ht="20" customHeight="1" x14ac:dyDescent="0.35">
      <c r="A1291" s="17">
        <v>1290</v>
      </c>
      <c r="B1291" s="23" t="s">
        <v>99</v>
      </c>
      <c r="C1291" s="18" t="s">
        <v>125</v>
      </c>
      <c r="D1291" s="18">
        <v>31</v>
      </c>
      <c r="E1291" s="18" t="s">
        <v>130</v>
      </c>
      <c r="F1291" s="18" t="str">
        <f>IF(OR(D1291&gt;Answers!L1306,D1291&lt;Answers!L1307),"Outlier","Normal")</f>
        <v>Outlier</v>
      </c>
      <c r="G1291" s="19" t="str">
        <f t="shared" si="20"/>
        <v>30-40</v>
      </c>
    </row>
    <row r="1292" spans="1:7" ht="20" customHeight="1" x14ac:dyDescent="0.35">
      <c r="A1292" s="17">
        <v>1291</v>
      </c>
      <c r="B1292" s="23" t="s">
        <v>99</v>
      </c>
      <c r="C1292" s="18" t="s">
        <v>126</v>
      </c>
      <c r="D1292" s="18">
        <v>72</v>
      </c>
      <c r="E1292" s="18" t="s">
        <v>130</v>
      </c>
      <c r="F1292" s="18" t="str">
        <f>IF(OR(D1292&gt;Answers!L1307,D1292&lt;Answers!L1308),"Outlier","Normal")</f>
        <v>Outlier</v>
      </c>
      <c r="G1292" s="19" t="str">
        <f t="shared" si="20"/>
        <v>40-50</v>
      </c>
    </row>
    <row r="1293" spans="1:7" ht="20" customHeight="1" x14ac:dyDescent="0.35">
      <c r="A1293" s="17">
        <v>1292</v>
      </c>
      <c r="B1293" s="23" t="s">
        <v>99</v>
      </c>
      <c r="C1293" s="18" t="s">
        <v>126</v>
      </c>
      <c r="D1293" s="18">
        <v>38</v>
      </c>
      <c r="E1293" s="18" t="s">
        <v>130</v>
      </c>
      <c r="F1293" s="18" t="str">
        <f>IF(OR(D1293&gt;Answers!L1308,D1293&lt;Answers!L1309),"Outlier","Normal")</f>
        <v>Outlier</v>
      </c>
      <c r="G1293" s="19" t="str">
        <f t="shared" si="20"/>
        <v>30-40</v>
      </c>
    </row>
    <row r="1294" spans="1:7" ht="20" customHeight="1" x14ac:dyDescent="0.35">
      <c r="A1294" s="17">
        <v>1293</v>
      </c>
      <c r="B1294" s="23" t="s">
        <v>99</v>
      </c>
      <c r="C1294" s="18" t="s">
        <v>125</v>
      </c>
      <c r="D1294" s="18">
        <v>38</v>
      </c>
      <c r="E1294" s="18" t="s">
        <v>130</v>
      </c>
      <c r="F1294" s="18" t="str">
        <f>IF(OR(D1294&gt;Answers!L1309,D1294&lt;Answers!L1310),"Outlier","Normal")</f>
        <v>Outlier</v>
      </c>
      <c r="G1294" s="19" t="str">
        <f t="shared" si="20"/>
        <v>30-40</v>
      </c>
    </row>
    <row r="1295" spans="1:7" ht="20" customHeight="1" x14ac:dyDescent="0.35">
      <c r="A1295" s="17">
        <v>1294</v>
      </c>
      <c r="B1295" s="23" t="s">
        <v>100</v>
      </c>
      <c r="C1295" s="18" t="s">
        <v>126</v>
      </c>
      <c r="D1295" s="18">
        <v>54</v>
      </c>
      <c r="E1295" s="18" t="s">
        <v>130</v>
      </c>
      <c r="F1295" s="18" t="str">
        <f>IF(OR(D1295&gt;Answers!L1310,D1295&lt;Answers!L1311),"Outlier","Normal")</f>
        <v>Outlier</v>
      </c>
      <c r="G1295" s="19" t="str">
        <f t="shared" si="20"/>
        <v>40-50</v>
      </c>
    </row>
    <row r="1296" spans="1:7" ht="20" customHeight="1" x14ac:dyDescent="0.35">
      <c r="A1296" s="17">
        <v>1295</v>
      </c>
      <c r="B1296" s="23" t="s">
        <v>102</v>
      </c>
      <c r="C1296" s="18" t="s">
        <v>126</v>
      </c>
      <c r="D1296" s="18">
        <v>86</v>
      </c>
      <c r="E1296" s="18" t="s">
        <v>130</v>
      </c>
      <c r="F1296" s="18" t="str">
        <f>IF(OR(D1296&gt;Answers!L1311,D1296&lt;Answers!L1312),"Outlier","Normal")</f>
        <v>Outlier</v>
      </c>
      <c r="G1296" s="19" t="str">
        <f t="shared" si="20"/>
        <v>40-50</v>
      </c>
    </row>
    <row r="1297" spans="1:7" ht="20" customHeight="1" x14ac:dyDescent="0.35">
      <c r="A1297" s="17">
        <v>1296</v>
      </c>
      <c r="B1297" s="23" t="s">
        <v>105</v>
      </c>
      <c r="C1297" s="18" t="s">
        <v>125</v>
      </c>
      <c r="D1297" s="18">
        <v>20</v>
      </c>
      <c r="E1297" s="18" t="s">
        <v>130</v>
      </c>
      <c r="F1297" s="18" t="str">
        <f>IF(OR(D1297&gt;Answers!L1312,D1297&lt;Answers!L1313),"Outlier","Normal")</f>
        <v>Outlier</v>
      </c>
      <c r="G1297" s="19" t="str">
        <f t="shared" si="20"/>
        <v>20-30</v>
      </c>
    </row>
    <row r="1298" spans="1:7" ht="20" customHeight="1" x14ac:dyDescent="0.35">
      <c r="A1298" s="17">
        <v>1297</v>
      </c>
      <c r="B1298" s="23" t="s">
        <v>99</v>
      </c>
      <c r="C1298" s="18" t="s">
        <v>126</v>
      </c>
      <c r="D1298" s="18">
        <v>86</v>
      </c>
      <c r="E1298" s="18" t="s">
        <v>130</v>
      </c>
      <c r="F1298" s="18" t="str">
        <f>IF(OR(D1298&gt;Answers!L1313,D1298&lt;Answers!L1314),"Outlier","Normal")</f>
        <v>Outlier</v>
      </c>
      <c r="G1298" s="19" t="str">
        <f t="shared" si="20"/>
        <v>40-50</v>
      </c>
    </row>
    <row r="1299" spans="1:7" ht="20" customHeight="1" x14ac:dyDescent="0.35">
      <c r="A1299" s="17">
        <v>1298</v>
      </c>
      <c r="B1299" s="23" t="s">
        <v>101</v>
      </c>
      <c r="C1299" s="18" t="s">
        <v>125</v>
      </c>
      <c r="D1299" s="18">
        <v>31</v>
      </c>
      <c r="E1299" s="18" t="s">
        <v>130</v>
      </c>
      <c r="F1299" s="18" t="str">
        <f>IF(OR(D1299&gt;Answers!L1314,D1299&lt;Answers!L1315),"Outlier","Normal")</f>
        <v>Outlier</v>
      </c>
      <c r="G1299" s="19" t="str">
        <f t="shared" si="20"/>
        <v>30-40</v>
      </c>
    </row>
    <row r="1300" spans="1:7" ht="20" customHeight="1" x14ac:dyDescent="0.35">
      <c r="A1300" s="17">
        <v>1299</v>
      </c>
      <c r="B1300" s="23" t="s">
        <v>99</v>
      </c>
      <c r="C1300" s="18" t="s">
        <v>125</v>
      </c>
      <c r="D1300" s="18">
        <v>44</v>
      </c>
      <c r="E1300" s="18" t="s">
        <v>130</v>
      </c>
      <c r="F1300" s="18" t="str">
        <f>IF(OR(D1300&gt;Answers!L1315,D1300&lt;Answers!L1316),"Outlier","Normal")</f>
        <v>Outlier</v>
      </c>
      <c r="G1300" s="19" t="str">
        <f t="shared" si="20"/>
        <v>40-50</v>
      </c>
    </row>
    <row r="1301" spans="1:7" ht="20" customHeight="1" x14ac:dyDescent="0.35">
      <c r="A1301" s="17">
        <v>1300</v>
      </c>
      <c r="B1301" s="23" t="s">
        <v>109</v>
      </c>
      <c r="C1301" s="18" t="s">
        <v>125</v>
      </c>
      <c r="D1301" s="18">
        <v>74</v>
      </c>
      <c r="E1301" s="18" t="s">
        <v>130</v>
      </c>
      <c r="F1301" s="18" t="str">
        <f>IF(OR(D1301&gt;Answers!L1316,D1301&lt;Answers!L1317),"Outlier","Normal")</f>
        <v>Outlier</v>
      </c>
      <c r="G1301" s="19" t="str">
        <f t="shared" si="20"/>
        <v>40-50</v>
      </c>
    </row>
    <row r="1302" spans="1:7" ht="20" customHeight="1" x14ac:dyDescent="0.35">
      <c r="A1302" s="17">
        <v>1301</v>
      </c>
      <c r="B1302" s="23" t="s">
        <v>105</v>
      </c>
      <c r="C1302" s="18" t="s">
        <v>125</v>
      </c>
      <c r="D1302" s="18">
        <v>84</v>
      </c>
      <c r="E1302" s="18" t="s">
        <v>130</v>
      </c>
      <c r="F1302" s="18" t="str">
        <f>IF(OR(D1302&gt;Answers!L1317,D1302&lt;Answers!L1318),"Outlier","Normal")</f>
        <v>Outlier</v>
      </c>
      <c r="G1302" s="19" t="str">
        <f t="shared" si="20"/>
        <v>40-50</v>
      </c>
    </row>
    <row r="1303" spans="1:7" ht="20" customHeight="1" x14ac:dyDescent="0.35">
      <c r="A1303" s="17">
        <v>1302</v>
      </c>
      <c r="B1303" s="23" t="s">
        <v>100</v>
      </c>
      <c r="C1303" s="18" t="s">
        <v>126</v>
      </c>
      <c r="D1303" s="18">
        <v>28</v>
      </c>
      <c r="E1303" s="18" t="s">
        <v>130</v>
      </c>
      <c r="F1303" s="18" t="str">
        <f>IF(OR(D1303&gt;Answers!L1318,D1303&lt;Answers!L1319),"Outlier","Normal")</f>
        <v>Outlier</v>
      </c>
      <c r="G1303" s="19" t="str">
        <f t="shared" si="20"/>
        <v>20-30</v>
      </c>
    </row>
    <row r="1304" spans="1:7" ht="20" customHeight="1" x14ac:dyDescent="0.35">
      <c r="A1304" s="17">
        <v>1303</v>
      </c>
      <c r="B1304" s="23" t="s">
        <v>105</v>
      </c>
      <c r="C1304" s="18" t="s">
        <v>125</v>
      </c>
      <c r="D1304" s="18">
        <v>81</v>
      </c>
      <c r="E1304" s="18" t="s">
        <v>130</v>
      </c>
      <c r="F1304" s="18" t="str">
        <f>IF(OR(D1304&gt;Answers!L1319,D1304&lt;Answers!L1320),"Outlier","Normal")</f>
        <v>Outlier</v>
      </c>
      <c r="G1304" s="19" t="str">
        <f t="shared" si="20"/>
        <v>40-50</v>
      </c>
    </row>
    <row r="1305" spans="1:7" ht="20" customHeight="1" x14ac:dyDescent="0.35">
      <c r="A1305" s="17">
        <v>1304</v>
      </c>
      <c r="B1305" s="23" t="s">
        <v>107</v>
      </c>
      <c r="C1305" s="18" t="s">
        <v>126</v>
      </c>
      <c r="D1305" s="18">
        <v>18</v>
      </c>
      <c r="E1305" s="18" t="s">
        <v>130</v>
      </c>
      <c r="F1305" s="18" t="str">
        <f>IF(OR(D1305&gt;Answers!L1320,D1305&lt;Answers!L1321),"Outlier","Normal")</f>
        <v>Outlier</v>
      </c>
      <c r="G1305" s="19" t="str">
        <f t="shared" si="20"/>
        <v>&lt;20</v>
      </c>
    </row>
    <row r="1306" spans="1:7" ht="20" customHeight="1" x14ac:dyDescent="0.35">
      <c r="A1306" s="17">
        <v>1305</v>
      </c>
      <c r="B1306" s="23" t="s">
        <v>100</v>
      </c>
      <c r="C1306" s="18" t="s">
        <v>125</v>
      </c>
      <c r="D1306" s="18">
        <v>58</v>
      </c>
      <c r="E1306" s="18" t="s">
        <v>130</v>
      </c>
      <c r="F1306" s="18" t="str">
        <f>IF(OR(D1306&gt;Answers!L1321,D1306&lt;Answers!L1322),"Outlier","Normal")</f>
        <v>Outlier</v>
      </c>
      <c r="G1306" s="19" t="str">
        <f t="shared" si="20"/>
        <v>40-50</v>
      </c>
    </row>
    <row r="1307" spans="1:7" ht="20" customHeight="1" x14ac:dyDescent="0.35">
      <c r="A1307" s="17">
        <v>1306</v>
      </c>
      <c r="B1307" s="23" t="s">
        <v>99</v>
      </c>
      <c r="C1307" s="18" t="s">
        <v>125</v>
      </c>
      <c r="D1307" s="18">
        <v>65</v>
      </c>
      <c r="E1307" s="18" t="s">
        <v>130</v>
      </c>
      <c r="F1307" s="18" t="str">
        <f>IF(OR(D1307&gt;Answers!L1322,D1307&lt;Answers!L1323),"Outlier","Normal")</f>
        <v>Outlier</v>
      </c>
      <c r="G1307" s="19" t="str">
        <f t="shared" si="20"/>
        <v>40-50</v>
      </c>
    </row>
    <row r="1308" spans="1:7" ht="20" customHeight="1" x14ac:dyDescent="0.35">
      <c r="A1308" s="17">
        <v>1307</v>
      </c>
      <c r="B1308" s="23" t="s">
        <v>100</v>
      </c>
      <c r="C1308" s="18" t="s">
        <v>126</v>
      </c>
      <c r="D1308" s="18">
        <v>78</v>
      </c>
      <c r="E1308" s="18" t="s">
        <v>130</v>
      </c>
      <c r="F1308" s="18" t="str">
        <f>IF(OR(D1308&gt;Answers!L1323,D1308&lt;Answers!L1324),"Outlier","Normal")</f>
        <v>Outlier</v>
      </c>
      <c r="G1308" s="19" t="str">
        <f t="shared" si="20"/>
        <v>40-50</v>
      </c>
    </row>
    <row r="1309" spans="1:7" ht="20" customHeight="1" x14ac:dyDescent="0.35">
      <c r="A1309" s="17">
        <v>1308</v>
      </c>
      <c r="B1309" s="23" t="s">
        <v>105</v>
      </c>
      <c r="C1309" s="18" t="s">
        <v>126</v>
      </c>
      <c r="D1309" s="18">
        <v>56</v>
      </c>
      <c r="E1309" s="18" t="s">
        <v>130</v>
      </c>
      <c r="F1309" s="18" t="str">
        <f>IF(OR(D1309&gt;Answers!L1324,D1309&lt;Answers!L1325),"Outlier","Normal")</f>
        <v>Outlier</v>
      </c>
      <c r="G1309" s="19" t="str">
        <f t="shared" si="20"/>
        <v>40-50</v>
      </c>
    </row>
    <row r="1310" spans="1:7" ht="20" customHeight="1" x14ac:dyDescent="0.35">
      <c r="A1310" s="17">
        <v>1309</v>
      </c>
      <c r="B1310" s="23" t="s">
        <v>99</v>
      </c>
      <c r="C1310" s="18" t="s">
        <v>126</v>
      </c>
      <c r="D1310" s="18">
        <v>88</v>
      </c>
      <c r="E1310" s="18" t="s">
        <v>130</v>
      </c>
      <c r="F1310" s="18" t="str">
        <f>IF(OR(D1310&gt;Answers!L1325,D1310&lt;Answers!L1326),"Outlier","Normal")</f>
        <v>Outlier</v>
      </c>
      <c r="G1310" s="19" t="str">
        <f t="shared" si="20"/>
        <v>40-50</v>
      </c>
    </row>
    <row r="1311" spans="1:7" ht="20" customHeight="1" x14ac:dyDescent="0.35">
      <c r="A1311" s="17">
        <v>1310</v>
      </c>
      <c r="B1311" s="23" t="s">
        <v>105</v>
      </c>
      <c r="C1311" s="18" t="s">
        <v>125</v>
      </c>
      <c r="D1311" s="18">
        <v>70</v>
      </c>
      <c r="E1311" s="18" t="s">
        <v>130</v>
      </c>
      <c r="F1311" s="18" t="str">
        <f>IF(OR(D1311&gt;Answers!L1326,D1311&lt;Answers!L1327),"Outlier","Normal")</f>
        <v>Outlier</v>
      </c>
      <c r="G1311" s="19" t="str">
        <f t="shared" si="20"/>
        <v>40-50</v>
      </c>
    </row>
    <row r="1312" spans="1:7" ht="20" customHeight="1" x14ac:dyDescent="0.35">
      <c r="A1312" s="17">
        <v>1311</v>
      </c>
      <c r="B1312" s="23" t="s">
        <v>99</v>
      </c>
      <c r="C1312" s="18" t="s">
        <v>125</v>
      </c>
      <c r="D1312" s="18">
        <v>20</v>
      </c>
      <c r="E1312" s="18" t="s">
        <v>130</v>
      </c>
      <c r="F1312" s="18" t="str">
        <f>IF(OR(D1312&gt;Answers!L1327,D1312&lt;Answers!L1328),"Outlier","Normal")</f>
        <v>Outlier</v>
      </c>
      <c r="G1312" s="19" t="str">
        <f t="shared" si="20"/>
        <v>20-30</v>
      </c>
    </row>
    <row r="1313" spans="1:7" ht="20" customHeight="1" x14ac:dyDescent="0.35">
      <c r="A1313" s="17">
        <v>1312</v>
      </c>
      <c r="B1313" s="23" t="s">
        <v>99</v>
      </c>
      <c r="C1313" s="18" t="s">
        <v>126</v>
      </c>
      <c r="D1313" s="18">
        <v>59</v>
      </c>
      <c r="E1313" s="18" t="s">
        <v>130</v>
      </c>
      <c r="F1313" s="18" t="str">
        <f>IF(OR(D1313&gt;Answers!L1328,D1313&lt;Answers!L1329),"Outlier","Normal")</f>
        <v>Outlier</v>
      </c>
      <c r="G1313" s="19" t="str">
        <f t="shared" si="20"/>
        <v>40-50</v>
      </c>
    </row>
    <row r="1314" spans="1:7" ht="20" customHeight="1" x14ac:dyDescent="0.35">
      <c r="A1314" s="17">
        <v>1313</v>
      </c>
      <c r="B1314" s="23" t="s">
        <v>99</v>
      </c>
      <c r="C1314" s="18" t="s">
        <v>125</v>
      </c>
      <c r="D1314" s="18">
        <v>61</v>
      </c>
      <c r="E1314" s="18" t="s">
        <v>130</v>
      </c>
      <c r="F1314" s="18" t="str">
        <f>IF(OR(D1314&gt;Answers!L1329,D1314&lt;Answers!L1330),"Outlier","Normal")</f>
        <v>Outlier</v>
      </c>
      <c r="G1314" s="19" t="str">
        <f t="shared" si="20"/>
        <v>40-50</v>
      </c>
    </row>
    <row r="1315" spans="1:7" ht="20" customHeight="1" x14ac:dyDescent="0.35">
      <c r="A1315" s="17">
        <v>1314</v>
      </c>
      <c r="B1315" s="23" t="s">
        <v>99</v>
      </c>
      <c r="C1315" s="18" t="s">
        <v>126</v>
      </c>
      <c r="D1315" s="18">
        <v>86</v>
      </c>
      <c r="E1315" s="18" t="s">
        <v>130</v>
      </c>
      <c r="F1315" s="18" t="str">
        <f>IF(OR(D1315&gt;Answers!L1330,D1315&lt;Answers!L1331),"Outlier","Normal")</f>
        <v>Outlier</v>
      </c>
      <c r="G1315" s="19" t="str">
        <f t="shared" si="20"/>
        <v>40-50</v>
      </c>
    </row>
    <row r="1316" spans="1:7" ht="20" customHeight="1" x14ac:dyDescent="0.35">
      <c r="A1316" s="17">
        <v>1315</v>
      </c>
      <c r="B1316" s="23" t="s">
        <v>99</v>
      </c>
      <c r="C1316" s="18" t="s">
        <v>126</v>
      </c>
      <c r="D1316" s="18">
        <v>76</v>
      </c>
      <c r="E1316" s="18" t="s">
        <v>130</v>
      </c>
      <c r="F1316" s="18" t="str">
        <f>IF(OR(D1316&gt;Answers!L1331,D1316&lt;Answers!L1332),"Outlier","Normal")</f>
        <v>Outlier</v>
      </c>
      <c r="G1316" s="19" t="str">
        <f t="shared" si="20"/>
        <v>40-50</v>
      </c>
    </row>
    <row r="1317" spans="1:7" ht="20" customHeight="1" x14ac:dyDescent="0.35">
      <c r="A1317" s="17">
        <v>1316</v>
      </c>
      <c r="B1317" s="23" t="s">
        <v>101</v>
      </c>
      <c r="C1317" s="18" t="s">
        <v>126</v>
      </c>
      <c r="D1317" s="18">
        <v>70</v>
      </c>
      <c r="E1317" s="18" t="s">
        <v>130</v>
      </c>
      <c r="F1317" s="18" t="str">
        <f>IF(OR(D1317&gt;Answers!L1332,D1317&lt;Answers!L1333),"Outlier","Normal")</f>
        <v>Outlier</v>
      </c>
      <c r="G1317" s="19" t="str">
        <f t="shared" si="20"/>
        <v>40-50</v>
      </c>
    </row>
    <row r="1318" spans="1:7" ht="20" customHeight="1" x14ac:dyDescent="0.35">
      <c r="A1318" s="17">
        <v>1317</v>
      </c>
      <c r="B1318" s="23" t="s">
        <v>100</v>
      </c>
      <c r="C1318" s="18" t="s">
        <v>125</v>
      </c>
      <c r="D1318" s="18">
        <v>54</v>
      </c>
      <c r="E1318" s="18" t="s">
        <v>130</v>
      </c>
      <c r="F1318" s="18" t="str">
        <f>IF(OR(D1318&gt;Answers!L1333,D1318&lt;Answers!L1334),"Outlier","Normal")</f>
        <v>Outlier</v>
      </c>
      <c r="G1318" s="19" t="str">
        <f t="shared" si="20"/>
        <v>40-50</v>
      </c>
    </row>
    <row r="1319" spans="1:7" ht="20" customHeight="1" x14ac:dyDescent="0.35">
      <c r="A1319" s="17">
        <v>1318</v>
      </c>
      <c r="B1319" s="23" t="s">
        <v>99</v>
      </c>
      <c r="C1319" s="18" t="s">
        <v>125</v>
      </c>
      <c r="D1319" s="18">
        <v>24</v>
      </c>
      <c r="E1319" s="18" t="s">
        <v>130</v>
      </c>
      <c r="F1319" s="18" t="str">
        <f>IF(OR(D1319&gt;Answers!L1334,D1319&lt;Answers!L1335),"Outlier","Normal")</f>
        <v>Outlier</v>
      </c>
      <c r="G1319" s="19" t="str">
        <f t="shared" si="20"/>
        <v>20-30</v>
      </c>
    </row>
    <row r="1320" spans="1:7" ht="20" customHeight="1" x14ac:dyDescent="0.35">
      <c r="A1320" s="17">
        <v>1319</v>
      </c>
      <c r="B1320" s="23" t="s">
        <v>99</v>
      </c>
      <c r="C1320" s="18" t="s">
        <v>126</v>
      </c>
      <c r="D1320" s="18">
        <v>19</v>
      </c>
      <c r="E1320" s="18" t="s">
        <v>130</v>
      </c>
      <c r="F1320" s="18" t="str">
        <f>IF(OR(D1320&gt;Answers!L1335,D1320&lt;Answers!L1336),"Outlier","Normal")</f>
        <v>Outlier</v>
      </c>
      <c r="G1320" s="19" t="str">
        <f t="shared" si="20"/>
        <v>&lt;20</v>
      </c>
    </row>
    <row r="1321" spans="1:7" ht="20" customHeight="1" x14ac:dyDescent="0.35">
      <c r="A1321" s="17">
        <v>1320</v>
      </c>
      <c r="B1321" s="23" t="s">
        <v>109</v>
      </c>
      <c r="C1321" s="18" t="s">
        <v>125</v>
      </c>
      <c r="D1321" s="18">
        <v>71</v>
      </c>
      <c r="E1321" s="18" t="s">
        <v>130</v>
      </c>
      <c r="F1321" s="18" t="str">
        <f>IF(OR(D1321&gt;Answers!L1336,D1321&lt;Answers!L1337),"Outlier","Normal")</f>
        <v>Outlier</v>
      </c>
      <c r="G1321" s="19" t="str">
        <f t="shared" si="20"/>
        <v>40-50</v>
      </c>
    </row>
    <row r="1322" spans="1:7" ht="20" customHeight="1" x14ac:dyDescent="0.35">
      <c r="A1322" s="17">
        <v>1321</v>
      </c>
      <c r="B1322" s="23" t="s">
        <v>107</v>
      </c>
      <c r="C1322" s="18" t="s">
        <v>126</v>
      </c>
      <c r="D1322" s="18">
        <v>83</v>
      </c>
      <c r="E1322" s="18" t="s">
        <v>130</v>
      </c>
      <c r="F1322" s="18" t="str">
        <f>IF(OR(D1322&gt;Answers!L1337,D1322&lt;Answers!L1338),"Outlier","Normal")</f>
        <v>Outlier</v>
      </c>
      <c r="G1322" s="19" t="str">
        <f t="shared" si="20"/>
        <v>40-50</v>
      </c>
    </row>
    <row r="1323" spans="1:7" ht="20" customHeight="1" x14ac:dyDescent="0.35">
      <c r="A1323" s="17">
        <v>1322</v>
      </c>
      <c r="B1323" s="23" t="s">
        <v>99</v>
      </c>
      <c r="C1323" s="18" t="s">
        <v>126</v>
      </c>
      <c r="D1323" s="18">
        <v>49</v>
      </c>
      <c r="E1323" s="18" t="s">
        <v>130</v>
      </c>
      <c r="F1323" s="18" t="str">
        <f>IF(OR(D1323&gt;Answers!L1338,D1323&lt;Answers!L1339),"Outlier","Normal")</f>
        <v>Outlier</v>
      </c>
      <c r="G1323" s="19" t="str">
        <f t="shared" si="20"/>
        <v>40-50</v>
      </c>
    </row>
    <row r="1324" spans="1:7" ht="20" customHeight="1" x14ac:dyDescent="0.35">
      <c r="A1324" s="17">
        <v>1323</v>
      </c>
      <c r="B1324" s="23" t="s">
        <v>110</v>
      </c>
      <c r="C1324" s="18" t="s">
        <v>126</v>
      </c>
      <c r="D1324" s="18">
        <v>81</v>
      </c>
      <c r="E1324" s="18" t="s">
        <v>130</v>
      </c>
      <c r="F1324" s="18" t="str">
        <f>IF(OR(D1324&gt;Answers!L1339,D1324&lt;Answers!L1340),"Outlier","Normal")</f>
        <v>Outlier</v>
      </c>
      <c r="G1324" s="19" t="str">
        <f t="shared" si="20"/>
        <v>40-50</v>
      </c>
    </row>
    <row r="1325" spans="1:7" ht="20" customHeight="1" x14ac:dyDescent="0.35">
      <c r="A1325" s="17">
        <v>1324</v>
      </c>
      <c r="B1325" s="23" t="s">
        <v>99</v>
      </c>
      <c r="C1325" s="18" t="s">
        <v>125</v>
      </c>
      <c r="D1325" s="18">
        <v>67</v>
      </c>
      <c r="E1325" s="18" t="s">
        <v>130</v>
      </c>
      <c r="F1325" s="18" t="str">
        <f>IF(OR(D1325&gt;Answers!L1340,D1325&lt;Answers!L1341),"Outlier","Normal")</f>
        <v>Outlier</v>
      </c>
      <c r="G1325" s="19" t="str">
        <f t="shared" si="20"/>
        <v>40-50</v>
      </c>
    </row>
    <row r="1326" spans="1:7" ht="20" customHeight="1" x14ac:dyDescent="0.35">
      <c r="A1326" s="17">
        <v>1325</v>
      </c>
      <c r="B1326" s="23" t="s">
        <v>105</v>
      </c>
      <c r="C1326" s="18" t="s">
        <v>126</v>
      </c>
      <c r="D1326" s="18">
        <v>29</v>
      </c>
      <c r="E1326" s="18" t="s">
        <v>130</v>
      </c>
      <c r="F1326" s="18" t="str">
        <f>IF(OR(D1326&gt;Answers!L1341,D1326&lt;Answers!L1342),"Outlier","Normal")</f>
        <v>Outlier</v>
      </c>
      <c r="G1326" s="19" t="str">
        <f t="shared" si="20"/>
        <v>20-30</v>
      </c>
    </row>
    <row r="1327" spans="1:7" ht="20" customHeight="1" x14ac:dyDescent="0.35">
      <c r="A1327" s="17">
        <v>1326</v>
      </c>
      <c r="B1327" s="23" t="s">
        <v>100</v>
      </c>
      <c r="C1327" s="18" t="s">
        <v>125</v>
      </c>
      <c r="D1327" s="18">
        <v>84</v>
      </c>
      <c r="E1327" s="18" t="s">
        <v>130</v>
      </c>
      <c r="F1327" s="18" t="str">
        <f>IF(OR(D1327&gt;Answers!L1342,D1327&lt;Answers!L1343),"Outlier","Normal")</f>
        <v>Outlier</v>
      </c>
      <c r="G1327" s="19" t="str">
        <f t="shared" si="20"/>
        <v>40-50</v>
      </c>
    </row>
    <row r="1328" spans="1:7" ht="20" customHeight="1" x14ac:dyDescent="0.35">
      <c r="A1328" s="17">
        <v>1327</v>
      </c>
      <c r="B1328" s="23" t="s">
        <v>100</v>
      </c>
      <c r="C1328" s="18" t="s">
        <v>125</v>
      </c>
      <c r="D1328" s="18">
        <v>34</v>
      </c>
      <c r="E1328" s="18" t="s">
        <v>130</v>
      </c>
      <c r="F1328" s="18" t="str">
        <f>IF(OR(D1328&gt;Answers!L1343,D1328&lt;Answers!L1344),"Outlier","Normal")</f>
        <v>Outlier</v>
      </c>
      <c r="G1328" s="19" t="str">
        <f t="shared" si="20"/>
        <v>30-40</v>
      </c>
    </row>
    <row r="1329" spans="1:7" ht="20" customHeight="1" x14ac:dyDescent="0.35">
      <c r="A1329" s="17">
        <v>1328</v>
      </c>
      <c r="B1329" s="23" t="s">
        <v>99</v>
      </c>
      <c r="C1329" s="18" t="s">
        <v>125</v>
      </c>
      <c r="D1329" s="18">
        <v>38</v>
      </c>
      <c r="E1329" s="18" t="s">
        <v>130</v>
      </c>
      <c r="F1329" s="18" t="str">
        <f>IF(OR(D1329&gt;Answers!L1344,D1329&lt;Answers!L1345),"Outlier","Normal")</f>
        <v>Outlier</v>
      </c>
      <c r="G1329" s="19" t="str">
        <f t="shared" si="20"/>
        <v>30-40</v>
      </c>
    </row>
    <row r="1330" spans="1:7" ht="20" customHeight="1" x14ac:dyDescent="0.35">
      <c r="A1330" s="17">
        <v>1329</v>
      </c>
      <c r="B1330" s="23" t="s">
        <v>99</v>
      </c>
      <c r="C1330" s="18" t="s">
        <v>125</v>
      </c>
      <c r="D1330" s="18">
        <v>62</v>
      </c>
      <c r="E1330" s="18" t="s">
        <v>130</v>
      </c>
      <c r="F1330" s="18" t="str">
        <f>IF(OR(D1330&gt;Answers!L1345,D1330&lt;Answers!L1346),"Outlier","Normal")</f>
        <v>Outlier</v>
      </c>
      <c r="G1330" s="19" t="str">
        <f t="shared" si="20"/>
        <v>40-50</v>
      </c>
    </row>
    <row r="1331" spans="1:7" ht="20" customHeight="1" x14ac:dyDescent="0.35">
      <c r="A1331" s="17">
        <v>1330</v>
      </c>
      <c r="B1331" s="23" t="s">
        <v>101</v>
      </c>
      <c r="C1331" s="18" t="s">
        <v>125</v>
      </c>
      <c r="D1331" s="18">
        <v>59</v>
      </c>
      <c r="E1331" s="18" t="s">
        <v>130</v>
      </c>
      <c r="F1331" s="18" t="str">
        <f>IF(OR(D1331&gt;Answers!L1346,D1331&lt;Answers!L1347),"Outlier","Normal")</f>
        <v>Outlier</v>
      </c>
      <c r="G1331" s="19" t="str">
        <f t="shared" si="20"/>
        <v>40-50</v>
      </c>
    </row>
    <row r="1332" spans="1:7" ht="20" customHeight="1" x14ac:dyDescent="0.35">
      <c r="A1332" s="17">
        <v>1331</v>
      </c>
      <c r="B1332" s="23" t="s">
        <v>99</v>
      </c>
      <c r="C1332" s="18" t="s">
        <v>126</v>
      </c>
      <c r="D1332" s="18">
        <v>84</v>
      </c>
      <c r="E1332" s="18" t="s">
        <v>130</v>
      </c>
      <c r="F1332" s="18" t="str">
        <f>IF(OR(D1332&gt;Answers!L1347,D1332&lt;Answers!L1348),"Outlier","Normal")</f>
        <v>Outlier</v>
      </c>
      <c r="G1332" s="19" t="str">
        <f t="shared" si="20"/>
        <v>40-50</v>
      </c>
    </row>
    <row r="1333" spans="1:7" ht="20" customHeight="1" x14ac:dyDescent="0.35">
      <c r="A1333" s="17">
        <v>1332</v>
      </c>
      <c r="B1333" s="23" t="s">
        <v>102</v>
      </c>
      <c r="C1333" s="18" t="s">
        <v>125</v>
      </c>
      <c r="D1333" s="18">
        <v>49</v>
      </c>
      <c r="E1333" s="18" t="s">
        <v>130</v>
      </c>
      <c r="F1333" s="18" t="str">
        <f>IF(OR(D1333&gt;Answers!L1348,D1333&lt;Answers!L1349),"Outlier","Normal")</f>
        <v>Outlier</v>
      </c>
      <c r="G1333" s="19" t="str">
        <f t="shared" si="20"/>
        <v>40-50</v>
      </c>
    </row>
    <row r="1334" spans="1:7" ht="20" customHeight="1" x14ac:dyDescent="0.35">
      <c r="A1334" s="17">
        <v>1333</v>
      </c>
      <c r="B1334" s="23" t="s">
        <v>99</v>
      </c>
      <c r="C1334" s="18" t="s">
        <v>125</v>
      </c>
      <c r="D1334" s="18">
        <v>31</v>
      </c>
      <c r="E1334" s="18" t="s">
        <v>130</v>
      </c>
      <c r="F1334" s="18" t="str">
        <f>IF(OR(D1334&gt;Answers!L1349,D1334&lt;Answers!L1350),"Outlier","Normal")</f>
        <v>Outlier</v>
      </c>
      <c r="G1334" s="19" t="str">
        <f t="shared" si="20"/>
        <v>30-40</v>
      </c>
    </row>
    <row r="1335" spans="1:7" ht="20" customHeight="1" x14ac:dyDescent="0.35">
      <c r="A1335" s="17">
        <v>1334</v>
      </c>
      <c r="B1335" s="23" t="s">
        <v>99</v>
      </c>
      <c r="C1335" s="18" t="s">
        <v>126</v>
      </c>
      <c r="D1335" s="18">
        <v>30</v>
      </c>
      <c r="E1335" s="18" t="s">
        <v>130</v>
      </c>
      <c r="F1335" s="18" t="str">
        <f>IF(OR(D1335&gt;Answers!L1350,D1335&lt;Answers!L1351),"Outlier","Normal")</f>
        <v>Outlier</v>
      </c>
      <c r="G1335" s="19" t="str">
        <f t="shared" si="20"/>
        <v>20-30</v>
      </c>
    </row>
    <row r="1336" spans="1:7" ht="20" customHeight="1" x14ac:dyDescent="0.35">
      <c r="A1336" s="17">
        <v>1335</v>
      </c>
      <c r="B1336" s="23" t="s">
        <v>99</v>
      </c>
      <c r="C1336" s="18" t="s">
        <v>126</v>
      </c>
      <c r="D1336" s="18">
        <v>70</v>
      </c>
      <c r="E1336" s="18" t="s">
        <v>130</v>
      </c>
      <c r="F1336" s="18" t="str">
        <f>IF(OR(D1336&gt;Answers!L1351,D1336&lt;Answers!L1352),"Outlier","Normal")</f>
        <v>Outlier</v>
      </c>
      <c r="G1336" s="19" t="str">
        <f t="shared" si="20"/>
        <v>40-50</v>
      </c>
    </row>
    <row r="1337" spans="1:7" ht="20" customHeight="1" x14ac:dyDescent="0.35">
      <c r="A1337" s="17">
        <v>1336</v>
      </c>
      <c r="B1337" s="23" t="s">
        <v>99</v>
      </c>
      <c r="C1337" s="18" t="s">
        <v>125</v>
      </c>
      <c r="D1337" s="18">
        <v>89</v>
      </c>
      <c r="E1337" s="18" t="s">
        <v>130</v>
      </c>
      <c r="F1337" s="18" t="str">
        <f>IF(OR(D1337&gt;Answers!L1352,D1337&lt;Answers!L1353),"Outlier","Normal")</f>
        <v>Outlier</v>
      </c>
      <c r="G1337" s="19" t="str">
        <f t="shared" si="20"/>
        <v>40-50</v>
      </c>
    </row>
    <row r="1338" spans="1:7" ht="20" customHeight="1" x14ac:dyDescent="0.35">
      <c r="A1338" s="17">
        <v>1337</v>
      </c>
      <c r="B1338" s="23" t="s">
        <v>105</v>
      </c>
      <c r="C1338" s="18" t="s">
        <v>126</v>
      </c>
      <c r="D1338" s="18">
        <v>54</v>
      </c>
      <c r="E1338" s="18" t="s">
        <v>130</v>
      </c>
      <c r="F1338" s="18" t="str">
        <f>IF(OR(D1338&gt;Answers!L1353,D1338&lt;Answers!L1354),"Outlier","Normal")</f>
        <v>Outlier</v>
      </c>
      <c r="G1338" s="19" t="str">
        <f t="shared" si="20"/>
        <v>40-50</v>
      </c>
    </row>
    <row r="1339" spans="1:7" ht="20" customHeight="1" x14ac:dyDescent="0.35">
      <c r="A1339" s="17">
        <v>1338</v>
      </c>
      <c r="B1339" s="23" t="s">
        <v>107</v>
      </c>
      <c r="C1339" s="18" t="s">
        <v>125</v>
      </c>
      <c r="D1339" s="18">
        <v>37</v>
      </c>
      <c r="E1339" s="18" t="s">
        <v>130</v>
      </c>
      <c r="F1339" s="18" t="str">
        <f>IF(OR(D1339&gt;Answers!L1354,D1339&lt;Answers!L1355),"Outlier","Normal")</f>
        <v>Outlier</v>
      </c>
      <c r="G1339" s="19" t="str">
        <f t="shared" si="20"/>
        <v>30-40</v>
      </c>
    </row>
    <row r="1340" spans="1:7" ht="20" customHeight="1" x14ac:dyDescent="0.35">
      <c r="A1340" s="17">
        <v>1339</v>
      </c>
      <c r="B1340" s="23" t="s">
        <v>100</v>
      </c>
      <c r="C1340" s="18" t="s">
        <v>125</v>
      </c>
      <c r="D1340" s="18">
        <v>34</v>
      </c>
      <c r="E1340" s="18" t="s">
        <v>130</v>
      </c>
      <c r="F1340" s="18" t="str">
        <f>IF(OR(D1340&gt;Answers!L1355,D1340&lt;Answers!L1356),"Outlier","Normal")</f>
        <v>Outlier</v>
      </c>
      <c r="G1340" s="19" t="str">
        <f t="shared" si="20"/>
        <v>30-40</v>
      </c>
    </row>
    <row r="1341" spans="1:7" ht="20" customHeight="1" x14ac:dyDescent="0.35">
      <c r="A1341" s="17">
        <v>1340</v>
      </c>
      <c r="B1341" s="23" t="s">
        <v>107</v>
      </c>
      <c r="C1341" s="18" t="s">
        <v>126</v>
      </c>
      <c r="D1341" s="18">
        <v>40</v>
      </c>
      <c r="E1341" s="18" t="s">
        <v>130</v>
      </c>
      <c r="F1341" s="18" t="str">
        <f>IF(OR(D1341&gt;Answers!L1356,D1341&lt;Answers!L1357),"Outlier","Normal")</f>
        <v>Outlier</v>
      </c>
      <c r="G1341" s="19" t="str">
        <f t="shared" si="20"/>
        <v>30-40</v>
      </c>
    </row>
    <row r="1342" spans="1:7" ht="20" customHeight="1" x14ac:dyDescent="0.35">
      <c r="A1342" s="17">
        <v>1341</v>
      </c>
      <c r="B1342" s="23" t="s">
        <v>100</v>
      </c>
      <c r="C1342" s="18" t="s">
        <v>126</v>
      </c>
      <c r="D1342" s="18">
        <v>56</v>
      </c>
      <c r="E1342" s="18" t="s">
        <v>130</v>
      </c>
      <c r="F1342" s="18" t="str">
        <f>IF(OR(D1342&gt;Answers!L1357,D1342&lt;Answers!L1358),"Outlier","Normal")</f>
        <v>Outlier</v>
      </c>
      <c r="G1342" s="19" t="str">
        <f t="shared" si="20"/>
        <v>40-50</v>
      </c>
    </row>
    <row r="1343" spans="1:7" ht="20" customHeight="1" x14ac:dyDescent="0.35">
      <c r="A1343" s="17">
        <v>1342</v>
      </c>
      <c r="B1343" s="23" t="s">
        <v>99</v>
      </c>
      <c r="C1343" s="18" t="s">
        <v>125</v>
      </c>
      <c r="D1343" s="18">
        <v>24</v>
      </c>
      <c r="E1343" s="18" t="s">
        <v>130</v>
      </c>
      <c r="F1343" s="18" t="str">
        <f>IF(OR(D1343&gt;Answers!L1358,D1343&lt;Answers!L1359),"Outlier","Normal")</f>
        <v>Outlier</v>
      </c>
      <c r="G1343" s="19" t="str">
        <f t="shared" si="20"/>
        <v>20-30</v>
      </c>
    </row>
    <row r="1344" spans="1:7" ht="20" customHeight="1" x14ac:dyDescent="0.35">
      <c r="A1344" s="17">
        <v>1343</v>
      </c>
      <c r="B1344" s="23" t="s">
        <v>99</v>
      </c>
      <c r="C1344" s="18" t="s">
        <v>126</v>
      </c>
      <c r="D1344" s="18">
        <v>32</v>
      </c>
      <c r="E1344" s="18" t="s">
        <v>130</v>
      </c>
      <c r="F1344" s="18" t="str">
        <f>IF(OR(D1344&gt;Answers!L1359,D1344&lt;Answers!L1360),"Outlier","Normal")</f>
        <v>Outlier</v>
      </c>
      <c r="G1344" s="19" t="str">
        <f t="shared" si="20"/>
        <v>30-40</v>
      </c>
    </row>
    <row r="1345" spans="1:7" ht="20" customHeight="1" x14ac:dyDescent="0.35">
      <c r="A1345" s="17">
        <v>1344</v>
      </c>
      <c r="B1345" s="23" t="s">
        <v>105</v>
      </c>
      <c r="C1345" s="18" t="s">
        <v>125</v>
      </c>
      <c r="D1345" s="18">
        <v>40</v>
      </c>
      <c r="E1345" s="18" t="s">
        <v>130</v>
      </c>
      <c r="F1345" s="18" t="str">
        <f>IF(OR(D1345&gt;Answers!L1360,D1345&lt;Answers!L1361),"Outlier","Normal")</f>
        <v>Outlier</v>
      </c>
      <c r="G1345" s="19" t="str">
        <f t="shared" si="20"/>
        <v>30-40</v>
      </c>
    </row>
    <row r="1346" spans="1:7" ht="20" customHeight="1" x14ac:dyDescent="0.35">
      <c r="A1346" s="17">
        <v>1345</v>
      </c>
      <c r="B1346" s="23" t="s">
        <v>99</v>
      </c>
      <c r="C1346" s="18" t="s">
        <v>125</v>
      </c>
      <c r="D1346" s="18">
        <v>58</v>
      </c>
      <c r="E1346" s="18" t="s">
        <v>130</v>
      </c>
      <c r="F1346" s="18" t="str">
        <f>IF(OR(D1346&gt;Answers!L1361,D1346&lt;Answers!L1362),"Outlier","Normal")</f>
        <v>Outlier</v>
      </c>
      <c r="G1346" s="19" t="str">
        <f t="shared" si="20"/>
        <v>40-50</v>
      </c>
    </row>
    <row r="1347" spans="1:7" ht="20" customHeight="1" x14ac:dyDescent="0.35">
      <c r="A1347" s="17">
        <v>1346</v>
      </c>
      <c r="B1347" s="23" t="s">
        <v>99</v>
      </c>
      <c r="C1347" s="18" t="s">
        <v>125</v>
      </c>
      <c r="D1347" s="18">
        <v>81</v>
      </c>
      <c r="E1347" s="18" t="s">
        <v>130</v>
      </c>
      <c r="F1347" s="18" t="str">
        <f>IF(OR(D1347&gt;Answers!L1362,D1347&lt;Answers!L1363),"Outlier","Normal")</f>
        <v>Outlier</v>
      </c>
      <c r="G1347" s="19" t="str">
        <f t="shared" ref="G1347:G1410" si="21">IF(D1347&lt;20,"&lt;20",
IF(D1347&lt;=30,"20-30",
IF(D1347&lt;=40,"30-40","40-50")))</f>
        <v>40-50</v>
      </c>
    </row>
    <row r="1348" spans="1:7" ht="20" customHeight="1" x14ac:dyDescent="0.35">
      <c r="A1348" s="17">
        <v>1347</v>
      </c>
      <c r="B1348" s="23" t="s">
        <v>100</v>
      </c>
      <c r="C1348" s="18" t="s">
        <v>125</v>
      </c>
      <c r="D1348" s="18">
        <v>55</v>
      </c>
      <c r="E1348" s="18" t="s">
        <v>130</v>
      </c>
      <c r="F1348" s="18" t="str">
        <f>IF(OR(D1348&gt;Answers!L1363,D1348&lt;Answers!L1364),"Outlier","Normal")</f>
        <v>Outlier</v>
      </c>
      <c r="G1348" s="19" t="str">
        <f t="shared" si="21"/>
        <v>40-50</v>
      </c>
    </row>
    <row r="1349" spans="1:7" ht="20" customHeight="1" x14ac:dyDescent="0.35">
      <c r="A1349" s="17">
        <v>1348</v>
      </c>
      <c r="B1349" s="23" t="s">
        <v>99</v>
      </c>
      <c r="C1349" s="18" t="s">
        <v>125</v>
      </c>
      <c r="D1349" s="18">
        <v>87</v>
      </c>
      <c r="E1349" s="18" t="s">
        <v>130</v>
      </c>
      <c r="F1349" s="18" t="str">
        <f>IF(OR(D1349&gt;Answers!L1364,D1349&lt;Answers!L1365),"Outlier","Normal")</f>
        <v>Outlier</v>
      </c>
      <c r="G1349" s="19" t="str">
        <f t="shared" si="21"/>
        <v>40-50</v>
      </c>
    </row>
    <row r="1350" spans="1:7" ht="20" customHeight="1" x14ac:dyDescent="0.35">
      <c r="A1350" s="17">
        <v>1349</v>
      </c>
      <c r="B1350" s="23" t="s">
        <v>101</v>
      </c>
      <c r="C1350" s="18" t="s">
        <v>125</v>
      </c>
      <c r="D1350" s="18">
        <v>66</v>
      </c>
      <c r="E1350" s="18" t="s">
        <v>130</v>
      </c>
      <c r="F1350" s="18" t="str">
        <f>IF(OR(D1350&gt;Answers!L1365,D1350&lt;Answers!L1366),"Outlier","Normal")</f>
        <v>Outlier</v>
      </c>
      <c r="G1350" s="19" t="str">
        <f t="shared" si="21"/>
        <v>40-50</v>
      </c>
    </row>
    <row r="1351" spans="1:7" ht="20" customHeight="1" x14ac:dyDescent="0.35">
      <c r="A1351" s="17">
        <v>1350</v>
      </c>
      <c r="B1351" s="23" t="s">
        <v>105</v>
      </c>
      <c r="C1351" s="18" t="s">
        <v>125</v>
      </c>
      <c r="D1351" s="18">
        <v>51</v>
      </c>
      <c r="E1351" s="18" t="s">
        <v>130</v>
      </c>
      <c r="F1351" s="18" t="str">
        <f>IF(OR(D1351&gt;Answers!L1366,D1351&lt;Answers!L1367),"Outlier","Normal")</f>
        <v>Outlier</v>
      </c>
      <c r="G1351" s="19" t="str">
        <f t="shared" si="21"/>
        <v>40-50</v>
      </c>
    </row>
    <row r="1352" spans="1:7" ht="20" customHeight="1" x14ac:dyDescent="0.35">
      <c r="A1352" s="17">
        <v>1351</v>
      </c>
      <c r="B1352" s="23" t="s">
        <v>105</v>
      </c>
      <c r="C1352" s="18" t="s">
        <v>126</v>
      </c>
      <c r="D1352" s="18">
        <v>42</v>
      </c>
      <c r="E1352" s="18" t="s">
        <v>130</v>
      </c>
      <c r="F1352" s="18" t="str">
        <f>IF(OR(D1352&gt;Answers!L1367,D1352&lt;Answers!L1368),"Outlier","Normal")</f>
        <v>Outlier</v>
      </c>
      <c r="G1352" s="19" t="str">
        <f t="shared" si="21"/>
        <v>40-50</v>
      </c>
    </row>
    <row r="1353" spans="1:7" ht="20" customHeight="1" x14ac:dyDescent="0.35">
      <c r="A1353" s="17">
        <v>1352</v>
      </c>
      <c r="B1353" s="23" t="s">
        <v>99</v>
      </c>
      <c r="C1353" s="18" t="s">
        <v>126</v>
      </c>
      <c r="D1353" s="18">
        <v>20</v>
      </c>
      <c r="E1353" s="18" t="s">
        <v>130</v>
      </c>
      <c r="F1353" s="18" t="str">
        <f>IF(OR(D1353&gt;Answers!L1368,D1353&lt;Answers!L1369),"Outlier","Normal")</f>
        <v>Outlier</v>
      </c>
      <c r="G1353" s="19" t="str">
        <f t="shared" si="21"/>
        <v>20-30</v>
      </c>
    </row>
    <row r="1354" spans="1:7" ht="20" customHeight="1" x14ac:dyDescent="0.35">
      <c r="A1354" s="17">
        <v>1353</v>
      </c>
      <c r="B1354" s="23" t="s">
        <v>99</v>
      </c>
      <c r="C1354" s="18" t="s">
        <v>125</v>
      </c>
      <c r="D1354" s="18">
        <v>27</v>
      </c>
      <c r="E1354" s="18" t="s">
        <v>130</v>
      </c>
      <c r="F1354" s="18" t="str">
        <f>IF(OR(D1354&gt;Answers!L1369,D1354&lt;Answers!L1370),"Outlier","Normal")</f>
        <v>Outlier</v>
      </c>
      <c r="G1354" s="19" t="str">
        <f t="shared" si="21"/>
        <v>20-30</v>
      </c>
    </row>
    <row r="1355" spans="1:7" ht="20" customHeight="1" x14ac:dyDescent="0.35">
      <c r="A1355" s="17">
        <v>1354</v>
      </c>
      <c r="B1355" s="23" t="s">
        <v>106</v>
      </c>
      <c r="C1355" s="18" t="s">
        <v>125</v>
      </c>
      <c r="D1355" s="18">
        <v>68</v>
      </c>
      <c r="E1355" s="18" t="s">
        <v>130</v>
      </c>
      <c r="F1355" s="18" t="str">
        <f>IF(OR(D1355&gt;Answers!L1370,D1355&lt;Answers!L1371),"Outlier","Normal")</f>
        <v>Outlier</v>
      </c>
      <c r="G1355" s="19" t="str">
        <f t="shared" si="21"/>
        <v>40-50</v>
      </c>
    </row>
    <row r="1356" spans="1:7" ht="20" customHeight="1" x14ac:dyDescent="0.35">
      <c r="A1356" s="17">
        <v>1355</v>
      </c>
      <c r="B1356" s="23" t="s">
        <v>105</v>
      </c>
      <c r="C1356" s="18" t="s">
        <v>125</v>
      </c>
      <c r="D1356" s="18">
        <v>83</v>
      </c>
      <c r="E1356" s="18" t="s">
        <v>130</v>
      </c>
      <c r="F1356" s="18" t="str">
        <f>IF(OR(D1356&gt;Answers!L1371,D1356&lt;Answers!L1372),"Outlier","Normal")</f>
        <v>Outlier</v>
      </c>
      <c r="G1356" s="19" t="str">
        <f t="shared" si="21"/>
        <v>40-50</v>
      </c>
    </row>
    <row r="1357" spans="1:7" ht="20" customHeight="1" x14ac:dyDescent="0.35">
      <c r="A1357" s="17">
        <v>1356</v>
      </c>
      <c r="B1357" s="23" t="s">
        <v>105</v>
      </c>
      <c r="C1357" s="18" t="s">
        <v>125</v>
      </c>
      <c r="D1357" s="18">
        <v>26</v>
      </c>
      <c r="E1357" s="18" t="s">
        <v>130</v>
      </c>
      <c r="F1357" s="18" t="str">
        <f>IF(OR(D1357&gt;Answers!L1372,D1357&lt;Answers!L1373),"Outlier","Normal")</f>
        <v>Outlier</v>
      </c>
      <c r="G1357" s="19" t="str">
        <f t="shared" si="21"/>
        <v>20-30</v>
      </c>
    </row>
    <row r="1358" spans="1:7" ht="20" customHeight="1" x14ac:dyDescent="0.35">
      <c r="A1358" s="17">
        <v>1357</v>
      </c>
      <c r="B1358" s="23" t="s">
        <v>111</v>
      </c>
      <c r="C1358" s="18" t="s">
        <v>125</v>
      </c>
      <c r="D1358" s="18">
        <v>43</v>
      </c>
      <c r="E1358" s="18" t="s">
        <v>130</v>
      </c>
      <c r="F1358" s="18" t="str">
        <f>IF(OR(D1358&gt;Answers!L1373,D1358&lt;Answers!L1374),"Outlier","Normal")</f>
        <v>Outlier</v>
      </c>
      <c r="G1358" s="19" t="str">
        <f t="shared" si="21"/>
        <v>40-50</v>
      </c>
    </row>
    <row r="1359" spans="1:7" ht="20" customHeight="1" x14ac:dyDescent="0.35">
      <c r="A1359" s="17">
        <v>1358</v>
      </c>
      <c r="B1359" s="23" t="s">
        <v>101</v>
      </c>
      <c r="C1359" s="18" t="s">
        <v>126</v>
      </c>
      <c r="D1359" s="18">
        <v>60</v>
      </c>
      <c r="E1359" s="18" t="s">
        <v>130</v>
      </c>
      <c r="F1359" s="18" t="str">
        <f>IF(OR(D1359&gt;Answers!L1374,D1359&lt;Answers!L1375),"Outlier","Normal")</f>
        <v>Outlier</v>
      </c>
      <c r="G1359" s="19" t="str">
        <f t="shared" si="21"/>
        <v>40-50</v>
      </c>
    </row>
    <row r="1360" spans="1:7" ht="20" customHeight="1" x14ac:dyDescent="0.35">
      <c r="A1360" s="17">
        <v>1359</v>
      </c>
      <c r="B1360" s="23" t="s">
        <v>99</v>
      </c>
      <c r="C1360" s="18" t="s">
        <v>125</v>
      </c>
      <c r="D1360" s="18">
        <v>78</v>
      </c>
      <c r="E1360" s="18" t="s">
        <v>130</v>
      </c>
      <c r="F1360" s="18" t="str">
        <f>IF(OR(D1360&gt;Answers!L1375,D1360&lt;Answers!L1376),"Outlier","Normal")</f>
        <v>Outlier</v>
      </c>
      <c r="G1360" s="19" t="str">
        <f t="shared" si="21"/>
        <v>40-50</v>
      </c>
    </row>
    <row r="1361" spans="1:7" ht="20" customHeight="1" x14ac:dyDescent="0.35">
      <c r="A1361" s="17">
        <v>1360</v>
      </c>
      <c r="B1361" s="23" t="s">
        <v>105</v>
      </c>
      <c r="C1361" s="18" t="s">
        <v>126</v>
      </c>
      <c r="D1361" s="18">
        <v>40</v>
      </c>
      <c r="E1361" s="18" t="s">
        <v>130</v>
      </c>
      <c r="F1361" s="18" t="str">
        <f>IF(OR(D1361&gt;Answers!L1376,D1361&lt;Answers!L1377),"Outlier","Normal")</f>
        <v>Outlier</v>
      </c>
      <c r="G1361" s="19" t="str">
        <f t="shared" si="21"/>
        <v>30-40</v>
      </c>
    </row>
    <row r="1362" spans="1:7" ht="20" customHeight="1" x14ac:dyDescent="0.35">
      <c r="A1362" s="17">
        <v>1361</v>
      </c>
      <c r="B1362" s="23" t="s">
        <v>105</v>
      </c>
      <c r="C1362" s="18" t="s">
        <v>126</v>
      </c>
      <c r="D1362" s="18">
        <v>50</v>
      </c>
      <c r="E1362" s="18" t="s">
        <v>130</v>
      </c>
      <c r="F1362" s="18" t="str">
        <f>IF(OR(D1362&gt;Answers!L1377,D1362&lt;Answers!L1378),"Outlier","Normal")</f>
        <v>Outlier</v>
      </c>
      <c r="G1362" s="19" t="str">
        <f t="shared" si="21"/>
        <v>40-50</v>
      </c>
    </row>
    <row r="1363" spans="1:7" ht="20" customHeight="1" x14ac:dyDescent="0.35">
      <c r="A1363" s="17">
        <v>1362</v>
      </c>
      <c r="B1363" s="23" t="s">
        <v>102</v>
      </c>
      <c r="C1363" s="18" t="s">
        <v>125</v>
      </c>
      <c r="D1363" s="18">
        <v>40</v>
      </c>
      <c r="E1363" s="18" t="s">
        <v>130</v>
      </c>
      <c r="F1363" s="18" t="str">
        <f>IF(OR(D1363&gt;Answers!L1378,D1363&lt;Answers!L1379),"Outlier","Normal")</f>
        <v>Outlier</v>
      </c>
      <c r="G1363" s="19" t="str">
        <f t="shared" si="21"/>
        <v>30-40</v>
      </c>
    </row>
    <row r="1364" spans="1:7" ht="20" customHeight="1" x14ac:dyDescent="0.35">
      <c r="A1364" s="17">
        <v>1363</v>
      </c>
      <c r="B1364" s="23" t="s">
        <v>100</v>
      </c>
      <c r="C1364" s="18" t="s">
        <v>126</v>
      </c>
      <c r="D1364" s="18">
        <v>81</v>
      </c>
      <c r="E1364" s="18" t="s">
        <v>130</v>
      </c>
      <c r="F1364" s="18" t="str">
        <f>IF(OR(D1364&gt;Answers!L1379,D1364&lt;Answers!L1380),"Outlier","Normal")</f>
        <v>Outlier</v>
      </c>
      <c r="G1364" s="19" t="str">
        <f t="shared" si="21"/>
        <v>40-50</v>
      </c>
    </row>
    <row r="1365" spans="1:7" ht="20" customHeight="1" x14ac:dyDescent="0.35">
      <c r="A1365" s="17">
        <v>1364</v>
      </c>
      <c r="B1365" s="23" t="s">
        <v>100</v>
      </c>
      <c r="C1365" s="18" t="s">
        <v>125</v>
      </c>
      <c r="D1365" s="18">
        <v>82</v>
      </c>
      <c r="E1365" s="18" t="s">
        <v>130</v>
      </c>
      <c r="F1365" s="18" t="str">
        <f>IF(OR(D1365&gt;Answers!L1380,D1365&lt;Answers!L1381),"Outlier","Normal")</f>
        <v>Outlier</v>
      </c>
      <c r="G1365" s="19" t="str">
        <f t="shared" si="21"/>
        <v>40-50</v>
      </c>
    </row>
    <row r="1366" spans="1:7" ht="20" customHeight="1" x14ac:dyDescent="0.35">
      <c r="A1366" s="17">
        <v>1365</v>
      </c>
      <c r="B1366" s="23" t="s">
        <v>99</v>
      </c>
      <c r="C1366" s="18" t="s">
        <v>126</v>
      </c>
      <c r="D1366" s="18">
        <v>53</v>
      </c>
      <c r="E1366" s="18" t="s">
        <v>130</v>
      </c>
      <c r="F1366" s="18" t="str">
        <f>IF(OR(D1366&gt;Answers!L1381,D1366&lt;Answers!L1382),"Outlier","Normal")</f>
        <v>Outlier</v>
      </c>
      <c r="G1366" s="19" t="str">
        <f t="shared" si="21"/>
        <v>40-50</v>
      </c>
    </row>
    <row r="1367" spans="1:7" ht="20" customHeight="1" x14ac:dyDescent="0.35">
      <c r="A1367" s="17">
        <v>1366</v>
      </c>
      <c r="B1367" s="23" t="s">
        <v>99</v>
      </c>
      <c r="C1367" s="18" t="s">
        <v>125</v>
      </c>
      <c r="D1367" s="18">
        <v>44</v>
      </c>
      <c r="E1367" s="18" t="s">
        <v>130</v>
      </c>
      <c r="F1367" s="18" t="str">
        <f>IF(OR(D1367&gt;Answers!L1382,D1367&lt;Answers!L1383),"Outlier","Normal")</f>
        <v>Outlier</v>
      </c>
      <c r="G1367" s="19" t="str">
        <f t="shared" si="21"/>
        <v>40-50</v>
      </c>
    </row>
    <row r="1368" spans="1:7" ht="20" customHeight="1" x14ac:dyDescent="0.35">
      <c r="A1368" s="17">
        <v>1367</v>
      </c>
      <c r="B1368" s="23" t="s">
        <v>107</v>
      </c>
      <c r="C1368" s="18" t="s">
        <v>126</v>
      </c>
      <c r="D1368" s="18">
        <v>25</v>
      </c>
      <c r="E1368" s="18" t="s">
        <v>130</v>
      </c>
      <c r="F1368" s="18" t="str">
        <f>IF(OR(D1368&gt;Answers!L1383,D1368&lt;Answers!L1384),"Outlier","Normal")</f>
        <v>Outlier</v>
      </c>
      <c r="G1368" s="19" t="str">
        <f t="shared" si="21"/>
        <v>20-30</v>
      </c>
    </row>
    <row r="1369" spans="1:7" ht="20" customHeight="1" x14ac:dyDescent="0.35">
      <c r="A1369" s="17">
        <v>1368</v>
      </c>
      <c r="B1369" s="23" t="s">
        <v>99</v>
      </c>
      <c r="C1369" s="18" t="s">
        <v>125</v>
      </c>
      <c r="D1369" s="18">
        <v>54</v>
      </c>
      <c r="E1369" s="18" t="s">
        <v>130</v>
      </c>
      <c r="F1369" s="18" t="str">
        <f>IF(OR(D1369&gt;Answers!L1384,D1369&lt;Answers!L1385),"Outlier","Normal")</f>
        <v>Outlier</v>
      </c>
      <c r="G1369" s="19" t="str">
        <f t="shared" si="21"/>
        <v>40-50</v>
      </c>
    </row>
    <row r="1370" spans="1:7" ht="20" customHeight="1" x14ac:dyDescent="0.35">
      <c r="A1370" s="17">
        <v>1369</v>
      </c>
      <c r="B1370" s="23" t="s">
        <v>99</v>
      </c>
      <c r="C1370" s="18" t="s">
        <v>126</v>
      </c>
      <c r="D1370" s="18">
        <v>87</v>
      </c>
      <c r="E1370" s="18" t="s">
        <v>130</v>
      </c>
      <c r="F1370" s="18" t="str">
        <f>IF(OR(D1370&gt;Answers!L1385,D1370&lt;Answers!L1386),"Outlier","Normal")</f>
        <v>Outlier</v>
      </c>
      <c r="G1370" s="19" t="str">
        <f t="shared" si="21"/>
        <v>40-50</v>
      </c>
    </row>
    <row r="1371" spans="1:7" ht="20" customHeight="1" x14ac:dyDescent="0.35">
      <c r="A1371" s="17">
        <v>1370</v>
      </c>
      <c r="B1371" s="23" t="s">
        <v>111</v>
      </c>
      <c r="C1371" s="18" t="s">
        <v>125</v>
      </c>
      <c r="D1371" s="18">
        <v>89</v>
      </c>
      <c r="E1371" s="18" t="s">
        <v>130</v>
      </c>
      <c r="F1371" s="18" t="str">
        <f>IF(OR(D1371&gt;Answers!L1386,D1371&lt;Answers!L1387),"Outlier","Normal")</f>
        <v>Outlier</v>
      </c>
      <c r="G1371" s="19" t="str">
        <f t="shared" si="21"/>
        <v>40-50</v>
      </c>
    </row>
    <row r="1372" spans="1:7" ht="20" customHeight="1" x14ac:dyDescent="0.35">
      <c r="A1372" s="17">
        <v>1371</v>
      </c>
      <c r="B1372" s="23" t="s">
        <v>99</v>
      </c>
      <c r="C1372" s="18" t="s">
        <v>125</v>
      </c>
      <c r="D1372" s="18">
        <v>29</v>
      </c>
      <c r="E1372" s="18" t="s">
        <v>130</v>
      </c>
      <c r="F1372" s="18" t="str">
        <f>IF(OR(D1372&gt;Answers!L1387,D1372&lt;Answers!L1388),"Outlier","Normal")</f>
        <v>Outlier</v>
      </c>
      <c r="G1372" s="19" t="str">
        <f t="shared" si="21"/>
        <v>20-30</v>
      </c>
    </row>
    <row r="1373" spans="1:7" ht="20" customHeight="1" x14ac:dyDescent="0.35">
      <c r="A1373" s="17">
        <v>1372</v>
      </c>
      <c r="B1373" s="23" t="s">
        <v>100</v>
      </c>
      <c r="C1373" s="18" t="s">
        <v>125</v>
      </c>
      <c r="D1373" s="18">
        <v>28</v>
      </c>
      <c r="E1373" s="18" t="s">
        <v>130</v>
      </c>
      <c r="F1373" s="18" t="str">
        <f>IF(OR(D1373&gt;Answers!L1388,D1373&lt;Answers!L1389),"Outlier","Normal")</f>
        <v>Outlier</v>
      </c>
      <c r="G1373" s="19" t="str">
        <f t="shared" si="21"/>
        <v>20-30</v>
      </c>
    </row>
    <row r="1374" spans="1:7" ht="20" customHeight="1" x14ac:dyDescent="0.35">
      <c r="A1374" s="17">
        <v>1373</v>
      </c>
      <c r="B1374" s="23" t="s">
        <v>101</v>
      </c>
      <c r="C1374" s="18" t="s">
        <v>126</v>
      </c>
      <c r="D1374" s="18">
        <v>43</v>
      </c>
      <c r="E1374" s="18" t="s">
        <v>130</v>
      </c>
      <c r="F1374" s="18" t="str">
        <f>IF(OR(D1374&gt;Answers!L1389,D1374&lt;Answers!L1390),"Outlier","Normal")</f>
        <v>Outlier</v>
      </c>
      <c r="G1374" s="19" t="str">
        <f t="shared" si="21"/>
        <v>40-50</v>
      </c>
    </row>
    <row r="1375" spans="1:7" ht="20" customHeight="1" x14ac:dyDescent="0.35">
      <c r="A1375" s="17">
        <v>1374</v>
      </c>
      <c r="B1375" s="23" t="s">
        <v>100</v>
      </c>
      <c r="C1375" s="18" t="s">
        <v>125</v>
      </c>
      <c r="D1375" s="18">
        <v>80</v>
      </c>
      <c r="E1375" s="18" t="s">
        <v>130</v>
      </c>
      <c r="F1375" s="18" t="str">
        <f>IF(OR(D1375&gt;Answers!L1390,D1375&lt;Answers!L1391),"Outlier","Normal")</f>
        <v>Outlier</v>
      </c>
      <c r="G1375" s="19" t="str">
        <f t="shared" si="21"/>
        <v>40-50</v>
      </c>
    </row>
    <row r="1376" spans="1:7" ht="20" customHeight="1" x14ac:dyDescent="0.35">
      <c r="A1376" s="17">
        <v>1375</v>
      </c>
      <c r="B1376" s="23" t="s">
        <v>99</v>
      </c>
      <c r="C1376" s="18" t="s">
        <v>125</v>
      </c>
      <c r="D1376" s="18">
        <v>59</v>
      </c>
      <c r="E1376" s="18" t="s">
        <v>130</v>
      </c>
      <c r="F1376" s="18" t="str">
        <f>IF(OR(D1376&gt;Answers!L1391,D1376&lt;Answers!L1392),"Outlier","Normal")</f>
        <v>Outlier</v>
      </c>
      <c r="G1376" s="19" t="str">
        <f t="shared" si="21"/>
        <v>40-50</v>
      </c>
    </row>
    <row r="1377" spans="1:7" ht="20" customHeight="1" x14ac:dyDescent="0.35">
      <c r="A1377" s="17">
        <v>1376</v>
      </c>
      <c r="B1377" s="23" t="s">
        <v>99</v>
      </c>
      <c r="C1377" s="18" t="s">
        <v>126</v>
      </c>
      <c r="D1377" s="18">
        <v>74</v>
      </c>
      <c r="E1377" s="18" t="s">
        <v>130</v>
      </c>
      <c r="F1377" s="18" t="str">
        <f>IF(OR(D1377&gt;Answers!L1392,D1377&lt;Answers!L1393),"Outlier","Normal")</f>
        <v>Outlier</v>
      </c>
      <c r="G1377" s="19" t="str">
        <f t="shared" si="21"/>
        <v>40-50</v>
      </c>
    </row>
    <row r="1378" spans="1:7" ht="20" customHeight="1" x14ac:dyDescent="0.35">
      <c r="A1378" s="17">
        <v>1377</v>
      </c>
      <c r="B1378" s="23" t="s">
        <v>109</v>
      </c>
      <c r="C1378" s="18" t="s">
        <v>125</v>
      </c>
      <c r="D1378" s="18">
        <v>33</v>
      </c>
      <c r="E1378" s="18" t="s">
        <v>130</v>
      </c>
      <c r="F1378" s="18" t="str">
        <f>IF(OR(D1378&gt;Answers!L1393,D1378&lt;Answers!L1394),"Outlier","Normal")</f>
        <v>Outlier</v>
      </c>
      <c r="G1378" s="19" t="str">
        <f t="shared" si="21"/>
        <v>30-40</v>
      </c>
    </row>
    <row r="1379" spans="1:7" ht="20" customHeight="1" x14ac:dyDescent="0.35">
      <c r="A1379" s="17">
        <v>1378</v>
      </c>
      <c r="B1379" s="23" t="s">
        <v>105</v>
      </c>
      <c r="C1379" s="18" t="s">
        <v>125</v>
      </c>
      <c r="D1379" s="18">
        <v>31</v>
      </c>
      <c r="E1379" s="18" t="s">
        <v>130</v>
      </c>
      <c r="F1379" s="18" t="str">
        <f>IF(OR(D1379&gt;Answers!L1394,D1379&lt;Answers!L1395),"Outlier","Normal")</f>
        <v>Outlier</v>
      </c>
      <c r="G1379" s="19" t="str">
        <f t="shared" si="21"/>
        <v>30-40</v>
      </c>
    </row>
    <row r="1380" spans="1:7" ht="20" customHeight="1" x14ac:dyDescent="0.35">
      <c r="A1380" s="17">
        <v>1379</v>
      </c>
      <c r="B1380" s="23" t="s">
        <v>99</v>
      </c>
      <c r="C1380" s="18" t="s">
        <v>125</v>
      </c>
      <c r="D1380" s="18">
        <v>62</v>
      </c>
      <c r="E1380" s="18" t="s">
        <v>130</v>
      </c>
      <c r="F1380" s="18" t="str">
        <f>IF(OR(D1380&gt;Answers!L1395,D1380&lt;Answers!L1396),"Outlier","Normal")</f>
        <v>Outlier</v>
      </c>
      <c r="G1380" s="19" t="str">
        <f t="shared" si="21"/>
        <v>40-50</v>
      </c>
    </row>
    <row r="1381" spans="1:7" ht="20" customHeight="1" x14ac:dyDescent="0.35">
      <c r="A1381" s="17">
        <v>1380</v>
      </c>
      <c r="B1381" s="23" t="s">
        <v>99</v>
      </c>
      <c r="C1381" s="18" t="s">
        <v>126</v>
      </c>
      <c r="D1381" s="18">
        <v>68</v>
      </c>
      <c r="E1381" s="18" t="s">
        <v>130</v>
      </c>
      <c r="F1381" s="18" t="str">
        <f>IF(OR(D1381&gt;Answers!L1396,D1381&lt;Answers!L1397),"Outlier","Normal")</f>
        <v>Outlier</v>
      </c>
      <c r="G1381" s="19" t="str">
        <f t="shared" si="21"/>
        <v>40-50</v>
      </c>
    </row>
    <row r="1382" spans="1:7" ht="20" customHeight="1" x14ac:dyDescent="0.35">
      <c r="A1382" s="17">
        <v>1381</v>
      </c>
      <c r="B1382" s="23" t="s">
        <v>99</v>
      </c>
      <c r="C1382" s="18" t="s">
        <v>125</v>
      </c>
      <c r="D1382" s="18">
        <v>28</v>
      </c>
      <c r="E1382" s="18" t="s">
        <v>130</v>
      </c>
      <c r="F1382" s="18" t="str">
        <f>IF(OR(D1382&gt;Answers!L1397,D1382&lt;Answers!L1398),"Outlier","Normal")</f>
        <v>Outlier</v>
      </c>
      <c r="G1382" s="19" t="str">
        <f t="shared" si="21"/>
        <v>20-30</v>
      </c>
    </row>
    <row r="1383" spans="1:7" ht="20" customHeight="1" x14ac:dyDescent="0.35">
      <c r="A1383" s="17">
        <v>1382</v>
      </c>
      <c r="B1383" s="23" t="s">
        <v>105</v>
      </c>
      <c r="C1383" s="18" t="s">
        <v>125</v>
      </c>
      <c r="D1383" s="18">
        <v>69</v>
      </c>
      <c r="E1383" s="18" t="s">
        <v>130</v>
      </c>
      <c r="F1383" s="18" t="str">
        <f>IF(OR(D1383&gt;Answers!L1398,D1383&lt;Answers!L1399),"Outlier","Normal")</f>
        <v>Outlier</v>
      </c>
      <c r="G1383" s="19" t="str">
        <f t="shared" si="21"/>
        <v>40-50</v>
      </c>
    </row>
    <row r="1384" spans="1:7" ht="20" customHeight="1" x14ac:dyDescent="0.35">
      <c r="A1384" s="17">
        <v>1383</v>
      </c>
      <c r="B1384" s="23" t="s">
        <v>100</v>
      </c>
      <c r="C1384" s="18" t="s">
        <v>125</v>
      </c>
      <c r="D1384" s="18">
        <v>50</v>
      </c>
      <c r="E1384" s="18" t="s">
        <v>130</v>
      </c>
      <c r="F1384" s="18" t="str">
        <f>IF(OR(D1384&gt;Answers!L1399,D1384&lt;Answers!L1400),"Outlier","Normal")</f>
        <v>Outlier</v>
      </c>
      <c r="G1384" s="19" t="str">
        <f t="shared" si="21"/>
        <v>40-50</v>
      </c>
    </row>
    <row r="1385" spans="1:7" ht="20" customHeight="1" x14ac:dyDescent="0.35">
      <c r="A1385" s="17">
        <v>1384</v>
      </c>
      <c r="B1385" s="23" t="s">
        <v>99</v>
      </c>
      <c r="C1385" s="18" t="s">
        <v>126</v>
      </c>
      <c r="D1385" s="18">
        <v>39</v>
      </c>
      <c r="E1385" s="18" t="s">
        <v>130</v>
      </c>
      <c r="F1385" s="18" t="str">
        <f>IF(OR(D1385&gt;Answers!L1400,D1385&lt;Answers!L1401),"Outlier","Normal")</f>
        <v>Outlier</v>
      </c>
      <c r="G1385" s="19" t="str">
        <f t="shared" si="21"/>
        <v>30-40</v>
      </c>
    </row>
    <row r="1386" spans="1:7" ht="20" customHeight="1" x14ac:dyDescent="0.35">
      <c r="A1386" s="17">
        <v>1385</v>
      </c>
      <c r="B1386" s="23" t="s">
        <v>99</v>
      </c>
      <c r="C1386" s="18" t="s">
        <v>125</v>
      </c>
      <c r="D1386" s="18">
        <v>32</v>
      </c>
      <c r="E1386" s="18" t="s">
        <v>130</v>
      </c>
      <c r="F1386" s="18" t="str">
        <f>IF(OR(D1386&gt;Answers!L1401,D1386&lt;Answers!L1402),"Outlier","Normal")</f>
        <v>Outlier</v>
      </c>
      <c r="G1386" s="19" t="str">
        <f t="shared" si="21"/>
        <v>30-40</v>
      </c>
    </row>
    <row r="1387" spans="1:7" ht="20" customHeight="1" x14ac:dyDescent="0.35">
      <c r="A1387" s="17">
        <v>1386</v>
      </c>
      <c r="B1387" s="23" t="s">
        <v>104</v>
      </c>
      <c r="C1387" s="18" t="s">
        <v>125</v>
      </c>
      <c r="D1387" s="18">
        <v>18</v>
      </c>
      <c r="E1387" s="18" t="s">
        <v>130</v>
      </c>
      <c r="F1387" s="18" t="str">
        <f>IF(OR(D1387&gt;Answers!L1402,D1387&lt;Answers!L1403),"Outlier","Normal")</f>
        <v>Outlier</v>
      </c>
      <c r="G1387" s="19" t="str">
        <f t="shared" si="21"/>
        <v>&lt;20</v>
      </c>
    </row>
    <row r="1388" spans="1:7" ht="20" customHeight="1" x14ac:dyDescent="0.35">
      <c r="A1388" s="17">
        <v>1387</v>
      </c>
      <c r="B1388" s="23" t="s">
        <v>99</v>
      </c>
      <c r="C1388" s="18" t="s">
        <v>125</v>
      </c>
      <c r="D1388" s="18">
        <v>90</v>
      </c>
      <c r="E1388" s="18" t="s">
        <v>130</v>
      </c>
      <c r="F1388" s="18" t="str">
        <f>IF(OR(D1388&gt;Answers!L1403,D1388&lt;Answers!L1404),"Outlier","Normal")</f>
        <v>Outlier</v>
      </c>
      <c r="G1388" s="19" t="str">
        <f t="shared" si="21"/>
        <v>40-50</v>
      </c>
    </row>
    <row r="1389" spans="1:7" ht="20" customHeight="1" x14ac:dyDescent="0.35">
      <c r="A1389" s="17">
        <v>1388</v>
      </c>
      <c r="B1389" s="23" t="s">
        <v>106</v>
      </c>
      <c r="C1389" s="18" t="s">
        <v>126</v>
      </c>
      <c r="D1389" s="18">
        <v>65</v>
      </c>
      <c r="E1389" s="18" t="s">
        <v>130</v>
      </c>
      <c r="F1389" s="18" t="str">
        <f>IF(OR(D1389&gt;Answers!L1404,D1389&lt;Answers!L1405),"Outlier","Normal")</f>
        <v>Outlier</v>
      </c>
      <c r="G1389" s="19" t="str">
        <f t="shared" si="21"/>
        <v>40-50</v>
      </c>
    </row>
    <row r="1390" spans="1:7" ht="20" customHeight="1" x14ac:dyDescent="0.35">
      <c r="A1390" s="17">
        <v>1389</v>
      </c>
      <c r="B1390" s="23" t="s">
        <v>99</v>
      </c>
      <c r="C1390" s="18" t="s">
        <v>126</v>
      </c>
      <c r="D1390" s="18">
        <v>29</v>
      </c>
      <c r="E1390" s="18" t="s">
        <v>130</v>
      </c>
      <c r="F1390" s="18" t="str">
        <f>IF(OR(D1390&gt;Answers!L1405,D1390&lt;Answers!L1406),"Outlier","Normal")</f>
        <v>Outlier</v>
      </c>
      <c r="G1390" s="19" t="str">
        <f t="shared" si="21"/>
        <v>20-30</v>
      </c>
    </row>
    <row r="1391" spans="1:7" ht="20" customHeight="1" x14ac:dyDescent="0.35">
      <c r="A1391" s="17">
        <v>1390</v>
      </c>
      <c r="B1391" s="23" t="s">
        <v>107</v>
      </c>
      <c r="C1391" s="18" t="s">
        <v>126</v>
      </c>
      <c r="D1391" s="18">
        <v>27</v>
      </c>
      <c r="E1391" s="18" t="s">
        <v>130</v>
      </c>
      <c r="F1391" s="18" t="str">
        <f>IF(OR(D1391&gt;Answers!L1406,D1391&lt;Answers!L1407),"Outlier","Normal")</f>
        <v>Outlier</v>
      </c>
      <c r="G1391" s="19" t="str">
        <f t="shared" si="21"/>
        <v>20-30</v>
      </c>
    </row>
    <row r="1392" spans="1:7" ht="20" customHeight="1" x14ac:dyDescent="0.35">
      <c r="A1392" s="17">
        <v>1391</v>
      </c>
      <c r="B1392" s="23" t="s">
        <v>99</v>
      </c>
      <c r="C1392" s="18" t="s">
        <v>125</v>
      </c>
      <c r="D1392" s="18">
        <v>61</v>
      </c>
      <c r="E1392" s="18" t="s">
        <v>130</v>
      </c>
      <c r="F1392" s="18" t="str">
        <f>IF(OR(D1392&gt;Answers!L1407,D1392&lt;Answers!L1408),"Outlier","Normal")</f>
        <v>Outlier</v>
      </c>
      <c r="G1392" s="19" t="str">
        <f t="shared" si="21"/>
        <v>40-50</v>
      </c>
    </row>
    <row r="1393" spans="1:7" ht="20" customHeight="1" x14ac:dyDescent="0.35">
      <c r="A1393" s="17">
        <v>1392</v>
      </c>
      <c r="B1393" s="23" t="s">
        <v>111</v>
      </c>
      <c r="C1393" s="18" t="s">
        <v>126</v>
      </c>
      <c r="D1393" s="18">
        <v>81</v>
      </c>
      <c r="E1393" s="18" t="s">
        <v>130</v>
      </c>
      <c r="F1393" s="18" t="str">
        <f>IF(OR(D1393&gt;Answers!L1408,D1393&lt;Answers!L1409),"Outlier","Normal")</f>
        <v>Outlier</v>
      </c>
      <c r="G1393" s="19" t="str">
        <f t="shared" si="21"/>
        <v>40-50</v>
      </c>
    </row>
    <row r="1394" spans="1:7" ht="20" customHeight="1" x14ac:dyDescent="0.35">
      <c r="A1394" s="17">
        <v>1393</v>
      </c>
      <c r="B1394" s="23" t="s">
        <v>107</v>
      </c>
      <c r="C1394" s="18" t="s">
        <v>126</v>
      </c>
      <c r="D1394" s="18">
        <v>76</v>
      </c>
      <c r="E1394" s="18" t="s">
        <v>130</v>
      </c>
      <c r="F1394" s="18" t="str">
        <f>IF(OR(D1394&gt;Answers!L1409,D1394&lt;Answers!L1410),"Outlier","Normal")</f>
        <v>Outlier</v>
      </c>
      <c r="G1394" s="19" t="str">
        <f t="shared" si="21"/>
        <v>40-50</v>
      </c>
    </row>
    <row r="1395" spans="1:7" ht="20" customHeight="1" x14ac:dyDescent="0.35">
      <c r="A1395" s="17">
        <v>1394</v>
      </c>
      <c r="B1395" s="23" t="s">
        <v>99</v>
      </c>
      <c r="C1395" s="18" t="s">
        <v>126</v>
      </c>
      <c r="D1395" s="18">
        <v>58</v>
      </c>
      <c r="E1395" s="18" t="s">
        <v>130</v>
      </c>
      <c r="F1395" s="18" t="str">
        <f>IF(OR(D1395&gt;Answers!L1410,D1395&lt;Answers!L1411),"Outlier","Normal")</f>
        <v>Outlier</v>
      </c>
      <c r="G1395" s="19" t="str">
        <f t="shared" si="21"/>
        <v>40-50</v>
      </c>
    </row>
    <row r="1396" spans="1:7" ht="20" customHeight="1" x14ac:dyDescent="0.35">
      <c r="A1396" s="17">
        <v>1395</v>
      </c>
      <c r="B1396" s="23" t="s">
        <v>99</v>
      </c>
      <c r="C1396" s="18" t="s">
        <v>126</v>
      </c>
      <c r="D1396" s="18">
        <v>63</v>
      </c>
      <c r="E1396" s="18" t="s">
        <v>130</v>
      </c>
      <c r="F1396" s="18" t="str">
        <f>IF(OR(D1396&gt;Answers!L1411,D1396&lt;Answers!L1412),"Outlier","Normal")</f>
        <v>Outlier</v>
      </c>
      <c r="G1396" s="19" t="str">
        <f t="shared" si="21"/>
        <v>40-50</v>
      </c>
    </row>
    <row r="1397" spans="1:7" ht="20" customHeight="1" x14ac:dyDescent="0.35">
      <c r="A1397" s="17">
        <v>1396</v>
      </c>
      <c r="B1397" s="23" t="s">
        <v>99</v>
      </c>
      <c r="C1397" s="18" t="s">
        <v>125</v>
      </c>
      <c r="D1397" s="18">
        <v>90</v>
      </c>
      <c r="E1397" s="18" t="s">
        <v>130</v>
      </c>
      <c r="F1397" s="18" t="str">
        <f>IF(OR(D1397&gt;Answers!L1412,D1397&lt;Answers!L1413),"Outlier","Normal")</f>
        <v>Outlier</v>
      </c>
      <c r="G1397" s="19" t="str">
        <f t="shared" si="21"/>
        <v>40-50</v>
      </c>
    </row>
    <row r="1398" spans="1:7" ht="20" customHeight="1" x14ac:dyDescent="0.35">
      <c r="A1398" s="17">
        <v>1397</v>
      </c>
      <c r="B1398" s="23" t="s">
        <v>105</v>
      </c>
      <c r="C1398" s="18" t="s">
        <v>125</v>
      </c>
      <c r="D1398" s="18">
        <v>22</v>
      </c>
      <c r="E1398" s="18" t="s">
        <v>130</v>
      </c>
      <c r="F1398" s="18" t="str">
        <f>IF(OR(D1398&gt;Answers!L1413,D1398&lt;Answers!L1414),"Outlier","Normal")</f>
        <v>Outlier</v>
      </c>
      <c r="G1398" s="19" t="str">
        <f t="shared" si="21"/>
        <v>20-30</v>
      </c>
    </row>
    <row r="1399" spans="1:7" ht="20" customHeight="1" x14ac:dyDescent="0.35">
      <c r="A1399" s="17">
        <v>1398</v>
      </c>
      <c r="B1399" s="23" t="s">
        <v>108</v>
      </c>
      <c r="C1399" s="18" t="s">
        <v>126</v>
      </c>
      <c r="D1399" s="18">
        <v>44</v>
      </c>
      <c r="E1399" s="18" t="s">
        <v>130</v>
      </c>
      <c r="F1399" s="18" t="str">
        <f>IF(OR(D1399&gt;Answers!L1414,D1399&lt;Answers!L1415),"Outlier","Normal")</f>
        <v>Outlier</v>
      </c>
      <c r="G1399" s="19" t="str">
        <f t="shared" si="21"/>
        <v>40-50</v>
      </c>
    </row>
    <row r="1400" spans="1:7" ht="20" customHeight="1" x14ac:dyDescent="0.35">
      <c r="A1400" s="17">
        <v>1399</v>
      </c>
      <c r="B1400" s="23" t="s">
        <v>101</v>
      </c>
      <c r="C1400" s="18" t="s">
        <v>126</v>
      </c>
      <c r="D1400" s="18">
        <v>24</v>
      </c>
      <c r="E1400" s="18" t="s">
        <v>130</v>
      </c>
      <c r="F1400" s="18" t="str">
        <f>IF(OR(D1400&gt;Answers!L1415,D1400&lt;Answers!L1416),"Outlier","Normal")</f>
        <v>Outlier</v>
      </c>
      <c r="G1400" s="19" t="str">
        <f t="shared" si="21"/>
        <v>20-30</v>
      </c>
    </row>
    <row r="1401" spans="1:7" ht="20" customHeight="1" x14ac:dyDescent="0.35">
      <c r="A1401" s="17">
        <v>1400</v>
      </c>
      <c r="B1401" s="23" t="s">
        <v>99</v>
      </c>
      <c r="C1401" s="18" t="s">
        <v>126</v>
      </c>
      <c r="D1401" s="18">
        <v>34</v>
      </c>
      <c r="E1401" s="18" t="s">
        <v>130</v>
      </c>
      <c r="F1401" s="18" t="str">
        <f>IF(OR(D1401&gt;Answers!L1416,D1401&lt;Answers!L1417),"Outlier","Normal")</f>
        <v>Outlier</v>
      </c>
      <c r="G1401" s="19" t="str">
        <f t="shared" si="21"/>
        <v>30-40</v>
      </c>
    </row>
    <row r="1402" spans="1:7" ht="20" customHeight="1" x14ac:dyDescent="0.35">
      <c r="A1402" s="17">
        <v>1401</v>
      </c>
      <c r="B1402" s="23" t="s">
        <v>102</v>
      </c>
      <c r="C1402" s="18" t="s">
        <v>125</v>
      </c>
      <c r="D1402" s="18">
        <v>53</v>
      </c>
      <c r="E1402" s="18" t="s">
        <v>130</v>
      </c>
      <c r="F1402" s="18" t="str">
        <f>IF(OR(D1402&gt;Answers!L1417,D1402&lt;Answers!L1418),"Outlier","Normal")</f>
        <v>Outlier</v>
      </c>
      <c r="G1402" s="19" t="str">
        <f t="shared" si="21"/>
        <v>40-50</v>
      </c>
    </row>
    <row r="1403" spans="1:7" ht="20" customHeight="1" x14ac:dyDescent="0.35">
      <c r="A1403" s="17">
        <v>1402</v>
      </c>
      <c r="B1403" s="23" t="s">
        <v>99</v>
      </c>
      <c r="C1403" s="18" t="s">
        <v>125</v>
      </c>
      <c r="D1403" s="18">
        <v>80</v>
      </c>
      <c r="E1403" s="18" t="s">
        <v>130</v>
      </c>
      <c r="F1403" s="18" t="str">
        <f>IF(OR(D1403&gt;Answers!L1418,D1403&lt;Answers!L1419),"Outlier","Normal")</f>
        <v>Outlier</v>
      </c>
      <c r="G1403" s="19" t="str">
        <f t="shared" si="21"/>
        <v>40-50</v>
      </c>
    </row>
    <row r="1404" spans="1:7" ht="20" customHeight="1" x14ac:dyDescent="0.35">
      <c r="A1404" s="17">
        <v>1403</v>
      </c>
      <c r="B1404" s="23" t="s">
        <v>99</v>
      </c>
      <c r="C1404" s="18" t="s">
        <v>125</v>
      </c>
      <c r="D1404" s="18">
        <v>81</v>
      </c>
      <c r="E1404" s="18" t="s">
        <v>130</v>
      </c>
      <c r="F1404" s="18" t="str">
        <f>IF(OR(D1404&gt;Answers!L1419,D1404&lt;Answers!L1420),"Outlier","Normal")</f>
        <v>Outlier</v>
      </c>
      <c r="G1404" s="19" t="str">
        <f t="shared" si="21"/>
        <v>40-50</v>
      </c>
    </row>
    <row r="1405" spans="1:7" ht="20" customHeight="1" x14ac:dyDescent="0.35">
      <c r="A1405" s="17">
        <v>1404</v>
      </c>
      <c r="B1405" s="23" t="s">
        <v>99</v>
      </c>
      <c r="C1405" s="18" t="s">
        <v>126</v>
      </c>
      <c r="D1405" s="18">
        <v>59</v>
      </c>
      <c r="E1405" s="18" t="s">
        <v>130</v>
      </c>
      <c r="F1405" s="18" t="str">
        <f>IF(OR(D1405&gt;Answers!L1420,D1405&lt;Answers!L1421),"Outlier","Normal")</f>
        <v>Outlier</v>
      </c>
      <c r="G1405" s="19" t="str">
        <f t="shared" si="21"/>
        <v>40-50</v>
      </c>
    </row>
    <row r="1406" spans="1:7" ht="20" customHeight="1" x14ac:dyDescent="0.35">
      <c r="A1406" s="17">
        <v>1405</v>
      </c>
      <c r="B1406" s="23" t="s">
        <v>99</v>
      </c>
      <c r="C1406" s="18" t="s">
        <v>126</v>
      </c>
      <c r="D1406" s="18">
        <v>65</v>
      </c>
      <c r="E1406" s="18" t="s">
        <v>130</v>
      </c>
      <c r="F1406" s="18" t="str">
        <f>IF(OR(D1406&gt;Answers!L1421,D1406&lt;Answers!L1422),"Outlier","Normal")</f>
        <v>Outlier</v>
      </c>
      <c r="G1406" s="19" t="str">
        <f t="shared" si="21"/>
        <v>40-50</v>
      </c>
    </row>
    <row r="1407" spans="1:7" ht="20" customHeight="1" x14ac:dyDescent="0.35">
      <c r="A1407" s="17">
        <v>1406</v>
      </c>
      <c r="B1407" s="23" t="s">
        <v>101</v>
      </c>
      <c r="C1407" s="18" t="s">
        <v>125</v>
      </c>
      <c r="D1407" s="18">
        <v>18</v>
      </c>
      <c r="E1407" s="18" t="s">
        <v>130</v>
      </c>
      <c r="F1407" s="18" t="str">
        <f>IF(OR(D1407&gt;Answers!L1422,D1407&lt;Answers!L1423),"Outlier","Normal")</f>
        <v>Outlier</v>
      </c>
      <c r="G1407" s="19" t="str">
        <f t="shared" si="21"/>
        <v>&lt;20</v>
      </c>
    </row>
    <row r="1408" spans="1:7" ht="20" customHeight="1" x14ac:dyDescent="0.35">
      <c r="A1408" s="17">
        <v>1407</v>
      </c>
      <c r="B1408" s="23" t="s">
        <v>99</v>
      </c>
      <c r="C1408" s="18" t="s">
        <v>126</v>
      </c>
      <c r="D1408" s="18">
        <v>37</v>
      </c>
      <c r="E1408" s="18" t="s">
        <v>130</v>
      </c>
      <c r="F1408" s="18" t="str">
        <f>IF(OR(D1408&gt;Answers!L1423,D1408&lt;Answers!L1424),"Outlier","Normal")</f>
        <v>Outlier</v>
      </c>
      <c r="G1408" s="19" t="str">
        <f t="shared" si="21"/>
        <v>30-40</v>
      </c>
    </row>
    <row r="1409" spans="1:7" ht="20" customHeight="1" x14ac:dyDescent="0.35">
      <c r="A1409" s="17">
        <v>1408</v>
      </c>
      <c r="B1409" s="23" t="s">
        <v>99</v>
      </c>
      <c r="C1409" s="18" t="s">
        <v>126</v>
      </c>
      <c r="D1409" s="18">
        <v>68</v>
      </c>
      <c r="E1409" s="18" t="s">
        <v>130</v>
      </c>
      <c r="F1409" s="18" t="str">
        <f>IF(OR(D1409&gt;Answers!L1424,D1409&lt;Answers!L1425),"Outlier","Normal")</f>
        <v>Outlier</v>
      </c>
      <c r="G1409" s="19" t="str">
        <f t="shared" si="21"/>
        <v>40-50</v>
      </c>
    </row>
    <row r="1410" spans="1:7" ht="20" customHeight="1" x14ac:dyDescent="0.35">
      <c r="A1410" s="17">
        <v>1409</v>
      </c>
      <c r="B1410" s="23" t="s">
        <v>99</v>
      </c>
      <c r="C1410" s="18" t="s">
        <v>126</v>
      </c>
      <c r="D1410" s="18">
        <v>63</v>
      </c>
      <c r="E1410" s="18" t="s">
        <v>130</v>
      </c>
      <c r="F1410" s="18" t="str">
        <f>IF(OR(D1410&gt;Answers!L1425,D1410&lt;Answers!L1426),"Outlier","Normal")</f>
        <v>Outlier</v>
      </c>
      <c r="G1410" s="19" t="str">
        <f t="shared" si="21"/>
        <v>40-50</v>
      </c>
    </row>
    <row r="1411" spans="1:7" ht="20" customHeight="1" x14ac:dyDescent="0.35">
      <c r="A1411" s="17">
        <v>1410</v>
      </c>
      <c r="B1411" s="23" t="s">
        <v>99</v>
      </c>
      <c r="C1411" s="18" t="s">
        <v>125</v>
      </c>
      <c r="D1411" s="18">
        <v>55</v>
      </c>
      <c r="E1411" s="18" t="s">
        <v>130</v>
      </c>
      <c r="F1411" s="18" t="str">
        <f>IF(OR(D1411&gt;Answers!L1426,D1411&lt;Answers!L1427),"Outlier","Normal")</f>
        <v>Outlier</v>
      </c>
      <c r="G1411" s="19" t="str">
        <f t="shared" ref="G1411:G1474" si="22">IF(D1411&lt;20,"&lt;20",
IF(D1411&lt;=30,"20-30",
IF(D1411&lt;=40,"30-40","40-50")))</f>
        <v>40-50</v>
      </c>
    </row>
    <row r="1412" spans="1:7" ht="20" customHeight="1" x14ac:dyDescent="0.35">
      <c r="A1412" s="17">
        <v>1411</v>
      </c>
      <c r="B1412" s="23" t="s">
        <v>105</v>
      </c>
      <c r="C1412" s="18" t="s">
        <v>126</v>
      </c>
      <c r="D1412" s="18">
        <v>52</v>
      </c>
      <c r="E1412" s="18" t="s">
        <v>130</v>
      </c>
      <c r="F1412" s="18" t="str">
        <f>IF(OR(D1412&gt;Answers!L1427,D1412&lt;Answers!L1428),"Outlier","Normal")</f>
        <v>Outlier</v>
      </c>
      <c r="G1412" s="19" t="str">
        <f t="shared" si="22"/>
        <v>40-50</v>
      </c>
    </row>
    <row r="1413" spans="1:7" ht="20" customHeight="1" x14ac:dyDescent="0.35">
      <c r="A1413" s="17">
        <v>1412</v>
      </c>
      <c r="B1413" s="23" t="s">
        <v>107</v>
      </c>
      <c r="C1413" s="18" t="s">
        <v>126</v>
      </c>
      <c r="D1413" s="18">
        <v>33</v>
      </c>
      <c r="E1413" s="18" t="s">
        <v>130</v>
      </c>
      <c r="F1413" s="18" t="str">
        <f>IF(OR(D1413&gt;Answers!L1428,D1413&lt;Answers!L1429),"Outlier","Normal")</f>
        <v>Outlier</v>
      </c>
      <c r="G1413" s="19" t="str">
        <f t="shared" si="22"/>
        <v>30-40</v>
      </c>
    </row>
    <row r="1414" spans="1:7" ht="20" customHeight="1" x14ac:dyDescent="0.35">
      <c r="A1414" s="17">
        <v>1413</v>
      </c>
      <c r="B1414" s="23" t="s">
        <v>105</v>
      </c>
      <c r="C1414" s="18" t="s">
        <v>125</v>
      </c>
      <c r="D1414" s="18">
        <v>26</v>
      </c>
      <c r="E1414" s="18" t="s">
        <v>130</v>
      </c>
      <c r="F1414" s="18" t="str">
        <f>IF(OR(D1414&gt;Answers!L1429,D1414&lt;Answers!L1430),"Outlier","Normal")</f>
        <v>Outlier</v>
      </c>
      <c r="G1414" s="19" t="str">
        <f t="shared" si="22"/>
        <v>20-30</v>
      </c>
    </row>
    <row r="1415" spans="1:7" ht="20" customHeight="1" x14ac:dyDescent="0.35">
      <c r="A1415" s="17">
        <v>1414</v>
      </c>
      <c r="B1415" s="23" t="s">
        <v>99</v>
      </c>
      <c r="C1415" s="18" t="s">
        <v>126</v>
      </c>
      <c r="D1415" s="18">
        <v>28</v>
      </c>
      <c r="E1415" s="18" t="s">
        <v>130</v>
      </c>
      <c r="F1415" s="18" t="str">
        <f>IF(OR(D1415&gt;Answers!L1430,D1415&lt;Answers!L1431),"Outlier","Normal")</f>
        <v>Outlier</v>
      </c>
      <c r="G1415" s="19" t="str">
        <f t="shared" si="22"/>
        <v>20-30</v>
      </c>
    </row>
    <row r="1416" spans="1:7" ht="20" customHeight="1" x14ac:dyDescent="0.35">
      <c r="A1416" s="17">
        <v>1415</v>
      </c>
      <c r="B1416" s="23" t="s">
        <v>100</v>
      </c>
      <c r="C1416" s="18" t="s">
        <v>126</v>
      </c>
      <c r="D1416" s="18">
        <v>71</v>
      </c>
      <c r="E1416" s="18" t="s">
        <v>130</v>
      </c>
      <c r="F1416" s="18" t="str">
        <f>IF(OR(D1416&gt;Answers!L1431,D1416&lt;Answers!L1432),"Outlier","Normal")</f>
        <v>Outlier</v>
      </c>
      <c r="G1416" s="19" t="str">
        <f t="shared" si="22"/>
        <v>40-50</v>
      </c>
    </row>
    <row r="1417" spans="1:7" ht="20" customHeight="1" x14ac:dyDescent="0.35">
      <c r="A1417" s="17">
        <v>1416</v>
      </c>
      <c r="B1417" s="23" t="s">
        <v>99</v>
      </c>
      <c r="C1417" s="18" t="s">
        <v>126</v>
      </c>
      <c r="D1417" s="18">
        <v>84</v>
      </c>
      <c r="E1417" s="18" t="s">
        <v>130</v>
      </c>
      <c r="F1417" s="18" t="str">
        <f>IF(OR(D1417&gt;Answers!L1432,D1417&lt;Answers!L1433),"Outlier","Normal")</f>
        <v>Outlier</v>
      </c>
      <c r="G1417" s="19" t="str">
        <f t="shared" si="22"/>
        <v>40-50</v>
      </c>
    </row>
    <row r="1418" spans="1:7" ht="20" customHeight="1" x14ac:dyDescent="0.35">
      <c r="A1418" s="17">
        <v>1417</v>
      </c>
      <c r="B1418" s="23" t="s">
        <v>100</v>
      </c>
      <c r="C1418" s="18" t="s">
        <v>126</v>
      </c>
      <c r="D1418" s="18">
        <v>73</v>
      </c>
      <c r="E1418" s="18" t="s">
        <v>130</v>
      </c>
      <c r="F1418" s="18" t="str">
        <f>IF(OR(D1418&gt;Answers!L1433,D1418&lt;Answers!L1434),"Outlier","Normal")</f>
        <v>Outlier</v>
      </c>
      <c r="G1418" s="19" t="str">
        <f t="shared" si="22"/>
        <v>40-50</v>
      </c>
    </row>
    <row r="1419" spans="1:7" ht="20" customHeight="1" x14ac:dyDescent="0.35">
      <c r="A1419" s="17">
        <v>1418</v>
      </c>
      <c r="B1419" s="23" t="s">
        <v>99</v>
      </c>
      <c r="C1419" s="18" t="s">
        <v>125</v>
      </c>
      <c r="D1419" s="18">
        <v>24</v>
      </c>
      <c r="E1419" s="18" t="s">
        <v>130</v>
      </c>
      <c r="F1419" s="18" t="str">
        <f>IF(OR(D1419&gt;Answers!L1434,D1419&lt;Answers!L1435),"Outlier","Normal")</f>
        <v>Outlier</v>
      </c>
      <c r="G1419" s="19" t="str">
        <f t="shared" si="22"/>
        <v>20-30</v>
      </c>
    </row>
    <row r="1420" spans="1:7" ht="20" customHeight="1" x14ac:dyDescent="0.35">
      <c r="A1420" s="17">
        <v>1419</v>
      </c>
      <c r="B1420" s="23" t="s">
        <v>99</v>
      </c>
      <c r="C1420" s="18" t="s">
        <v>126</v>
      </c>
      <c r="D1420" s="18">
        <v>50</v>
      </c>
      <c r="E1420" s="18" t="s">
        <v>130</v>
      </c>
      <c r="F1420" s="18" t="str">
        <f>IF(OR(D1420&gt;Answers!L1435,D1420&lt;Answers!L1436),"Outlier","Normal")</f>
        <v>Outlier</v>
      </c>
      <c r="G1420" s="19" t="str">
        <f t="shared" si="22"/>
        <v>40-50</v>
      </c>
    </row>
    <row r="1421" spans="1:7" ht="20" customHeight="1" x14ac:dyDescent="0.35">
      <c r="A1421" s="17">
        <v>1420</v>
      </c>
      <c r="B1421" s="23" t="s">
        <v>99</v>
      </c>
      <c r="C1421" s="18" t="s">
        <v>125</v>
      </c>
      <c r="D1421" s="18">
        <v>28</v>
      </c>
      <c r="E1421" s="18" t="s">
        <v>130</v>
      </c>
      <c r="F1421" s="18" t="str">
        <f>IF(OR(D1421&gt;Answers!L1436,D1421&lt;Answers!L1437),"Outlier","Normal")</f>
        <v>Outlier</v>
      </c>
      <c r="G1421" s="19" t="str">
        <f t="shared" si="22"/>
        <v>20-30</v>
      </c>
    </row>
    <row r="1422" spans="1:7" ht="20" customHeight="1" x14ac:dyDescent="0.35">
      <c r="A1422" s="17">
        <v>1421</v>
      </c>
      <c r="B1422" s="23" t="s">
        <v>105</v>
      </c>
      <c r="C1422" s="18" t="s">
        <v>125</v>
      </c>
      <c r="D1422" s="18">
        <v>21</v>
      </c>
      <c r="E1422" s="18" t="s">
        <v>130</v>
      </c>
      <c r="F1422" s="18" t="str">
        <f>IF(OR(D1422&gt;Answers!L1437,D1422&lt;Answers!L1438),"Outlier","Normal")</f>
        <v>Outlier</v>
      </c>
      <c r="G1422" s="19" t="str">
        <f t="shared" si="22"/>
        <v>20-30</v>
      </c>
    </row>
    <row r="1423" spans="1:7" ht="20" customHeight="1" x14ac:dyDescent="0.35">
      <c r="A1423" s="17">
        <v>1422</v>
      </c>
      <c r="B1423" s="23" t="s">
        <v>99</v>
      </c>
      <c r="C1423" s="18" t="s">
        <v>125</v>
      </c>
      <c r="D1423" s="18">
        <v>61</v>
      </c>
      <c r="E1423" s="18" t="s">
        <v>130</v>
      </c>
      <c r="F1423" s="18" t="str">
        <f>IF(OR(D1423&gt;Answers!L1438,D1423&lt;Answers!L1439),"Outlier","Normal")</f>
        <v>Outlier</v>
      </c>
      <c r="G1423" s="19" t="str">
        <f t="shared" si="22"/>
        <v>40-50</v>
      </c>
    </row>
    <row r="1424" spans="1:7" ht="20" customHeight="1" x14ac:dyDescent="0.35">
      <c r="A1424" s="17">
        <v>1423</v>
      </c>
      <c r="B1424" s="23" t="s">
        <v>99</v>
      </c>
      <c r="C1424" s="18" t="s">
        <v>125</v>
      </c>
      <c r="D1424" s="18">
        <v>78</v>
      </c>
      <c r="E1424" s="18" t="s">
        <v>130</v>
      </c>
      <c r="F1424" s="18" t="str">
        <f>IF(OR(D1424&gt;Answers!L1439,D1424&lt;Answers!L1440),"Outlier","Normal")</f>
        <v>Outlier</v>
      </c>
      <c r="G1424" s="19" t="str">
        <f t="shared" si="22"/>
        <v>40-50</v>
      </c>
    </row>
    <row r="1425" spans="1:7" ht="20" customHeight="1" x14ac:dyDescent="0.35">
      <c r="A1425" s="17">
        <v>1424</v>
      </c>
      <c r="B1425" s="23" t="s">
        <v>105</v>
      </c>
      <c r="C1425" s="18" t="s">
        <v>125</v>
      </c>
      <c r="D1425" s="18">
        <v>39</v>
      </c>
      <c r="E1425" s="18" t="s">
        <v>130</v>
      </c>
      <c r="F1425" s="18" t="str">
        <f>IF(OR(D1425&gt;Answers!L1440,D1425&lt;Answers!L1441),"Outlier","Normal")</f>
        <v>Outlier</v>
      </c>
      <c r="G1425" s="19" t="str">
        <f t="shared" si="22"/>
        <v>30-40</v>
      </c>
    </row>
    <row r="1426" spans="1:7" ht="20" customHeight="1" x14ac:dyDescent="0.35">
      <c r="A1426" s="17">
        <v>1425</v>
      </c>
      <c r="B1426" s="23" t="s">
        <v>101</v>
      </c>
      <c r="C1426" s="18" t="s">
        <v>126</v>
      </c>
      <c r="D1426" s="18">
        <v>79</v>
      </c>
      <c r="E1426" s="18" t="s">
        <v>130</v>
      </c>
      <c r="F1426" s="18" t="str">
        <f>IF(OR(D1426&gt;Answers!L1441,D1426&lt;Answers!L1442),"Outlier","Normal")</f>
        <v>Outlier</v>
      </c>
      <c r="G1426" s="19" t="str">
        <f t="shared" si="22"/>
        <v>40-50</v>
      </c>
    </row>
    <row r="1427" spans="1:7" ht="20" customHeight="1" x14ac:dyDescent="0.35">
      <c r="A1427" s="17">
        <v>1426</v>
      </c>
      <c r="B1427" s="23" t="s">
        <v>99</v>
      </c>
      <c r="C1427" s="18" t="s">
        <v>126</v>
      </c>
      <c r="D1427" s="18">
        <v>37</v>
      </c>
      <c r="E1427" s="18" t="s">
        <v>130</v>
      </c>
      <c r="F1427" s="18" t="str">
        <f>IF(OR(D1427&gt;Answers!L1442,D1427&lt;Answers!L1443),"Outlier","Normal")</f>
        <v>Outlier</v>
      </c>
      <c r="G1427" s="19" t="str">
        <f t="shared" si="22"/>
        <v>30-40</v>
      </c>
    </row>
    <row r="1428" spans="1:7" ht="20" customHeight="1" x14ac:dyDescent="0.35">
      <c r="A1428" s="17">
        <v>1427</v>
      </c>
      <c r="B1428" s="23" t="s">
        <v>107</v>
      </c>
      <c r="C1428" s="18" t="s">
        <v>126</v>
      </c>
      <c r="D1428" s="18">
        <v>18</v>
      </c>
      <c r="E1428" s="18" t="s">
        <v>130</v>
      </c>
      <c r="F1428" s="18" t="str">
        <f>IF(OR(D1428&gt;Answers!L1443,D1428&lt;Answers!L1444),"Outlier","Normal")</f>
        <v>Outlier</v>
      </c>
      <c r="G1428" s="19" t="str">
        <f t="shared" si="22"/>
        <v>&lt;20</v>
      </c>
    </row>
    <row r="1429" spans="1:7" ht="20" customHeight="1" x14ac:dyDescent="0.35">
      <c r="A1429" s="17">
        <v>1428</v>
      </c>
      <c r="B1429" s="23" t="s">
        <v>100</v>
      </c>
      <c r="C1429" s="18" t="s">
        <v>126</v>
      </c>
      <c r="D1429" s="18">
        <v>57</v>
      </c>
      <c r="E1429" s="18" t="s">
        <v>130</v>
      </c>
      <c r="F1429" s="18" t="str">
        <f>IF(OR(D1429&gt;Answers!L1444,D1429&lt;Answers!L1445),"Outlier","Normal")</f>
        <v>Outlier</v>
      </c>
      <c r="G1429" s="19" t="str">
        <f t="shared" si="22"/>
        <v>40-50</v>
      </c>
    </row>
    <row r="1430" spans="1:7" ht="20" customHeight="1" x14ac:dyDescent="0.35">
      <c r="A1430" s="17">
        <v>1429</v>
      </c>
      <c r="B1430" s="23" t="s">
        <v>104</v>
      </c>
      <c r="C1430" s="18" t="s">
        <v>126</v>
      </c>
      <c r="D1430" s="18">
        <v>47</v>
      </c>
      <c r="E1430" s="18" t="s">
        <v>130</v>
      </c>
      <c r="F1430" s="18" t="str">
        <f>IF(OR(D1430&gt;Answers!L1445,D1430&lt;Answers!L1446),"Outlier","Normal")</f>
        <v>Outlier</v>
      </c>
      <c r="G1430" s="19" t="str">
        <f t="shared" si="22"/>
        <v>40-50</v>
      </c>
    </row>
    <row r="1431" spans="1:7" ht="20" customHeight="1" x14ac:dyDescent="0.35">
      <c r="A1431" s="17">
        <v>1430</v>
      </c>
      <c r="B1431" s="23" t="s">
        <v>99</v>
      </c>
      <c r="C1431" s="18" t="s">
        <v>126</v>
      </c>
      <c r="D1431" s="18">
        <v>82</v>
      </c>
      <c r="E1431" s="18" t="s">
        <v>130</v>
      </c>
      <c r="F1431" s="18" t="str">
        <f>IF(OR(D1431&gt;Answers!L1446,D1431&lt;Answers!L1447),"Outlier","Normal")</f>
        <v>Outlier</v>
      </c>
      <c r="G1431" s="19" t="str">
        <f t="shared" si="22"/>
        <v>40-50</v>
      </c>
    </row>
    <row r="1432" spans="1:7" ht="20" customHeight="1" x14ac:dyDescent="0.35">
      <c r="A1432" s="17">
        <v>1431</v>
      </c>
      <c r="B1432" s="23" t="s">
        <v>99</v>
      </c>
      <c r="C1432" s="18" t="s">
        <v>125</v>
      </c>
      <c r="D1432" s="18">
        <v>63</v>
      </c>
      <c r="E1432" s="18" t="s">
        <v>130</v>
      </c>
      <c r="F1432" s="18" t="str">
        <f>IF(OR(D1432&gt;Answers!L1447,D1432&lt;Answers!L1448),"Outlier","Normal")</f>
        <v>Outlier</v>
      </c>
      <c r="G1432" s="19" t="str">
        <f t="shared" si="22"/>
        <v>40-50</v>
      </c>
    </row>
    <row r="1433" spans="1:7" ht="20" customHeight="1" x14ac:dyDescent="0.35">
      <c r="A1433" s="17">
        <v>1432</v>
      </c>
      <c r="B1433" s="23" t="s">
        <v>99</v>
      </c>
      <c r="C1433" s="18" t="s">
        <v>126</v>
      </c>
      <c r="D1433" s="18">
        <v>30</v>
      </c>
      <c r="E1433" s="18" t="s">
        <v>130</v>
      </c>
      <c r="F1433" s="18" t="str">
        <f>IF(OR(D1433&gt;Answers!L1448,D1433&lt;Answers!L1449),"Outlier","Normal")</f>
        <v>Outlier</v>
      </c>
      <c r="G1433" s="19" t="str">
        <f t="shared" si="22"/>
        <v>20-30</v>
      </c>
    </row>
    <row r="1434" spans="1:7" ht="20" customHeight="1" x14ac:dyDescent="0.35">
      <c r="A1434" s="17">
        <v>1433</v>
      </c>
      <c r="B1434" s="23" t="s">
        <v>101</v>
      </c>
      <c r="C1434" s="18" t="s">
        <v>126</v>
      </c>
      <c r="D1434" s="18">
        <v>28</v>
      </c>
      <c r="E1434" s="18" t="s">
        <v>130</v>
      </c>
      <c r="F1434" s="18" t="str">
        <f>IF(OR(D1434&gt;Answers!L1449,D1434&lt;Answers!L1450),"Outlier","Normal")</f>
        <v>Outlier</v>
      </c>
      <c r="G1434" s="19" t="str">
        <f t="shared" si="22"/>
        <v>20-30</v>
      </c>
    </row>
    <row r="1435" spans="1:7" ht="20" customHeight="1" x14ac:dyDescent="0.35">
      <c r="A1435" s="17">
        <v>1434</v>
      </c>
      <c r="B1435" s="23" t="s">
        <v>99</v>
      </c>
      <c r="C1435" s="18" t="s">
        <v>126</v>
      </c>
      <c r="D1435" s="18">
        <v>65</v>
      </c>
      <c r="E1435" s="18" t="s">
        <v>130</v>
      </c>
      <c r="F1435" s="18" t="str">
        <f>IF(OR(D1435&gt;Answers!L1450,D1435&lt;Answers!L1451),"Outlier","Normal")</f>
        <v>Outlier</v>
      </c>
      <c r="G1435" s="19" t="str">
        <f t="shared" si="22"/>
        <v>40-50</v>
      </c>
    </row>
    <row r="1436" spans="1:7" ht="20" customHeight="1" x14ac:dyDescent="0.35">
      <c r="A1436" s="17">
        <v>1435</v>
      </c>
      <c r="B1436" s="23" t="s">
        <v>100</v>
      </c>
      <c r="C1436" s="18" t="s">
        <v>126</v>
      </c>
      <c r="D1436" s="18">
        <v>45</v>
      </c>
      <c r="E1436" s="18" t="s">
        <v>130</v>
      </c>
      <c r="F1436" s="18" t="str">
        <f>IF(OR(D1436&gt;Answers!L1451,D1436&lt;Answers!L1452),"Outlier","Normal")</f>
        <v>Outlier</v>
      </c>
      <c r="G1436" s="19" t="str">
        <f t="shared" si="22"/>
        <v>40-50</v>
      </c>
    </row>
    <row r="1437" spans="1:7" ht="20" customHeight="1" x14ac:dyDescent="0.35">
      <c r="A1437" s="17">
        <v>1436</v>
      </c>
      <c r="B1437" s="23" t="s">
        <v>105</v>
      </c>
      <c r="C1437" s="18" t="s">
        <v>125</v>
      </c>
      <c r="D1437" s="18">
        <v>40</v>
      </c>
      <c r="E1437" s="18" t="s">
        <v>130</v>
      </c>
      <c r="F1437" s="18" t="str">
        <f>IF(OR(D1437&gt;Answers!L1452,D1437&lt;Answers!L1453),"Outlier","Normal")</f>
        <v>Outlier</v>
      </c>
      <c r="G1437" s="19" t="str">
        <f t="shared" si="22"/>
        <v>30-40</v>
      </c>
    </row>
    <row r="1438" spans="1:7" ht="20" customHeight="1" x14ac:dyDescent="0.35">
      <c r="A1438" s="17">
        <v>1437</v>
      </c>
      <c r="B1438" s="23" t="s">
        <v>99</v>
      </c>
      <c r="C1438" s="18" t="s">
        <v>125</v>
      </c>
      <c r="D1438" s="18">
        <v>80</v>
      </c>
      <c r="E1438" s="18" t="s">
        <v>130</v>
      </c>
      <c r="F1438" s="18" t="str">
        <f>IF(OR(D1438&gt;Answers!L1453,D1438&lt;Answers!L1454),"Outlier","Normal")</f>
        <v>Outlier</v>
      </c>
      <c r="G1438" s="19" t="str">
        <f t="shared" si="22"/>
        <v>40-50</v>
      </c>
    </row>
    <row r="1439" spans="1:7" ht="20" customHeight="1" x14ac:dyDescent="0.35">
      <c r="A1439" s="17">
        <v>1438</v>
      </c>
      <c r="B1439" s="23" t="s">
        <v>106</v>
      </c>
      <c r="C1439" s="18" t="s">
        <v>125</v>
      </c>
      <c r="D1439" s="18">
        <v>35</v>
      </c>
      <c r="E1439" s="18" t="s">
        <v>130</v>
      </c>
      <c r="F1439" s="18" t="str">
        <f>IF(OR(D1439&gt;Answers!L1454,D1439&lt;Answers!L1455),"Outlier","Normal")</f>
        <v>Outlier</v>
      </c>
      <c r="G1439" s="19" t="str">
        <f t="shared" si="22"/>
        <v>30-40</v>
      </c>
    </row>
    <row r="1440" spans="1:7" ht="20" customHeight="1" x14ac:dyDescent="0.35">
      <c r="A1440" s="17">
        <v>1439</v>
      </c>
      <c r="B1440" s="23" t="s">
        <v>105</v>
      </c>
      <c r="C1440" s="18" t="s">
        <v>125</v>
      </c>
      <c r="D1440" s="18">
        <v>40</v>
      </c>
      <c r="E1440" s="18" t="s">
        <v>130</v>
      </c>
      <c r="F1440" s="18" t="str">
        <f>IF(OR(D1440&gt;Answers!L1455,D1440&lt;Answers!L1456),"Outlier","Normal")</f>
        <v>Outlier</v>
      </c>
      <c r="G1440" s="19" t="str">
        <f t="shared" si="22"/>
        <v>30-40</v>
      </c>
    </row>
    <row r="1441" spans="1:7" ht="20" customHeight="1" x14ac:dyDescent="0.35">
      <c r="A1441" s="17">
        <v>1440</v>
      </c>
      <c r="B1441" s="23" t="s">
        <v>105</v>
      </c>
      <c r="C1441" s="18" t="s">
        <v>126</v>
      </c>
      <c r="D1441" s="18">
        <v>60</v>
      </c>
      <c r="E1441" s="18" t="s">
        <v>130</v>
      </c>
      <c r="F1441" s="18" t="str">
        <f>IF(OR(D1441&gt;Answers!L1456,D1441&lt;Answers!L1457),"Outlier","Normal")</f>
        <v>Outlier</v>
      </c>
      <c r="G1441" s="19" t="str">
        <f t="shared" si="22"/>
        <v>40-50</v>
      </c>
    </row>
    <row r="1442" spans="1:7" ht="20" customHeight="1" x14ac:dyDescent="0.35">
      <c r="A1442" s="17">
        <v>1441</v>
      </c>
      <c r="B1442" s="23" t="s">
        <v>101</v>
      </c>
      <c r="C1442" s="18" t="s">
        <v>125</v>
      </c>
      <c r="D1442" s="18">
        <v>65</v>
      </c>
      <c r="E1442" s="18" t="s">
        <v>130</v>
      </c>
      <c r="F1442" s="18" t="str">
        <f>IF(OR(D1442&gt;Answers!L1457,D1442&lt;Answers!L1458),"Outlier","Normal")</f>
        <v>Outlier</v>
      </c>
      <c r="G1442" s="19" t="str">
        <f t="shared" si="22"/>
        <v>40-50</v>
      </c>
    </row>
    <row r="1443" spans="1:7" ht="20" customHeight="1" x14ac:dyDescent="0.35">
      <c r="A1443" s="17">
        <v>1442</v>
      </c>
      <c r="B1443" s="23" t="s">
        <v>99</v>
      </c>
      <c r="C1443" s="18" t="s">
        <v>125</v>
      </c>
      <c r="D1443" s="18">
        <v>82</v>
      </c>
      <c r="E1443" s="18" t="s">
        <v>130</v>
      </c>
      <c r="F1443" s="18" t="str">
        <f>IF(OR(D1443&gt;Answers!L1458,D1443&lt;Answers!L1459),"Outlier","Normal")</f>
        <v>Outlier</v>
      </c>
      <c r="G1443" s="19" t="str">
        <f t="shared" si="22"/>
        <v>40-50</v>
      </c>
    </row>
    <row r="1444" spans="1:7" ht="20" customHeight="1" x14ac:dyDescent="0.35">
      <c r="A1444" s="17">
        <v>1443</v>
      </c>
      <c r="B1444" s="23" t="s">
        <v>99</v>
      </c>
      <c r="C1444" s="18" t="s">
        <v>126</v>
      </c>
      <c r="D1444" s="18">
        <v>43</v>
      </c>
      <c r="E1444" s="18" t="s">
        <v>130</v>
      </c>
      <c r="F1444" s="18" t="str">
        <f>IF(OR(D1444&gt;Answers!L1459,D1444&lt;Answers!L1460),"Outlier","Normal")</f>
        <v>Outlier</v>
      </c>
      <c r="G1444" s="19" t="str">
        <f t="shared" si="22"/>
        <v>40-50</v>
      </c>
    </row>
    <row r="1445" spans="1:7" ht="20" customHeight="1" x14ac:dyDescent="0.35">
      <c r="A1445" s="17">
        <v>1444</v>
      </c>
      <c r="B1445" s="23" t="s">
        <v>105</v>
      </c>
      <c r="C1445" s="18" t="s">
        <v>125</v>
      </c>
      <c r="D1445" s="18">
        <v>65</v>
      </c>
      <c r="E1445" s="18" t="s">
        <v>130</v>
      </c>
      <c r="F1445" s="18" t="str">
        <f>IF(OR(D1445&gt;Answers!L1460,D1445&lt;Answers!L1461),"Outlier","Normal")</f>
        <v>Outlier</v>
      </c>
      <c r="G1445" s="19" t="str">
        <f t="shared" si="22"/>
        <v>40-50</v>
      </c>
    </row>
    <row r="1446" spans="1:7" ht="20" customHeight="1" x14ac:dyDescent="0.35">
      <c r="A1446" s="17">
        <v>1445</v>
      </c>
      <c r="B1446" s="23" t="s">
        <v>99</v>
      </c>
      <c r="C1446" s="18" t="s">
        <v>125</v>
      </c>
      <c r="D1446" s="18">
        <v>51</v>
      </c>
      <c r="E1446" s="18" t="s">
        <v>130</v>
      </c>
      <c r="F1446" s="18" t="str">
        <f>IF(OR(D1446&gt;Answers!L1461,D1446&lt;Answers!L1462),"Outlier","Normal")</f>
        <v>Outlier</v>
      </c>
      <c r="G1446" s="19" t="str">
        <f t="shared" si="22"/>
        <v>40-50</v>
      </c>
    </row>
    <row r="1447" spans="1:7" ht="20" customHeight="1" x14ac:dyDescent="0.35">
      <c r="A1447" s="17">
        <v>1446</v>
      </c>
      <c r="B1447" s="23" t="s">
        <v>109</v>
      </c>
      <c r="C1447" s="18" t="s">
        <v>126</v>
      </c>
      <c r="D1447" s="18">
        <v>52</v>
      </c>
      <c r="E1447" s="18" t="s">
        <v>130</v>
      </c>
      <c r="F1447" s="18" t="str">
        <f>IF(OR(D1447&gt;Answers!L1462,D1447&lt;Answers!L1463),"Outlier","Normal")</f>
        <v>Outlier</v>
      </c>
      <c r="G1447" s="19" t="str">
        <f t="shared" si="22"/>
        <v>40-50</v>
      </c>
    </row>
    <row r="1448" spans="1:7" ht="20" customHeight="1" x14ac:dyDescent="0.35">
      <c r="A1448" s="17">
        <v>1447</v>
      </c>
      <c r="B1448" s="23" t="s">
        <v>106</v>
      </c>
      <c r="C1448" s="18" t="s">
        <v>126</v>
      </c>
      <c r="D1448" s="18">
        <v>20</v>
      </c>
      <c r="E1448" s="18" t="s">
        <v>130</v>
      </c>
      <c r="F1448" s="18" t="str">
        <f>IF(OR(D1448&gt;Answers!L1463,D1448&lt;Answers!L1464),"Outlier","Normal")</f>
        <v>Outlier</v>
      </c>
      <c r="G1448" s="19" t="str">
        <f t="shared" si="22"/>
        <v>20-30</v>
      </c>
    </row>
    <row r="1449" spans="1:7" ht="20" customHeight="1" x14ac:dyDescent="0.35">
      <c r="A1449" s="17">
        <v>1448</v>
      </c>
      <c r="B1449" s="23" t="s">
        <v>108</v>
      </c>
      <c r="C1449" s="18" t="s">
        <v>125</v>
      </c>
      <c r="D1449" s="18">
        <v>84</v>
      </c>
      <c r="E1449" s="18" t="s">
        <v>130</v>
      </c>
      <c r="F1449" s="18" t="str">
        <f>IF(OR(D1449&gt;Answers!L1464,D1449&lt;Answers!L1465),"Outlier","Normal")</f>
        <v>Outlier</v>
      </c>
      <c r="G1449" s="19" t="str">
        <f t="shared" si="22"/>
        <v>40-50</v>
      </c>
    </row>
    <row r="1450" spans="1:7" ht="20" customHeight="1" x14ac:dyDescent="0.35">
      <c r="A1450" s="17">
        <v>1449</v>
      </c>
      <c r="B1450" s="23" t="s">
        <v>99</v>
      </c>
      <c r="C1450" s="18" t="s">
        <v>126</v>
      </c>
      <c r="D1450" s="18">
        <v>82</v>
      </c>
      <c r="E1450" s="18" t="s">
        <v>130</v>
      </c>
      <c r="F1450" s="18" t="str">
        <f>IF(OR(D1450&gt;Answers!L1465,D1450&lt;Answers!L1466),"Outlier","Normal")</f>
        <v>Outlier</v>
      </c>
      <c r="G1450" s="19" t="str">
        <f t="shared" si="22"/>
        <v>40-50</v>
      </c>
    </row>
    <row r="1451" spans="1:7" ht="20" customHeight="1" x14ac:dyDescent="0.35">
      <c r="A1451" s="17">
        <v>1450</v>
      </c>
      <c r="B1451" s="23" t="s">
        <v>100</v>
      </c>
      <c r="C1451" s="18" t="s">
        <v>125</v>
      </c>
      <c r="D1451" s="18">
        <v>27</v>
      </c>
      <c r="E1451" s="18" t="s">
        <v>130</v>
      </c>
      <c r="F1451" s="18" t="str">
        <f>IF(OR(D1451&gt;Answers!L1466,D1451&lt;Answers!L1467),"Outlier","Normal")</f>
        <v>Outlier</v>
      </c>
      <c r="G1451" s="19" t="str">
        <f t="shared" si="22"/>
        <v>20-30</v>
      </c>
    </row>
    <row r="1452" spans="1:7" ht="20" customHeight="1" x14ac:dyDescent="0.35">
      <c r="A1452" s="17">
        <v>1451</v>
      </c>
      <c r="B1452" s="23" t="s">
        <v>99</v>
      </c>
      <c r="C1452" s="18" t="s">
        <v>126</v>
      </c>
      <c r="D1452" s="18">
        <v>51</v>
      </c>
      <c r="E1452" s="18" t="s">
        <v>130</v>
      </c>
      <c r="F1452" s="18" t="str">
        <f>IF(OR(D1452&gt;Answers!L1467,D1452&lt;Answers!L1468),"Outlier","Normal")</f>
        <v>Outlier</v>
      </c>
      <c r="G1452" s="19" t="str">
        <f t="shared" si="22"/>
        <v>40-50</v>
      </c>
    </row>
    <row r="1453" spans="1:7" ht="20" customHeight="1" x14ac:dyDescent="0.35">
      <c r="A1453" s="17">
        <v>1452</v>
      </c>
      <c r="B1453" s="23" t="s">
        <v>100</v>
      </c>
      <c r="C1453" s="18" t="s">
        <v>126</v>
      </c>
      <c r="D1453" s="18">
        <v>22</v>
      </c>
      <c r="E1453" s="18" t="s">
        <v>130</v>
      </c>
      <c r="F1453" s="18" t="str">
        <f>IF(OR(D1453&gt;Answers!L1468,D1453&lt;Answers!L1469),"Outlier","Normal")</f>
        <v>Outlier</v>
      </c>
      <c r="G1453" s="19" t="str">
        <f t="shared" si="22"/>
        <v>20-30</v>
      </c>
    </row>
    <row r="1454" spans="1:7" ht="20" customHeight="1" x14ac:dyDescent="0.35">
      <c r="A1454" s="17">
        <v>1453</v>
      </c>
      <c r="B1454" s="23" t="s">
        <v>106</v>
      </c>
      <c r="C1454" s="18" t="s">
        <v>125</v>
      </c>
      <c r="D1454" s="18">
        <v>24</v>
      </c>
      <c r="E1454" s="18" t="s">
        <v>130</v>
      </c>
      <c r="F1454" s="18" t="str">
        <f>IF(OR(D1454&gt;Answers!L1469,D1454&lt;Answers!L1470),"Outlier","Normal")</f>
        <v>Outlier</v>
      </c>
      <c r="G1454" s="19" t="str">
        <f t="shared" si="22"/>
        <v>20-30</v>
      </c>
    </row>
    <row r="1455" spans="1:7" ht="20" customHeight="1" x14ac:dyDescent="0.35">
      <c r="A1455" s="17">
        <v>1454</v>
      </c>
      <c r="B1455" s="23" t="s">
        <v>105</v>
      </c>
      <c r="C1455" s="18" t="s">
        <v>126</v>
      </c>
      <c r="D1455" s="18">
        <v>71</v>
      </c>
      <c r="E1455" s="18" t="s">
        <v>130</v>
      </c>
      <c r="F1455" s="18" t="str">
        <f>IF(OR(D1455&gt;Answers!L1470,D1455&lt;Answers!L1471),"Outlier","Normal")</f>
        <v>Outlier</v>
      </c>
      <c r="G1455" s="19" t="str">
        <f t="shared" si="22"/>
        <v>40-50</v>
      </c>
    </row>
    <row r="1456" spans="1:7" ht="20" customHeight="1" x14ac:dyDescent="0.35">
      <c r="A1456" s="17">
        <v>1455</v>
      </c>
      <c r="B1456" s="23" t="s">
        <v>99</v>
      </c>
      <c r="C1456" s="18" t="s">
        <v>126</v>
      </c>
      <c r="D1456" s="18">
        <v>87</v>
      </c>
      <c r="E1456" s="18" t="s">
        <v>130</v>
      </c>
      <c r="F1456" s="18" t="str">
        <f>IF(OR(D1456&gt;Answers!L1471,D1456&lt;Answers!L1472),"Outlier","Normal")</f>
        <v>Outlier</v>
      </c>
      <c r="G1456" s="19" t="str">
        <f t="shared" si="22"/>
        <v>40-50</v>
      </c>
    </row>
    <row r="1457" spans="1:7" ht="20" customHeight="1" x14ac:dyDescent="0.35">
      <c r="A1457" s="17">
        <v>1456</v>
      </c>
      <c r="B1457" s="23" t="s">
        <v>105</v>
      </c>
      <c r="C1457" s="18" t="s">
        <v>126</v>
      </c>
      <c r="D1457" s="18">
        <v>35</v>
      </c>
      <c r="E1457" s="18" t="s">
        <v>130</v>
      </c>
      <c r="F1457" s="18" t="str">
        <f>IF(OR(D1457&gt;Answers!L1472,D1457&lt;Answers!L1473),"Outlier","Normal")</f>
        <v>Outlier</v>
      </c>
      <c r="G1457" s="19" t="str">
        <f t="shared" si="22"/>
        <v>30-40</v>
      </c>
    </row>
    <row r="1458" spans="1:7" ht="20" customHeight="1" x14ac:dyDescent="0.35">
      <c r="A1458" s="17">
        <v>1457</v>
      </c>
      <c r="B1458" s="23" t="s">
        <v>101</v>
      </c>
      <c r="C1458" s="18" t="s">
        <v>125</v>
      </c>
      <c r="D1458" s="18">
        <v>49</v>
      </c>
      <c r="E1458" s="18" t="s">
        <v>130</v>
      </c>
      <c r="F1458" s="18" t="str">
        <f>IF(OR(D1458&gt;Answers!L1473,D1458&lt;Answers!L1474),"Outlier","Normal")</f>
        <v>Outlier</v>
      </c>
      <c r="G1458" s="19" t="str">
        <f t="shared" si="22"/>
        <v>40-50</v>
      </c>
    </row>
    <row r="1459" spans="1:7" ht="20" customHeight="1" x14ac:dyDescent="0.35">
      <c r="A1459" s="17">
        <v>1458</v>
      </c>
      <c r="B1459" s="23" t="s">
        <v>100</v>
      </c>
      <c r="C1459" s="18" t="s">
        <v>125</v>
      </c>
      <c r="D1459" s="18">
        <v>67</v>
      </c>
      <c r="E1459" s="18" t="s">
        <v>130</v>
      </c>
      <c r="F1459" s="18" t="str">
        <f>IF(OR(D1459&gt;Answers!L1474,D1459&lt;Answers!L1475),"Outlier","Normal")</f>
        <v>Outlier</v>
      </c>
      <c r="G1459" s="19" t="str">
        <f t="shared" si="22"/>
        <v>40-50</v>
      </c>
    </row>
    <row r="1460" spans="1:7" ht="20" customHeight="1" x14ac:dyDescent="0.35">
      <c r="A1460" s="17">
        <v>1459</v>
      </c>
      <c r="B1460" s="23" t="s">
        <v>100</v>
      </c>
      <c r="C1460" s="18" t="s">
        <v>125</v>
      </c>
      <c r="D1460" s="18">
        <v>59</v>
      </c>
      <c r="E1460" s="18" t="s">
        <v>130</v>
      </c>
      <c r="F1460" s="18" t="str">
        <f>IF(OR(D1460&gt;Answers!L1475,D1460&lt;Answers!L1476),"Outlier","Normal")</f>
        <v>Outlier</v>
      </c>
      <c r="G1460" s="19" t="str">
        <f t="shared" si="22"/>
        <v>40-50</v>
      </c>
    </row>
    <row r="1461" spans="1:7" ht="20" customHeight="1" x14ac:dyDescent="0.35">
      <c r="A1461" s="17">
        <v>1460</v>
      </c>
      <c r="B1461" s="23" t="s">
        <v>107</v>
      </c>
      <c r="C1461" s="18" t="s">
        <v>125</v>
      </c>
      <c r="D1461" s="18">
        <v>63</v>
      </c>
      <c r="E1461" s="18" t="s">
        <v>130</v>
      </c>
      <c r="F1461" s="18" t="str">
        <f>IF(OR(D1461&gt;Answers!L1476,D1461&lt;Answers!L1477),"Outlier","Normal")</f>
        <v>Outlier</v>
      </c>
      <c r="G1461" s="19" t="str">
        <f t="shared" si="22"/>
        <v>40-50</v>
      </c>
    </row>
    <row r="1462" spans="1:7" ht="20" customHeight="1" x14ac:dyDescent="0.35">
      <c r="A1462" s="17">
        <v>1461</v>
      </c>
      <c r="B1462" s="23" t="s">
        <v>99</v>
      </c>
      <c r="C1462" s="18" t="s">
        <v>125</v>
      </c>
      <c r="D1462" s="18">
        <v>77</v>
      </c>
      <c r="E1462" s="18" t="s">
        <v>130</v>
      </c>
      <c r="F1462" s="18" t="str">
        <f>IF(OR(D1462&gt;Answers!L1477,D1462&lt;Answers!L1478),"Outlier","Normal")</f>
        <v>Outlier</v>
      </c>
      <c r="G1462" s="19" t="str">
        <f t="shared" si="22"/>
        <v>40-50</v>
      </c>
    </row>
    <row r="1463" spans="1:7" ht="20" customHeight="1" x14ac:dyDescent="0.35">
      <c r="A1463" s="17">
        <v>1462</v>
      </c>
      <c r="B1463" s="23" t="s">
        <v>99</v>
      </c>
      <c r="C1463" s="18" t="s">
        <v>125</v>
      </c>
      <c r="D1463" s="18">
        <v>65</v>
      </c>
      <c r="E1463" s="18" t="s">
        <v>130</v>
      </c>
      <c r="F1463" s="18" t="str">
        <f>IF(OR(D1463&gt;Answers!L1478,D1463&lt;Answers!L1479),"Outlier","Normal")</f>
        <v>Outlier</v>
      </c>
      <c r="G1463" s="19" t="str">
        <f t="shared" si="22"/>
        <v>40-50</v>
      </c>
    </row>
    <row r="1464" spans="1:7" ht="20" customHeight="1" x14ac:dyDescent="0.35">
      <c r="A1464" s="17">
        <v>1463</v>
      </c>
      <c r="B1464" s="23" t="s">
        <v>101</v>
      </c>
      <c r="C1464" s="18" t="s">
        <v>126</v>
      </c>
      <c r="D1464" s="18">
        <v>31</v>
      </c>
      <c r="E1464" s="18" t="s">
        <v>130</v>
      </c>
      <c r="F1464" s="18" t="str">
        <f>IF(OR(D1464&gt;Answers!L1479,D1464&lt;Answers!L1480),"Outlier","Normal")</f>
        <v>Outlier</v>
      </c>
      <c r="G1464" s="19" t="str">
        <f t="shared" si="22"/>
        <v>30-40</v>
      </c>
    </row>
    <row r="1465" spans="1:7" ht="20" customHeight="1" x14ac:dyDescent="0.35">
      <c r="A1465" s="17">
        <v>1464</v>
      </c>
      <c r="B1465" s="23" t="s">
        <v>100</v>
      </c>
      <c r="C1465" s="18" t="s">
        <v>126</v>
      </c>
      <c r="D1465" s="18">
        <v>73</v>
      </c>
      <c r="E1465" s="18" t="s">
        <v>130</v>
      </c>
      <c r="F1465" s="18" t="str">
        <f>IF(OR(D1465&gt;Answers!L1480,D1465&lt;Answers!L1481),"Outlier","Normal")</f>
        <v>Outlier</v>
      </c>
      <c r="G1465" s="19" t="str">
        <f t="shared" si="22"/>
        <v>40-50</v>
      </c>
    </row>
    <row r="1466" spans="1:7" ht="20" customHeight="1" x14ac:dyDescent="0.35">
      <c r="A1466" s="17">
        <v>1465</v>
      </c>
      <c r="B1466" s="23" t="s">
        <v>100</v>
      </c>
      <c r="C1466" s="18" t="s">
        <v>125</v>
      </c>
      <c r="D1466" s="18">
        <v>71</v>
      </c>
      <c r="E1466" s="18" t="s">
        <v>130</v>
      </c>
      <c r="F1466" s="18" t="str">
        <f>IF(OR(D1466&gt;Answers!L1481,D1466&lt;Answers!L1482),"Outlier","Normal")</f>
        <v>Outlier</v>
      </c>
      <c r="G1466" s="19" t="str">
        <f t="shared" si="22"/>
        <v>40-50</v>
      </c>
    </row>
    <row r="1467" spans="1:7" ht="20" customHeight="1" x14ac:dyDescent="0.35">
      <c r="A1467" s="17">
        <v>1466</v>
      </c>
      <c r="B1467" s="23" t="s">
        <v>111</v>
      </c>
      <c r="C1467" s="18" t="s">
        <v>126</v>
      </c>
      <c r="D1467" s="18">
        <v>39</v>
      </c>
      <c r="E1467" s="18" t="s">
        <v>130</v>
      </c>
      <c r="F1467" s="18" t="str">
        <f>IF(OR(D1467&gt;Answers!L1482,D1467&lt;Answers!L1483),"Outlier","Normal")</f>
        <v>Outlier</v>
      </c>
      <c r="G1467" s="19" t="str">
        <f t="shared" si="22"/>
        <v>30-40</v>
      </c>
    </row>
    <row r="1468" spans="1:7" ht="20" customHeight="1" x14ac:dyDescent="0.35">
      <c r="A1468" s="17">
        <v>1467</v>
      </c>
      <c r="B1468" s="23" t="s">
        <v>99</v>
      </c>
      <c r="C1468" s="18" t="s">
        <v>126</v>
      </c>
      <c r="D1468" s="18">
        <v>18</v>
      </c>
      <c r="E1468" s="18" t="s">
        <v>130</v>
      </c>
      <c r="F1468" s="18" t="str">
        <f>IF(OR(D1468&gt;Answers!L1483,D1468&lt;Answers!L1484),"Outlier","Normal")</f>
        <v>Outlier</v>
      </c>
      <c r="G1468" s="19" t="str">
        <f t="shared" si="22"/>
        <v>&lt;20</v>
      </c>
    </row>
    <row r="1469" spans="1:7" ht="20" customHeight="1" x14ac:dyDescent="0.35">
      <c r="A1469" s="17">
        <v>1468</v>
      </c>
      <c r="B1469" s="23" t="s">
        <v>99</v>
      </c>
      <c r="C1469" s="18" t="s">
        <v>126</v>
      </c>
      <c r="D1469" s="18">
        <v>71</v>
      </c>
      <c r="E1469" s="18" t="s">
        <v>130</v>
      </c>
      <c r="F1469" s="18" t="str">
        <f>IF(OR(D1469&gt;Answers!L1484,D1469&lt;Answers!L1485),"Outlier","Normal")</f>
        <v>Outlier</v>
      </c>
      <c r="G1469" s="19" t="str">
        <f t="shared" si="22"/>
        <v>40-50</v>
      </c>
    </row>
    <row r="1470" spans="1:7" ht="20" customHeight="1" x14ac:dyDescent="0.35">
      <c r="A1470" s="17">
        <v>1469</v>
      </c>
      <c r="B1470" s="23" t="s">
        <v>107</v>
      </c>
      <c r="C1470" s="18" t="s">
        <v>126</v>
      </c>
      <c r="D1470" s="18">
        <v>38</v>
      </c>
      <c r="E1470" s="18" t="s">
        <v>130</v>
      </c>
      <c r="F1470" s="18" t="str">
        <f>IF(OR(D1470&gt;Answers!L1485,D1470&lt;Answers!L1486),"Outlier","Normal")</f>
        <v>Outlier</v>
      </c>
      <c r="G1470" s="19" t="str">
        <f t="shared" si="22"/>
        <v>30-40</v>
      </c>
    </row>
    <row r="1471" spans="1:7" ht="20" customHeight="1" x14ac:dyDescent="0.35">
      <c r="A1471" s="17">
        <v>1470</v>
      </c>
      <c r="B1471" s="23" t="s">
        <v>99</v>
      </c>
      <c r="C1471" s="18" t="s">
        <v>126</v>
      </c>
      <c r="D1471" s="18">
        <v>34</v>
      </c>
      <c r="E1471" s="18" t="s">
        <v>130</v>
      </c>
      <c r="F1471" s="18" t="str">
        <f>IF(OR(D1471&gt;Answers!L1486,D1471&lt;Answers!L1487),"Outlier","Normal")</f>
        <v>Outlier</v>
      </c>
      <c r="G1471" s="19" t="str">
        <f t="shared" si="22"/>
        <v>30-40</v>
      </c>
    </row>
    <row r="1472" spans="1:7" ht="20" customHeight="1" x14ac:dyDescent="0.35">
      <c r="A1472" s="17">
        <v>1471</v>
      </c>
      <c r="B1472" s="23" t="s">
        <v>107</v>
      </c>
      <c r="C1472" s="18" t="s">
        <v>126</v>
      </c>
      <c r="D1472" s="18">
        <v>69</v>
      </c>
      <c r="E1472" s="18" t="s">
        <v>130</v>
      </c>
      <c r="F1472" s="18" t="str">
        <f>IF(OR(D1472&gt;Answers!L1487,D1472&lt;Answers!L1488),"Outlier","Normal")</f>
        <v>Outlier</v>
      </c>
      <c r="G1472" s="19" t="str">
        <f t="shared" si="22"/>
        <v>40-50</v>
      </c>
    </row>
    <row r="1473" spans="1:7" ht="20" customHeight="1" x14ac:dyDescent="0.35">
      <c r="A1473" s="17">
        <v>1472</v>
      </c>
      <c r="B1473" s="23" t="s">
        <v>99</v>
      </c>
      <c r="C1473" s="18" t="s">
        <v>126</v>
      </c>
      <c r="D1473" s="18">
        <v>83</v>
      </c>
      <c r="E1473" s="18" t="s">
        <v>130</v>
      </c>
      <c r="F1473" s="18" t="str">
        <f>IF(OR(D1473&gt;Answers!L1488,D1473&lt;Answers!L1489),"Outlier","Normal")</f>
        <v>Outlier</v>
      </c>
      <c r="G1473" s="19" t="str">
        <f t="shared" si="22"/>
        <v>40-50</v>
      </c>
    </row>
    <row r="1474" spans="1:7" ht="20" customHeight="1" x14ac:dyDescent="0.35">
      <c r="A1474" s="17">
        <v>1473</v>
      </c>
      <c r="B1474" s="23" t="s">
        <v>99</v>
      </c>
      <c r="C1474" s="18" t="s">
        <v>126</v>
      </c>
      <c r="D1474" s="18">
        <v>40</v>
      </c>
      <c r="E1474" s="18" t="s">
        <v>130</v>
      </c>
      <c r="F1474" s="18" t="str">
        <f>IF(OR(D1474&gt;Answers!L1489,D1474&lt;Answers!L1490),"Outlier","Normal")</f>
        <v>Outlier</v>
      </c>
      <c r="G1474" s="19" t="str">
        <f t="shared" si="22"/>
        <v>30-40</v>
      </c>
    </row>
    <row r="1475" spans="1:7" ht="20" customHeight="1" x14ac:dyDescent="0.35">
      <c r="A1475" s="17">
        <v>1474</v>
      </c>
      <c r="B1475" s="23" t="s">
        <v>99</v>
      </c>
      <c r="C1475" s="18" t="s">
        <v>125</v>
      </c>
      <c r="D1475" s="18">
        <v>25</v>
      </c>
      <c r="E1475" s="18" t="s">
        <v>130</v>
      </c>
      <c r="F1475" s="18" t="str">
        <f>IF(OR(D1475&gt;Answers!L1490,D1475&lt;Answers!L1491),"Outlier","Normal")</f>
        <v>Outlier</v>
      </c>
      <c r="G1475" s="19" t="str">
        <f t="shared" ref="G1475:G1538" si="23">IF(D1475&lt;20,"&lt;20",
IF(D1475&lt;=30,"20-30",
IF(D1475&lt;=40,"30-40","40-50")))</f>
        <v>20-30</v>
      </c>
    </row>
    <row r="1476" spans="1:7" ht="20" customHeight="1" x14ac:dyDescent="0.35">
      <c r="A1476" s="17">
        <v>1475</v>
      </c>
      <c r="B1476" s="23" t="s">
        <v>105</v>
      </c>
      <c r="C1476" s="18" t="s">
        <v>126</v>
      </c>
      <c r="D1476" s="18">
        <v>25</v>
      </c>
      <c r="E1476" s="18" t="s">
        <v>130</v>
      </c>
      <c r="F1476" s="18" t="str">
        <f>IF(OR(D1476&gt;Answers!L1491,D1476&lt;Answers!L1492),"Outlier","Normal")</f>
        <v>Outlier</v>
      </c>
      <c r="G1476" s="19" t="str">
        <f t="shared" si="23"/>
        <v>20-30</v>
      </c>
    </row>
    <row r="1477" spans="1:7" ht="20" customHeight="1" x14ac:dyDescent="0.35">
      <c r="A1477" s="17">
        <v>1476</v>
      </c>
      <c r="B1477" s="23" t="s">
        <v>107</v>
      </c>
      <c r="C1477" s="18" t="s">
        <v>125</v>
      </c>
      <c r="D1477" s="18">
        <v>23</v>
      </c>
      <c r="E1477" s="18" t="s">
        <v>130</v>
      </c>
      <c r="F1477" s="18" t="str">
        <f>IF(OR(D1477&gt;Answers!L1492,D1477&lt;Answers!L1493),"Outlier","Normal")</f>
        <v>Outlier</v>
      </c>
      <c r="G1477" s="19" t="str">
        <f t="shared" si="23"/>
        <v>20-30</v>
      </c>
    </row>
    <row r="1478" spans="1:7" ht="20" customHeight="1" x14ac:dyDescent="0.35">
      <c r="A1478" s="17">
        <v>1477</v>
      </c>
      <c r="B1478" s="23" t="s">
        <v>105</v>
      </c>
      <c r="C1478" s="18" t="s">
        <v>126</v>
      </c>
      <c r="D1478" s="18">
        <v>73</v>
      </c>
      <c r="E1478" s="18" t="s">
        <v>130</v>
      </c>
      <c r="F1478" s="18" t="str">
        <f>IF(OR(D1478&gt;Answers!L1493,D1478&lt;Answers!L1494),"Outlier","Normal")</f>
        <v>Outlier</v>
      </c>
      <c r="G1478" s="19" t="str">
        <f t="shared" si="23"/>
        <v>40-50</v>
      </c>
    </row>
    <row r="1479" spans="1:7" ht="20" customHeight="1" x14ac:dyDescent="0.35">
      <c r="A1479" s="17">
        <v>1478</v>
      </c>
      <c r="B1479" s="23" t="s">
        <v>104</v>
      </c>
      <c r="C1479" s="18" t="s">
        <v>125</v>
      </c>
      <c r="D1479" s="18">
        <v>43</v>
      </c>
      <c r="E1479" s="18" t="s">
        <v>130</v>
      </c>
      <c r="F1479" s="18" t="str">
        <f>IF(OR(D1479&gt;Answers!L1494,D1479&lt;Answers!L1495),"Outlier","Normal")</f>
        <v>Outlier</v>
      </c>
      <c r="G1479" s="19" t="str">
        <f t="shared" si="23"/>
        <v>40-50</v>
      </c>
    </row>
    <row r="1480" spans="1:7" ht="20" customHeight="1" x14ac:dyDescent="0.35">
      <c r="A1480" s="17">
        <v>1479</v>
      </c>
      <c r="B1480" s="23" t="s">
        <v>99</v>
      </c>
      <c r="C1480" s="18" t="s">
        <v>126</v>
      </c>
      <c r="D1480" s="18">
        <v>87</v>
      </c>
      <c r="E1480" s="18" t="s">
        <v>130</v>
      </c>
      <c r="F1480" s="18" t="str">
        <f>IF(OR(D1480&gt;Answers!L1495,D1480&lt;Answers!L1496),"Outlier","Normal")</f>
        <v>Outlier</v>
      </c>
      <c r="G1480" s="19" t="str">
        <f t="shared" si="23"/>
        <v>40-50</v>
      </c>
    </row>
    <row r="1481" spans="1:7" ht="20" customHeight="1" x14ac:dyDescent="0.35">
      <c r="A1481" s="17">
        <v>1480</v>
      </c>
      <c r="B1481" s="23" t="s">
        <v>102</v>
      </c>
      <c r="C1481" s="18" t="s">
        <v>125</v>
      </c>
      <c r="D1481" s="18">
        <v>43</v>
      </c>
      <c r="E1481" s="18" t="s">
        <v>130</v>
      </c>
      <c r="F1481" s="18" t="str">
        <f>IF(OR(D1481&gt;Answers!L1496,D1481&lt;Answers!L1497),"Outlier","Normal")</f>
        <v>Outlier</v>
      </c>
      <c r="G1481" s="19" t="str">
        <f t="shared" si="23"/>
        <v>40-50</v>
      </c>
    </row>
    <row r="1482" spans="1:7" ht="20" customHeight="1" x14ac:dyDescent="0.35">
      <c r="A1482" s="17">
        <v>1481</v>
      </c>
      <c r="B1482" s="23" t="s">
        <v>99</v>
      </c>
      <c r="C1482" s="18" t="s">
        <v>125</v>
      </c>
      <c r="D1482" s="18">
        <v>53</v>
      </c>
      <c r="E1482" s="18" t="s">
        <v>130</v>
      </c>
      <c r="F1482" s="18" t="str">
        <f>IF(OR(D1482&gt;Answers!L1497,D1482&lt;Answers!L1498),"Outlier","Normal")</f>
        <v>Outlier</v>
      </c>
      <c r="G1482" s="19" t="str">
        <f t="shared" si="23"/>
        <v>40-50</v>
      </c>
    </row>
    <row r="1483" spans="1:7" ht="20" customHeight="1" x14ac:dyDescent="0.35">
      <c r="A1483" s="17">
        <v>1482</v>
      </c>
      <c r="B1483" s="23" t="s">
        <v>100</v>
      </c>
      <c r="C1483" s="18" t="s">
        <v>125</v>
      </c>
      <c r="D1483" s="18">
        <v>24</v>
      </c>
      <c r="E1483" s="18" t="s">
        <v>130</v>
      </c>
      <c r="F1483" s="18" t="str">
        <f>IF(OR(D1483&gt;Answers!L1498,D1483&lt;Answers!L1499),"Outlier","Normal")</f>
        <v>Outlier</v>
      </c>
      <c r="G1483" s="19" t="str">
        <f t="shared" si="23"/>
        <v>20-30</v>
      </c>
    </row>
    <row r="1484" spans="1:7" ht="20" customHeight="1" x14ac:dyDescent="0.35">
      <c r="A1484" s="17">
        <v>1483</v>
      </c>
      <c r="B1484" s="23" t="s">
        <v>99</v>
      </c>
      <c r="C1484" s="18" t="s">
        <v>125</v>
      </c>
      <c r="D1484" s="18">
        <v>82</v>
      </c>
      <c r="E1484" s="18" t="s">
        <v>130</v>
      </c>
      <c r="F1484" s="18" t="str">
        <f>IF(OR(D1484&gt;Answers!L1499,D1484&lt;Answers!L1500),"Outlier","Normal")</f>
        <v>Outlier</v>
      </c>
      <c r="G1484" s="19" t="str">
        <f t="shared" si="23"/>
        <v>40-50</v>
      </c>
    </row>
    <row r="1485" spans="1:7" ht="20" customHeight="1" x14ac:dyDescent="0.35">
      <c r="A1485" s="17">
        <v>1484</v>
      </c>
      <c r="B1485" s="23" t="s">
        <v>99</v>
      </c>
      <c r="C1485" s="18" t="s">
        <v>126</v>
      </c>
      <c r="D1485" s="18">
        <v>84</v>
      </c>
      <c r="E1485" s="18" t="s">
        <v>130</v>
      </c>
      <c r="F1485" s="18" t="str">
        <f>IF(OR(D1485&gt;Answers!L1500,D1485&lt;Answers!L1501),"Outlier","Normal")</f>
        <v>Outlier</v>
      </c>
      <c r="G1485" s="19" t="str">
        <f t="shared" si="23"/>
        <v>40-50</v>
      </c>
    </row>
    <row r="1486" spans="1:7" ht="20" customHeight="1" x14ac:dyDescent="0.35">
      <c r="A1486" s="17">
        <v>1485</v>
      </c>
      <c r="B1486" s="23" t="s">
        <v>105</v>
      </c>
      <c r="C1486" s="18" t="s">
        <v>126</v>
      </c>
      <c r="D1486" s="18">
        <v>38</v>
      </c>
      <c r="E1486" s="18" t="s">
        <v>130</v>
      </c>
      <c r="F1486" s="18" t="str">
        <f>IF(OR(D1486&gt;Answers!L1501,D1486&lt;Answers!L1502),"Outlier","Normal")</f>
        <v>Outlier</v>
      </c>
      <c r="G1486" s="19" t="str">
        <f t="shared" si="23"/>
        <v>30-40</v>
      </c>
    </row>
    <row r="1487" spans="1:7" ht="20" customHeight="1" x14ac:dyDescent="0.35">
      <c r="A1487" s="17">
        <v>1486</v>
      </c>
      <c r="B1487" s="23" t="s">
        <v>99</v>
      </c>
      <c r="C1487" s="18" t="s">
        <v>126</v>
      </c>
      <c r="D1487" s="18">
        <v>30</v>
      </c>
      <c r="E1487" s="18" t="s">
        <v>130</v>
      </c>
      <c r="F1487" s="18" t="str">
        <f>IF(OR(D1487&gt;Answers!L1502,D1487&lt;Answers!L1503),"Outlier","Normal")</f>
        <v>Outlier</v>
      </c>
      <c r="G1487" s="19" t="str">
        <f t="shared" si="23"/>
        <v>20-30</v>
      </c>
    </row>
    <row r="1488" spans="1:7" ht="20" customHeight="1" x14ac:dyDescent="0.35">
      <c r="A1488" s="17">
        <v>1487</v>
      </c>
      <c r="B1488" s="23" t="s">
        <v>107</v>
      </c>
      <c r="C1488" s="18" t="s">
        <v>125</v>
      </c>
      <c r="D1488" s="18">
        <v>76</v>
      </c>
      <c r="E1488" s="18" t="s">
        <v>130</v>
      </c>
      <c r="F1488" s="18" t="str">
        <f>IF(OR(D1488&gt;Answers!L1503,D1488&lt;Answers!L1504),"Outlier","Normal")</f>
        <v>Outlier</v>
      </c>
      <c r="G1488" s="19" t="str">
        <f t="shared" si="23"/>
        <v>40-50</v>
      </c>
    </row>
    <row r="1489" spans="1:7" ht="20" customHeight="1" x14ac:dyDescent="0.35">
      <c r="A1489" s="17">
        <v>1488</v>
      </c>
      <c r="B1489" s="23" t="s">
        <v>99</v>
      </c>
      <c r="C1489" s="18" t="s">
        <v>125</v>
      </c>
      <c r="D1489" s="18">
        <v>35</v>
      </c>
      <c r="E1489" s="18" t="s">
        <v>130</v>
      </c>
      <c r="F1489" s="18" t="str">
        <f>IF(OR(D1489&gt;Answers!L1504,D1489&lt;Answers!L1505),"Outlier","Normal")</f>
        <v>Outlier</v>
      </c>
      <c r="G1489" s="19" t="str">
        <f t="shared" si="23"/>
        <v>30-40</v>
      </c>
    </row>
    <row r="1490" spans="1:7" ht="20" customHeight="1" x14ac:dyDescent="0.35">
      <c r="A1490" s="17">
        <v>1489</v>
      </c>
      <c r="B1490" s="23" t="s">
        <v>105</v>
      </c>
      <c r="C1490" s="18" t="s">
        <v>126</v>
      </c>
      <c r="D1490" s="18">
        <v>46</v>
      </c>
      <c r="E1490" s="18" t="s">
        <v>130</v>
      </c>
      <c r="F1490" s="18" t="str">
        <f>IF(OR(D1490&gt;Answers!L1505,D1490&lt;Answers!L1506),"Outlier","Normal")</f>
        <v>Outlier</v>
      </c>
      <c r="G1490" s="19" t="str">
        <f t="shared" si="23"/>
        <v>40-50</v>
      </c>
    </row>
    <row r="1491" spans="1:7" ht="20" customHeight="1" x14ac:dyDescent="0.35">
      <c r="A1491" s="17">
        <v>1490</v>
      </c>
      <c r="B1491" s="23" t="s">
        <v>105</v>
      </c>
      <c r="C1491" s="18" t="s">
        <v>126</v>
      </c>
      <c r="D1491" s="18">
        <v>30</v>
      </c>
      <c r="E1491" s="18" t="s">
        <v>130</v>
      </c>
      <c r="F1491" s="18" t="str">
        <f>IF(OR(D1491&gt;Answers!L1506,D1491&lt;Answers!L1507),"Outlier","Normal")</f>
        <v>Outlier</v>
      </c>
      <c r="G1491" s="19" t="str">
        <f t="shared" si="23"/>
        <v>20-30</v>
      </c>
    </row>
    <row r="1492" spans="1:7" ht="20" customHeight="1" x14ac:dyDescent="0.35">
      <c r="A1492" s="17">
        <v>1491</v>
      </c>
      <c r="B1492" s="23" t="s">
        <v>99</v>
      </c>
      <c r="C1492" s="18" t="s">
        <v>126</v>
      </c>
      <c r="D1492" s="18">
        <v>67</v>
      </c>
      <c r="E1492" s="18" t="s">
        <v>130</v>
      </c>
      <c r="F1492" s="18" t="str">
        <f>IF(OR(D1492&gt;Answers!L1507,D1492&lt;Answers!L1508),"Outlier","Normal")</f>
        <v>Outlier</v>
      </c>
      <c r="G1492" s="19" t="str">
        <f t="shared" si="23"/>
        <v>40-50</v>
      </c>
    </row>
    <row r="1493" spans="1:7" ht="20" customHeight="1" x14ac:dyDescent="0.35">
      <c r="A1493" s="17">
        <v>1492</v>
      </c>
      <c r="B1493" s="23" t="s">
        <v>99</v>
      </c>
      <c r="C1493" s="18" t="s">
        <v>126</v>
      </c>
      <c r="D1493" s="18">
        <v>78</v>
      </c>
      <c r="E1493" s="18" t="s">
        <v>130</v>
      </c>
      <c r="F1493" s="18" t="str">
        <f>IF(OR(D1493&gt;Answers!L1508,D1493&lt;Answers!L1509),"Outlier","Normal")</f>
        <v>Outlier</v>
      </c>
      <c r="G1493" s="19" t="str">
        <f t="shared" si="23"/>
        <v>40-50</v>
      </c>
    </row>
    <row r="1494" spans="1:7" ht="20" customHeight="1" x14ac:dyDescent="0.35">
      <c r="A1494" s="17">
        <v>1493</v>
      </c>
      <c r="B1494" s="23" t="s">
        <v>108</v>
      </c>
      <c r="C1494" s="18" t="s">
        <v>126</v>
      </c>
      <c r="D1494" s="18">
        <v>25</v>
      </c>
      <c r="E1494" s="18" t="s">
        <v>130</v>
      </c>
      <c r="F1494" s="18" t="str">
        <f>IF(OR(D1494&gt;Answers!L1509,D1494&lt;Answers!L1510),"Outlier","Normal")</f>
        <v>Outlier</v>
      </c>
      <c r="G1494" s="19" t="str">
        <f t="shared" si="23"/>
        <v>20-30</v>
      </c>
    </row>
    <row r="1495" spans="1:7" ht="20" customHeight="1" x14ac:dyDescent="0.35">
      <c r="A1495" s="17">
        <v>1494</v>
      </c>
      <c r="B1495" s="23" t="s">
        <v>105</v>
      </c>
      <c r="C1495" s="18" t="s">
        <v>125</v>
      </c>
      <c r="D1495" s="18">
        <v>35</v>
      </c>
      <c r="E1495" s="18" t="s">
        <v>130</v>
      </c>
      <c r="F1495" s="18" t="str">
        <f>IF(OR(D1495&gt;Answers!L1510,D1495&lt;Answers!L1511),"Outlier","Normal")</f>
        <v>Outlier</v>
      </c>
      <c r="G1495" s="19" t="str">
        <f t="shared" si="23"/>
        <v>30-40</v>
      </c>
    </row>
    <row r="1496" spans="1:7" ht="20" customHeight="1" x14ac:dyDescent="0.35">
      <c r="A1496" s="17">
        <v>1495</v>
      </c>
      <c r="B1496" s="23" t="s">
        <v>108</v>
      </c>
      <c r="C1496" s="18" t="s">
        <v>125</v>
      </c>
      <c r="D1496" s="18">
        <v>34</v>
      </c>
      <c r="E1496" s="18" t="s">
        <v>130</v>
      </c>
      <c r="F1496" s="18" t="str">
        <f>IF(OR(D1496&gt;Answers!L1511,D1496&lt;Answers!L1512),"Outlier","Normal")</f>
        <v>Outlier</v>
      </c>
      <c r="G1496" s="19" t="str">
        <f t="shared" si="23"/>
        <v>30-40</v>
      </c>
    </row>
    <row r="1497" spans="1:7" ht="20" customHeight="1" x14ac:dyDescent="0.35">
      <c r="A1497" s="17">
        <v>1496</v>
      </c>
      <c r="B1497" s="23" t="s">
        <v>99</v>
      </c>
      <c r="C1497" s="18" t="s">
        <v>126</v>
      </c>
      <c r="D1497" s="18">
        <v>74</v>
      </c>
      <c r="E1497" s="18" t="s">
        <v>130</v>
      </c>
      <c r="F1497" s="18" t="str">
        <f>IF(OR(D1497&gt;Answers!L1512,D1497&lt;Answers!L1513),"Outlier","Normal")</f>
        <v>Outlier</v>
      </c>
      <c r="G1497" s="19" t="str">
        <f t="shared" si="23"/>
        <v>40-50</v>
      </c>
    </row>
    <row r="1498" spans="1:7" ht="20" customHeight="1" x14ac:dyDescent="0.35">
      <c r="A1498" s="17">
        <v>1497</v>
      </c>
      <c r="B1498" s="23" t="s">
        <v>105</v>
      </c>
      <c r="C1498" s="18" t="s">
        <v>126</v>
      </c>
      <c r="D1498" s="18">
        <f>ROUND(AVERAGE(D1495:D1497),0)</f>
        <v>48</v>
      </c>
      <c r="E1498" s="18" t="s">
        <v>130</v>
      </c>
      <c r="F1498" s="18" t="str">
        <f>IF(OR(D1498&gt;Answers!L1513,D1498&lt;Answers!L1514),"Outlier","Normal")</f>
        <v>Outlier</v>
      </c>
      <c r="G1498" s="19" t="str">
        <f t="shared" si="23"/>
        <v>40-50</v>
      </c>
    </row>
    <row r="1499" spans="1:7" ht="20" customHeight="1" x14ac:dyDescent="0.35">
      <c r="A1499" s="17">
        <v>1498</v>
      </c>
      <c r="B1499" s="23" t="s">
        <v>109</v>
      </c>
      <c r="C1499" s="18" t="s">
        <v>126</v>
      </c>
      <c r="D1499" s="18">
        <v>75</v>
      </c>
      <c r="E1499" s="18" t="s">
        <v>130</v>
      </c>
      <c r="F1499" s="18" t="str">
        <f>IF(OR(D1499&gt;Answers!L1514,D1499&lt;Answers!L1515),"Outlier","Normal")</f>
        <v>Outlier</v>
      </c>
      <c r="G1499" s="19" t="str">
        <f t="shared" si="23"/>
        <v>40-50</v>
      </c>
    </row>
    <row r="1500" spans="1:7" ht="20" customHeight="1" x14ac:dyDescent="0.35">
      <c r="A1500" s="17">
        <v>1499</v>
      </c>
      <c r="B1500" s="23" t="s">
        <v>99</v>
      </c>
      <c r="C1500" s="18" t="s">
        <v>126</v>
      </c>
      <c r="D1500" s="18">
        <v>48</v>
      </c>
      <c r="E1500" s="18" t="s">
        <v>130</v>
      </c>
      <c r="F1500" s="18" t="str">
        <f>IF(OR(D1500&gt;Answers!L1515,D1500&lt;Answers!L1516),"Outlier","Normal")</f>
        <v>Outlier</v>
      </c>
      <c r="G1500" s="19" t="str">
        <f t="shared" si="23"/>
        <v>40-50</v>
      </c>
    </row>
    <row r="1501" spans="1:7" ht="20" customHeight="1" x14ac:dyDescent="0.35">
      <c r="A1501" s="17">
        <v>1500</v>
      </c>
      <c r="B1501" s="23" t="s">
        <v>99</v>
      </c>
      <c r="C1501" s="18" t="s">
        <v>125</v>
      </c>
      <c r="D1501" s="18">
        <v>19</v>
      </c>
      <c r="E1501" s="18" t="s">
        <v>130</v>
      </c>
      <c r="F1501" s="18" t="str">
        <f>IF(OR(D1501&gt;Answers!L1516,D1501&lt;Answers!L1517),"Outlier","Normal")</f>
        <v>Outlier</v>
      </c>
      <c r="G1501" s="19" t="str">
        <f t="shared" si="23"/>
        <v>&lt;20</v>
      </c>
    </row>
    <row r="1502" spans="1:7" ht="20" customHeight="1" x14ac:dyDescent="0.35">
      <c r="A1502" s="17">
        <v>1501</v>
      </c>
      <c r="B1502" s="23" t="s">
        <v>99</v>
      </c>
      <c r="C1502" s="18" t="s">
        <v>125</v>
      </c>
      <c r="D1502" s="18">
        <v>51</v>
      </c>
      <c r="E1502" s="18" t="s">
        <v>131</v>
      </c>
      <c r="F1502" s="18" t="str">
        <f>IF(OR(D1502&gt;Answers!L1517,D1502&lt;Answers!L1518),"Outlier","Normal")</f>
        <v>Outlier</v>
      </c>
      <c r="G1502" s="19" t="str">
        <f t="shared" si="23"/>
        <v>40-50</v>
      </c>
    </row>
    <row r="1503" spans="1:7" ht="20" customHeight="1" x14ac:dyDescent="0.35">
      <c r="A1503" s="17">
        <v>1502</v>
      </c>
      <c r="B1503" s="23" t="s">
        <v>105</v>
      </c>
      <c r="C1503" s="18" t="s">
        <v>126</v>
      </c>
      <c r="D1503" s="18">
        <v>33</v>
      </c>
      <c r="E1503" s="18" t="s">
        <v>131</v>
      </c>
      <c r="F1503" s="18" t="str">
        <f>IF(OR(D1503&gt;Answers!L1518,D1503&lt;Answers!L1519),"Outlier","Normal")</f>
        <v>Outlier</v>
      </c>
      <c r="G1503" s="19" t="str">
        <f t="shared" si="23"/>
        <v>30-40</v>
      </c>
    </row>
    <row r="1504" spans="1:7" ht="20" customHeight="1" x14ac:dyDescent="0.35">
      <c r="A1504" s="17">
        <v>1503</v>
      </c>
      <c r="B1504" s="23" t="s">
        <v>103</v>
      </c>
      <c r="C1504" s="18" t="s">
        <v>126</v>
      </c>
      <c r="D1504" s="18">
        <v>79</v>
      </c>
      <c r="E1504" s="18" t="s">
        <v>131</v>
      </c>
      <c r="F1504" s="18" t="str">
        <f>IF(OR(D1504&gt;Answers!L1519,D1504&lt;Answers!L1520),"Outlier","Normal")</f>
        <v>Outlier</v>
      </c>
      <c r="G1504" s="19" t="str">
        <f t="shared" si="23"/>
        <v>40-50</v>
      </c>
    </row>
    <row r="1505" spans="1:7" ht="20" customHeight="1" x14ac:dyDescent="0.35">
      <c r="A1505" s="17">
        <v>1504</v>
      </c>
      <c r="B1505" s="23" t="s">
        <v>100</v>
      </c>
      <c r="C1505" s="18" t="s">
        <v>126</v>
      </c>
      <c r="D1505" s="18">
        <v>33</v>
      </c>
      <c r="E1505" s="18" t="s">
        <v>131</v>
      </c>
      <c r="F1505" s="18" t="str">
        <f>IF(OR(D1505&gt;Answers!L1520,D1505&lt;Answers!L1521),"Outlier","Normal")</f>
        <v>Outlier</v>
      </c>
      <c r="G1505" s="19" t="str">
        <f t="shared" si="23"/>
        <v>30-40</v>
      </c>
    </row>
    <row r="1506" spans="1:7" ht="20" customHeight="1" x14ac:dyDescent="0.35">
      <c r="A1506" s="17">
        <v>1505</v>
      </c>
      <c r="B1506" s="23" t="s">
        <v>99</v>
      </c>
      <c r="C1506" s="18" t="s">
        <v>125</v>
      </c>
      <c r="D1506" s="18">
        <v>48</v>
      </c>
      <c r="E1506" s="18" t="s">
        <v>131</v>
      </c>
      <c r="F1506" s="18" t="str">
        <f>IF(OR(D1506&gt;Answers!L1521,D1506&lt;Answers!L1522),"Outlier","Normal")</f>
        <v>Outlier</v>
      </c>
      <c r="G1506" s="19" t="str">
        <f t="shared" si="23"/>
        <v>40-50</v>
      </c>
    </row>
    <row r="1507" spans="1:7" ht="20" customHeight="1" x14ac:dyDescent="0.35">
      <c r="A1507" s="17">
        <v>1506</v>
      </c>
      <c r="B1507" s="23" t="s">
        <v>99</v>
      </c>
      <c r="C1507" s="18" t="s">
        <v>125</v>
      </c>
      <c r="D1507" s="18">
        <v>18</v>
      </c>
      <c r="E1507" s="18" t="s">
        <v>131</v>
      </c>
      <c r="F1507" s="18" t="str">
        <f>IF(OR(D1507&gt;Answers!L1522,D1507&lt;Answers!L1523),"Outlier","Normal")</f>
        <v>Outlier</v>
      </c>
      <c r="G1507" s="19" t="str">
        <f t="shared" si="23"/>
        <v>&lt;20</v>
      </c>
    </row>
    <row r="1508" spans="1:7" ht="20" customHeight="1" x14ac:dyDescent="0.35">
      <c r="A1508" s="17">
        <v>1507</v>
      </c>
      <c r="B1508" s="23" t="s">
        <v>99</v>
      </c>
      <c r="C1508" s="18" t="s">
        <v>126</v>
      </c>
      <c r="D1508" s="18">
        <v>78</v>
      </c>
      <c r="E1508" s="18" t="s">
        <v>131</v>
      </c>
      <c r="F1508" s="18" t="str">
        <f>IF(OR(D1508&gt;Answers!L1523,D1508&lt;Answers!L1524),"Outlier","Normal")</f>
        <v>Outlier</v>
      </c>
      <c r="G1508" s="19" t="str">
        <f t="shared" si="23"/>
        <v>40-50</v>
      </c>
    </row>
    <row r="1509" spans="1:7" ht="20" customHeight="1" x14ac:dyDescent="0.35">
      <c r="A1509" s="17">
        <v>1508</v>
      </c>
      <c r="B1509" s="23" t="s">
        <v>99</v>
      </c>
      <c r="C1509" s="18" t="s">
        <v>125</v>
      </c>
      <c r="D1509" s="18">
        <v>73</v>
      </c>
      <c r="E1509" s="18" t="s">
        <v>131</v>
      </c>
      <c r="F1509" s="18" t="str">
        <f>IF(OR(D1509&gt;Answers!L1524,D1509&lt;Answers!L1525),"Outlier","Normal")</f>
        <v>Outlier</v>
      </c>
      <c r="G1509" s="19" t="str">
        <f t="shared" si="23"/>
        <v>40-50</v>
      </c>
    </row>
    <row r="1510" spans="1:7" ht="20" customHeight="1" x14ac:dyDescent="0.35">
      <c r="A1510" s="17">
        <v>1509</v>
      </c>
      <c r="B1510" s="23" t="s">
        <v>99</v>
      </c>
      <c r="C1510" s="18" t="s">
        <v>125</v>
      </c>
      <c r="D1510" s="18">
        <v>31</v>
      </c>
      <c r="E1510" s="18" t="s">
        <v>131</v>
      </c>
      <c r="F1510" s="18" t="str">
        <f>IF(OR(D1510&gt;Answers!L1525,D1510&lt;Answers!L1526),"Outlier","Normal")</f>
        <v>Outlier</v>
      </c>
      <c r="G1510" s="19" t="str">
        <f t="shared" si="23"/>
        <v>30-40</v>
      </c>
    </row>
    <row r="1511" spans="1:7" ht="20" customHeight="1" x14ac:dyDescent="0.35">
      <c r="A1511" s="17">
        <v>1510</v>
      </c>
      <c r="B1511" s="23" t="s">
        <v>103</v>
      </c>
      <c r="C1511" s="18" t="s">
        <v>125</v>
      </c>
      <c r="D1511" s="18">
        <v>23</v>
      </c>
      <c r="E1511" s="18" t="s">
        <v>131</v>
      </c>
      <c r="F1511" s="18" t="str">
        <f>IF(OR(D1511&gt;Answers!L1526,D1511&lt;Answers!L1527),"Outlier","Normal")</f>
        <v>Outlier</v>
      </c>
      <c r="G1511" s="19" t="str">
        <f t="shared" si="23"/>
        <v>20-30</v>
      </c>
    </row>
    <row r="1512" spans="1:7" ht="20" customHeight="1" x14ac:dyDescent="0.35">
      <c r="A1512" s="17">
        <v>1511</v>
      </c>
      <c r="B1512" s="23" t="s">
        <v>99</v>
      </c>
      <c r="C1512" s="18" t="s">
        <v>125</v>
      </c>
      <c r="D1512" s="18">
        <v>19</v>
      </c>
      <c r="E1512" s="18" t="s">
        <v>131</v>
      </c>
      <c r="F1512" s="18" t="str">
        <f>IF(OR(D1512&gt;Answers!L1527,D1512&lt;Answers!L1528),"Outlier","Normal")</f>
        <v>Outlier</v>
      </c>
      <c r="G1512" s="19" t="str">
        <f t="shared" si="23"/>
        <v>&lt;20</v>
      </c>
    </row>
    <row r="1513" spans="1:7" ht="20" customHeight="1" x14ac:dyDescent="0.35">
      <c r="A1513" s="17">
        <v>1512</v>
      </c>
      <c r="B1513" s="23" t="s">
        <v>108</v>
      </c>
      <c r="C1513" s="18" t="s">
        <v>126</v>
      </c>
      <c r="D1513" s="18">
        <v>28</v>
      </c>
      <c r="E1513" s="18" t="s">
        <v>131</v>
      </c>
      <c r="F1513" s="18" t="str">
        <f>IF(OR(D1513&gt;Answers!L1528,D1513&lt;Answers!L1529),"Outlier","Normal")</f>
        <v>Outlier</v>
      </c>
      <c r="G1513" s="19" t="str">
        <f t="shared" si="23"/>
        <v>20-30</v>
      </c>
    </row>
    <row r="1514" spans="1:7" ht="20" customHeight="1" x14ac:dyDescent="0.35">
      <c r="A1514" s="17">
        <v>1513</v>
      </c>
      <c r="B1514" s="23" t="s">
        <v>99</v>
      </c>
      <c r="C1514" s="18" t="s">
        <v>126</v>
      </c>
      <c r="D1514" s="18">
        <v>76</v>
      </c>
      <c r="E1514" s="18" t="s">
        <v>131</v>
      </c>
      <c r="F1514" s="18" t="str">
        <f>IF(OR(D1514&gt;Answers!L1529,D1514&lt;Answers!L1530),"Outlier","Normal")</f>
        <v>Outlier</v>
      </c>
      <c r="G1514" s="19" t="str">
        <f t="shared" si="23"/>
        <v>40-50</v>
      </c>
    </row>
    <row r="1515" spans="1:7" ht="20" customHeight="1" x14ac:dyDescent="0.35">
      <c r="A1515" s="17">
        <v>1514</v>
      </c>
      <c r="B1515" s="23" t="s">
        <v>100</v>
      </c>
      <c r="C1515" s="18" t="s">
        <v>125</v>
      </c>
      <c r="D1515" s="18">
        <v>42</v>
      </c>
      <c r="E1515" s="18" t="s">
        <v>131</v>
      </c>
      <c r="F1515" s="18" t="str">
        <f>IF(OR(D1515&gt;Answers!L1530,D1515&lt;Answers!L1531),"Outlier","Normal")</f>
        <v>Outlier</v>
      </c>
      <c r="G1515" s="19" t="str">
        <f t="shared" si="23"/>
        <v>40-50</v>
      </c>
    </row>
    <row r="1516" spans="1:7" ht="20" customHeight="1" x14ac:dyDescent="0.35">
      <c r="A1516" s="17">
        <v>1515</v>
      </c>
      <c r="B1516" s="23" t="s">
        <v>99</v>
      </c>
      <c r="C1516" s="18" t="s">
        <v>125</v>
      </c>
      <c r="D1516" s="18">
        <v>54</v>
      </c>
      <c r="E1516" s="18" t="s">
        <v>131</v>
      </c>
      <c r="F1516" s="18" t="str">
        <f>IF(OR(D1516&gt;Answers!L1531,D1516&lt;Answers!L1532),"Outlier","Normal")</f>
        <v>Outlier</v>
      </c>
      <c r="G1516" s="19" t="str">
        <f t="shared" si="23"/>
        <v>40-50</v>
      </c>
    </row>
    <row r="1517" spans="1:7" ht="20" customHeight="1" x14ac:dyDescent="0.35">
      <c r="A1517" s="17">
        <v>1516</v>
      </c>
      <c r="B1517" s="23" t="s">
        <v>103</v>
      </c>
      <c r="C1517" s="18" t="s">
        <v>126</v>
      </c>
      <c r="D1517" s="18">
        <v>25</v>
      </c>
      <c r="E1517" s="18" t="s">
        <v>131</v>
      </c>
      <c r="F1517" s="18" t="str">
        <f>IF(OR(D1517&gt;Answers!L1532,D1517&lt;Answers!L1533),"Outlier","Normal")</f>
        <v>Outlier</v>
      </c>
      <c r="G1517" s="19" t="str">
        <f t="shared" si="23"/>
        <v>20-30</v>
      </c>
    </row>
    <row r="1518" spans="1:7" ht="20" customHeight="1" x14ac:dyDescent="0.35">
      <c r="A1518" s="17">
        <v>1517</v>
      </c>
      <c r="B1518" s="23" t="s">
        <v>100</v>
      </c>
      <c r="C1518" s="18" t="s">
        <v>126</v>
      </c>
      <c r="D1518" s="18">
        <v>48</v>
      </c>
      <c r="E1518" s="18" t="s">
        <v>131</v>
      </c>
      <c r="F1518" s="18" t="str">
        <f>IF(OR(D1518&gt;Answers!L1533,D1518&lt;Answers!L1534),"Outlier","Normal")</f>
        <v>Outlier</v>
      </c>
      <c r="G1518" s="19" t="str">
        <f t="shared" si="23"/>
        <v>40-50</v>
      </c>
    </row>
    <row r="1519" spans="1:7" ht="20" customHeight="1" x14ac:dyDescent="0.35">
      <c r="A1519" s="17">
        <v>1518</v>
      </c>
      <c r="B1519" s="23" t="s">
        <v>99</v>
      </c>
      <c r="C1519" s="18" t="s">
        <v>126</v>
      </c>
      <c r="D1519" s="18">
        <v>66</v>
      </c>
      <c r="E1519" s="18" t="s">
        <v>131</v>
      </c>
      <c r="F1519" s="18" t="str">
        <f>IF(OR(D1519&gt;Answers!L1534,D1519&lt;Answers!L1535),"Outlier","Normal")</f>
        <v>Outlier</v>
      </c>
      <c r="G1519" s="19" t="str">
        <f t="shared" si="23"/>
        <v>40-50</v>
      </c>
    </row>
    <row r="1520" spans="1:7" ht="20" customHeight="1" x14ac:dyDescent="0.35">
      <c r="A1520" s="17">
        <v>1519</v>
      </c>
      <c r="B1520" s="23" t="s">
        <v>105</v>
      </c>
      <c r="C1520" s="18" t="s">
        <v>125</v>
      </c>
      <c r="D1520" s="18">
        <v>20</v>
      </c>
      <c r="E1520" s="18" t="s">
        <v>131</v>
      </c>
      <c r="F1520" s="18" t="str">
        <f>IF(OR(D1520&gt;Answers!L1535,D1520&lt;Answers!L1536),"Outlier","Normal")</f>
        <v>Outlier</v>
      </c>
      <c r="G1520" s="19" t="str">
        <f t="shared" si="23"/>
        <v>20-30</v>
      </c>
    </row>
    <row r="1521" spans="1:7" ht="20" customHeight="1" x14ac:dyDescent="0.35">
      <c r="A1521" s="17">
        <v>1520</v>
      </c>
      <c r="B1521" s="23" t="s">
        <v>99</v>
      </c>
      <c r="C1521" s="18" t="s">
        <v>126</v>
      </c>
      <c r="D1521" s="18">
        <v>28</v>
      </c>
      <c r="E1521" s="18" t="s">
        <v>131</v>
      </c>
      <c r="F1521" s="18" t="str">
        <f>IF(OR(D1521&gt;Answers!L1536,D1521&lt;Answers!L1537),"Outlier","Normal")</f>
        <v>Outlier</v>
      </c>
      <c r="G1521" s="19" t="str">
        <f t="shared" si="23"/>
        <v>20-30</v>
      </c>
    </row>
    <row r="1522" spans="1:7" ht="20" customHeight="1" x14ac:dyDescent="0.35">
      <c r="A1522" s="17">
        <v>1521</v>
      </c>
      <c r="B1522" s="23" t="s">
        <v>99</v>
      </c>
      <c r="C1522" s="18" t="s">
        <v>126</v>
      </c>
      <c r="D1522" s="18">
        <v>88</v>
      </c>
      <c r="E1522" s="18" t="s">
        <v>131</v>
      </c>
      <c r="F1522" s="18" t="str">
        <f>IF(OR(D1522&gt;Answers!L1537,D1522&lt;Answers!L1538),"Outlier","Normal")</f>
        <v>Outlier</v>
      </c>
      <c r="G1522" s="19" t="str">
        <f t="shared" si="23"/>
        <v>40-50</v>
      </c>
    </row>
    <row r="1523" spans="1:7" ht="20" customHeight="1" x14ac:dyDescent="0.35">
      <c r="A1523" s="17">
        <v>1522</v>
      </c>
      <c r="B1523" s="23" t="s">
        <v>99</v>
      </c>
      <c r="C1523" s="18" t="s">
        <v>125</v>
      </c>
      <c r="D1523" s="18">
        <v>81</v>
      </c>
      <c r="E1523" s="18" t="s">
        <v>131</v>
      </c>
      <c r="F1523" s="18" t="str">
        <f>IF(OR(D1523&gt;Answers!L1538,D1523&lt;Answers!L1539),"Outlier","Normal")</f>
        <v>Outlier</v>
      </c>
      <c r="G1523" s="19" t="str">
        <f t="shared" si="23"/>
        <v>40-50</v>
      </c>
    </row>
    <row r="1524" spans="1:7" ht="20" customHeight="1" x14ac:dyDescent="0.35">
      <c r="A1524" s="17">
        <v>1523</v>
      </c>
      <c r="B1524" s="23" t="s">
        <v>105</v>
      </c>
      <c r="C1524" s="18" t="s">
        <v>125</v>
      </c>
      <c r="D1524" s="18">
        <v>50</v>
      </c>
      <c r="E1524" s="18" t="s">
        <v>131</v>
      </c>
      <c r="F1524" s="18" t="str">
        <f>IF(OR(D1524&gt;Answers!L1539,D1524&lt;Answers!L1540),"Outlier","Normal")</f>
        <v>Outlier</v>
      </c>
      <c r="G1524" s="19" t="str">
        <f t="shared" si="23"/>
        <v>40-50</v>
      </c>
    </row>
    <row r="1525" spans="1:7" ht="20" customHeight="1" x14ac:dyDescent="0.35">
      <c r="A1525" s="17">
        <v>1524</v>
      </c>
      <c r="B1525" s="23" t="s">
        <v>100</v>
      </c>
      <c r="C1525" s="18" t="s">
        <v>126</v>
      </c>
      <c r="D1525" s="18">
        <v>75</v>
      </c>
      <c r="E1525" s="18" t="s">
        <v>131</v>
      </c>
      <c r="F1525" s="18" t="str">
        <f>IF(OR(D1525&gt;Answers!L1540,D1525&lt;Answers!L1541),"Outlier","Normal")</f>
        <v>Outlier</v>
      </c>
      <c r="G1525" s="19" t="str">
        <f t="shared" si="23"/>
        <v>40-50</v>
      </c>
    </row>
    <row r="1526" spans="1:7" ht="20" customHeight="1" x14ac:dyDescent="0.35">
      <c r="A1526" s="17">
        <v>1525</v>
      </c>
      <c r="B1526" s="23" t="s">
        <v>107</v>
      </c>
      <c r="C1526" s="18" t="s">
        <v>126</v>
      </c>
      <c r="D1526" s="18">
        <v>87</v>
      </c>
      <c r="E1526" s="18" t="s">
        <v>131</v>
      </c>
      <c r="F1526" s="18" t="str">
        <f>IF(OR(D1526&gt;Answers!L1541,D1526&lt;Answers!L1542),"Outlier","Normal")</f>
        <v>Outlier</v>
      </c>
      <c r="G1526" s="19" t="str">
        <f t="shared" si="23"/>
        <v>40-50</v>
      </c>
    </row>
    <row r="1527" spans="1:7" ht="20" customHeight="1" x14ac:dyDescent="0.35">
      <c r="A1527" s="17">
        <v>1526</v>
      </c>
      <c r="B1527" s="23" t="s">
        <v>99</v>
      </c>
      <c r="C1527" s="18" t="s">
        <v>126</v>
      </c>
      <c r="D1527" s="18">
        <v>50</v>
      </c>
      <c r="E1527" s="18" t="s">
        <v>131</v>
      </c>
      <c r="F1527" s="18" t="str">
        <f>IF(OR(D1527&gt;Answers!L1542,D1527&lt;Answers!L1543),"Outlier","Normal")</f>
        <v>Outlier</v>
      </c>
      <c r="G1527" s="19" t="str">
        <f t="shared" si="23"/>
        <v>40-50</v>
      </c>
    </row>
    <row r="1528" spans="1:7" ht="20" customHeight="1" x14ac:dyDescent="0.35">
      <c r="A1528" s="17">
        <v>1527</v>
      </c>
      <c r="B1528" s="23" t="s">
        <v>107</v>
      </c>
      <c r="C1528" s="18" t="s">
        <v>126</v>
      </c>
      <c r="D1528" s="18">
        <v>73</v>
      </c>
      <c r="E1528" s="18" t="s">
        <v>131</v>
      </c>
      <c r="F1528" s="18" t="str">
        <f>IF(OR(D1528&gt;Answers!L1543,D1528&lt;Answers!L1544),"Outlier","Normal")</f>
        <v>Outlier</v>
      </c>
      <c r="G1528" s="19" t="str">
        <f t="shared" si="23"/>
        <v>40-50</v>
      </c>
    </row>
    <row r="1529" spans="1:7" ht="20" customHeight="1" x14ac:dyDescent="0.35">
      <c r="A1529" s="17">
        <v>1528</v>
      </c>
      <c r="B1529" s="23" t="s">
        <v>99</v>
      </c>
      <c r="C1529" s="18" t="s">
        <v>126</v>
      </c>
      <c r="D1529" s="18">
        <v>58</v>
      </c>
      <c r="E1529" s="18" t="s">
        <v>131</v>
      </c>
      <c r="F1529" s="18" t="str">
        <f>IF(OR(D1529&gt;Answers!L1544,D1529&lt;Answers!L1545),"Outlier","Normal")</f>
        <v>Outlier</v>
      </c>
      <c r="G1529" s="19" t="str">
        <f t="shared" si="23"/>
        <v>40-50</v>
      </c>
    </row>
    <row r="1530" spans="1:7" ht="20" customHeight="1" x14ac:dyDescent="0.35">
      <c r="A1530" s="17">
        <v>1529</v>
      </c>
      <c r="B1530" s="23" t="s">
        <v>102</v>
      </c>
      <c r="C1530" s="18" t="s">
        <v>125</v>
      </c>
      <c r="D1530" s="18">
        <v>27</v>
      </c>
      <c r="E1530" s="18" t="s">
        <v>131</v>
      </c>
      <c r="F1530" s="18" t="str">
        <f>IF(OR(D1530&gt;Answers!L1545,D1530&lt;Answers!L1546),"Outlier","Normal")</f>
        <v>Outlier</v>
      </c>
      <c r="G1530" s="19" t="str">
        <f t="shared" si="23"/>
        <v>20-30</v>
      </c>
    </row>
    <row r="1531" spans="1:7" ht="20" customHeight="1" x14ac:dyDescent="0.35">
      <c r="A1531" s="17">
        <v>1530</v>
      </c>
      <c r="B1531" s="23" t="s">
        <v>104</v>
      </c>
      <c r="C1531" s="18" t="s">
        <v>126</v>
      </c>
      <c r="D1531" s="18">
        <v>79</v>
      </c>
      <c r="E1531" s="18" t="s">
        <v>131</v>
      </c>
      <c r="F1531" s="18" t="str">
        <f>IF(OR(D1531&gt;Answers!L1546,D1531&lt;Answers!L1547),"Outlier","Normal")</f>
        <v>Outlier</v>
      </c>
      <c r="G1531" s="19" t="str">
        <f t="shared" si="23"/>
        <v>40-50</v>
      </c>
    </row>
    <row r="1532" spans="1:7" ht="20" customHeight="1" x14ac:dyDescent="0.35">
      <c r="A1532" s="17">
        <v>1531</v>
      </c>
      <c r="B1532" s="23" t="s">
        <v>106</v>
      </c>
      <c r="C1532" s="18" t="s">
        <v>126</v>
      </c>
      <c r="D1532" s="18">
        <v>41</v>
      </c>
      <c r="E1532" s="18" t="s">
        <v>131</v>
      </c>
      <c r="F1532" s="18" t="str">
        <f>IF(OR(D1532&gt;Answers!L1547,D1532&lt;Answers!L1548),"Outlier","Normal")</f>
        <v>Outlier</v>
      </c>
      <c r="G1532" s="19" t="str">
        <f t="shared" si="23"/>
        <v>40-50</v>
      </c>
    </row>
    <row r="1533" spans="1:7" ht="20" customHeight="1" x14ac:dyDescent="0.35">
      <c r="A1533" s="17">
        <v>1532</v>
      </c>
      <c r="B1533" s="23" t="s">
        <v>105</v>
      </c>
      <c r="C1533" s="18" t="s">
        <v>125</v>
      </c>
      <c r="D1533" s="18">
        <v>43</v>
      </c>
      <c r="E1533" s="18" t="s">
        <v>131</v>
      </c>
      <c r="F1533" s="18" t="str">
        <f>IF(OR(D1533&gt;Answers!L1548,D1533&lt;Answers!L1549),"Outlier","Normal")</f>
        <v>Outlier</v>
      </c>
      <c r="G1533" s="19" t="str">
        <f t="shared" si="23"/>
        <v>40-50</v>
      </c>
    </row>
    <row r="1534" spans="1:7" ht="20" customHeight="1" x14ac:dyDescent="0.35">
      <c r="A1534" s="17">
        <v>1533</v>
      </c>
      <c r="B1534" s="23" t="s">
        <v>102</v>
      </c>
      <c r="C1534" s="18" t="s">
        <v>125</v>
      </c>
      <c r="D1534" s="18">
        <v>49</v>
      </c>
      <c r="E1534" s="18" t="s">
        <v>131</v>
      </c>
      <c r="F1534" s="18" t="str">
        <f>IF(OR(D1534&gt;Answers!L1549,D1534&lt;Answers!L1550),"Outlier","Normal")</f>
        <v>Outlier</v>
      </c>
      <c r="G1534" s="19" t="str">
        <f t="shared" si="23"/>
        <v>40-50</v>
      </c>
    </row>
    <row r="1535" spans="1:7" ht="20" customHeight="1" x14ac:dyDescent="0.35">
      <c r="A1535" s="17">
        <v>1534</v>
      </c>
      <c r="B1535" s="23" t="s">
        <v>99</v>
      </c>
      <c r="C1535" s="18" t="s">
        <v>126</v>
      </c>
      <c r="D1535" s="18">
        <v>18</v>
      </c>
      <c r="E1535" s="18" t="s">
        <v>131</v>
      </c>
      <c r="F1535" s="18" t="str">
        <f>IF(OR(D1535&gt;Answers!L1550,D1535&lt;Answers!L1551),"Outlier","Normal")</f>
        <v>Outlier</v>
      </c>
      <c r="G1535" s="19" t="str">
        <f t="shared" si="23"/>
        <v>&lt;20</v>
      </c>
    </row>
    <row r="1536" spans="1:7" ht="20" customHeight="1" x14ac:dyDescent="0.35">
      <c r="A1536" s="17">
        <v>1535</v>
      </c>
      <c r="B1536" s="23" t="s">
        <v>100</v>
      </c>
      <c r="C1536" s="18" t="s">
        <v>125</v>
      </c>
      <c r="D1536" s="18">
        <v>41</v>
      </c>
      <c r="E1536" s="18" t="s">
        <v>131</v>
      </c>
      <c r="F1536" s="18" t="str">
        <f>IF(OR(D1536&gt;Answers!L1551,D1536&lt;Answers!L1552),"Outlier","Normal")</f>
        <v>Outlier</v>
      </c>
      <c r="G1536" s="19" t="str">
        <f t="shared" si="23"/>
        <v>40-50</v>
      </c>
    </row>
    <row r="1537" spans="1:7" ht="20" customHeight="1" x14ac:dyDescent="0.35">
      <c r="A1537" s="17">
        <v>1536</v>
      </c>
      <c r="B1537" s="23" t="s">
        <v>99</v>
      </c>
      <c r="C1537" s="18" t="s">
        <v>126</v>
      </c>
      <c r="D1537" s="18">
        <v>50</v>
      </c>
      <c r="E1537" s="18" t="s">
        <v>131</v>
      </c>
      <c r="F1537" s="18" t="str">
        <f>IF(OR(D1537&gt;Answers!L1552,D1537&lt;Answers!L1553),"Outlier","Normal")</f>
        <v>Outlier</v>
      </c>
      <c r="G1537" s="19" t="str">
        <f t="shared" si="23"/>
        <v>40-50</v>
      </c>
    </row>
    <row r="1538" spans="1:7" ht="20" customHeight="1" x14ac:dyDescent="0.35">
      <c r="A1538" s="17">
        <v>1537</v>
      </c>
      <c r="B1538" s="23" t="s">
        <v>99</v>
      </c>
      <c r="C1538" s="18" t="s">
        <v>126</v>
      </c>
      <c r="D1538" s="18">
        <v>83</v>
      </c>
      <c r="E1538" s="18" t="s">
        <v>131</v>
      </c>
      <c r="F1538" s="18" t="str">
        <f>IF(OR(D1538&gt;Answers!L1553,D1538&lt;Answers!L1554),"Outlier","Normal")</f>
        <v>Outlier</v>
      </c>
      <c r="G1538" s="19" t="str">
        <f t="shared" si="23"/>
        <v>40-50</v>
      </c>
    </row>
    <row r="1539" spans="1:7" ht="20" customHeight="1" x14ac:dyDescent="0.35">
      <c r="A1539" s="17">
        <v>1538</v>
      </c>
      <c r="B1539" s="23" t="s">
        <v>99</v>
      </c>
      <c r="C1539" s="18" t="s">
        <v>126</v>
      </c>
      <c r="D1539" s="18">
        <v>21</v>
      </c>
      <c r="E1539" s="18" t="s">
        <v>131</v>
      </c>
      <c r="F1539" s="18" t="str">
        <f>IF(OR(D1539&gt;Answers!L1554,D1539&lt;Answers!L1555),"Outlier","Normal")</f>
        <v>Outlier</v>
      </c>
      <c r="G1539" s="19" t="str">
        <f t="shared" ref="G1539:G1602" si="24">IF(D1539&lt;20,"&lt;20",
IF(D1539&lt;=30,"20-30",
IF(D1539&lt;=40,"30-40","40-50")))</f>
        <v>20-30</v>
      </c>
    </row>
    <row r="1540" spans="1:7" ht="20" customHeight="1" x14ac:dyDescent="0.35">
      <c r="A1540" s="17">
        <v>1539</v>
      </c>
      <c r="B1540" s="23" t="s">
        <v>99</v>
      </c>
      <c r="C1540" s="18" t="s">
        <v>126</v>
      </c>
      <c r="D1540" s="18">
        <v>73</v>
      </c>
      <c r="E1540" s="18" t="s">
        <v>131</v>
      </c>
      <c r="F1540" s="18" t="str">
        <f>IF(OR(D1540&gt;Answers!L1555,D1540&lt;Answers!L1556),"Outlier","Normal")</f>
        <v>Outlier</v>
      </c>
      <c r="G1540" s="19" t="str">
        <f t="shared" si="24"/>
        <v>40-50</v>
      </c>
    </row>
    <row r="1541" spans="1:7" ht="20" customHeight="1" x14ac:dyDescent="0.35">
      <c r="A1541" s="17">
        <v>1540</v>
      </c>
      <c r="B1541" s="23" t="s">
        <v>101</v>
      </c>
      <c r="C1541" s="18" t="s">
        <v>125</v>
      </c>
      <c r="D1541" s="18">
        <v>58</v>
      </c>
      <c r="E1541" s="18" t="s">
        <v>131</v>
      </c>
      <c r="F1541" s="18" t="str">
        <f>IF(OR(D1541&gt;Answers!L1556,D1541&lt;Answers!L1557),"Outlier","Normal")</f>
        <v>Outlier</v>
      </c>
      <c r="G1541" s="19" t="str">
        <f t="shared" si="24"/>
        <v>40-50</v>
      </c>
    </row>
    <row r="1542" spans="1:7" ht="20" customHeight="1" x14ac:dyDescent="0.35">
      <c r="A1542" s="17">
        <v>1541</v>
      </c>
      <c r="B1542" s="23" t="s">
        <v>100</v>
      </c>
      <c r="C1542" s="18" t="s">
        <v>125</v>
      </c>
      <c r="D1542" s="18">
        <v>50</v>
      </c>
      <c r="E1542" s="18" t="s">
        <v>131</v>
      </c>
      <c r="F1542" s="18" t="str">
        <f>IF(OR(D1542&gt;Answers!L1557,D1542&lt;Answers!L1558),"Outlier","Normal")</f>
        <v>Outlier</v>
      </c>
      <c r="G1542" s="19" t="str">
        <f t="shared" si="24"/>
        <v>40-50</v>
      </c>
    </row>
    <row r="1543" spans="1:7" ht="20" customHeight="1" x14ac:dyDescent="0.35">
      <c r="A1543" s="17">
        <v>1542</v>
      </c>
      <c r="B1543" s="23" t="s">
        <v>100</v>
      </c>
      <c r="C1543" s="18" t="s">
        <v>125</v>
      </c>
      <c r="D1543" s="18">
        <v>65</v>
      </c>
      <c r="E1543" s="18" t="s">
        <v>131</v>
      </c>
      <c r="F1543" s="18" t="str">
        <f>IF(OR(D1543&gt;Answers!L1558,D1543&lt;Answers!L1559),"Outlier","Normal")</f>
        <v>Outlier</v>
      </c>
      <c r="G1543" s="19" t="str">
        <f t="shared" si="24"/>
        <v>40-50</v>
      </c>
    </row>
    <row r="1544" spans="1:7" ht="20" customHeight="1" x14ac:dyDescent="0.35">
      <c r="A1544" s="17">
        <v>1543</v>
      </c>
      <c r="B1544" s="23" t="s">
        <v>99</v>
      </c>
      <c r="C1544" s="18" t="s">
        <v>125</v>
      </c>
      <c r="D1544" s="18">
        <v>68</v>
      </c>
      <c r="E1544" s="18" t="s">
        <v>131</v>
      </c>
      <c r="F1544" s="18" t="str">
        <f>IF(OR(D1544&gt;Answers!L1559,D1544&lt;Answers!L1560),"Outlier","Normal")</f>
        <v>Outlier</v>
      </c>
      <c r="G1544" s="19" t="str">
        <f t="shared" si="24"/>
        <v>40-50</v>
      </c>
    </row>
    <row r="1545" spans="1:7" ht="20" customHeight="1" x14ac:dyDescent="0.35">
      <c r="A1545" s="17">
        <v>1544</v>
      </c>
      <c r="B1545" s="23" t="s">
        <v>99</v>
      </c>
      <c r="C1545" s="18" t="s">
        <v>125</v>
      </c>
      <c r="D1545" s="18">
        <v>77</v>
      </c>
      <c r="E1545" s="18" t="s">
        <v>131</v>
      </c>
      <c r="F1545" s="18" t="str">
        <f>IF(OR(D1545&gt;Answers!L1560,D1545&lt;Answers!L1561),"Outlier","Normal")</f>
        <v>Outlier</v>
      </c>
      <c r="G1545" s="19" t="str">
        <f t="shared" si="24"/>
        <v>40-50</v>
      </c>
    </row>
    <row r="1546" spans="1:7" ht="20" customHeight="1" x14ac:dyDescent="0.35">
      <c r="A1546" s="17">
        <v>1545</v>
      </c>
      <c r="B1546" s="23" t="s">
        <v>103</v>
      </c>
      <c r="C1546" s="18" t="s">
        <v>126</v>
      </c>
      <c r="D1546" s="18">
        <v>30</v>
      </c>
      <c r="E1546" s="18" t="s">
        <v>131</v>
      </c>
      <c r="F1546" s="18" t="str">
        <f>IF(OR(D1546&gt;Answers!L1561,D1546&lt;Answers!L1562),"Outlier","Normal")</f>
        <v>Outlier</v>
      </c>
      <c r="G1546" s="19" t="str">
        <f t="shared" si="24"/>
        <v>20-30</v>
      </c>
    </row>
    <row r="1547" spans="1:7" ht="20" customHeight="1" x14ac:dyDescent="0.35">
      <c r="A1547" s="17">
        <v>1546</v>
      </c>
      <c r="B1547" s="23" t="s">
        <v>104</v>
      </c>
      <c r="C1547" s="18" t="s">
        <v>126</v>
      </c>
      <c r="D1547" s="18">
        <v>33</v>
      </c>
      <c r="E1547" s="18" t="s">
        <v>131</v>
      </c>
      <c r="F1547" s="18" t="str">
        <f>IF(OR(D1547&gt;Answers!L1562,D1547&lt;Answers!L1563),"Outlier","Normal")</f>
        <v>Outlier</v>
      </c>
      <c r="G1547" s="19" t="str">
        <f t="shared" si="24"/>
        <v>30-40</v>
      </c>
    </row>
    <row r="1548" spans="1:7" ht="20" customHeight="1" x14ac:dyDescent="0.35">
      <c r="A1548" s="17">
        <v>1547</v>
      </c>
      <c r="B1548" s="23" t="s">
        <v>100</v>
      </c>
      <c r="C1548" s="18" t="s">
        <v>125</v>
      </c>
      <c r="D1548" s="18">
        <v>37</v>
      </c>
      <c r="E1548" s="18" t="s">
        <v>131</v>
      </c>
      <c r="F1548" s="18" t="str">
        <f>IF(OR(D1548&gt;Answers!L1563,D1548&lt;Answers!L1564),"Outlier","Normal")</f>
        <v>Outlier</v>
      </c>
      <c r="G1548" s="19" t="str">
        <f t="shared" si="24"/>
        <v>30-40</v>
      </c>
    </row>
    <row r="1549" spans="1:7" ht="20" customHeight="1" x14ac:dyDescent="0.35">
      <c r="A1549" s="17">
        <v>1548</v>
      </c>
      <c r="B1549" s="23" t="s">
        <v>100</v>
      </c>
      <c r="C1549" s="18" t="s">
        <v>125</v>
      </c>
      <c r="D1549" s="18">
        <v>46</v>
      </c>
      <c r="E1549" s="18" t="s">
        <v>131</v>
      </c>
      <c r="F1549" s="18" t="str">
        <f>IF(OR(D1549&gt;Answers!L1564,D1549&lt;Answers!L1565),"Outlier","Normal")</f>
        <v>Outlier</v>
      </c>
      <c r="G1549" s="19" t="str">
        <f t="shared" si="24"/>
        <v>40-50</v>
      </c>
    </row>
    <row r="1550" spans="1:7" ht="20" customHeight="1" x14ac:dyDescent="0.35">
      <c r="A1550" s="17">
        <v>1549</v>
      </c>
      <c r="B1550" s="23" t="s">
        <v>99</v>
      </c>
      <c r="C1550" s="18" t="s">
        <v>126</v>
      </c>
      <c r="D1550" s="18">
        <v>70</v>
      </c>
      <c r="E1550" s="18" t="s">
        <v>131</v>
      </c>
      <c r="F1550" s="18" t="str">
        <f>IF(OR(D1550&gt;Answers!L1565,D1550&lt;Answers!L1566),"Outlier","Normal")</f>
        <v>Outlier</v>
      </c>
      <c r="G1550" s="19" t="str">
        <f t="shared" si="24"/>
        <v>40-50</v>
      </c>
    </row>
    <row r="1551" spans="1:7" ht="20" customHeight="1" x14ac:dyDescent="0.35">
      <c r="A1551" s="17">
        <v>1550</v>
      </c>
      <c r="B1551" s="23" t="s">
        <v>99</v>
      </c>
      <c r="C1551" s="18" t="s">
        <v>125</v>
      </c>
      <c r="D1551" s="18">
        <v>67</v>
      </c>
      <c r="E1551" s="18" t="s">
        <v>131</v>
      </c>
      <c r="F1551" s="18" t="str">
        <f>IF(OR(D1551&gt;Answers!L1566,D1551&lt;Answers!L1567),"Outlier","Normal")</f>
        <v>Outlier</v>
      </c>
      <c r="G1551" s="19" t="str">
        <f t="shared" si="24"/>
        <v>40-50</v>
      </c>
    </row>
    <row r="1552" spans="1:7" ht="20" customHeight="1" x14ac:dyDescent="0.35">
      <c r="A1552" s="17">
        <v>1551</v>
      </c>
      <c r="B1552" s="23" t="s">
        <v>99</v>
      </c>
      <c r="C1552" s="18" t="s">
        <v>125</v>
      </c>
      <c r="D1552" s="18">
        <v>21</v>
      </c>
      <c r="E1552" s="18" t="s">
        <v>131</v>
      </c>
      <c r="F1552" s="18" t="str">
        <f>IF(OR(D1552&gt;Answers!L1567,D1552&lt;Answers!L1568),"Outlier","Normal")</f>
        <v>Outlier</v>
      </c>
      <c r="G1552" s="19" t="str">
        <f t="shared" si="24"/>
        <v>20-30</v>
      </c>
    </row>
    <row r="1553" spans="1:7" ht="20" customHeight="1" x14ac:dyDescent="0.35">
      <c r="A1553" s="17">
        <v>1552</v>
      </c>
      <c r="B1553" s="23" t="s">
        <v>107</v>
      </c>
      <c r="C1553" s="18" t="s">
        <v>126</v>
      </c>
      <c r="D1553" s="18">
        <v>37</v>
      </c>
      <c r="E1553" s="18" t="s">
        <v>131</v>
      </c>
      <c r="F1553" s="18" t="str">
        <f>IF(OR(D1553&gt;Answers!L1568,D1553&lt;Answers!L1569),"Outlier","Normal")</f>
        <v>Outlier</v>
      </c>
      <c r="G1553" s="19" t="str">
        <f t="shared" si="24"/>
        <v>30-40</v>
      </c>
    </row>
    <row r="1554" spans="1:7" ht="20" customHeight="1" x14ac:dyDescent="0.35">
      <c r="A1554" s="17">
        <v>1553</v>
      </c>
      <c r="B1554" s="23" t="s">
        <v>100</v>
      </c>
      <c r="C1554" s="18" t="s">
        <v>125</v>
      </c>
      <c r="D1554" s="18">
        <v>81</v>
      </c>
      <c r="E1554" s="18" t="s">
        <v>131</v>
      </c>
      <c r="F1554" s="18" t="str">
        <f>IF(OR(D1554&gt;Answers!L1569,D1554&lt;Answers!L1570),"Outlier","Normal")</f>
        <v>Outlier</v>
      </c>
      <c r="G1554" s="19" t="str">
        <f t="shared" si="24"/>
        <v>40-50</v>
      </c>
    </row>
    <row r="1555" spans="1:7" ht="20" customHeight="1" x14ac:dyDescent="0.35">
      <c r="A1555" s="17">
        <v>1554</v>
      </c>
      <c r="B1555" s="23" t="s">
        <v>109</v>
      </c>
      <c r="C1555" s="18" t="s">
        <v>126</v>
      </c>
      <c r="D1555" s="18">
        <v>52</v>
      </c>
      <c r="E1555" s="18" t="s">
        <v>131</v>
      </c>
      <c r="F1555" s="18" t="str">
        <f>IF(OR(D1555&gt;Answers!L1570,D1555&lt;Answers!L1571),"Outlier","Normal")</f>
        <v>Outlier</v>
      </c>
      <c r="G1555" s="19" t="str">
        <f t="shared" si="24"/>
        <v>40-50</v>
      </c>
    </row>
    <row r="1556" spans="1:7" ht="20" customHeight="1" x14ac:dyDescent="0.35">
      <c r="A1556" s="17">
        <v>1555</v>
      </c>
      <c r="B1556" s="23" t="s">
        <v>99</v>
      </c>
      <c r="C1556" s="18" t="s">
        <v>126</v>
      </c>
      <c r="D1556" s="18">
        <v>28</v>
      </c>
      <c r="E1556" s="18" t="s">
        <v>131</v>
      </c>
      <c r="F1556" s="18" t="str">
        <f>IF(OR(D1556&gt;Answers!L1571,D1556&lt;Answers!L1572),"Outlier","Normal")</f>
        <v>Outlier</v>
      </c>
      <c r="G1556" s="19" t="str">
        <f t="shared" si="24"/>
        <v>20-30</v>
      </c>
    </row>
    <row r="1557" spans="1:7" ht="20" customHeight="1" x14ac:dyDescent="0.35">
      <c r="A1557" s="17">
        <v>1556</v>
      </c>
      <c r="B1557" s="23" t="s">
        <v>101</v>
      </c>
      <c r="C1557" s="18" t="s">
        <v>126</v>
      </c>
      <c r="D1557" s="18">
        <v>76</v>
      </c>
      <c r="E1557" s="18" t="s">
        <v>131</v>
      </c>
      <c r="F1557" s="18" t="str">
        <f>IF(OR(D1557&gt;Answers!L1572,D1557&lt;Answers!L1573),"Outlier","Normal")</f>
        <v>Outlier</v>
      </c>
      <c r="G1557" s="19" t="str">
        <f t="shared" si="24"/>
        <v>40-50</v>
      </c>
    </row>
    <row r="1558" spans="1:7" ht="20" customHeight="1" x14ac:dyDescent="0.35">
      <c r="A1558" s="17">
        <v>1557</v>
      </c>
      <c r="B1558" s="23" t="s">
        <v>99</v>
      </c>
      <c r="C1558" s="18" t="s">
        <v>125</v>
      </c>
      <c r="D1558" s="18">
        <v>28</v>
      </c>
      <c r="E1558" s="18" t="s">
        <v>131</v>
      </c>
      <c r="F1558" s="18" t="str">
        <f>IF(OR(D1558&gt;Answers!L1573,D1558&lt;Answers!L1574),"Outlier","Normal")</f>
        <v>Outlier</v>
      </c>
      <c r="G1558" s="19" t="str">
        <f t="shared" si="24"/>
        <v>20-30</v>
      </c>
    </row>
    <row r="1559" spans="1:7" ht="20" customHeight="1" x14ac:dyDescent="0.35">
      <c r="A1559" s="17">
        <v>1558</v>
      </c>
      <c r="B1559" s="23" t="s">
        <v>102</v>
      </c>
      <c r="C1559" s="18" t="s">
        <v>126</v>
      </c>
      <c r="D1559" s="18">
        <v>83</v>
      </c>
      <c r="E1559" s="18" t="s">
        <v>131</v>
      </c>
      <c r="F1559" s="18" t="str">
        <f>IF(OR(D1559&gt;Answers!L1574,D1559&lt;Answers!L1575),"Outlier","Normal")</f>
        <v>Outlier</v>
      </c>
      <c r="G1559" s="19" t="str">
        <f t="shared" si="24"/>
        <v>40-50</v>
      </c>
    </row>
    <row r="1560" spans="1:7" ht="20" customHeight="1" x14ac:dyDescent="0.35">
      <c r="A1560" s="17">
        <v>1559</v>
      </c>
      <c r="B1560" s="23" t="s">
        <v>105</v>
      </c>
      <c r="C1560" s="18" t="s">
        <v>126</v>
      </c>
      <c r="D1560" s="18">
        <v>68</v>
      </c>
      <c r="E1560" s="18" t="s">
        <v>131</v>
      </c>
      <c r="F1560" s="18" t="str">
        <f>IF(OR(D1560&gt;Answers!L1575,D1560&lt;Answers!L1576),"Outlier","Normal")</f>
        <v>Outlier</v>
      </c>
      <c r="G1560" s="19" t="str">
        <f t="shared" si="24"/>
        <v>40-50</v>
      </c>
    </row>
    <row r="1561" spans="1:7" ht="20" customHeight="1" x14ac:dyDescent="0.35">
      <c r="A1561" s="17">
        <v>1560</v>
      </c>
      <c r="B1561" s="23" t="s">
        <v>106</v>
      </c>
      <c r="C1561" s="18" t="s">
        <v>125</v>
      </c>
      <c r="D1561" s="18">
        <v>36</v>
      </c>
      <c r="E1561" s="18" t="s">
        <v>131</v>
      </c>
      <c r="F1561" s="18" t="str">
        <f>IF(OR(D1561&gt;Answers!L1576,D1561&lt;Answers!L1577),"Outlier","Normal")</f>
        <v>Outlier</v>
      </c>
      <c r="G1561" s="19" t="str">
        <f t="shared" si="24"/>
        <v>30-40</v>
      </c>
    </row>
    <row r="1562" spans="1:7" ht="20" customHeight="1" x14ac:dyDescent="0.35">
      <c r="A1562" s="17">
        <v>1561</v>
      </c>
      <c r="B1562" s="23" t="s">
        <v>110</v>
      </c>
      <c r="C1562" s="18" t="s">
        <v>126</v>
      </c>
      <c r="D1562" s="18">
        <v>28</v>
      </c>
      <c r="E1562" s="18" t="s">
        <v>131</v>
      </c>
      <c r="F1562" s="18" t="str">
        <f>IF(OR(D1562&gt;Answers!L1577,D1562&lt;Answers!L1578),"Outlier","Normal")</f>
        <v>Outlier</v>
      </c>
      <c r="G1562" s="19" t="str">
        <f t="shared" si="24"/>
        <v>20-30</v>
      </c>
    </row>
    <row r="1563" spans="1:7" ht="20" customHeight="1" x14ac:dyDescent="0.35">
      <c r="A1563" s="17">
        <v>1562</v>
      </c>
      <c r="B1563" s="23" t="s">
        <v>105</v>
      </c>
      <c r="C1563" s="18" t="s">
        <v>125</v>
      </c>
      <c r="D1563" s="18">
        <v>20</v>
      </c>
      <c r="E1563" s="18" t="s">
        <v>131</v>
      </c>
      <c r="F1563" s="18" t="str">
        <f>IF(OR(D1563&gt;Answers!L1578,D1563&lt;Answers!L1579),"Outlier","Normal")</f>
        <v>Outlier</v>
      </c>
      <c r="G1563" s="19" t="str">
        <f t="shared" si="24"/>
        <v>20-30</v>
      </c>
    </row>
    <row r="1564" spans="1:7" ht="20" customHeight="1" x14ac:dyDescent="0.35">
      <c r="A1564" s="17">
        <v>1563</v>
      </c>
      <c r="B1564" s="23" t="s">
        <v>103</v>
      </c>
      <c r="C1564" s="18" t="s">
        <v>126</v>
      </c>
      <c r="D1564" s="18">
        <v>65</v>
      </c>
      <c r="E1564" s="18" t="s">
        <v>131</v>
      </c>
      <c r="F1564" s="18" t="str">
        <f>IF(OR(D1564&gt;Answers!L1579,D1564&lt;Answers!L1580),"Outlier","Normal")</f>
        <v>Outlier</v>
      </c>
      <c r="G1564" s="19" t="str">
        <f t="shared" si="24"/>
        <v>40-50</v>
      </c>
    </row>
    <row r="1565" spans="1:7" ht="20" customHeight="1" x14ac:dyDescent="0.35">
      <c r="A1565" s="17">
        <v>1564</v>
      </c>
      <c r="B1565" s="23" t="s">
        <v>106</v>
      </c>
      <c r="C1565" s="18" t="s">
        <v>125</v>
      </c>
      <c r="D1565" s="18">
        <v>89</v>
      </c>
      <c r="E1565" s="18" t="s">
        <v>131</v>
      </c>
      <c r="F1565" s="18" t="str">
        <f>IF(OR(D1565&gt;Answers!L1580,D1565&lt;Answers!L1581),"Outlier","Normal")</f>
        <v>Outlier</v>
      </c>
      <c r="G1565" s="19" t="str">
        <f t="shared" si="24"/>
        <v>40-50</v>
      </c>
    </row>
    <row r="1566" spans="1:7" ht="20" customHeight="1" x14ac:dyDescent="0.35">
      <c r="A1566" s="17">
        <v>1565</v>
      </c>
      <c r="B1566" s="23" t="s">
        <v>102</v>
      </c>
      <c r="C1566" s="18" t="s">
        <v>125</v>
      </c>
      <c r="D1566" s="18">
        <v>64</v>
      </c>
      <c r="E1566" s="18" t="s">
        <v>131</v>
      </c>
      <c r="F1566" s="18" t="str">
        <f>IF(OR(D1566&gt;Answers!L1581,D1566&lt;Answers!L1582),"Outlier","Normal")</f>
        <v>Outlier</v>
      </c>
      <c r="G1566" s="19" t="str">
        <f t="shared" si="24"/>
        <v>40-50</v>
      </c>
    </row>
    <row r="1567" spans="1:7" ht="20" customHeight="1" x14ac:dyDescent="0.35">
      <c r="A1567" s="17">
        <v>1566</v>
      </c>
      <c r="B1567" s="23" t="s">
        <v>99</v>
      </c>
      <c r="C1567" s="18" t="s">
        <v>125</v>
      </c>
      <c r="D1567" s="18">
        <v>64</v>
      </c>
      <c r="E1567" s="18" t="s">
        <v>131</v>
      </c>
      <c r="F1567" s="18" t="str">
        <f>IF(OR(D1567&gt;Answers!L1582,D1567&lt;Answers!L1583),"Outlier","Normal")</f>
        <v>Outlier</v>
      </c>
      <c r="G1567" s="19" t="str">
        <f t="shared" si="24"/>
        <v>40-50</v>
      </c>
    </row>
    <row r="1568" spans="1:7" ht="20" customHeight="1" x14ac:dyDescent="0.35">
      <c r="A1568" s="17">
        <v>1567</v>
      </c>
      <c r="B1568" s="23" t="s">
        <v>99</v>
      </c>
      <c r="C1568" s="18" t="s">
        <v>125</v>
      </c>
      <c r="D1568" s="18">
        <v>25</v>
      </c>
      <c r="E1568" s="18" t="s">
        <v>131</v>
      </c>
      <c r="F1568" s="18" t="str">
        <f>IF(OR(D1568&gt;Answers!L1583,D1568&lt;Answers!L1584),"Outlier","Normal")</f>
        <v>Outlier</v>
      </c>
      <c r="G1568" s="19" t="str">
        <f t="shared" si="24"/>
        <v>20-30</v>
      </c>
    </row>
    <row r="1569" spans="1:7" ht="20" customHeight="1" x14ac:dyDescent="0.35">
      <c r="A1569" s="17">
        <v>1568</v>
      </c>
      <c r="B1569" s="23" t="s">
        <v>105</v>
      </c>
      <c r="C1569" s="18" t="s">
        <v>126</v>
      </c>
      <c r="D1569" s="18">
        <v>47</v>
      </c>
      <c r="E1569" s="18" t="s">
        <v>131</v>
      </c>
      <c r="F1569" s="18" t="str">
        <f>IF(OR(D1569&gt;Answers!L1584,D1569&lt;Answers!L1585),"Outlier","Normal")</f>
        <v>Outlier</v>
      </c>
      <c r="G1569" s="19" t="str">
        <f t="shared" si="24"/>
        <v>40-50</v>
      </c>
    </row>
    <row r="1570" spans="1:7" ht="20" customHeight="1" x14ac:dyDescent="0.35">
      <c r="A1570" s="17">
        <v>1569</v>
      </c>
      <c r="B1570" s="23" t="s">
        <v>105</v>
      </c>
      <c r="C1570" s="18" t="s">
        <v>126</v>
      </c>
      <c r="D1570" s="18">
        <v>20</v>
      </c>
      <c r="E1570" s="18" t="s">
        <v>131</v>
      </c>
      <c r="F1570" s="18" t="str">
        <f>IF(OR(D1570&gt;Answers!L1585,D1570&lt;Answers!L1586),"Outlier","Normal")</f>
        <v>Outlier</v>
      </c>
      <c r="G1570" s="19" t="str">
        <f t="shared" si="24"/>
        <v>20-30</v>
      </c>
    </row>
    <row r="1571" spans="1:7" ht="20" customHeight="1" x14ac:dyDescent="0.35">
      <c r="A1571" s="17">
        <v>1570</v>
      </c>
      <c r="B1571" s="23" t="s">
        <v>99</v>
      </c>
      <c r="C1571" s="18" t="s">
        <v>125</v>
      </c>
      <c r="D1571" s="18">
        <v>46</v>
      </c>
      <c r="E1571" s="18" t="s">
        <v>131</v>
      </c>
      <c r="F1571" s="18" t="str">
        <f>IF(OR(D1571&gt;Answers!L1586,D1571&lt;Answers!L1587),"Outlier","Normal")</f>
        <v>Outlier</v>
      </c>
      <c r="G1571" s="19" t="str">
        <f t="shared" si="24"/>
        <v>40-50</v>
      </c>
    </row>
    <row r="1572" spans="1:7" ht="20" customHeight="1" x14ac:dyDescent="0.35">
      <c r="A1572" s="17">
        <v>1571</v>
      </c>
      <c r="B1572" s="23" t="s">
        <v>99</v>
      </c>
      <c r="C1572" s="18" t="s">
        <v>126</v>
      </c>
      <c r="D1572" s="18">
        <v>71</v>
      </c>
      <c r="E1572" s="18" t="s">
        <v>131</v>
      </c>
      <c r="F1572" s="18" t="str">
        <f>IF(OR(D1572&gt;Answers!L1587,D1572&lt;Answers!L1588),"Outlier","Normal")</f>
        <v>Outlier</v>
      </c>
      <c r="G1572" s="19" t="str">
        <f t="shared" si="24"/>
        <v>40-50</v>
      </c>
    </row>
    <row r="1573" spans="1:7" ht="20" customHeight="1" x14ac:dyDescent="0.35">
      <c r="A1573" s="17">
        <v>1572</v>
      </c>
      <c r="B1573" s="23" t="s">
        <v>99</v>
      </c>
      <c r="C1573" s="18" t="s">
        <v>126</v>
      </c>
      <c r="D1573" s="18">
        <v>47</v>
      </c>
      <c r="E1573" s="18" t="s">
        <v>131</v>
      </c>
      <c r="F1573" s="18" t="str">
        <f>IF(OR(D1573&gt;Answers!L1588,D1573&lt;Answers!L1589),"Outlier","Normal")</f>
        <v>Outlier</v>
      </c>
      <c r="G1573" s="19" t="str">
        <f t="shared" si="24"/>
        <v>40-50</v>
      </c>
    </row>
    <row r="1574" spans="1:7" ht="20" customHeight="1" x14ac:dyDescent="0.35">
      <c r="A1574" s="17">
        <v>1573</v>
      </c>
      <c r="B1574" s="23" t="s">
        <v>107</v>
      </c>
      <c r="C1574" s="18" t="s">
        <v>126</v>
      </c>
      <c r="D1574" s="18">
        <v>72</v>
      </c>
      <c r="E1574" s="18" t="s">
        <v>131</v>
      </c>
      <c r="F1574" s="18" t="str">
        <f>IF(OR(D1574&gt;Answers!L1589,D1574&lt;Answers!L1590),"Outlier","Normal")</f>
        <v>Outlier</v>
      </c>
      <c r="G1574" s="19" t="str">
        <f t="shared" si="24"/>
        <v>40-50</v>
      </c>
    </row>
    <row r="1575" spans="1:7" ht="20" customHeight="1" x14ac:dyDescent="0.35">
      <c r="A1575" s="17">
        <v>1574</v>
      </c>
      <c r="B1575" s="23" t="s">
        <v>104</v>
      </c>
      <c r="C1575" s="18" t="s">
        <v>126</v>
      </c>
      <c r="D1575" s="18">
        <v>36</v>
      </c>
      <c r="E1575" s="18" t="s">
        <v>131</v>
      </c>
      <c r="F1575" s="18" t="str">
        <f>IF(OR(D1575&gt;Answers!L1590,D1575&lt;Answers!L1591),"Outlier","Normal")</f>
        <v>Outlier</v>
      </c>
      <c r="G1575" s="19" t="str">
        <f t="shared" si="24"/>
        <v>30-40</v>
      </c>
    </row>
    <row r="1576" spans="1:7" ht="20" customHeight="1" x14ac:dyDescent="0.35">
      <c r="A1576" s="17">
        <v>1575</v>
      </c>
      <c r="B1576" s="23" t="s">
        <v>99</v>
      </c>
      <c r="C1576" s="18" t="s">
        <v>125</v>
      </c>
      <c r="D1576" s="18">
        <v>84</v>
      </c>
      <c r="E1576" s="18" t="s">
        <v>131</v>
      </c>
      <c r="F1576" s="18" t="str">
        <f>IF(OR(D1576&gt;Answers!L1591,D1576&lt;Answers!L1592),"Outlier","Normal")</f>
        <v>Outlier</v>
      </c>
      <c r="G1576" s="19" t="str">
        <f t="shared" si="24"/>
        <v>40-50</v>
      </c>
    </row>
    <row r="1577" spans="1:7" ht="20" customHeight="1" x14ac:dyDescent="0.35">
      <c r="A1577" s="17">
        <v>1576</v>
      </c>
      <c r="B1577" s="23" t="s">
        <v>99</v>
      </c>
      <c r="C1577" s="18" t="s">
        <v>125</v>
      </c>
      <c r="D1577" s="18">
        <v>70</v>
      </c>
      <c r="E1577" s="18" t="s">
        <v>131</v>
      </c>
      <c r="F1577" s="18" t="str">
        <f>IF(OR(D1577&gt;Answers!L1592,D1577&lt;Answers!L1593),"Outlier","Normal")</f>
        <v>Outlier</v>
      </c>
      <c r="G1577" s="19" t="str">
        <f t="shared" si="24"/>
        <v>40-50</v>
      </c>
    </row>
    <row r="1578" spans="1:7" ht="20" customHeight="1" x14ac:dyDescent="0.35">
      <c r="A1578" s="17">
        <v>1577</v>
      </c>
      <c r="B1578" s="23" t="s">
        <v>100</v>
      </c>
      <c r="C1578" s="18" t="s">
        <v>125</v>
      </c>
      <c r="D1578" s="18">
        <v>55</v>
      </c>
      <c r="E1578" s="18" t="s">
        <v>131</v>
      </c>
      <c r="F1578" s="18" t="str">
        <f>IF(OR(D1578&gt;Answers!L1593,D1578&lt;Answers!L1594),"Outlier","Normal")</f>
        <v>Outlier</v>
      </c>
      <c r="G1578" s="19" t="str">
        <f t="shared" si="24"/>
        <v>40-50</v>
      </c>
    </row>
    <row r="1579" spans="1:7" ht="20" customHeight="1" x14ac:dyDescent="0.35">
      <c r="A1579" s="17">
        <v>1578</v>
      </c>
      <c r="B1579" s="23" t="s">
        <v>107</v>
      </c>
      <c r="C1579" s="18" t="s">
        <v>125</v>
      </c>
      <c r="D1579" s="18">
        <v>24</v>
      </c>
      <c r="E1579" s="18" t="s">
        <v>131</v>
      </c>
      <c r="F1579" s="18" t="str">
        <f>IF(OR(D1579&gt;Answers!L1594,D1579&lt;Answers!L1595),"Outlier","Normal")</f>
        <v>Outlier</v>
      </c>
      <c r="G1579" s="19" t="str">
        <f t="shared" si="24"/>
        <v>20-30</v>
      </c>
    </row>
    <row r="1580" spans="1:7" ht="20" customHeight="1" x14ac:dyDescent="0.35">
      <c r="A1580" s="17">
        <v>1579</v>
      </c>
      <c r="B1580" s="23" t="s">
        <v>100</v>
      </c>
      <c r="C1580" s="18" t="s">
        <v>126</v>
      </c>
      <c r="D1580" s="18">
        <v>74</v>
      </c>
      <c r="E1580" s="18" t="s">
        <v>131</v>
      </c>
      <c r="F1580" s="18" t="str">
        <f>IF(OR(D1580&gt;Answers!L1595,D1580&lt;Answers!L1596),"Outlier","Normal")</f>
        <v>Outlier</v>
      </c>
      <c r="G1580" s="19" t="str">
        <f t="shared" si="24"/>
        <v>40-50</v>
      </c>
    </row>
    <row r="1581" spans="1:7" ht="20" customHeight="1" x14ac:dyDescent="0.35">
      <c r="A1581" s="17">
        <v>1580</v>
      </c>
      <c r="B1581" s="23" t="s">
        <v>101</v>
      </c>
      <c r="C1581" s="18" t="s">
        <v>125</v>
      </c>
      <c r="D1581" s="18">
        <v>85</v>
      </c>
      <c r="E1581" s="18" t="s">
        <v>131</v>
      </c>
      <c r="F1581" s="18" t="str">
        <f>IF(OR(D1581&gt;Answers!L1596,D1581&lt;Answers!L1597),"Outlier","Normal")</f>
        <v>Outlier</v>
      </c>
      <c r="G1581" s="19" t="str">
        <f t="shared" si="24"/>
        <v>40-50</v>
      </c>
    </row>
    <row r="1582" spans="1:7" ht="20" customHeight="1" x14ac:dyDescent="0.35">
      <c r="A1582" s="17">
        <v>1581</v>
      </c>
      <c r="B1582" s="23" t="s">
        <v>99</v>
      </c>
      <c r="C1582" s="18" t="s">
        <v>125</v>
      </c>
      <c r="D1582" s="18">
        <v>79</v>
      </c>
      <c r="E1582" s="18" t="s">
        <v>131</v>
      </c>
      <c r="F1582" s="18" t="str">
        <f>IF(OR(D1582&gt;Answers!L1597,D1582&lt;Answers!L1598),"Outlier","Normal")</f>
        <v>Outlier</v>
      </c>
      <c r="G1582" s="19" t="str">
        <f t="shared" si="24"/>
        <v>40-50</v>
      </c>
    </row>
    <row r="1583" spans="1:7" ht="20" customHeight="1" x14ac:dyDescent="0.35">
      <c r="A1583" s="17">
        <v>1582</v>
      </c>
      <c r="B1583" s="23" t="s">
        <v>100</v>
      </c>
      <c r="C1583" s="18" t="s">
        <v>125</v>
      </c>
      <c r="D1583" s="18">
        <v>69</v>
      </c>
      <c r="E1583" s="18" t="s">
        <v>131</v>
      </c>
      <c r="F1583" s="18" t="str">
        <f>IF(OR(D1583&gt;Answers!L1598,D1583&lt;Answers!L1599),"Outlier","Normal")</f>
        <v>Outlier</v>
      </c>
      <c r="G1583" s="19" t="str">
        <f t="shared" si="24"/>
        <v>40-50</v>
      </c>
    </row>
    <row r="1584" spans="1:7" ht="20" customHeight="1" x14ac:dyDescent="0.35">
      <c r="A1584" s="17">
        <v>1583</v>
      </c>
      <c r="B1584" s="23" t="s">
        <v>106</v>
      </c>
      <c r="C1584" s="18" t="s">
        <v>126</v>
      </c>
      <c r="D1584" s="18">
        <v>73</v>
      </c>
      <c r="E1584" s="18" t="s">
        <v>131</v>
      </c>
      <c r="F1584" s="18" t="str">
        <f>IF(OR(D1584&gt;Answers!L1599,D1584&lt;Answers!L1600),"Outlier","Normal")</f>
        <v>Outlier</v>
      </c>
      <c r="G1584" s="19" t="str">
        <f t="shared" si="24"/>
        <v>40-50</v>
      </c>
    </row>
    <row r="1585" spans="1:7" ht="20" customHeight="1" x14ac:dyDescent="0.35">
      <c r="A1585" s="17">
        <v>1584</v>
      </c>
      <c r="B1585" s="23" t="s">
        <v>99</v>
      </c>
      <c r="C1585" s="18" t="s">
        <v>126</v>
      </c>
      <c r="D1585" s="18">
        <v>30</v>
      </c>
      <c r="E1585" s="18" t="s">
        <v>131</v>
      </c>
      <c r="F1585" s="18" t="str">
        <f>IF(OR(D1585&gt;Answers!L1600,D1585&lt;Answers!L1601),"Outlier","Normal")</f>
        <v>Outlier</v>
      </c>
      <c r="G1585" s="19" t="str">
        <f t="shared" si="24"/>
        <v>20-30</v>
      </c>
    </row>
    <row r="1586" spans="1:7" ht="20" customHeight="1" x14ac:dyDescent="0.35">
      <c r="A1586" s="17">
        <v>1585</v>
      </c>
      <c r="B1586" s="23" t="s">
        <v>100</v>
      </c>
      <c r="C1586" s="18" t="s">
        <v>126</v>
      </c>
      <c r="D1586" s="18">
        <v>51</v>
      </c>
      <c r="E1586" s="18" t="s">
        <v>131</v>
      </c>
      <c r="F1586" s="18" t="str">
        <f>IF(OR(D1586&gt;Answers!L1601,D1586&lt;Answers!L1602),"Outlier","Normal")</f>
        <v>Outlier</v>
      </c>
      <c r="G1586" s="19" t="str">
        <f t="shared" si="24"/>
        <v>40-50</v>
      </c>
    </row>
    <row r="1587" spans="1:7" ht="20" customHeight="1" x14ac:dyDescent="0.35">
      <c r="A1587" s="17">
        <v>1586</v>
      </c>
      <c r="B1587" s="23" t="s">
        <v>100</v>
      </c>
      <c r="C1587" s="18" t="s">
        <v>126</v>
      </c>
      <c r="D1587" s="18">
        <v>42</v>
      </c>
      <c r="E1587" s="18" t="s">
        <v>131</v>
      </c>
      <c r="F1587" s="18" t="str">
        <f>IF(OR(D1587&gt;Answers!L1602,D1587&lt;Answers!L1603),"Outlier","Normal")</f>
        <v>Outlier</v>
      </c>
      <c r="G1587" s="19" t="str">
        <f t="shared" si="24"/>
        <v>40-50</v>
      </c>
    </row>
    <row r="1588" spans="1:7" ht="20" customHeight="1" x14ac:dyDescent="0.35">
      <c r="A1588" s="17">
        <v>1587</v>
      </c>
      <c r="B1588" s="23" t="s">
        <v>99</v>
      </c>
      <c r="C1588" s="18" t="s">
        <v>125</v>
      </c>
      <c r="D1588" s="18">
        <v>41</v>
      </c>
      <c r="E1588" s="18" t="s">
        <v>131</v>
      </c>
      <c r="F1588" s="18" t="str">
        <f>IF(OR(D1588&gt;Answers!L1603,D1588&lt;Answers!L1604),"Outlier","Normal")</f>
        <v>Outlier</v>
      </c>
      <c r="G1588" s="19" t="str">
        <f t="shared" si="24"/>
        <v>40-50</v>
      </c>
    </row>
    <row r="1589" spans="1:7" ht="20" customHeight="1" x14ac:dyDescent="0.35">
      <c r="A1589" s="17">
        <v>1588</v>
      </c>
      <c r="B1589" s="23" t="s">
        <v>100</v>
      </c>
      <c r="C1589" s="18" t="s">
        <v>125</v>
      </c>
      <c r="D1589" s="18">
        <v>74</v>
      </c>
      <c r="E1589" s="18" t="s">
        <v>131</v>
      </c>
      <c r="F1589" s="18" t="str">
        <f>IF(OR(D1589&gt;Answers!L1604,D1589&lt;Answers!L1605),"Outlier","Normal")</f>
        <v>Outlier</v>
      </c>
      <c r="G1589" s="19" t="str">
        <f t="shared" si="24"/>
        <v>40-50</v>
      </c>
    </row>
    <row r="1590" spans="1:7" ht="20" customHeight="1" x14ac:dyDescent="0.35">
      <c r="A1590" s="17">
        <v>1589</v>
      </c>
      <c r="B1590" s="23" t="s">
        <v>99</v>
      </c>
      <c r="C1590" s="18" t="s">
        <v>126</v>
      </c>
      <c r="D1590" s="18">
        <v>20</v>
      </c>
      <c r="E1590" s="18" t="s">
        <v>131</v>
      </c>
      <c r="F1590" s="18" t="str">
        <f>IF(OR(D1590&gt;Answers!L1605,D1590&lt;Answers!L1606),"Outlier","Normal")</f>
        <v>Outlier</v>
      </c>
      <c r="G1590" s="19" t="str">
        <f t="shared" si="24"/>
        <v>20-30</v>
      </c>
    </row>
    <row r="1591" spans="1:7" ht="20" customHeight="1" x14ac:dyDescent="0.35">
      <c r="A1591" s="17">
        <v>1590</v>
      </c>
      <c r="B1591" s="23" t="s">
        <v>106</v>
      </c>
      <c r="C1591" s="18" t="s">
        <v>125</v>
      </c>
      <c r="D1591" s="18">
        <v>69</v>
      </c>
      <c r="E1591" s="18" t="s">
        <v>131</v>
      </c>
      <c r="F1591" s="18" t="str">
        <f>IF(OR(D1591&gt;Answers!L1606,D1591&lt;Answers!L1607),"Outlier","Normal")</f>
        <v>Outlier</v>
      </c>
      <c r="G1591" s="19" t="str">
        <f t="shared" si="24"/>
        <v>40-50</v>
      </c>
    </row>
    <row r="1592" spans="1:7" ht="20" customHeight="1" x14ac:dyDescent="0.35">
      <c r="A1592" s="17">
        <v>1591</v>
      </c>
      <c r="B1592" s="23" t="s">
        <v>99</v>
      </c>
      <c r="C1592" s="18" t="s">
        <v>125</v>
      </c>
      <c r="D1592" s="18">
        <v>61</v>
      </c>
      <c r="E1592" s="18" t="s">
        <v>131</v>
      </c>
      <c r="F1592" s="18" t="str">
        <f>IF(OR(D1592&gt;Answers!L1607,D1592&lt;Answers!L1608),"Outlier","Normal")</f>
        <v>Outlier</v>
      </c>
      <c r="G1592" s="19" t="str">
        <f t="shared" si="24"/>
        <v>40-50</v>
      </c>
    </row>
    <row r="1593" spans="1:7" ht="20" customHeight="1" x14ac:dyDescent="0.35">
      <c r="A1593" s="17">
        <v>1592</v>
      </c>
      <c r="B1593" s="23" t="s">
        <v>101</v>
      </c>
      <c r="C1593" s="18" t="s">
        <v>125</v>
      </c>
      <c r="D1593" s="18">
        <v>67</v>
      </c>
      <c r="E1593" s="18" t="s">
        <v>131</v>
      </c>
      <c r="F1593" s="18" t="str">
        <f>IF(OR(D1593&gt;Answers!L1608,D1593&lt;Answers!L1609),"Outlier","Normal")</f>
        <v>Outlier</v>
      </c>
      <c r="G1593" s="19" t="str">
        <f t="shared" si="24"/>
        <v>40-50</v>
      </c>
    </row>
    <row r="1594" spans="1:7" ht="20" customHeight="1" x14ac:dyDescent="0.35">
      <c r="A1594" s="17">
        <v>1593</v>
      </c>
      <c r="B1594" s="23" t="s">
        <v>100</v>
      </c>
      <c r="C1594" s="18" t="s">
        <v>126</v>
      </c>
      <c r="D1594" s="18">
        <v>34</v>
      </c>
      <c r="E1594" s="18" t="s">
        <v>131</v>
      </c>
      <c r="F1594" s="18" t="str">
        <f>IF(OR(D1594&gt;Answers!L1609,D1594&lt;Answers!L1610),"Outlier","Normal")</f>
        <v>Outlier</v>
      </c>
      <c r="G1594" s="19" t="str">
        <f t="shared" si="24"/>
        <v>30-40</v>
      </c>
    </row>
    <row r="1595" spans="1:7" ht="20" customHeight="1" x14ac:dyDescent="0.35">
      <c r="A1595" s="17">
        <v>1594</v>
      </c>
      <c r="B1595" s="23" t="s">
        <v>101</v>
      </c>
      <c r="C1595" s="18" t="s">
        <v>125</v>
      </c>
      <c r="D1595" s="18">
        <v>27</v>
      </c>
      <c r="E1595" s="18" t="s">
        <v>131</v>
      </c>
      <c r="F1595" s="18" t="str">
        <f>IF(OR(D1595&gt;Answers!L1610,D1595&lt;Answers!L1611),"Outlier","Normal")</f>
        <v>Outlier</v>
      </c>
      <c r="G1595" s="19" t="str">
        <f t="shared" si="24"/>
        <v>20-30</v>
      </c>
    </row>
    <row r="1596" spans="1:7" ht="20" customHeight="1" x14ac:dyDescent="0.35">
      <c r="A1596" s="17">
        <v>1595</v>
      </c>
      <c r="B1596" s="23" t="s">
        <v>99</v>
      </c>
      <c r="C1596" s="18" t="s">
        <v>126</v>
      </c>
      <c r="D1596" s="18">
        <v>67</v>
      </c>
      <c r="E1596" s="18" t="s">
        <v>131</v>
      </c>
      <c r="F1596" s="18" t="str">
        <f>IF(OR(D1596&gt;Answers!L1611,D1596&lt;Answers!L1612),"Outlier","Normal")</f>
        <v>Outlier</v>
      </c>
      <c r="G1596" s="19" t="str">
        <f t="shared" si="24"/>
        <v>40-50</v>
      </c>
    </row>
    <row r="1597" spans="1:7" ht="20" customHeight="1" x14ac:dyDescent="0.35">
      <c r="A1597" s="17">
        <v>1596</v>
      </c>
      <c r="B1597" s="23" t="s">
        <v>99</v>
      </c>
      <c r="C1597" s="18" t="s">
        <v>126</v>
      </c>
      <c r="D1597" s="18">
        <v>44</v>
      </c>
      <c r="E1597" s="18" t="s">
        <v>131</v>
      </c>
      <c r="F1597" s="18" t="str">
        <f>IF(OR(D1597&gt;Answers!L1612,D1597&lt;Answers!L1613),"Outlier","Normal")</f>
        <v>Outlier</v>
      </c>
      <c r="G1597" s="19" t="str">
        <f t="shared" si="24"/>
        <v>40-50</v>
      </c>
    </row>
    <row r="1598" spans="1:7" ht="20" customHeight="1" x14ac:dyDescent="0.35">
      <c r="A1598" s="17">
        <v>1597</v>
      </c>
      <c r="B1598" s="23" t="s">
        <v>108</v>
      </c>
      <c r="C1598" s="18" t="s">
        <v>126</v>
      </c>
      <c r="D1598" s="18">
        <v>44</v>
      </c>
      <c r="E1598" s="18" t="s">
        <v>131</v>
      </c>
      <c r="F1598" s="18" t="str">
        <f>IF(OR(D1598&gt;Answers!L1613,D1598&lt;Answers!L1614),"Outlier","Normal")</f>
        <v>Outlier</v>
      </c>
      <c r="G1598" s="19" t="str">
        <f t="shared" si="24"/>
        <v>40-50</v>
      </c>
    </row>
    <row r="1599" spans="1:7" ht="20" customHeight="1" x14ac:dyDescent="0.35">
      <c r="A1599" s="17">
        <v>1598</v>
      </c>
      <c r="B1599" s="23" t="s">
        <v>110</v>
      </c>
      <c r="C1599" s="18" t="s">
        <v>126</v>
      </c>
      <c r="D1599" s="18">
        <v>29</v>
      </c>
      <c r="E1599" s="18" t="s">
        <v>131</v>
      </c>
      <c r="F1599" s="18" t="str">
        <f>IF(OR(D1599&gt;Answers!L1614,D1599&lt;Answers!L1615),"Outlier","Normal")</f>
        <v>Outlier</v>
      </c>
      <c r="G1599" s="19" t="str">
        <f t="shared" si="24"/>
        <v>20-30</v>
      </c>
    </row>
    <row r="1600" spans="1:7" ht="20" customHeight="1" x14ac:dyDescent="0.35">
      <c r="A1600" s="17">
        <v>1599</v>
      </c>
      <c r="B1600" s="23" t="s">
        <v>99</v>
      </c>
      <c r="C1600" s="18" t="s">
        <v>125</v>
      </c>
      <c r="D1600" s="18">
        <v>81</v>
      </c>
      <c r="E1600" s="18" t="s">
        <v>131</v>
      </c>
      <c r="F1600" s="18" t="str">
        <f>IF(OR(D1600&gt;Answers!L1615,D1600&lt;Answers!L1616),"Outlier","Normal")</f>
        <v>Outlier</v>
      </c>
      <c r="G1600" s="19" t="str">
        <f t="shared" si="24"/>
        <v>40-50</v>
      </c>
    </row>
    <row r="1601" spans="1:7" ht="20" customHeight="1" x14ac:dyDescent="0.35">
      <c r="A1601" s="17">
        <v>1600</v>
      </c>
      <c r="B1601" s="23" t="s">
        <v>105</v>
      </c>
      <c r="C1601" s="18" t="s">
        <v>126</v>
      </c>
      <c r="D1601" s="18">
        <v>87</v>
      </c>
      <c r="E1601" s="18" t="s">
        <v>131</v>
      </c>
      <c r="F1601" s="18" t="str">
        <f>IF(OR(D1601&gt;Answers!L1616,D1601&lt;Answers!L1617),"Outlier","Normal")</f>
        <v>Outlier</v>
      </c>
      <c r="G1601" s="19" t="str">
        <f t="shared" si="24"/>
        <v>40-50</v>
      </c>
    </row>
    <row r="1602" spans="1:7" ht="20" customHeight="1" x14ac:dyDescent="0.35">
      <c r="A1602" s="17">
        <v>1601</v>
      </c>
      <c r="B1602" s="23" t="s">
        <v>100</v>
      </c>
      <c r="C1602" s="18" t="s">
        <v>126</v>
      </c>
      <c r="D1602" s="18">
        <v>22</v>
      </c>
      <c r="E1602" s="18" t="s">
        <v>131</v>
      </c>
      <c r="F1602" s="18" t="str">
        <f>IF(OR(D1602&gt;Answers!L1617,D1602&lt;Answers!L1618),"Outlier","Normal")</f>
        <v>Outlier</v>
      </c>
      <c r="G1602" s="19" t="str">
        <f t="shared" si="24"/>
        <v>20-30</v>
      </c>
    </row>
    <row r="1603" spans="1:7" ht="20" customHeight="1" x14ac:dyDescent="0.35">
      <c r="A1603" s="17">
        <v>1602</v>
      </c>
      <c r="B1603" s="23" t="s">
        <v>99</v>
      </c>
      <c r="C1603" s="18" t="s">
        <v>125</v>
      </c>
      <c r="D1603" s="18">
        <v>53</v>
      </c>
      <c r="E1603" s="18" t="s">
        <v>131</v>
      </c>
      <c r="F1603" s="18" t="str">
        <f>IF(OR(D1603&gt;Answers!L1618,D1603&lt;Answers!L1619),"Outlier","Normal")</f>
        <v>Outlier</v>
      </c>
      <c r="G1603" s="19" t="str">
        <f t="shared" ref="G1603:G1666" si="25">IF(D1603&lt;20,"&lt;20",
IF(D1603&lt;=30,"20-30",
IF(D1603&lt;=40,"30-40","40-50")))</f>
        <v>40-50</v>
      </c>
    </row>
    <row r="1604" spans="1:7" ht="20" customHeight="1" x14ac:dyDescent="0.35">
      <c r="A1604" s="17">
        <v>1603</v>
      </c>
      <c r="B1604" s="23" t="s">
        <v>99</v>
      </c>
      <c r="C1604" s="18" t="s">
        <v>125</v>
      </c>
      <c r="D1604" s="18">
        <v>73</v>
      </c>
      <c r="E1604" s="18" t="s">
        <v>131</v>
      </c>
      <c r="F1604" s="18" t="str">
        <f>IF(OR(D1604&gt;Answers!L1619,D1604&lt;Answers!L1620),"Outlier","Normal")</f>
        <v>Outlier</v>
      </c>
      <c r="G1604" s="19" t="str">
        <f t="shared" si="25"/>
        <v>40-50</v>
      </c>
    </row>
    <row r="1605" spans="1:7" ht="20" customHeight="1" x14ac:dyDescent="0.35">
      <c r="A1605" s="17">
        <v>1604</v>
      </c>
      <c r="B1605" s="23" t="s">
        <v>105</v>
      </c>
      <c r="C1605" s="18" t="s">
        <v>126</v>
      </c>
      <c r="D1605" s="18">
        <v>76</v>
      </c>
      <c r="E1605" s="18" t="s">
        <v>131</v>
      </c>
      <c r="F1605" s="18" t="str">
        <f>IF(OR(D1605&gt;Answers!L1620,D1605&lt;Answers!L1621),"Outlier","Normal")</f>
        <v>Outlier</v>
      </c>
      <c r="G1605" s="19" t="str">
        <f t="shared" si="25"/>
        <v>40-50</v>
      </c>
    </row>
    <row r="1606" spans="1:7" ht="20" customHeight="1" x14ac:dyDescent="0.35">
      <c r="A1606" s="17">
        <v>1605</v>
      </c>
      <c r="B1606" s="23" t="s">
        <v>105</v>
      </c>
      <c r="C1606" s="18" t="s">
        <v>126</v>
      </c>
      <c r="D1606" s="18">
        <v>45</v>
      </c>
      <c r="E1606" s="18" t="s">
        <v>131</v>
      </c>
      <c r="F1606" s="18" t="str">
        <f>IF(OR(D1606&gt;Answers!L1621,D1606&lt;Answers!L1622),"Outlier","Normal")</f>
        <v>Outlier</v>
      </c>
      <c r="G1606" s="19" t="str">
        <f t="shared" si="25"/>
        <v>40-50</v>
      </c>
    </row>
    <row r="1607" spans="1:7" ht="20" customHeight="1" x14ac:dyDescent="0.35">
      <c r="A1607" s="17">
        <v>1606</v>
      </c>
      <c r="B1607" s="23" t="s">
        <v>100</v>
      </c>
      <c r="C1607" s="18" t="s">
        <v>125</v>
      </c>
      <c r="D1607" s="18">
        <v>23</v>
      </c>
      <c r="E1607" s="18" t="s">
        <v>131</v>
      </c>
      <c r="F1607" s="18" t="str">
        <f>IF(OR(D1607&gt;Answers!L1622,D1607&lt;Answers!L1623),"Outlier","Normal")</f>
        <v>Outlier</v>
      </c>
      <c r="G1607" s="19" t="str">
        <f t="shared" si="25"/>
        <v>20-30</v>
      </c>
    </row>
    <row r="1608" spans="1:7" ht="20" customHeight="1" x14ac:dyDescent="0.35">
      <c r="A1608" s="17">
        <v>1607</v>
      </c>
      <c r="B1608" s="23" t="s">
        <v>101</v>
      </c>
      <c r="C1608" s="18" t="s">
        <v>125</v>
      </c>
      <c r="D1608" s="18">
        <v>65</v>
      </c>
      <c r="E1608" s="18" t="s">
        <v>131</v>
      </c>
      <c r="F1608" s="18" t="str">
        <f>IF(OR(D1608&gt;Answers!L1623,D1608&lt;Answers!L1624),"Outlier","Normal")</f>
        <v>Outlier</v>
      </c>
      <c r="G1608" s="19" t="str">
        <f t="shared" si="25"/>
        <v>40-50</v>
      </c>
    </row>
    <row r="1609" spans="1:7" ht="20" customHeight="1" x14ac:dyDescent="0.35">
      <c r="A1609" s="17">
        <v>1608</v>
      </c>
      <c r="B1609" s="23" t="s">
        <v>99</v>
      </c>
      <c r="C1609" s="18" t="s">
        <v>125</v>
      </c>
      <c r="D1609" s="18">
        <v>43</v>
      </c>
      <c r="E1609" s="18" t="s">
        <v>131</v>
      </c>
      <c r="F1609" s="18" t="str">
        <f>IF(OR(D1609&gt;Answers!L1624,D1609&lt;Answers!L1625),"Outlier","Normal")</f>
        <v>Outlier</v>
      </c>
      <c r="G1609" s="19" t="str">
        <f t="shared" si="25"/>
        <v>40-50</v>
      </c>
    </row>
    <row r="1610" spans="1:7" ht="20" customHeight="1" x14ac:dyDescent="0.35">
      <c r="A1610" s="17">
        <v>1609</v>
      </c>
      <c r="B1610" s="23" t="s">
        <v>99</v>
      </c>
      <c r="C1610" s="18" t="s">
        <v>126</v>
      </c>
      <c r="D1610" s="18">
        <v>64</v>
      </c>
      <c r="E1610" s="18" t="s">
        <v>131</v>
      </c>
      <c r="F1610" s="18" t="str">
        <f>IF(OR(D1610&gt;Answers!L1625,D1610&lt;Answers!L1626),"Outlier","Normal")</f>
        <v>Outlier</v>
      </c>
      <c r="G1610" s="19" t="str">
        <f t="shared" si="25"/>
        <v>40-50</v>
      </c>
    </row>
    <row r="1611" spans="1:7" ht="20" customHeight="1" x14ac:dyDescent="0.35">
      <c r="A1611" s="17">
        <v>1610</v>
      </c>
      <c r="B1611" s="23" t="s">
        <v>101</v>
      </c>
      <c r="C1611" s="18" t="s">
        <v>126</v>
      </c>
      <c r="D1611" s="18">
        <v>72</v>
      </c>
      <c r="E1611" s="18" t="s">
        <v>131</v>
      </c>
      <c r="F1611" s="18" t="str">
        <f>IF(OR(D1611&gt;Answers!L1626,D1611&lt;Answers!L1627),"Outlier","Normal")</f>
        <v>Outlier</v>
      </c>
      <c r="G1611" s="19" t="str">
        <f t="shared" si="25"/>
        <v>40-50</v>
      </c>
    </row>
    <row r="1612" spans="1:7" ht="20" customHeight="1" x14ac:dyDescent="0.35">
      <c r="A1612" s="17">
        <v>1611</v>
      </c>
      <c r="B1612" s="23" t="s">
        <v>100</v>
      </c>
      <c r="C1612" s="18" t="s">
        <v>125</v>
      </c>
      <c r="D1612" s="18">
        <v>37</v>
      </c>
      <c r="E1612" s="18" t="s">
        <v>131</v>
      </c>
      <c r="F1612" s="18" t="str">
        <f>IF(OR(D1612&gt;Answers!L1627,D1612&lt;Answers!L1628),"Outlier","Normal")</f>
        <v>Outlier</v>
      </c>
      <c r="G1612" s="19" t="str">
        <f t="shared" si="25"/>
        <v>30-40</v>
      </c>
    </row>
    <row r="1613" spans="1:7" ht="20" customHeight="1" x14ac:dyDescent="0.35">
      <c r="A1613" s="17">
        <v>1612</v>
      </c>
      <c r="B1613" s="23" t="s">
        <v>105</v>
      </c>
      <c r="C1613" s="18" t="s">
        <v>125</v>
      </c>
      <c r="D1613" s="18">
        <v>75</v>
      </c>
      <c r="E1613" s="18" t="s">
        <v>131</v>
      </c>
      <c r="F1613" s="18" t="str">
        <f>IF(OR(D1613&gt;Answers!L1628,D1613&lt;Answers!L1629),"Outlier","Normal")</f>
        <v>Outlier</v>
      </c>
      <c r="G1613" s="19" t="str">
        <f t="shared" si="25"/>
        <v>40-50</v>
      </c>
    </row>
    <row r="1614" spans="1:7" ht="20" customHeight="1" x14ac:dyDescent="0.35">
      <c r="A1614" s="17">
        <v>1613</v>
      </c>
      <c r="B1614" s="23" t="s">
        <v>99</v>
      </c>
      <c r="C1614" s="18" t="s">
        <v>125</v>
      </c>
      <c r="D1614" s="18">
        <v>71</v>
      </c>
      <c r="E1614" s="18" t="s">
        <v>131</v>
      </c>
      <c r="F1614" s="18" t="str">
        <f>IF(OR(D1614&gt;Answers!L1629,D1614&lt;Answers!L1630),"Outlier","Normal")</f>
        <v>Outlier</v>
      </c>
      <c r="G1614" s="19" t="str">
        <f t="shared" si="25"/>
        <v>40-50</v>
      </c>
    </row>
    <row r="1615" spans="1:7" ht="20" customHeight="1" x14ac:dyDescent="0.35">
      <c r="A1615" s="17">
        <v>1614</v>
      </c>
      <c r="B1615" s="23" t="s">
        <v>99</v>
      </c>
      <c r="C1615" s="18" t="s">
        <v>125</v>
      </c>
      <c r="D1615" s="18">
        <v>37</v>
      </c>
      <c r="E1615" s="18" t="s">
        <v>131</v>
      </c>
      <c r="F1615" s="18" t="str">
        <f>IF(OR(D1615&gt;Answers!L1630,D1615&lt;Answers!L1631),"Outlier","Normal")</f>
        <v>Outlier</v>
      </c>
      <c r="G1615" s="19" t="str">
        <f t="shared" si="25"/>
        <v>30-40</v>
      </c>
    </row>
    <row r="1616" spans="1:7" ht="20" customHeight="1" x14ac:dyDescent="0.35">
      <c r="A1616" s="17">
        <v>1615</v>
      </c>
      <c r="B1616" s="23" t="s">
        <v>105</v>
      </c>
      <c r="C1616" s="18" t="s">
        <v>125</v>
      </c>
      <c r="D1616" s="18">
        <v>64</v>
      </c>
      <c r="E1616" s="18" t="s">
        <v>131</v>
      </c>
      <c r="F1616" s="18" t="str">
        <f>IF(OR(D1616&gt;Answers!L1631,D1616&lt;Answers!L1632),"Outlier","Normal")</f>
        <v>Outlier</v>
      </c>
      <c r="G1616" s="19" t="str">
        <f t="shared" si="25"/>
        <v>40-50</v>
      </c>
    </row>
    <row r="1617" spans="1:7" ht="20" customHeight="1" x14ac:dyDescent="0.35">
      <c r="A1617" s="17">
        <v>1616</v>
      </c>
      <c r="B1617" s="23" t="s">
        <v>99</v>
      </c>
      <c r="C1617" s="18" t="s">
        <v>126</v>
      </c>
      <c r="D1617" s="18">
        <v>38</v>
      </c>
      <c r="E1617" s="18" t="s">
        <v>131</v>
      </c>
      <c r="F1617" s="18" t="str">
        <f>IF(OR(D1617&gt;Answers!L1632,D1617&lt;Answers!L1633),"Outlier","Normal")</f>
        <v>Outlier</v>
      </c>
      <c r="G1617" s="19" t="str">
        <f t="shared" si="25"/>
        <v>30-40</v>
      </c>
    </row>
    <row r="1618" spans="1:7" ht="20" customHeight="1" x14ac:dyDescent="0.35">
      <c r="A1618" s="17">
        <v>1617</v>
      </c>
      <c r="B1618" s="23" t="s">
        <v>104</v>
      </c>
      <c r="C1618" s="18" t="s">
        <v>125</v>
      </c>
      <c r="D1618" s="18">
        <v>50</v>
      </c>
      <c r="E1618" s="18" t="s">
        <v>131</v>
      </c>
      <c r="F1618" s="18" t="str">
        <f>IF(OR(D1618&gt;Answers!L1633,D1618&lt;Answers!L1634),"Outlier","Normal")</f>
        <v>Outlier</v>
      </c>
      <c r="G1618" s="19" t="str">
        <f t="shared" si="25"/>
        <v>40-50</v>
      </c>
    </row>
    <row r="1619" spans="1:7" ht="20" customHeight="1" x14ac:dyDescent="0.35">
      <c r="A1619" s="17">
        <v>1618</v>
      </c>
      <c r="B1619" s="23" t="s">
        <v>99</v>
      </c>
      <c r="C1619" s="18" t="s">
        <v>125</v>
      </c>
      <c r="D1619" s="18">
        <v>50</v>
      </c>
      <c r="E1619" s="18" t="s">
        <v>131</v>
      </c>
      <c r="F1619" s="18" t="str">
        <f>IF(OR(D1619&gt;Answers!L1634,D1619&lt;Answers!L1635),"Outlier","Normal")</f>
        <v>Outlier</v>
      </c>
      <c r="G1619" s="19" t="str">
        <f t="shared" si="25"/>
        <v>40-50</v>
      </c>
    </row>
    <row r="1620" spans="1:7" ht="20" customHeight="1" x14ac:dyDescent="0.35">
      <c r="A1620" s="17">
        <v>1619</v>
      </c>
      <c r="B1620" s="23" t="s">
        <v>99</v>
      </c>
      <c r="C1620" s="18" t="s">
        <v>125</v>
      </c>
      <c r="D1620" s="18">
        <v>56</v>
      </c>
      <c r="E1620" s="18" t="s">
        <v>131</v>
      </c>
      <c r="F1620" s="18" t="str">
        <f>IF(OR(D1620&gt;Answers!L1635,D1620&lt;Answers!L1636),"Outlier","Normal")</f>
        <v>Outlier</v>
      </c>
      <c r="G1620" s="19" t="str">
        <f t="shared" si="25"/>
        <v>40-50</v>
      </c>
    </row>
    <row r="1621" spans="1:7" ht="20" customHeight="1" x14ac:dyDescent="0.35">
      <c r="A1621" s="17">
        <v>1620</v>
      </c>
      <c r="B1621" s="23" t="s">
        <v>99</v>
      </c>
      <c r="C1621" s="18" t="s">
        <v>126</v>
      </c>
      <c r="D1621" s="18">
        <v>61</v>
      </c>
      <c r="E1621" s="18" t="s">
        <v>131</v>
      </c>
      <c r="F1621" s="18" t="str">
        <f>IF(OR(D1621&gt;Answers!L1636,D1621&lt;Answers!L1637),"Outlier","Normal")</f>
        <v>Outlier</v>
      </c>
      <c r="G1621" s="19" t="str">
        <f t="shared" si="25"/>
        <v>40-50</v>
      </c>
    </row>
    <row r="1622" spans="1:7" ht="20" customHeight="1" x14ac:dyDescent="0.35">
      <c r="A1622" s="17">
        <v>1621</v>
      </c>
      <c r="B1622" s="23" t="s">
        <v>101</v>
      </c>
      <c r="C1622" s="18" t="s">
        <v>125</v>
      </c>
      <c r="D1622" s="18">
        <v>21</v>
      </c>
      <c r="E1622" s="18" t="s">
        <v>131</v>
      </c>
      <c r="F1622" s="18" t="str">
        <f>IF(OR(D1622&gt;Answers!L1637,D1622&lt;Answers!L1638),"Outlier","Normal")</f>
        <v>Outlier</v>
      </c>
      <c r="G1622" s="19" t="str">
        <f t="shared" si="25"/>
        <v>20-30</v>
      </c>
    </row>
    <row r="1623" spans="1:7" ht="20" customHeight="1" x14ac:dyDescent="0.35">
      <c r="A1623" s="17">
        <v>1622</v>
      </c>
      <c r="B1623" s="23" t="s">
        <v>100</v>
      </c>
      <c r="C1623" s="18" t="s">
        <v>126</v>
      </c>
      <c r="D1623" s="18">
        <v>87</v>
      </c>
      <c r="E1623" s="18" t="s">
        <v>131</v>
      </c>
      <c r="F1623" s="18" t="str">
        <f>IF(OR(D1623&gt;Answers!L1638,D1623&lt;Answers!L1639),"Outlier","Normal")</f>
        <v>Outlier</v>
      </c>
      <c r="G1623" s="19" t="str">
        <f t="shared" si="25"/>
        <v>40-50</v>
      </c>
    </row>
    <row r="1624" spans="1:7" ht="20" customHeight="1" x14ac:dyDescent="0.35">
      <c r="A1624" s="17">
        <v>1623</v>
      </c>
      <c r="B1624" s="23" t="s">
        <v>105</v>
      </c>
      <c r="C1624" s="18" t="s">
        <v>125</v>
      </c>
      <c r="D1624" s="18">
        <v>46</v>
      </c>
      <c r="E1624" s="18" t="s">
        <v>131</v>
      </c>
      <c r="F1624" s="18" t="str">
        <f>IF(OR(D1624&gt;Answers!L1639,D1624&lt;Answers!L1640),"Outlier","Normal")</f>
        <v>Outlier</v>
      </c>
      <c r="G1624" s="19" t="str">
        <f t="shared" si="25"/>
        <v>40-50</v>
      </c>
    </row>
    <row r="1625" spans="1:7" ht="20" customHeight="1" x14ac:dyDescent="0.35">
      <c r="A1625" s="17">
        <v>1624</v>
      </c>
      <c r="B1625" s="23" t="s">
        <v>99</v>
      </c>
      <c r="C1625" s="18" t="s">
        <v>125</v>
      </c>
      <c r="D1625" s="18">
        <v>32</v>
      </c>
      <c r="E1625" s="18" t="s">
        <v>131</v>
      </c>
      <c r="F1625" s="18" t="str">
        <f>IF(OR(D1625&gt;Answers!L1640,D1625&lt;Answers!L1641),"Outlier","Normal")</f>
        <v>Outlier</v>
      </c>
      <c r="G1625" s="19" t="str">
        <f t="shared" si="25"/>
        <v>30-40</v>
      </c>
    </row>
    <row r="1626" spans="1:7" ht="20" customHeight="1" x14ac:dyDescent="0.35">
      <c r="A1626" s="17">
        <v>1625</v>
      </c>
      <c r="B1626" s="23" t="s">
        <v>109</v>
      </c>
      <c r="C1626" s="18" t="s">
        <v>126</v>
      </c>
      <c r="D1626" s="18">
        <v>61</v>
      </c>
      <c r="E1626" s="18" t="s">
        <v>131</v>
      </c>
      <c r="F1626" s="18" t="str">
        <f>IF(OR(D1626&gt;Answers!L1641,D1626&lt;Answers!L1642),"Outlier","Normal")</f>
        <v>Outlier</v>
      </c>
      <c r="G1626" s="19" t="str">
        <f t="shared" si="25"/>
        <v>40-50</v>
      </c>
    </row>
    <row r="1627" spans="1:7" ht="20" customHeight="1" x14ac:dyDescent="0.35">
      <c r="A1627" s="17">
        <v>1626</v>
      </c>
      <c r="B1627" s="23" t="s">
        <v>99</v>
      </c>
      <c r="C1627" s="18" t="s">
        <v>126</v>
      </c>
      <c r="D1627" s="18">
        <v>31</v>
      </c>
      <c r="E1627" s="18" t="s">
        <v>131</v>
      </c>
      <c r="F1627" s="18" t="str">
        <f>IF(OR(D1627&gt;Answers!L1642,D1627&lt;Answers!L1643),"Outlier","Normal")</f>
        <v>Outlier</v>
      </c>
      <c r="G1627" s="19" t="str">
        <f t="shared" si="25"/>
        <v>30-40</v>
      </c>
    </row>
    <row r="1628" spans="1:7" ht="20" customHeight="1" x14ac:dyDescent="0.35">
      <c r="A1628" s="17">
        <v>1627</v>
      </c>
      <c r="B1628" s="23" t="s">
        <v>101</v>
      </c>
      <c r="C1628" s="18" t="s">
        <v>126</v>
      </c>
      <c r="D1628" s="18">
        <v>61</v>
      </c>
      <c r="E1628" s="18" t="s">
        <v>131</v>
      </c>
      <c r="F1628" s="18" t="str">
        <f>IF(OR(D1628&gt;Answers!L1643,D1628&lt;Answers!L1644),"Outlier","Normal")</f>
        <v>Outlier</v>
      </c>
      <c r="G1628" s="19" t="str">
        <f t="shared" si="25"/>
        <v>40-50</v>
      </c>
    </row>
    <row r="1629" spans="1:7" ht="20" customHeight="1" x14ac:dyDescent="0.35">
      <c r="A1629" s="17">
        <v>1628</v>
      </c>
      <c r="B1629" s="23" t="s">
        <v>99</v>
      </c>
      <c r="C1629" s="18" t="s">
        <v>126</v>
      </c>
      <c r="D1629" s="18">
        <v>79</v>
      </c>
      <c r="E1629" s="18" t="s">
        <v>131</v>
      </c>
      <c r="F1629" s="18" t="str">
        <f>IF(OR(D1629&gt;Answers!L1644,D1629&lt;Answers!L1645),"Outlier","Normal")</f>
        <v>Outlier</v>
      </c>
      <c r="G1629" s="19" t="str">
        <f t="shared" si="25"/>
        <v>40-50</v>
      </c>
    </row>
    <row r="1630" spans="1:7" ht="20" customHeight="1" x14ac:dyDescent="0.35">
      <c r="A1630" s="17">
        <v>1629</v>
      </c>
      <c r="B1630" s="23" t="s">
        <v>99</v>
      </c>
      <c r="C1630" s="18" t="s">
        <v>126</v>
      </c>
      <c r="D1630" s="18">
        <v>73</v>
      </c>
      <c r="E1630" s="18" t="s">
        <v>131</v>
      </c>
      <c r="F1630" s="18" t="str">
        <f>IF(OR(D1630&gt;Answers!L1645,D1630&lt;Answers!L1646),"Outlier","Normal")</f>
        <v>Outlier</v>
      </c>
      <c r="G1630" s="19" t="str">
        <f t="shared" si="25"/>
        <v>40-50</v>
      </c>
    </row>
    <row r="1631" spans="1:7" ht="20" customHeight="1" x14ac:dyDescent="0.35">
      <c r="A1631" s="17">
        <v>1630</v>
      </c>
      <c r="B1631" s="23" t="s">
        <v>100</v>
      </c>
      <c r="C1631" s="18" t="s">
        <v>126</v>
      </c>
      <c r="D1631" s="18">
        <v>21</v>
      </c>
      <c r="E1631" s="18" t="s">
        <v>131</v>
      </c>
      <c r="F1631" s="18" t="str">
        <f>IF(OR(D1631&gt;Answers!L1646,D1631&lt;Answers!L1647),"Outlier","Normal")</f>
        <v>Outlier</v>
      </c>
      <c r="G1631" s="19" t="str">
        <f t="shared" si="25"/>
        <v>20-30</v>
      </c>
    </row>
    <row r="1632" spans="1:7" ht="20" customHeight="1" x14ac:dyDescent="0.35">
      <c r="A1632" s="17">
        <v>1631</v>
      </c>
      <c r="B1632" s="23" t="s">
        <v>99</v>
      </c>
      <c r="C1632" s="18" t="s">
        <v>126</v>
      </c>
      <c r="D1632" s="18">
        <v>80</v>
      </c>
      <c r="E1632" s="18" t="s">
        <v>131</v>
      </c>
      <c r="F1632" s="18" t="str">
        <f>IF(OR(D1632&gt;Answers!L1647,D1632&lt;Answers!L1648),"Outlier","Normal")</f>
        <v>Outlier</v>
      </c>
      <c r="G1632" s="19" t="str">
        <f t="shared" si="25"/>
        <v>40-50</v>
      </c>
    </row>
    <row r="1633" spans="1:7" ht="20" customHeight="1" x14ac:dyDescent="0.35">
      <c r="A1633" s="17">
        <v>1632</v>
      </c>
      <c r="B1633" s="23" t="s">
        <v>105</v>
      </c>
      <c r="C1633" s="18" t="s">
        <v>126</v>
      </c>
      <c r="D1633" s="18">
        <v>27</v>
      </c>
      <c r="E1633" s="18" t="s">
        <v>131</v>
      </c>
      <c r="F1633" s="18" t="str">
        <f>IF(OR(D1633&gt;Answers!L1648,D1633&lt;Answers!L1649),"Outlier","Normal")</f>
        <v>Outlier</v>
      </c>
      <c r="G1633" s="19" t="str">
        <f t="shared" si="25"/>
        <v>20-30</v>
      </c>
    </row>
    <row r="1634" spans="1:7" ht="20" customHeight="1" x14ac:dyDescent="0.35">
      <c r="A1634" s="17">
        <v>1633</v>
      </c>
      <c r="B1634" s="23" t="s">
        <v>101</v>
      </c>
      <c r="C1634" s="18" t="s">
        <v>125</v>
      </c>
      <c r="D1634" s="18">
        <v>64</v>
      </c>
      <c r="E1634" s="18" t="s">
        <v>131</v>
      </c>
      <c r="F1634" s="18" t="str">
        <f>IF(OR(D1634&gt;Answers!L1649,D1634&lt;Answers!L1650),"Outlier","Normal")</f>
        <v>Outlier</v>
      </c>
      <c r="G1634" s="19" t="str">
        <f t="shared" si="25"/>
        <v>40-50</v>
      </c>
    </row>
    <row r="1635" spans="1:7" ht="20" customHeight="1" x14ac:dyDescent="0.35">
      <c r="A1635" s="17">
        <v>1634</v>
      </c>
      <c r="B1635" s="23" t="s">
        <v>105</v>
      </c>
      <c r="C1635" s="18" t="s">
        <v>125</v>
      </c>
      <c r="D1635" s="18">
        <v>34</v>
      </c>
      <c r="E1635" s="18" t="s">
        <v>131</v>
      </c>
      <c r="F1635" s="18" t="str">
        <f>IF(OR(D1635&gt;Answers!L1650,D1635&lt;Answers!L1651),"Outlier","Normal")</f>
        <v>Outlier</v>
      </c>
      <c r="G1635" s="19" t="str">
        <f t="shared" si="25"/>
        <v>30-40</v>
      </c>
    </row>
    <row r="1636" spans="1:7" ht="20" customHeight="1" x14ac:dyDescent="0.35">
      <c r="A1636" s="17">
        <v>1635</v>
      </c>
      <c r="B1636" s="23" t="s">
        <v>99</v>
      </c>
      <c r="C1636" s="18" t="s">
        <v>125</v>
      </c>
      <c r="D1636" s="18">
        <v>41</v>
      </c>
      <c r="E1636" s="18" t="s">
        <v>131</v>
      </c>
      <c r="F1636" s="18" t="str">
        <f>IF(OR(D1636&gt;Answers!L1651,D1636&lt;Answers!L1652),"Outlier","Normal")</f>
        <v>Outlier</v>
      </c>
      <c r="G1636" s="19" t="str">
        <f t="shared" si="25"/>
        <v>40-50</v>
      </c>
    </row>
    <row r="1637" spans="1:7" ht="20" customHeight="1" x14ac:dyDescent="0.35">
      <c r="A1637" s="17">
        <v>1636</v>
      </c>
      <c r="B1637" s="23" t="s">
        <v>104</v>
      </c>
      <c r="C1637" s="18" t="s">
        <v>126</v>
      </c>
      <c r="D1637" s="18">
        <v>20</v>
      </c>
      <c r="E1637" s="18" t="s">
        <v>131</v>
      </c>
      <c r="F1637" s="18" t="str">
        <f>IF(OR(D1637&gt;Answers!L1652,D1637&lt;Answers!L1653),"Outlier","Normal")</f>
        <v>Outlier</v>
      </c>
      <c r="G1637" s="19" t="str">
        <f t="shared" si="25"/>
        <v>20-30</v>
      </c>
    </row>
    <row r="1638" spans="1:7" ht="20" customHeight="1" x14ac:dyDescent="0.35">
      <c r="A1638" s="17">
        <v>1637</v>
      </c>
      <c r="B1638" s="23" t="s">
        <v>109</v>
      </c>
      <c r="C1638" s="18" t="s">
        <v>126</v>
      </c>
      <c r="D1638" s="18">
        <v>55</v>
      </c>
      <c r="E1638" s="18" t="s">
        <v>131</v>
      </c>
      <c r="F1638" s="18" t="str">
        <f>IF(OR(D1638&gt;Answers!L1653,D1638&lt;Answers!L1654),"Outlier","Normal")</f>
        <v>Outlier</v>
      </c>
      <c r="G1638" s="19" t="str">
        <f t="shared" si="25"/>
        <v>40-50</v>
      </c>
    </row>
    <row r="1639" spans="1:7" ht="20" customHeight="1" x14ac:dyDescent="0.35">
      <c r="A1639" s="17">
        <v>1638</v>
      </c>
      <c r="B1639" s="23" t="s">
        <v>100</v>
      </c>
      <c r="C1639" s="18" t="s">
        <v>125</v>
      </c>
      <c r="D1639" s="18">
        <v>86</v>
      </c>
      <c r="E1639" s="18" t="s">
        <v>131</v>
      </c>
      <c r="F1639" s="18" t="str">
        <f>IF(OR(D1639&gt;Answers!L1654,D1639&lt;Answers!L1655),"Outlier","Normal")</f>
        <v>Outlier</v>
      </c>
      <c r="G1639" s="19" t="str">
        <f t="shared" si="25"/>
        <v>40-50</v>
      </c>
    </row>
    <row r="1640" spans="1:7" ht="20" customHeight="1" x14ac:dyDescent="0.35">
      <c r="A1640" s="17">
        <v>1639</v>
      </c>
      <c r="B1640" s="23" t="s">
        <v>101</v>
      </c>
      <c r="C1640" s="18" t="s">
        <v>125</v>
      </c>
      <c r="D1640" s="18">
        <v>57</v>
      </c>
      <c r="E1640" s="18" t="s">
        <v>131</v>
      </c>
      <c r="F1640" s="18" t="str">
        <f>IF(OR(D1640&gt;Answers!L1655,D1640&lt;Answers!L1656),"Outlier","Normal")</f>
        <v>Outlier</v>
      </c>
      <c r="G1640" s="19" t="str">
        <f t="shared" si="25"/>
        <v>40-50</v>
      </c>
    </row>
    <row r="1641" spans="1:7" ht="20" customHeight="1" x14ac:dyDescent="0.35">
      <c r="A1641" s="17">
        <v>1640</v>
      </c>
      <c r="B1641" s="23" t="s">
        <v>105</v>
      </c>
      <c r="C1641" s="18" t="s">
        <v>126</v>
      </c>
      <c r="D1641" s="18">
        <v>22</v>
      </c>
      <c r="E1641" s="18" t="s">
        <v>131</v>
      </c>
      <c r="F1641" s="18" t="str">
        <f>IF(OR(D1641&gt;Answers!L1656,D1641&lt;Answers!L1657),"Outlier","Normal")</f>
        <v>Outlier</v>
      </c>
      <c r="G1641" s="19" t="str">
        <f t="shared" si="25"/>
        <v>20-30</v>
      </c>
    </row>
    <row r="1642" spans="1:7" ht="20" customHeight="1" x14ac:dyDescent="0.35">
      <c r="A1642" s="17">
        <v>1641</v>
      </c>
      <c r="B1642" s="23" t="s">
        <v>109</v>
      </c>
      <c r="C1642" s="18" t="s">
        <v>125</v>
      </c>
      <c r="D1642" s="18">
        <v>85</v>
      </c>
      <c r="E1642" s="18" t="s">
        <v>131</v>
      </c>
      <c r="F1642" s="18" t="str">
        <f>IF(OR(D1642&gt;Answers!L1657,D1642&lt;Answers!L1658),"Outlier","Normal")</f>
        <v>Outlier</v>
      </c>
      <c r="G1642" s="19" t="str">
        <f t="shared" si="25"/>
        <v>40-50</v>
      </c>
    </row>
    <row r="1643" spans="1:7" ht="20" customHeight="1" x14ac:dyDescent="0.35">
      <c r="A1643" s="17">
        <v>1642</v>
      </c>
      <c r="B1643" s="23" t="s">
        <v>107</v>
      </c>
      <c r="C1643" s="18" t="s">
        <v>125</v>
      </c>
      <c r="D1643" s="18">
        <v>28</v>
      </c>
      <c r="E1643" s="18" t="s">
        <v>131</v>
      </c>
      <c r="F1643" s="18" t="str">
        <f>IF(OR(D1643&gt;Answers!L1658,D1643&lt;Answers!L1659),"Outlier","Normal")</f>
        <v>Outlier</v>
      </c>
      <c r="G1643" s="19" t="str">
        <f t="shared" si="25"/>
        <v>20-30</v>
      </c>
    </row>
    <row r="1644" spans="1:7" ht="20" customHeight="1" x14ac:dyDescent="0.35">
      <c r="A1644" s="17">
        <v>1643</v>
      </c>
      <c r="B1644" s="23" t="s">
        <v>101</v>
      </c>
      <c r="C1644" s="18" t="s">
        <v>126</v>
      </c>
      <c r="D1644" s="18">
        <v>29</v>
      </c>
      <c r="E1644" s="18" t="s">
        <v>131</v>
      </c>
      <c r="F1644" s="18" t="str">
        <f>IF(OR(D1644&gt;Answers!L1659,D1644&lt;Answers!L1660),"Outlier","Normal")</f>
        <v>Outlier</v>
      </c>
      <c r="G1644" s="19" t="str">
        <f t="shared" si="25"/>
        <v>20-30</v>
      </c>
    </row>
    <row r="1645" spans="1:7" ht="20" customHeight="1" x14ac:dyDescent="0.35">
      <c r="A1645" s="17">
        <v>1644</v>
      </c>
      <c r="B1645" s="23" t="s">
        <v>101</v>
      </c>
      <c r="C1645" s="18" t="s">
        <v>126</v>
      </c>
      <c r="D1645" s="18">
        <v>25</v>
      </c>
      <c r="E1645" s="18" t="s">
        <v>131</v>
      </c>
      <c r="F1645" s="18" t="str">
        <f>IF(OR(D1645&gt;Answers!L1660,D1645&lt;Answers!L1661),"Outlier","Normal")</f>
        <v>Outlier</v>
      </c>
      <c r="G1645" s="19" t="str">
        <f t="shared" si="25"/>
        <v>20-30</v>
      </c>
    </row>
    <row r="1646" spans="1:7" ht="20" customHeight="1" x14ac:dyDescent="0.35">
      <c r="A1646" s="17">
        <v>1645</v>
      </c>
      <c r="B1646" s="23" t="s">
        <v>101</v>
      </c>
      <c r="C1646" s="18" t="s">
        <v>125</v>
      </c>
      <c r="D1646" s="18">
        <v>86</v>
      </c>
      <c r="E1646" s="18" t="s">
        <v>131</v>
      </c>
      <c r="F1646" s="18" t="str">
        <f>IF(OR(D1646&gt;Answers!L1661,D1646&lt;Answers!L1662),"Outlier","Normal")</f>
        <v>Outlier</v>
      </c>
      <c r="G1646" s="19" t="str">
        <f t="shared" si="25"/>
        <v>40-50</v>
      </c>
    </row>
    <row r="1647" spans="1:7" ht="20" customHeight="1" x14ac:dyDescent="0.35">
      <c r="A1647" s="17">
        <v>1646</v>
      </c>
      <c r="B1647" s="23" t="s">
        <v>105</v>
      </c>
      <c r="C1647" s="18" t="s">
        <v>126</v>
      </c>
      <c r="D1647" s="18">
        <v>51</v>
      </c>
      <c r="E1647" s="18" t="s">
        <v>131</v>
      </c>
      <c r="F1647" s="18" t="str">
        <f>IF(OR(D1647&gt;Answers!L1662,D1647&lt;Answers!L1663),"Outlier","Normal")</f>
        <v>Outlier</v>
      </c>
      <c r="G1647" s="19" t="str">
        <f t="shared" si="25"/>
        <v>40-50</v>
      </c>
    </row>
    <row r="1648" spans="1:7" ht="20" customHeight="1" x14ac:dyDescent="0.35">
      <c r="A1648" s="17">
        <v>1647</v>
      </c>
      <c r="B1648" s="23" t="s">
        <v>99</v>
      </c>
      <c r="C1648" s="18" t="s">
        <v>126</v>
      </c>
      <c r="D1648" s="18">
        <v>22</v>
      </c>
      <c r="E1648" s="18" t="s">
        <v>131</v>
      </c>
      <c r="F1648" s="18" t="str">
        <f>IF(OR(D1648&gt;Answers!L1663,D1648&lt;Answers!L1664),"Outlier","Normal")</f>
        <v>Outlier</v>
      </c>
      <c r="G1648" s="19" t="str">
        <f t="shared" si="25"/>
        <v>20-30</v>
      </c>
    </row>
    <row r="1649" spans="1:7" ht="20" customHeight="1" x14ac:dyDescent="0.35">
      <c r="A1649" s="17">
        <v>1648</v>
      </c>
      <c r="B1649" s="23" t="s">
        <v>109</v>
      </c>
      <c r="C1649" s="18" t="s">
        <v>125</v>
      </c>
      <c r="D1649" s="18">
        <v>78</v>
      </c>
      <c r="E1649" s="18" t="s">
        <v>131</v>
      </c>
      <c r="F1649" s="18" t="str">
        <f>IF(OR(D1649&gt;Answers!L1664,D1649&lt;Answers!L1665),"Outlier","Normal")</f>
        <v>Outlier</v>
      </c>
      <c r="G1649" s="19" t="str">
        <f t="shared" si="25"/>
        <v>40-50</v>
      </c>
    </row>
    <row r="1650" spans="1:7" ht="20" customHeight="1" x14ac:dyDescent="0.35">
      <c r="A1650" s="17">
        <v>1649</v>
      </c>
      <c r="B1650" s="23" t="s">
        <v>99</v>
      </c>
      <c r="C1650" s="18" t="s">
        <v>125</v>
      </c>
      <c r="D1650" s="18">
        <v>27</v>
      </c>
      <c r="E1650" s="18" t="s">
        <v>131</v>
      </c>
      <c r="F1650" s="18" t="str">
        <f>IF(OR(D1650&gt;Answers!L1665,D1650&lt;Answers!L1666),"Outlier","Normal")</f>
        <v>Outlier</v>
      </c>
      <c r="G1650" s="19" t="str">
        <f t="shared" si="25"/>
        <v>20-30</v>
      </c>
    </row>
    <row r="1651" spans="1:7" ht="20" customHeight="1" x14ac:dyDescent="0.35">
      <c r="A1651" s="17">
        <v>1650</v>
      </c>
      <c r="B1651" s="23" t="s">
        <v>105</v>
      </c>
      <c r="C1651" s="18" t="s">
        <v>125</v>
      </c>
      <c r="D1651" s="18">
        <v>42</v>
      </c>
      <c r="E1651" s="18" t="s">
        <v>131</v>
      </c>
      <c r="F1651" s="18" t="str">
        <f>IF(OR(D1651&gt;Answers!L1666,D1651&lt;Answers!L1667),"Outlier","Normal")</f>
        <v>Outlier</v>
      </c>
      <c r="G1651" s="19" t="str">
        <f t="shared" si="25"/>
        <v>40-50</v>
      </c>
    </row>
    <row r="1652" spans="1:7" ht="20" customHeight="1" x14ac:dyDescent="0.35">
      <c r="A1652" s="17">
        <v>1651</v>
      </c>
      <c r="B1652" s="23" t="s">
        <v>101</v>
      </c>
      <c r="C1652" s="18" t="s">
        <v>125</v>
      </c>
      <c r="D1652" s="18">
        <v>53</v>
      </c>
      <c r="E1652" s="18" t="s">
        <v>131</v>
      </c>
      <c r="F1652" s="18" t="str">
        <f>IF(OR(D1652&gt;Answers!L1667,D1652&lt;Answers!L1668),"Outlier","Normal")</f>
        <v>Outlier</v>
      </c>
      <c r="G1652" s="19" t="str">
        <f t="shared" si="25"/>
        <v>40-50</v>
      </c>
    </row>
    <row r="1653" spans="1:7" ht="20" customHeight="1" x14ac:dyDescent="0.35">
      <c r="A1653" s="17">
        <v>1652</v>
      </c>
      <c r="B1653" s="23" t="s">
        <v>99</v>
      </c>
      <c r="C1653" s="18" t="s">
        <v>126</v>
      </c>
      <c r="D1653" s="18">
        <v>83</v>
      </c>
      <c r="E1653" s="18" t="s">
        <v>131</v>
      </c>
      <c r="F1653" s="18" t="str">
        <f>IF(OR(D1653&gt;Answers!L1668,D1653&lt;Answers!L1669),"Outlier","Normal")</f>
        <v>Outlier</v>
      </c>
      <c r="G1653" s="19" t="str">
        <f t="shared" si="25"/>
        <v>40-50</v>
      </c>
    </row>
    <row r="1654" spans="1:7" ht="20" customHeight="1" x14ac:dyDescent="0.35">
      <c r="A1654" s="17">
        <v>1653</v>
      </c>
      <c r="B1654" s="23" t="s">
        <v>100</v>
      </c>
      <c r="C1654" s="18" t="s">
        <v>125</v>
      </c>
      <c r="D1654" s="18">
        <v>30</v>
      </c>
      <c r="E1654" s="18" t="s">
        <v>131</v>
      </c>
      <c r="F1654" s="18" t="str">
        <f>IF(OR(D1654&gt;Answers!L1669,D1654&lt;Answers!L1670),"Outlier","Normal")</f>
        <v>Outlier</v>
      </c>
      <c r="G1654" s="19" t="str">
        <f t="shared" si="25"/>
        <v>20-30</v>
      </c>
    </row>
    <row r="1655" spans="1:7" ht="20" customHeight="1" x14ac:dyDescent="0.35">
      <c r="A1655" s="17">
        <v>1654</v>
      </c>
      <c r="B1655" s="23" t="s">
        <v>99</v>
      </c>
      <c r="C1655" s="18" t="s">
        <v>126</v>
      </c>
      <c r="D1655" s="18">
        <v>56</v>
      </c>
      <c r="E1655" s="18" t="s">
        <v>131</v>
      </c>
      <c r="F1655" s="18" t="str">
        <f>IF(OR(D1655&gt;Answers!L1670,D1655&lt;Answers!L1671),"Outlier","Normal")</f>
        <v>Outlier</v>
      </c>
      <c r="G1655" s="19" t="str">
        <f t="shared" si="25"/>
        <v>40-50</v>
      </c>
    </row>
    <row r="1656" spans="1:7" ht="20" customHeight="1" x14ac:dyDescent="0.35">
      <c r="A1656" s="17">
        <v>1655</v>
      </c>
      <c r="B1656" s="23" t="s">
        <v>99</v>
      </c>
      <c r="C1656" s="18" t="s">
        <v>126</v>
      </c>
      <c r="D1656" s="18">
        <v>72</v>
      </c>
      <c r="E1656" s="18" t="s">
        <v>131</v>
      </c>
      <c r="F1656" s="18" t="str">
        <f>IF(OR(D1656&gt;Answers!L1671,D1656&lt;Answers!L1672),"Outlier","Normal")</f>
        <v>Outlier</v>
      </c>
      <c r="G1656" s="19" t="str">
        <f t="shared" si="25"/>
        <v>40-50</v>
      </c>
    </row>
    <row r="1657" spans="1:7" ht="20" customHeight="1" x14ac:dyDescent="0.35">
      <c r="A1657" s="17">
        <v>1656</v>
      </c>
      <c r="B1657" s="23" t="s">
        <v>99</v>
      </c>
      <c r="C1657" s="18" t="s">
        <v>126</v>
      </c>
      <c r="D1657" s="18">
        <v>24</v>
      </c>
      <c r="E1657" s="18" t="s">
        <v>131</v>
      </c>
      <c r="F1657" s="18" t="str">
        <f>IF(OR(D1657&gt;Answers!L1672,D1657&lt;Answers!L1673),"Outlier","Normal")</f>
        <v>Outlier</v>
      </c>
      <c r="G1657" s="19" t="str">
        <f t="shared" si="25"/>
        <v>20-30</v>
      </c>
    </row>
    <row r="1658" spans="1:7" ht="20" customHeight="1" x14ac:dyDescent="0.35">
      <c r="A1658" s="17">
        <v>1657</v>
      </c>
      <c r="B1658" s="23" t="s">
        <v>109</v>
      </c>
      <c r="C1658" s="18" t="s">
        <v>126</v>
      </c>
      <c r="D1658" s="18">
        <v>21</v>
      </c>
      <c r="E1658" s="18" t="s">
        <v>131</v>
      </c>
      <c r="F1658" s="18" t="str">
        <f>IF(OR(D1658&gt;Answers!L1673,D1658&lt;Answers!L1674),"Outlier","Normal")</f>
        <v>Outlier</v>
      </c>
      <c r="G1658" s="19" t="str">
        <f t="shared" si="25"/>
        <v>20-30</v>
      </c>
    </row>
    <row r="1659" spans="1:7" ht="20" customHeight="1" x14ac:dyDescent="0.35">
      <c r="A1659" s="17">
        <v>1658</v>
      </c>
      <c r="B1659" s="23" t="s">
        <v>99</v>
      </c>
      <c r="C1659" s="18" t="s">
        <v>126</v>
      </c>
      <c r="D1659" s="18">
        <v>41</v>
      </c>
      <c r="E1659" s="18" t="s">
        <v>131</v>
      </c>
      <c r="F1659" s="18" t="str">
        <f>IF(OR(D1659&gt;Answers!L1674,D1659&lt;Answers!L1675),"Outlier","Normal")</f>
        <v>Outlier</v>
      </c>
      <c r="G1659" s="19" t="str">
        <f t="shared" si="25"/>
        <v>40-50</v>
      </c>
    </row>
    <row r="1660" spans="1:7" ht="20" customHeight="1" x14ac:dyDescent="0.35">
      <c r="A1660" s="17">
        <v>1659</v>
      </c>
      <c r="B1660" s="23" t="s">
        <v>105</v>
      </c>
      <c r="C1660" s="18" t="s">
        <v>125</v>
      </c>
      <c r="D1660" s="18">
        <v>59</v>
      </c>
      <c r="E1660" s="18" t="s">
        <v>131</v>
      </c>
      <c r="F1660" s="18" t="str">
        <f>IF(OR(D1660&gt;Answers!L1675,D1660&lt;Answers!L1676),"Outlier","Normal")</f>
        <v>Outlier</v>
      </c>
      <c r="G1660" s="19" t="str">
        <f t="shared" si="25"/>
        <v>40-50</v>
      </c>
    </row>
    <row r="1661" spans="1:7" ht="20" customHeight="1" x14ac:dyDescent="0.35">
      <c r="A1661" s="17">
        <v>1660</v>
      </c>
      <c r="B1661" s="23" t="s">
        <v>101</v>
      </c>
      <c r="C1661" s="18" t="s">
        <v>125</v>
      </c>
      <c r="D1661" s="18">
        <v>38</v>
      </c>
      <c r="E1661" s="18" t="s">
        <v>131</v>
      </c>
      <c r="F1661" s="18" t="str">
        <f>IF(OR(D1661&gt;Answers!L1676,D1661&lt;Answers!L1677),"Outlier","Normal")</f>
        <v>Outlier</v>
      </c>
      <c r="G1661" s="19" t="str">
        <f t="shared" si="25"/>
        <v>30-40</v>
      </c>
    </row>
    <row r="1662" spans="1:7" ht="20" customHeight="1" x14ac:dyDescent="0.35">
      <c r="A1662" s="17">
        <v>1661</v>
      </c>
      <c r="B1662" s="23" t="s">
        <v>100</v>
      </c>
      <c r="C1662" s="18" t="s">
        <v>126</v>
      </c>
      <c r="D1662" s="18">
        <v>33</v>
      </c>
      <c r="E1662" s="18" t="s">
        <v>131</v>
      </c>
      <c r="F1662" s="18" t="str">
        <f>IF(OR(D1662&gt;Answers!L1677,D1662&lt;Answers!L1678),"Outlier","Normal")</f>
        <v>Outlier</v>
      </c>
      <c r="G1662" s="19" t="str">
        <f t="shared" si="25"/>
        <v>30-40</v>
      </c>
    </row>
    <row r="1663" spans="1:7" ht="20" customHeight="1" x14ac:dyDescent="0.35">
      <c r="A1663" s="17">
        <v>1662</v>
      </c>
      <c r="B1663" s="23" t="s">
        <v>101</v>
      </c>
      <c r="C1663" s="18" t="s">
        <v>126</v>
      </c>
      <c r="D1663" s="18">
        <v>25</v>
      </c>
      <c r="E1663" s="18" t="s">
        <v>131</v>
      </c>
      <c r="F1663" s="18" t="str">
        <f>IF(OR(D1663&gt;Answers!L1678,D1663&lt;Answers!L1679),"Outlier","Normal")</f>
        <v>Outlier</v>
      </c>
      <c r="G1663" s="19" t="str">
        <f t="shared" si="25"/>
        <v>20-30</v>
      </c>
    </row>
    <row r="1664" spans="1:7" ht="20" customHeight="1" x14ac:dyDescent="0.35">
      <c r="A1664" s="17">
        <v>1663</v>
      </c>
      <c r="B1664" s="23" t="s">
        <v>104</v>
      </c>
      <c r="C1664" s="18" t="s">
        <v>126</v>
      </c>
      <c r="D1664" s="18">
        <v>60</v>
      </c>
      <c r="E1664" s="18" t="s">
        <v>131</v>
      </c>
      <c r="F1664" s="18" t="str">
        <f>IF(OR(D1664&gt;Answers!L1679,D1664&lt;Answers!L1680),"Outlier","Normal")</f>
        <v>Outlier</v>
      </c>
      <c r="G1664" s="19" t="str">
        <f t="shared" si="25"/>
        <v>40-50</v>
      </c>
    </row>
    <row r="1665" spans="1:7" ht="20" customHeight="1" x14ac:dyDescent="0.35">
      <c r="A1665" s="17">
        <v>1664</v>
      </c>
      <c r="B1665" s="23" t="s">
        <v>99</v>
      </c>
      <c r="C1665" s="18" t="s">
        <v>125</v>
      </c>
      <c r="D1665" s="18">
        <v>27</v>
      </c>
      <c r="E1665" s="18" t="s">
        <v>131</v>
      </c>
      <c r="F1665" s="18" t="str">
        <f>IF(OR(D1665&gt;Answers!L1680,D1665&lt;Answers!L1681),"Outlier","Normal")</f>
        <v>Outlier</v>
      </c>
      <c r="G1665" s="19" t="str">
        <f t="shared" si="25"/>
        <v>20-30</v>
      </c>
    </row>
    <row r="1666" spans="1:7" ht="20" customHeight="1" x14ac:dyDescent="0.35">
      <c r="A1666" s="17">
        <v>1665</v>
      </c>
      <c r="B1666" s="23" t="s">
        <v>110</v>
      </c>
      <c r="C1666" s="18" t="s">
        <v>126</v>
      </c>
      <c r="D1666" s="18">
        <v>19</v>
      </c>
      <c r="E1666" s="18" t="s">
        <v>131</v>
      </c>
      <c r="F1666" s="18" t="str">
        <f>IF(OR(D1666&gt;Answers!L1681,D1666&lt;Answers!L1682),"Outlier","Normal")</f>
        <v>Outlier</v>
      </c>
      <c r="G1666" s="19" t="str">
        <f t="shared" si="25"/>
        <v>&lt;20</v>
      </c>
    </row>
    <row r="1667" spans="1:7" ht="20" customHeight="1" x14ac:dyDescent="0.35">
      <c r="A1667" s="17">
        <v>1666</v>
      </c>
      <c r="B1667" s="23" t="s">
        <v>105</v>
      </c>
      <c r="C1667" s="18" t="s">
        <v>126</v>
      </c>
      <c r="D1667" s="18">
        <v>21</v>
      </c>
      <c r="E1667" s="18" t="s">
        <v>131</v>
      </c>
      <c r="F1667" s="18" t="str">
        <f>IF(OR(D1667&gt;Answers!L1682,D1667&lt;Answers!L1683),"Outlier","Normal")</f>
        <v>Outlier</v>
      </c>
      <c r="G1667" s="19" t="str">
        <f t="shared" ref="G1667:G1730" si="26">IF(D1667&lt;20,"&lt;20",
IF(D1667&lt;=30,"20-30",
IF(D1667&lt;=40,"30-40","40-50")))</f>
        <v>20-30</v>
      </c>
    </row>
    <row r="1668" spans="1:7" ht="20" customHeight="1" x14ac:dyDescent="0.35">
      <c r="A1668" s="17">
        <v>1667</v>
      </c>
      <c r="B1668" s="23" t="s">
        <v>100</v>
      </c>
      <c r="C1668" s="18" t="s">
        <v>126</v>
      </c>
      <c r="D1668" s="18">
        <v>73</v>
      </c>
      <c r="E1668" s="18" t="s">
        <v>131</v>
      </c>
      <c r="F1668" s="18" t="str">
        <f>IF(OR(D1668&gt;Answers!L1683,D1668&lt;Answers!L1684),"Outlier","Normal")</f>
        <v>Outlier</v>
      </c>
      <c r="G1668" s="19" t="str">
        <f t="shared" si="26"/>
        <v>40-50</v>
      </c>
    </row>
    <row r="1669" spans="1:7" ht="20" customHeight="1" x14ac:dyDescent="0.35">
      <c r="A1669" s="17">
        <v>1668</v>
      </c>
      <c r="B1669" s="23" t="s">
        <v>99</v>
      </c>
      <c r="C1669" s="18" t="s">
        <v>126</v>
      </c>
      <c r="D1669" s="18">
        <v>68</v>
      </c>
      <c r="E1669" s="18" t="s">
        <v>131</v>
      </c>
      <c r="F1669" s="18" t="str">
        <f>IF(OR(D1669&gt;Answers!L1684,D1669&lt;Answers!L1685),"Outlier","Normal")</f>
        <v>Outlier</v>
      </c>
      <c r="G1669" s="19" t="str">
        <f t="shared" si="26"/>
        <v>40-50</v>
      </c>
    </row>
    <row r="1670" spans="1:7" ht="20" customHeight="1" x14ac:dyDescent="0.35">
      <c r="A1670" s="17">
        <v>1669</v>
      </c>
      <c r="B1670" s="23" t="s">
        <v>101</v>
      </c>
      <c r="C1670" s="18" t="s">
        <v>125</v>
      </c>
      <c r="D1670" s="18">
        <v>28</v>
      </c>
      <c r="E1670" s="18" t="s">
        <v>131</v>
      </c>
      <c r="F1670" s="18" t="str">
        <f>IF(OR(D1670&gt;Answers!L1685,D1670&lt;Answers!L1686),"Outlier","Normal")</f>
        <v>Outlier</v>
      </c>
      <c r="G1670" s="19" t="str">
        <f t="shared" si="26"/>
        <v>20-30</v>
      </c>
    </row>
    <row r="1671" spans="1:7" ht="20" customHeight="1" x14ac:dyDescent="0.35">
      <c r="A1671" s="17">
        <v>1670</v>
      </c>
      <c r="B1671" s="23" t="s">
        <v>99</v>
      </c>
      <c r="C1671" s="18" t="s">
        <v>126</v>
      </c>
      <c r="D1671" s="18">
        <v>80</v>
      </c>
      <c r="E1671" s="18" t="s">
        <v>131</v>
      </c>
      <c r="F1671" s="18" t="str">
        <f>IF(OR(D1671&gt;Answers!L1686,D1671&lt;Answers!L1687),"Outlier","Normal")</f>
        <v>Outlier</v>
      </c>
      <c r="G1671" s="19" t="str">
        <f t="shared" si="26"/>
        <v>40-50</v>
      </c>
    </row>
    <row r="1672" spans="1:7" ht="20" customHeight="1" x14ac:dyDescent="0.35">
      <c r="A1672" s="17">
        <v>1671</v>
      </c>
      <c r="B1672" s="23" t="s">
        <v>99</v>
      </c>
      <c r="C1672" s="18" t="s">
        <v>125</v>
      </c>
      <c r="D1672" s="18">
        <v>56</v>
      </c>
      <c r="E1672" s="18" t="s">
        <v>131</v>
      </c>
      <c r="F1672" s="18" t="str">
        <f>IF(OR(D1672&gt;Answers!L1687,D1672&lt;Answers!L1688),"Outlier","Normal")</f>
        <v>Outlier</v>
      </c>
      <c r="G1672" s="19" t="str">
        <f t="shared" si="26"/>
        <v>40-50</v>
      </c>
    </row>
    <row r="1673" spans="1:7" ht="20" customHeight="1" x14ac:dyDescent="0.35">
      <c r="A1673" s="17">
        <v>1672</v>
      </c>
      <c r="B1673" s="23" t="s">
        <v>104</v>
      </c>
      <c r="C1673" s="18" t="s">
        <v>125</v>
      </c>
      <c r="D1673" s="18">
        <v>84</v>
      </c>
      <c r="E1673" s="18" t="s">
        <v>131</v>
      </c>
      <c r="F1673" s="18" t="str">
        <f>IF(OR(D1673&gt;Answers!L1688,D1673&lt;Answers!L1689),"Outlier","Normal")</f>
        <v>Outlier</v>
      </c>
      <c r="G1673" s="19" t="str">
        <f t="shared" si="26"/>
        <v>40-50</v>
      </c>
    </row>
    <row r="1674" spans="1:7" ht="20" customHeight="1" x14ac:dyDescent="0.35">
      <c r="A1674" s="17">
        <v>1673</v>
      </c>
      <c r="B1674" s="23" t="s">
        <v>105</v>
      </c>
      <c r="C1674" s="18" t="s">
        <v>125</v>
      </c>
      <c r="D1674" s="18">
        <v>30</v>
      </c>
      <c r="E1674" s="18" t="s">
        <v>131</v>
      </c>
      <c r="F1674" s="18" t="str">
        <f>IF(OR(D1674&gt;Answers!L1689,D1674&lt;Answers!L1690),"Outlier","Normal")</f>
        <v>Outlier</v>
      </c>
      <c r="G1674" s="19" t="str">
        <f t="shared" si="26"/>
        <v>20-30</v>
      </c>
    </row>
    <row r="1675" spans="1:7" ht="20" customHeight="1" x14ac:dyDescent="0.35">
      <c r="A1675" s="17">
        <v>1674</v>
      </c>
      <c r="B1675" s="23" t="s">
        <v>100</v>
      </c>
      <c r="C1675" s="18" t="s">
        <v>125</v>
      </c>
      <c r="D1675" s="18">
        <v>88</v>
      </c>
      <c r="E1675" s="18" t="s">
        <v>131</v>
      </c>
      <c r="F1675" s="18" t="str">
        <f>IF(OR(D1675&gt;Answers!L1690,D1675&lt;Answers!L1691),"Outlier","Normal")</f>
        <v>Outlier</v>
      </c>
      <c r="G1675" s="19" t="str">
        <f t="shared" si="26"/>
        <v>40-50</v>
      </c>
    </row>
    <row r="1676" spans="1:7" ht="20" customHeight="1" x14ac:dyDescent="0.35">
      <c r="A1676" s="17">
        <v>1675</v>
      </c>
      <c r="B1676" s="23" t="s">
        <v>99</v>
      </c>
      <c r="C1676" s="18" t="s">
        <v>126</v>
      </c>
      <c r="D1676" s="18">
        <v>57</v>
      </c>
      <c r="E1676" s="18" t="s">
        <v>131</v>
      </c>
      <c r="F1676" s="18" t="str">
        <f>IF(OR(D1676&gt;Answers!L1691,D1676&lt;Answers!L1692),"Outlier","Normal")</f>
        <v>Outlier</v>
      </c>
      <c r="G1676" s="19" t="str">
        <f t="shared" si="26"/>
        <v>40-50</v>
      </c>
    </row>
    <row r="1677" spans="1:7" ht="20" customHeight="1" x14ac:dyDescent="0.35">
      <c r="A1677" s="17">
        <v>1676</v>
      </c>
      <c r="B1677" s="23" t="s">
        <v>104</v>
      </c>
      <c r="C1677" s="18" t="s">
        <v>125</v>
      </c>
      <c r="D1677" s="18">
        <v>25</v>
      </c>
      <c r="E1677" s="18" t="s">
        <v>131</v>
      </c>
      <c r="F1677" s="18" t="str">
        <f>IF(OR(D1677&gt;Answers!L1692,D1677&lt;Answers!L1693),"Outlier","Normal")</f>
        <v>Outlier</v>
      </c>
      <c r="G1677" s="19" t="str">
        <f t="shared" si="26"/>
        <v>20-30</v>
      </c>
    </row>
    <row r="1678" spans="1:7" ht="20" customHeight="1" x14ac:dyDescent="0.35">
      <c r="A1678" s="17">
        <v>1677</v>
      </c>
      <c r="B1678" s="23" t="s">
        <v>107</v>
      </c>
      <c r="C1678" s="18" t="s">
        <v>126</v>
      </c>
      <c r="D1678" s="18">
        <v>51</v>
      </c>
      <c r="E1678" s="18" t="s">
        <v>131</v>
      </c>
      <c r="F1678" s="18" t="str">
        <f>IF(OR(D1678&gt;Answers!L1693,D1678&lt;Answers!L1694),"Outlier","Normal")</f>
        <v>Outlier</v>
      </c>
      <c r="G1678" s="19" t="str">
        <f t="shared" si="26"/>
        <v>40-50</v>
      </c>
    </row>
    <row r="1679" spans="1:7" ht="20" customHeight="1" x14ac:dyDescent="0.35">
      <c r="A1679" s="17">
        <v>1678</v>
      </c>
      <c r="B1679" s="23" t="s">
        <v>99</v>
      </c>
      <c r="C1679" s="18" t="s">
        <v>126</v>
      </c>
      <c r="D1679" s="18">
        <v>25</v>
      </c>
      <c r="E1679" s="18" t="s">
        <v>131</v>
      </c>
      <c r="F1679" s="18" t="str">
        <f>IF(OR(D1679&gt;Answers!L1694,D1679&lt;Answers!L1695),"Outlier","Normal")</f>
        <v>Outlier</v>
      </c>
      <c r="G1679" s="19" t="str">
        <f t="shared" si="26"/>
        <v>20-30</v>
      </c>
    </row>
    <row r="1680" spans="1:7" ht="20" customHeight="1" x14ac:dyDescent="0.35">
      <c r="A1680" s="17">
        <v>1679</v>
      </c>
      <c r="B1680" s="23" t="s">
        <v>101</v>
      </c>
      <c r="C1680" s="18" t="s">
        <v>126</v>
      </c>
      <c r="D1680" s="18">
        <v>59</v>
      </c>
      <c r="E1680" s="18" t="s">
        <v>131</v>
      </c>
      <c r="F1680" s="18" t="str">
        <f>IF(OR(D1680&gt;Answers!L1695,D1680&lt;Answers!L1696),"Outlier","Normal")</f>
        <v>Outlier</v>
      </c>
      <c r="G1680" s="19" t="str">
        <f t="shared" si="26"/>
        <v>40-50</v>
      </c>
    </row>
    <row r="1681" spans="1:7" ht="20" customHeight="1" x14ac:dyDescent="0.35">
      <c r="A1681" s="17">
        <v>1680</v>
      </c>
      <c r="B1681" s="23" t="s">
        <v>99</v>
      </c>
      <c r="C1681" s="18" t="s">
        <v>125</v>
      </c>
      <c r="D1681" s="18">
        <v>41</v>
      </c>
      <c r="E1681" s="18" t="s">
        <v>131</v>
      </c>
      <c r="F1681" s="18" t="str">
        <f>IF(OR(D1681&gt;Answers!L1696,D1681&lt;Answers!L1697),"Outlier","Normal")</f>
        <v>Outlier</v>
      </c>
      <c r="G1681" s="19" t="str">
        <f t="shared" si="26"/>
        <v>40-50</v>
      </c>
    </row>
    <row r="1682" spans="1:7" ht="20" customHeight="1" x14ac:dyDescent="0.35">
      <c r="A1682" s="17">
        <v>1681</v>
      </c>
      <c r="B1682" s="23" t="s">
        <v>105</v>
      </c>
      <c r="C1682" s="18" t="s">
        <v>126</v>
      </c>
      <c r="D1682" s="18">
        <v>38</v>
      </c>
      <c r="E1682" s="18" t="s">
        <v>131</v>
      </c>
      <c r="F1682" s="18" t="str">
        <f>IF(OR(D1682&gt;Answers!L1697,D1682&lt;Answers!L1698),"Outlier","Normal")</f>
        <v>Outlier</v>
      </c>
      <c r="G1682" s="19" t="str">
        <f t="shared" si="26"/>
        <v>30-40</v>
      </c>
    </row>
    <row r="1683" spans="1:7" ht="20" customHeight="1" x14ac:dyDescent="0.35">
      <c r="A1683" s="17">
        <v>1682</v>
      </c>
      <c r="B1683" s="23" t="s">
        <v>100</v>
      </c>
      <c r="C1683" s="18" t="s">
        <v>125</v>
      </c>
      <c r="D1683" s="18">
        <v>72</v>
      </c>
      <c r="E1683" s="18" t="s">
        <v>131</v>
      </c>
      <c r="F1683" s="18" t="str">
        <f>IF(OR(D1683&gt;Answers!L1698,D1683&lt;Answers!L1699),"Outlier","Normal")</f>
        <v>Outlier</v>
      </c>
      <c r="G1683" s="19" t="str">
        <f t="shared" si="26"/>
        <v>40-50</v>
      </c>
    </row>
    <row r="1684" spans="1:7" ht="20" customHeight="1" x14ac:dyDescent="0.35">
      <c r="A1684" s="17">
        <v>1683</v>
      </c>
      <c r="B1684" s="23" t="s">
        <v>108</v>
      </c>
      <c r="C1684" s="18" t="s">
        <v>125</v>
      </c>
      <c r="D1684" s="18">
        <v>37</v>
      </c>
      <c r="E1684" s="18" t="s">
        <v>131</v>
      </c>
      <c r="F1684" s="18" t="str">
        <f>IF(OR(D1684&gt;Answers!L1699,D1684&lt;Answers!L1700),"Outlier","Normal")</f>
        <v>Outlier</v>
      </c>
      <c r="G1684" s="19" t="str">
        <f t="shared" si="26"/>
        <v>30-40</v>
      </c>
    </row>
    <row r="1685" spans="1:7" ht="20" customHeight="1" x14ac:dyDescent="0.35">
      <c r="A1685" s="17">
        <v>1684</v>
      </c>
      <c r="B1685" s="23" t="s">
        <v>99</v>
      </c>
      <c r="C1685" s="18" t="s">
        <v>125</v>
      </c>
      <c r="D1685" s="18">
        <v>81</v>
      </c>
      <c r="E1685" s="18" t="s">
        <v>131</v>
      </c>
      <c r="F1685" s="18" t="str">
        <f>IF(OR(D1685&gt;Answers!L1700,D1685&lt;Answers!L1701),"Outlier","Normal")</f>
        <v>Outlier</v>
      </c>
      <c r="G1685" s="19" t="str">
        <f t="shared" si="26"/>
        <v>40-50</v>
      </c>
    </row>
    <row r="1686" spans="1:7" ht="20" customHeight="1" x14ac:dyDescent="0.35">
      <c r="A1686" s="17">
        <v>1685</v>
      </c>
      <c r="B1686" s="23" t="s">
        <v>99</v>
      </c>
      <c r="C1686" s="18" t="s">
        <v>126</v>
      </c>
      <c r="D1686" s="18">
        <v>74</v>
      </c>
      <c r="E1686" s="18" t="s">
        <v>131</v>
      </c>
      <c r="F1686" s="18" t="str">
        <f>IF(OR(D1686&gt;Answers!L1701,D1686&lt;Answers!L1702),"Outlier","Normal")</f>
        <v>Outlier</v>
      </c>
      <c r="G1686" s="19" t="str">
        <f t="shared" si="26"/>
        <v>40-50</v>
      </c>
    </row>
    <row r="1687" spans="1:7" ht="20" customHeight="1" x14ac:dyDescent="0.35">
      <c r="A1687" s="17">
        <v>1686</v>
      </c>
      <c r="B1687" s="23" t="s">
        <v>100</v>
      </c>
      <c r="C1687" s="18" t="s">
        <v>125</v>
      </c>
      <c r="D1687" s="18">
        <v>53</v>
      </c>
      <c r="E1687" s="18" t="s">
        <v>131</v>
      </c>
      <c r="F1687" s="18" t="str">
        <f>IF(OR(D1687&gt;Answers!L1702,D1687&lt;Answers!L1703),"Outlier","Normal")</f>
        <v>Outlier</v>
      </c>
      <c r="G1687" s="19" t="str">
        <f t="shared" si="26"/>
        <v>40-50</v>
      </c>
    </row>
    <row r="1688" spans="1:7" ht="20" customHeight="1" x14ac:dyDescent="0.35">
      <c r="A1688" s="17">
        <v>1687</v>
      </c>
      <c r="B1688" s="23" t="s">
        <v>101</v>
      </c>
      <c r="C1688" s="18" t="s">
        <v>125</v>
      </c>
      <c r="D1688" s="18">
        <v>38</v>
      </c>
      <c r="E1688" s="18" t="s">
        <v>131</v>
      </c>
      <c r="F1688" s="18" t="str">
        <f>IF(OR(D1688&gt;Answers!L1703,D1688&lt;Answers!L1704),"Outlier","Normal")</f>
        <v>Outlier</v>
      </c>
      <c r="G1688" s="19" t="str">
        <f t="shared" si="26"/>
        <v>30-40</v>
      </c>
    </row>
    <row r="1689" spans="1:7" ht="20" customHeight="1" x14ac:dyDescent="0.35">
      <c r="A1689" s="17">
        <v>1688</v>
      </c>
      <c r="B1689" s="23" t="s">
        <v>101</v>
      </c>
      <c r="C1689" s="18" t="s">
        <v>126</v>
      </c>
      <c r="D1689" s="18">
        <v>49</v>
      </c>
      <c r="E1689" s="18" t="s">
        <v>131</v>
      </c>
      <c r="F1689" s="18" t="str">
        <f>IF(OR(D1689&gt;Answers!L1704,D1689&lt;Answers!L1705),"Outlier","Normal")</f>
        <v>Outlier</v>
      </c>
      <c r="G1689" s="19" t="str">
        <f t="shared" si="26"/>
        <v>40-50</v>
      </c>
    </row>
    <row r="1690" spans="1:7" ht="20" customHeight="1" x14ac:dyDescent="0.35">
      <c r="A1690" s="17">
        <v>1689</v>
      </c>
      <c r="B1690" s="23" t="s">
        <v>101</v>
      </c>
      <c r="C1690" s="18" t="s">
        <v>125</v>
      </c>
      <c r="D1690" s="18">
        <v>50</v>
      </c>
      <c r="E1690" s="18" t="s">
        <v>131</v>
      </c>
      <c r="F1690" s="18" t="str">
        <f>IF(OR(D1690&gt;Answers!L1705,D1690&lt;Answers!L1706),"Outlier","Normal")</f>
        <v>Outlier</v>
      </c>
      <c r="G1690" s="19" t="str">
        <f t="shared" si="26"/>
        <v>40-50</v>
      </c>
    </row>
    <row r="1691" spans="1:7" ht="20" customHeight="1" x14ac:dyDescent="0.35">
      <c r="A1691" s="17">
        <v>1690</v>
      </c>
      <c r="B1691" s="23" t="s">
        <v>101</v>
      </c>
      <c r="C1691" s="18" t="s">
        <v>126</v>
      </c>
      <c r="D1691" s="18">
        <v>57</v>
      </c>
      <c r="E1691" s="18" t="s">
        <v>131</v>
      </c>
      <c r="F1691" s="18" t="str">
        <f>IF(OR(D1691&gt;Answers!L1706,D1691&lt;Answers!L1707),"Outlier","Normal")</f>
        <v>Outlier</v>
      </c>
      <c r="G1691" s="19" t="str">
        <f t="shared" si="26"/>
        <v>40-50</v>
      </c>
    </row>
    <row r="1692" spans="1:7" ht="20" customHeight="1" x14ac:dyDescent="0.35">
      <c r="A1692" s="17">
        <v>1691</v>
      </c>
      <c r="B1692" s="23" t="s">
        <v>99</v>
      </c>
      <c r="C1692" s="18" t="s">
        <v>125</v>
      </c>
      <c r="D1692" s="18">
        <v>43</v>
      </c>
      <c r="E1692" s="18" t="s">
        <v>131</v>
      </c>
      <c r="F1692" s="18" t="str">
        <f>IF(OR(D1692&gt;Answers!L1707,D1692&lt;Answers!L1708),"Outlier","Normal")</f>
        <v>Outlier</v>
      </c>
      <c r="G1692" s="19" t="str">
        <f t="shared" si="26"/>
        <v>40-50</v>
      </c>
    </row>
    <row r="1693" spans="1:7" ht="20" customHeight="1" x14ac:dyDescent="0.35">
      <c r="A1693" s="17">
        <v>1692</v>
      </c>
      <c r="B1693" s="23" t="s">
        <v>99</v>
      </c>
      <c r="C1693" s="18" t="s">
        <v>126</v>
      </c>
      <c r="D1693" s="18">
        <v>78</v>
      </c>
      <c r="E1693" s="18" t="s">
        <v>131</v>
      </c>
      <c r="F1693" s="18" t="str">
        <f>IF(OR(D1693&gt;Answers!L1708,D1693&lt;Answers!L1709),"Outlier","Normal")</f>
        <v>Outlier</v>
      </c>
      <c r="G1693" s="19" t="str">
        <f t="shared" si="26"/>
        <v>40-50</v>
      </c>
    </row>
    <row r="1694" spans="1:7" ht="20" customHeight="1" x14ac:dyDescent="0.35">
      <c r="A1694" s="17">
        <v>1693</v>
      </c>
      <c r="B1694" s="23" t="s">
        <v>100</v>
      </c>
      <c r="C1694" s="18" t="s">
        <v>126</v>
      </c>
      <c r="D1694" s="18">
        <v>63</v>
      </c>
      <c r="E1694" s="18" t="s">
        <v>131</v>
      </c>
      <c r="F1694" s="18" t="str">
        <f>IF(OR(D1694&gt;Answers!L1709,D1694&lt;Answers!L1710),"Outlier","Normal")</f>
        <v>Outlier</v>
      </c>
      <c r="G1694" s="19" t="str">
        <f t="shared" si="26"/>
        <v>40-50</v>
      </c>
    </row>
    <row r="1695" spans="1:7" ht="20" customHeight="1" x14ac:dyDescent="0.35">
      <c r="A1695" s="17">
        <v>1694</v>
      </c>
      <c r="B1695" s="23" t="s">
        <v>111</v>
      </c>
      <c r="C1695" s="18" t="s">
        <v>125</v>
      </c>
      <c r="D1695" s="18">
        <v>83</v>
      </c>
      <c r="E1695" s="18" t="s">
        <v>131</v>
      </c>
      <c r="F1695" s="18" t="str">
        <f>IF(OR(D1695&gt;Answers!L1710,D1695&lt;Answers!L1711),"Outlier","Normal")</f>
        <v>Outlier</v>
      </c>
      <c r="G1695" s="19" t="str">
        <f t="shared" si="26"/>
        <v>40-50</v>
      </c>
    </row>
    <row r="1696" spans="1:7" ht="20" customHeight="1" x14ac:dyDescent="0.35">
      <c r="A1696" s="17">
        <v>1695</v>
      </c>
      <c r="B1696" s="23" t="s">
        <v>105</v>
      </c>
      <c r="C1696" s="18" t="s">
        <v>126</v>
      </c>
      <c r="D1696" s="18">
        <v>37</v>
      </c>
      <c r="E1696" s="18" t="s">
        <v>131</v>
      </c>
      <c r="F1696" s="18" t="str">
        <f>IF(OR(D1696&gt;Answers!L1711,D1696&lt;Answers!L1712),"Outlier","Normal")</f>
        <v>Outlier</v>
      </c>
      <c r="G1696" s="19" t="str">
        <f t="shared" si="26"/>
        <v>30-40</v>
      </c>
    </row>
    <row r="1697" spans="1:7" ht="20" customHeight="1" x14ac:dyDescent="0.35">
      <c r="A1697" s="17">
        <v>1696</v>
      </c>
      <c r="B1697" s="23" t="s">
        <v>99</v>
      </c>
      <c r="C1697" s="18" t="s">
        <v>125</v>
      </c>
      <c r="D1697" s="18">
        <v>68</v>
      </c>
      <c r="E1697" s="18" t="s">
        <v>131</v>
      </c>
      <c r="F1697" s="18" t="str">
        <f>IF(OR(D1697&gt;Answers!L1712,D1697&lt;Answers!L1713),"Outlier","Normal")</f>
        <v>Outlier</v>
      </c>
      <c r="G1697" s="19" t="str">
        <f t="shared" si="26"/>
        <v>40-50</v>
      </c>
    </row>
    <row r="1698" spans="1:7" ht="20" customHeight="1" x14ac:dyDescent="0.35">
      <c r="A1698" s="17">
        <v>1697</v>
      </c>
      <c r="B1698" s="23" t="s">
        <v>100</v>
      </c>
      <c r="C1698" s="18" t="s">
        <v>126</v>
      </c>
      <c r="D1698" s="18">
        <v>65</v>
      </c>
      <c r="E1698" s="18" t="s">
        <v>131</v>
      </c>
      <c r="F1698" s="18" t="str">
        <f>IF(OR(D1698&gt;Answers!L1713,D1698&lt;Answers!L1714),"Outlier","Normal")</f>
        <v>Outlier</v>
      </c>
      <c r="G1698" s="19" t="str">
        <f t="shared" si="26"/>
        <v>40-50</v>
      </c>
    </row>
    <row r="1699" spans="1:7" ht="20" customHeight="1" x14ac:dyDescent="0.35">
      <c r="A1699" s="17">
        <v>1698</v>
      </c>
      <c r="B1699" s="23" t="s">
        <v>100</v>
      </c>
      <c r="C1699" s="18" t="s">
        <v>126</v>
      </c>
      <c r="D1699" s="18">
        <v>34</v>
      </c>
      <c r="E1699" s="18" t="s">
        <v>131</v>
      </c>
      <c r="F1699" s="18" t="str">
        <f>IF(OR(D1699&gt;Answers!L1714,D1699&lt;Answers!L1715),"Outlier","Normal")</f>
        <v>Outlier</v>
      </c>
      <c r="G1699" s="19" t="str">
        <f t="shared" si="26"/>
        <v>30-40</v>
      </c>
    </row>
    <row r="1700" spans="1:7" ht="20" customHeight="1" x14ac:dyDescent="0.35">
      <c r="A1700" s="17">
        <v>1699</v>
      </c>
      <c r="B1700" s="23" t="s">
        <v>101</v>
      </c>
      <c r="C1700" s="18" t="s">
        <v>126</v>
      </c>
      <c r="D1700" s="18">
        <v>21</v>
      </c>
      <c r="E1700" s="18" t="s">
        <v>131</v>
      </c>
      <c r="F1700" s="18" t="str">
        <f>IF(OR(D1700&gt;Answers!L1715,D1700&lt;Answers!L1716),"Outlier","Normal")</f>
        <v>Outlier</v>
      </c>
      <c r="G1700" s="19" t="str">
        <f t="shared" si="26"/>
        <v>20-30</v>
      </c>
    </row>
    <row r="1701" spans="1:7" ht="20" customHeight="1" x14ac:dyDescent="0.35">
      <c r="A1701" s="17">
        <v>1700</v>
      </c>
      <c r="B1701" s="23" t="s">
        <v>99</v>
      </c>
      <c r="C1701" s="18" t="s">
        <v>125</v>
      </c>
      <c r="D1701" s="18">
        <v>37</v>
      </c>
      <c r="E1701" s="18" t="s">
        <v>131</v>
      </c>
      <c r="F1701" s="18" t="str">
        <f>IF(OR(D1701&gt;Answers!L1716,D1701&lt;Answers!L1717),"Outlier","Normal")</f>
        <v>Outlier</v>
      </c>
      <c r="G1701" s="19" t="str">
        <f t="shared" si="26"/>
        <v>30-40</v>
      </c>
    </row>
    <row r="1702" spans="1:7" ht="20" customHeight="1" x14ac:dyDescent="0.35">
      <c r="A1702" s="17">
        <v>1701</v>
      </c>
      <c r="B1702" s="23" t="s">
        <v>99</v>
      </c>
      <c r="C1702" s="18" t="s">
        <v>126</v>
      </c>
      <c r="D1702" s="18">
        <v>41</v>
      </c>
      <c r="E1702" s="18" t="s">
        <v>131</v>
      </c>
      <c r="F1702" s="18" t="str">
        <f>IF(OR(D1702&gt;Answers!L1717,D1702&lt;Answers!L1718),"Outlier","Normal")</f>
        <v>Outlier</v>
      </c>
      <c r="G1702" s="19" t="str">
        <f t="shared" si="26"/>
        <v>40-50</v>
      </c>
    </row>
    <row r="1703" spans="1:7" ht="20" customHeight="1" x14ac:dyDescent="0.35">
      <c r="A1703" s="17">
        <v>1702</v>
      </c>
      <c r="B1703" s="23" t="s">
        <v>107</v>
      </c>
      <c r="C1703" s="18" t="s">
        <v>125</v>
      </c>
      <c r="D1703" s="18">
        <v>26</v>
      </c>
      <c r="E1703" s="18" t="s">
        <v>131</v>
      </c>
      <c r="F1703" s="18" t="str">
        <f>IF(OR(D1703&gt;Answers!L1718,D1703&lt;Answers!L1719),"Outlier","Normal")</f>
        <v>Outlier</v>
      </c>
      <c r="G1703" s="19" t="str">
        <f t="shared" si="26"/>
        <v>20-30</v>
      </c>
    </row>
    <row r="1704" spans="1:7" ht="20" customHeight="1" x14ac:dyDescent="0.35">
      <c r="A1704" s="17">
        <v>1703</v>
      </c>
      <c r="B1704" s="23" t="s">
        <v>100</v>
      </c>
      <c r="C1704" s="18" t="s">
        <v>126</v>
      </c>
      <c r="D1704" s="18">
        <v>85</v>
      </c>
      <c r="E1704" s="18" t="s">
        <v>131</v>
      </c>
      <c r="F1704" s="18" t="str">
        <f>IF(OR(D1704&gt;Answers!L1719,D1704&lt;Answers!L1720),"Outlier","Normal")</f>
        <v>Outlier</v>
      </c>
      <c r="G1704" s="19" t="str">
        <f t="shared" si="26"/>
        <v>40-50</v>
      </c>
    </row>
    <row r="1705" spans="1:7" ht="20" customHeight="1" x14ac:dyDescent="0.35">
      <c r="A1705" s="17">
        <v>1704</v>
      </c>
      <c r="B1705" s="23" t="s">
        <v>99</v>
      </c>
      <c r="C1705" s="18" t="s">
        <v>125</v>
      </c>
      <c r="D1705" s="18">
        <v>67</v>
      </c>
      <c r="E1705" s="18" t="s">
        <v>131</v>
      </c>
      <c r="F1705" s="18" t="str">
        <f>IF(OR(D1705&gt;Answers!L1720,D1705&lt;Answers!L1721),"Outlier","Normal")</f>
        <v>Outlier</v>
      </c>
      <c r="G1705" s="19" t="str">
        <f t="shared" si="26"/>
        <v>40-50</v>
      </c>
    </row>
    <row r="1706" spans="1:7" ht="20" customHeight="1" x14ac:dyDescent="0.35">
      <c r="A1706" s="17">
        <v>1705</v>
      </c>
      <c r="B1706" s="23" t="s">
        <v>100</v>
      </c>
      <c r="C1706" s="18" t="s">
        <v>126</v>
      </c>
      <c r="D1706" s="18">
        <v>30</v>
      </c>
      <c r="E1706" s="18" t="s">
        <v>131</v>
      </c>
      <c r="F1706" s="18" t="str">
        <f>IF(OR(D1706&gt;Answers!L1721,D1706&lt;Answers!L1722),"Outlier","Normal")</f>
        <v>Outlier</v>
      </c>
      <c r="G1706" s="19" t="str">
        <f t="shared" si="26"/>
        <v>20-30</v>
      </c>
    </row>
    <row r="1707" spans="1:7" ht="20" customHeight="1" x14ac:dyDescent="0.35">
      <c r="A1707" s="17">
        <v>1706</v>
      </c>
      <c r="B1707" s="23" t="s">
        <v>99</v>
      </c>
      <c r="C1707" s="18" t="s">
        <v>126</v>
      </c>
      <c r="D1707" s="18">
        <v>47</v>
      </c>
      <c r="E1707" s="18" t="s">
        <v>131</v>
      </c>
      <c r="F1707" s="18" t="str">
        <f>IF(OR(D1707&gt;Answers!L1722,D1707&lt;Answers!L1723),"Outlier","Normal")</f>
        <v>Outlier</v>
      </c>
      <c r="G1707" s="19" t="str">
        <f t="shared" si="26"/>
        <v>40-50</v>
      </c>
    </row>
    <row r="1708" spans="1:7" ht="20" customHeight="1" x14ac:dyDescent="0.35">
      <c r="A1708" s="17">
        <v>1707</v>
      </c>
      <c r="B1708" s="23" t="s">
        <v>100</v>
      </c>
      <c r="C1708" s="18" t="s">
        <v>126</v>
      </c>
      <c r="D1708" s="18">
        <v>85</v>
      </c>
      <c r="E1708" s="18" t="s">
        <v>131</v>
      </c>
      <c r="F1708" s="18" t="str">
        <f>IF(OR(D1708&gt;Answers!L1723,D1708&lt;Answers!L1724),"Outlier","Normal")</f>
        <v>Outlier</v>
      </c>
      <c r="G1708" s="19" t="str">
        <f t="shared" si="26"/>
        <v>40-50</v>
      </c>
    </row>
    <row r="1709" spans="1:7" ht="20" customHeight="1" x14ac:dyDescent="0.35">
      <c r="A1709" s="17">
        <v>1708</v>
      </c>
      <c r="B1709" s="23" t="s">
        <v>100</v>
      </c>
      <c r="C1709" s="18" t="s">
        <v>125</v>
      </c>
      <c r="D1709" s="18">
        <v>87</v>
      </c>
      <c r="E1709" s="18" t="s">
        <v>131</v>
      </c>
      <c r="F1709" s="18" t="str">
        <f>IF(OR(D1709&gt;Answers!L1724,D1709&lt;Answers!L1725),"Outlier","Normal")</f>
        <v>Outlier</v>
      </c>
      <c r="G1709" s="19" t="str">
        <f t="shared" si="26"/>
        <v>40-50</v>
      </c>
    </row>
    <row r="1710" spans="1:7" ht="20" customHeight="1" x14ac:dyDescent="0.35">
      <c r="A1710" s="17">
        <v>1709</v>
      </c>
      <c r="B1710" s="23" t="s">
        <v>99</v>
      </c>
      <c r="C1710" s="18" t="s">
        <v>125</v>
      </c>
      <c r="D1710" s="18">
        <v>26</v>
      </c>
      <c r="E1710" s="18" t="s">
        <v>131</v>
      </c>
      <c r="F1710" s="18" t="str">
        <f>IF(OR(D1710&gt;Answers!L1725,D1710&lt;Answers!L1726),"Outlier","Normal")</f>
        <v>Outlier</v>
      </c>
      <c r="G1710" s="19" t="str">
        <f t="shared" si="26"/>
        <v>20-30</v>
      </c>
    </row>
    <row r="1711" spans="1:7" ht="20" customHeight="1" x14ac:dyDescent="0.35">
      <c r="A1711" s="17">
        <v>1710</v>
      </c>
      <c r="B1711" s="23" t="s">
        <v>105</v>
      </c>
      <c r="C1711" s="18" t="s">
        <v>126</v>
      </c>
      <c r="D1711" s="18">
        <v>84</v>
      </c>
      <c r="E1711" s="18" t="s">
        <v>131</v>
      </c>
      <c r="F1711" s="18" t="str">
        <f>IF(OR(D1711&gt;Answers!L1726,D1711&lt;Answers!L1727),"Outlier","Normal")</f>
        <v>Outlier</v>
      </c>
      <c r="G1711" s="19" t="str">
        <f t="shared" si="26"/>
        <v>40-50</v>
      </c>
    </row>
    <row r="1712" spans="1:7" ht="20" customHeight="1" x14ac:dyDescent="0.35">
      <c r="A1712" s="17">
        <v>1711</v>
      </c>
      <c r="B1712" s="23" t="s">
        <v>99</v>
      </c>
      <c r="C1712" s="18" t="s">
        <v>126</v>
      </c>
      <c r="D1712" s="18">
        <v>39</v>
      </c>
      <c r="E1712" s="18" t="s">
        <v>131</v>
      </c>
      <c r="F1712" s="18" t="str">
        <f>IF(OR(D1712&gt;Answers!L1727,D1712&lt;Answers!L1728),"Outlier","Normal")</f>
        <v>Outlier</v>
      </c>
      <c r="G1712" s="19" t="str">
        <f t="shared" si="26"/>
        <v>30-40</v>
      </c>
    </row>
    <row r="1713" spans="1:7" ht="20" customHeight="1" x14ac:dyDescent="0.35">
      <c r="A1713" s="17">
        <v>1712</v>
      </c>
      <c r="B1713" s="23" t="s">
        <v>109</v>
      </c>
      <c r="C1713" s="18" t="s">
        <v>126</v>
      </c>
      <c r="D1713" s="18">
        <v>82</v>
      </c>
      <c r="E1713" s="18" t="s">
        <v>131</v>
      </c>
      <c r="F1713" s="18" t="str">
        <f>IF(OR(D1713&gt;Answers!L1728,D1713&lt;Answers!L1729),"Outlier","Normal")</f>
        <v>Outlier</v>
      </c>
      <c r="G1713" s="19" t="str">
        <f t="shared" si="26"/>
        <v>40-50</v>
      </c>
    </row>
    <row r="1714" spans="1:7" ht="20" customHeight="1" x14ac:dyDescent="0.35">
      <c r="A1714" s="17">
        <v>1713</v>
      </c>
      <c r="B1714" s="23" t="s">
        <v>100</v>
      </c>
      <c r="C1714" s="18" t="s">
        <v>125</v>
      </c>
      <c r="D1714" s="18">
        <v>87</v>
      </c>
      <c r="E1714" s="18" t="s">
        <v>131</v>
      </c>
      <c r="F1714" s="18" t="str">
        <f>IF(OR(D1714&gt;Answers!L1729,D1714&lt;Answers!L1730),"Outlier","Normal")</f>
        <v>Outlier</v>
      </c>
      <c r="G1714" s="19" t="str">
        <f t="shared" si="26"/>
        <v>40-50</v>
      </c>
    </row>
    <row r="1715" spans="1:7" ht="20" customHeight="1" x14ac:dyDescent="0.35">
      <c r="A1715" s="17">
        <v>1714</v>
      </c>
      <c r="B1715" s="23" t="s">
        <v>105</v>
      </c>
      <c r="C1715" s="18" t="s">
        <v>125</v>
      </c>
      <c r="D1715" s="18">
        <v>33</v>
      </c>
      <c r="E1715" s="18" t="s">
        <v>131</v>
      </c>
      <c r="F1715" s="18" t="str">
        <f>IF(OR(D1715&gt;Answers!L1730,D1715&lt;Answers!L1731),"Outlier","Normal")</f>
        <v>Outlier</v>
      </c>
      <c r="G1715" s="19" t="str">
        <f t="shared" si="26"/>
        <v>30-40</v>
      </c>
    </row>
    <row r="1716" spans="1:7" ht="20" customHeight="1" x14ac:dyDescent="0.35">
      <c r="A1716" s="17">
        <v>1715</v>
      </c>
      <c r="B1716" s="23" t="s">
        <v>99</v>
      </c>
      <c r="C1716" s="18" t="s">
        <v>125</v>
      </c>
      <c r="D1716" s="18">
        <v>41</v>
      </c>
      <c r="E1716" s="18" t="s">
        <v>131</v>
      </c>
      <c r="F1716" s="18" t="str">
        <f>IF(OR(D1716&gt;Answers!L1731,D1716&lt;Answers!L1732),"Outlier","Normal")</f>
        <v>Outlier</v>
      </c>
      <c r="G1716" s="19" t="str">
        <f t="shared" si="26"/>
        <v>40-50</v>
      </c>
    </row>
    <row r="1717" spans="1:7" ht="20" customHeight="1" x14ac:dyDescent="0.35">
      <c r="A1717" s="17">
        <v>1716</v>
      </c>
      <c r="B1717" s="23" t="s">
        <v>99</v>
      </c>
      <c r="C1717" s="18" t="s">
        <v>126</v>
      </c>
      <c r="D1717" s="18">
        <v>18</v>
      </c>
      <c r="E1717" s="18" t="s">
        <v>131</v>
      </c>
      <c r="F1717" s="18" t="str">
        <f>IF(OR(D1717&gt;Answers!L1732,D1717&lt;Answers!L1733),"Outlier","Normal")</f>
        <v>Outlier</v>
      </c>
      <c r="G1717" s="19" t="str">
        <f t="shared" si="26"/>
        <v>&lt;20</v>
      </c>
    </row>
    <row r="1718" spans="1:7" ht="20" customHeight="1" x14ac:dyDescent="0.35">
      <c r="A1718" s="17">
        <v>1717</v>
      </c>
      <c r="B1718" s="23" t="s">
        <v>101</v>
      </c>
      <c r="C1718" s="18" t="s">
        <v>125</v>
      </c>
      <c r="D1718" s="18">
        <v>33</v>
      </c>
      <c r="E1718" s="18" t="s">
        <v>131</v>
      </c>
      <c r="F1718" s="18" t="str">
        <f>IF(OR(D1718&gt;Answers!L1733,D1718&lt;Answers!L1734),"Outlier","Normal")</f>
        <v>Outlier</v>
      </c>
      <c r="G1718" s="19" t="str">
        <f t="shared" si="26"/>
        <v>30-40</v>
      </c>
    </row>
    <row r="1719" spans="1:7" ht="20" customHeight="1" x14ac:dyDescent="0.35">
      <c r="A1719" s="17">
        <v>1718</v>
      </c>
      <c r="B1719" s="23" t="s">
        <v>99</v>
      </c>
      <c r="C1719" s="18" t="s">
        <v>125</v>
      </c>
      <c r="D1719" s="18">
        <v>26</v>
      </c>
      <c r="E1719" s="18" t="s">
        <v>131</v>
      </c>
      <c r="F1719" s="18" t="str">
        <f>IF(OR(D1719&gt;Answers!L1734,D1719&lt;Answers!L1735),"Outlier","Normal")</f>
        <v>Outlier</v>
      </c>
      <c r="G1719" s="19" t="str">
        <f t="shared" si="26"/>
        <v>20-30</v>
      </c>
    </row>
    <row r="1720" spans="1:7" ht="20" customHeight="1" x14ac:dyDescent="0.35">
      <c r="A1720" s="17">
        <v>1719</v>
      </c>
      <c r="B1720" s="23" t="s">
        <v>107</v>
      </c>
      <c r="C1720" s="18" t="s">
        <v>126</v>
      </c>
      <c r="D1720" s="18">
        <v>23</v>
      </c>
      <c r="E1720" s="18" t="s">
        <v>131</v>
      </c>
      <c r="F1720" s="18" t="str">
        <f>IF(OR(D1720&gt;Answers!L1735,D1720&lt;Answers!L1736),"Outlier","Normal")</f>
        <v>Outlier</v>
      </c>
      <c r="G1720" s="19" t="str">
        <f t="shared" si="26"/>
        <v>20-30</v>
      </c>
    </row>
    <row r="1721" spans="1:7" ht="20" customHeight="1" x14ac:dyDescent="0.35">
      <c r="A1721" s="17">
        <v>1720</v>
      </c>
      <c r="B1721" s="23" t="s">
        <v>99</v>
      </c>
      <c r="C1721" s="18" t="s">
        <v>125</v>
      </c>
      <c r="D1721" s="18">
        <v>85</v>
      </c>
      <c r="E1721" s="18" t="s">
        <v>131</v>
      </c>
      <c r="F1721" s="18" t="str">
        <f>IF(OR(D1721&gt;Answers!L1736,D1721&lt;Answers!L1737),"Outlier","Normal")</f>
        <v>Outlier</v>
      </c>
      <c r="G1721" s="19" t="str">
        <f t="shared" si="26"/>
        <v>40-50</v>
      </c>
    </row>
    <row r="1722" spans="1:7" ht="20" customHeight="1" x14ac:dyDescent="0.35">
      <c r="A1722" s="17">
        <v>1721</v>
      </c>
      <c r="B1722" s="23" t="s">
        <v>109</v>
      </c>
      <c r="C1722" s="18" t="s">
        <v>126</v>
      </c>
      <c r="D1722" s="18">
        <v>22</v>
      </c>
      <c r="E1722" s="18" t="s">
        <v>131</v>
      </c>
      <c r="F1722" s="18" t="str">
        <f>IF(OR(D1722&gt;Answers!L1737,D1722&lt;Answers!L1738),"Outlier","Normal")</f>
        <v>Outlier</v>
      </c>
      <c r="G1722" s="19" t="str">
        <f t="shared" si="26"/>
        <v>20-30</v>
      </c>
    </row>
    <row r="1723" spans="1:7" ht="20" customHeight="1" x14ac:dyDescent="0.35">
      <c r="A1723" s="17">
        <v>1722</v>
      </c>
      <c r="B1723" s="23" t="s">
        <v>99</v>
      </c>
      <c r="C1723" s="18" t="s">
        <v>125</v>
      </c>
      <c r="D1723" s="18">
        <v>46</v>
      </c>
      <c r="E1723" s="18" t="s">
        <v>131</v>
      </c>
      <c r="F1723" s="18" t="str">
        <f>IF(OR(D1723&gt;Answers!L1738,D1723&lt;Answers!L1739),"Outlier","Normal")</f>
        <v>Outlier</v>
      </c>
      <c r="G1723" s="19" t="str">
        <f t="shared" si="26"/>
        <v>40-50</v>
      </c>
    </row>
    <row r="1724" spans="1:7" ht="20" customHeight="1" x14ac:dyDescent="0.35">
      <c r="A1724" s="17">
        <v>1723</v>
      </c>
      <c r="B1724" s="23" t="s">
        <v>105</v>
      </c>
      <c r="C1724" s="18" t="s">
        <v>125</v>
      </c>
      <c r="D1724" s="18">
        <v>82</v>
      </c>
      <c r="E1724" s="18" t="s">
        <v>131</v>
      </c>
      <c r="F1724" s="18" t="str">
        <f>IF(OR(D1724&gt;Answers!L1739,D1724&lt;Answers!L1740),"Outlier","Normal")</f>
        <v>Outlier</v>
      </c>
      <c r="G1724" s="19" t="str">
        <f t="shared" si="26"/>
        <v>40-50</v>
      </c>
    </row>
    <row r="1725" spans="1:7" ht="20" customHeight="1" x14ac:dyDescent="0.35">
      <c r="A1725" s="17">
        <v>1724</v>
      </c>
      <c r="B1725" s="23" t="s">
        <v>101</v>
      </c>
      <c r="C1725" s="18" t="s">
        <v>125</v>
      </c>
      <c r="D1725" s="18">
        <v>76</v>
      </c>
      <c r="E1725" s="18" t="s">
        <v>131</v>
      </c>
      <c r="F1725" s="18" t="str">
        <f>IF(OR(D1725&gt;Answers!L1740,D1725&lt;Answers!L1741),"Outlier","Normal")</f>
        <v>Outlier</v>
      </c>
      <c r="G1725" s="19" t="str">
        <f t="shared" si="26"/>
        <v>40-50</v>
      </c>
    </row>
    <row r="1726" spans="1:7" ht="20" customHeight="1" x14ac:dyDescent="0.35">
      <c r="A1726" s="17">
        <v>1725</v>
      </c>
      <c r="B1726" s="23" t="s">
        <v>99</v>
      </c>
      <c r="C1726" s="18" t="s">
        <v>125</v>
      </c>
      <c r="D1726" s="18">
        <v>81</v>
      </c>
      <c r="E1726" s="18" t="s">
        <v>131</v>
      </c>
      <c r="F1726" s="18" t="str">
        <f>IF(OR(D1726&gt;Answers!L1741,D1726&lt;Answers!L1742),"Outlier","Normal")</f>
        <v>Outlier</v>
      </c>
      <c r="G1726" s="19" t="str">
        <f t="shared" si="26"/>
        <v>40-50</v>
      </c>
    </row>
    <row r="1727" spans="1:7" ht="20" customHeight="1" x14ac:dyDescent="0.35">
      <c r="A1727" s="17">
        <v>1726</v>
      </c>
      <c r="B1727" s="23" t="s">
        <v>105</v>
      </c>
      <c r="C1727" s="18" t="s">
        <v>126</v>
      </c>
      <c r="D1727" s="18">
        <v>36</v>
      </c>
      <c r="E1727" s="18" t="s">
        <v>131</v>
      </c>
      <c r="F1727" s="18" t="str">
        <f>IF(OR(D1727&gt;Answers!L1742,D1727&lt;Answers!L1743),"Outlier","Normal")</f>
        <v>Outlier</v>
      </c>
      <c r="G1727" s="19" t="str">
        <f t="shared" si="26"/>
        <v>30-40</v>
      </c>
    </row>
    <row r="1728" spans="1:7" ht="20" customHeight="1" x14ac:dyDescent="0.35">
      <c r="A1728" s="17">
        <v>1727</v>
      </c>
      <c r="B1728" s="23" t="s">
        <v>99</v>
      </c>
      <c r="C1728" s="18" t="s">
        <v>125</v>
      </c>
      <c r="D1728" s="18">
        <v>75</v>
      </c>
      <c r="E1728" s="18" t="s">
        <v>131</v>
      </c>
      <c r="F1728" s="18" t="str">
        <f>IF(OR(D1728&gt;Answers!L1743,D1728&lt;Answers!L1744),"Outlier","Normal")</f>
        <v>Outlier</v>
      </c>
      <c r="G1728" s="19" t="str">
        <f t="shared" si="26"/>
        <v>40-50</v>
      </c>
    </row>
    <row r="1729" spans="1:7" ht="20" customHeight="1" x14ac:dyDescent="0.35">
      <c r="A1729" s="17">
        <v>1728</v>
      </c>
      <c r="B1729" s="23" t="s">
        <v>100</v>
      </c>
      <c r="C1729" s="18" t="s">
        <v>126</v>
      </c>
      <c r="D1729" s="18">
        <v>27</v>
      </c>
      <c r="E1729" s="18" t="s">
        <v>131</v>
      </c>
      <c r="F1729" s="18" t="str">
        <f>IF(OR(D1729&gt;Answers!L1744,D1729&lt;Answers!L1745),"Outlier","Normal")</f>
        <v>Outlier</v>
      </c>
      <c r="G1729" s="19" t="str">
        <f t="shared" si="26"/>
        <v>20-30</v>
      </c>
    </row>
    <row r="1730" spans="1:7" ht="20" customHeight="1" x14ac:dyDescent="0.35">
      <c r="A1730" s="17">
        <v>1729</v>
      </c>
      <c r="B1730" s="23" t="s">
        <v>101</v>
      </c>
      <c r="C1730" s="18" t="s">
        <v>125</v>
      </c>
      <c r="D1730" s="18">
        <v>72</v>
      </c>
      <c r="E1730" s="18" t="s">
        <v>131</v>
      </c>
      <c r="F1730" s="18" t="str">
        <f>IF(OR(D1730&gt;Answers!L1745,D1730&lt;Answers!L1746),"Outlier","Normal")</f>
        <v>Outlier</v>
      </c>
      <c r="G1730" s="19" t="str">
        <f t="shared" si="26"/>
        <v>40-50</v>
      </c>
    </row>
    <row r="1731" spans="1:7" ht="20" customHeight="1" x14ac:dyDescent="0.35">
      <c r="A1731" s="17">
        <v>1730</v>
      </c>
      <c r="B1731" s="23" t="s">
        <v>100</v>
      </c>
      <c r="C1731" s="18" t="s">
        <v>126</v>
      </c>
      <c r="D1731" s="18">
        <v>73</v>
      </c>
      <c r="E1731" s="18" t="s">
        <v>131</v>
      </c>
      <c r="F1731" s="18" t="str">
        <f>IF(OR(D1731&gt;Answers!L1746,D1731&lt;Answers!L1747),"Outlier","Normal")</f>
        <v>Outlier</v>
      </c>
      <c r="G1731" s="19" t="str">
        <f t="shared" ref="G1731:G1794" si="27">IF(D1731&lt;20,"&lt;20",
IF(D1731&lt;=30,"20-30",
IF(D1731&lt;=40,"30-40","40-50")))</f>
        <v>40-50</v>
      </c>
    </row>
    <row r="1732" spans="1:7" ht="20" customHeight="1" x14ac:dyDescent="0.35">
      <c r="A1732" s="17">
        <v>1731</v>
      </c>
      <c r="B1732" s="23" t="s">
        <v>105</v>
      </c>
      <c r="C1732" s="18" t="s">
        <v>125</v>
      </c>
      <c r="D1732" s="18">
        <v>65</v>
      </c>
      <c r="E1732" s="18" t="s">
        <v>131</v>
      </c>
      <c r="F1732" s="18" t="str">
        <f>IF(OR(D1732&gt;Answers!L1747,D1732&lt;Answers!L1748),"Outlier","Normal")</f>
        <v>Outlier</v>
      </c>
      <c r="G1732" s="19" t="str">
        <f t="shared" si="27"/>
        <v>40-50</v>
      </c>
    </row>
    <row r="1733" spans="1:7" ht="20" customHeight="1" x14ac:dyDescent="0.35">
      <c r="A1733" s="17">
        <v>1732</v>
      </c>
      <c r="B1733" s="23" t="s">
        <v>99</v>
      </c>
      <c r="C1733" s="18" t="s">
        <v>125</v>
      </c>
      <c r="D1733" s="18">
        <v>90</v>
      </c>
      <c r="E1733" s="18" t="s">
        <v>131</v>
      </c>
      <c r="F1733" s="18" t="str">
        <f>IF(OR(D1733&gt;Answers!L1748,D1733&lt;Answers!L1749),"Outlier","Normal")</f>
        <v>Outlier</v>
      </c>
      <c r="G1733" s="19" t="str">
        <f t="shared" si="27"/>
        <v>40-50</v>
      </c>
    </row>
    <row r="1734" spans="1:7" ht="20" customHeight="1" x14ac:dyDescent="0.35">
      <c r="A1734" s="17">
        <v>1733</v>
      </c>
      <c r="B1734" s="23" t="s">
        <v>107</v>
      </c>
      <c r="C1734" s="18" t="s">
        <v>125</v>
      </c>
      <c r="D1734" s="18">
        <v>32</v>
      </c>
      <c r="E1734" s="18" t="s">
        <v>131</v>
      </c>
      <c r="F1734" s="18" t="str">
        <f>IF(OR(D1734&gt;Answers!L1749,D1734&lt;Answers!L1750),"Outlier","Normal")</f>
        <v>Outlier</v>
      </c>
      <c r="G1734" s="19" t="str">
        <f t="shared" si="27"/>
        <v>30-40</v>
      </c>
    </row>
    <row r="1735" spans="1:7" ht="20" customHeight="1" x14ac:dyDescent="0.35">
      <c r="A1735" s="17">
        <v>1734</v>
      </c>
      <c r="B1735" s="23" t="s">
        <v>99</v>
      </c>
      <c r="C1735" s="18" t="s">
        <v>125</v>
      </c>
      <c r="D1735" s="18">
        <v>62</v>
      </c>
      <c r="E1735" s="18" t="s">
        <v>131</v>
      </c>
      <c r="F1735" s="18" t="str">
        <f>IF(OR(D1735&gt;Answers!L1750,D1735&lt;Answers!L1751),"Outlier","Normal")</f>
        <v>Outlier</v>
      </c>
      <c r="G1735" s="19" t="str">
        <f t="shared" si="27"/>
        <v>40-50</v>
      </c>
    </row>
    <row r="1736" spans="1:7" ht="20" customHeight="1" x14ac:dyDescent="0.35">
      <c r="A1736" s="17">
        <v>1735</v>
      </c>
      <c r="B1736" s="23" t="s">
        <v>102</v>
      </c>
      <c r="C1736" s="18" t="s">
        <v>125</v>
      </c>
      <c r="D1736" s="18">
        <v>76</v>
      </c>
      <c r="E1736" s="18" t="s">
        <v>131</v>
      </c>
      <c r="F1736" s="18" t="str">
        <f>IF(OR(D1736&gt;Answers!L1751,D1736&lt;Answers!L1752),"Outlier","Normal")</f>
        <v>Outlier</v>
      </c>
      <c r="G1736" s="19" t="str">
        <f t="shared" si="27"/>
        <v>40-50</v>
      </c>
    </row>
    <row r="1737" spans="1:7" ht="20" customHeight="1" x14ac:dyDescent="0.35">
      <c r="A1737" s="17">
        <v>1736</v>
      </c>
      <c r="B1737" s="23" t="s">
        <v>99</v>
      </c>
      <c r="C1737" s="18" t="s">
        <v>125</v>
      </c>
      <c r="D1737" s="18">
        <v>23</v>
      </c>
      <c r="E1737" s="18" t="s">
        <v>131</v>
      </c>
      <c r="F1737" s="18" t="str">
        <f>IF(OR(D1737&gt;Answers!L1752,D1737&lt;Answers!L1753),"Outlier","Normal")</f>
        <v>Outlier</v>
      </c>
      <c r="G1737" s="19" t="str">
        <f t="shared" si="27"/>
        <v>20-30</v>
      </c>
    </row>
    <row r="1738" spans="1:7" ht="20" customHeight="1" x14ac:dyDescent="0.35">
      <c r="A1738" s="17">
        <v>1737</v>
      </c>
      <c r="B1738" s="23" t="s">
        <v>106</v>
      </c>
      <c r="C1738" s="18" t="s">
        <v>125</v>
      </c>
      <c r="D1738" s="18">
        <v>60</v>
      </c>
      <c r="E1738" s="18" t="s">
        <v>131</v>
      </c>
      <c r="F1738" s="18" t="str">
        <f>IF(OR(D1738&gt;Answers!L1753,D1738&lt;Answers!L1754),"Outlier","Normal")</f>
        <v>Outlier</v>
      </c>
      <c r="G1738" s="19" t="str">
        <f t="shared" si="27"/>
        <v>40-50</v>
      </c>
    </row>
    <row r="1739" spans="1:7" ht="20" customHeight="1" x14ac:dyDescent="0.35">
      <c r="A1739" s="17">
        <v>1738</v>
      </c>
      <c r="B1739" s="23" t="s">
        <v>100</v>
      </c>
      <c r="C1739" s="18" t="s">
        <v>125</v>
      </c>
      <c r="D1739" s="18">
        <v>27</v>
      </c>
      <c r="E1739" s="18" t="s">
        <v>131</v>
      </c>
      <c r="F1739" s="18" t="str">
        <f>IF(OR(D1739&gt;Answers!L1754,D1739&lt;Answers!L1755),"Outlier","Normal")</f>
        <v>Outlier</v>
      </c>
      <c r="G1739" s="19" t="str">
        <f t="shared" si="27"/>
        <v>20-30</v>
      </c>
    </row>
    <row r="1740" spans="1:7" ht="20" customHeight="1" x14ac:dyDescent="0.35">
      <c r="A1740" s="17">
        <v>1739</v>
      </c>
      <c r="B1740" s="23" t="s">
        <v>105</v>
      </c>
      <c r="C1740" s="18" t="s">
        <v>126</v>
      </c>
      <c r="D1740" s="18">
        <v>44</v>
      </c>
      <c r="E1740" s="18" t="s">
        <v>131</v>
      </c>
      <c r="F1740" s="18" t="str">
        <f>IF(OR(D1740&gt;Answers!L1755,D1740&lt;Answers!L1756),"Outlier","Normal")</f>
        <v>Outlier</v>
      </c>
      <c r="G1740" s="19" t="str">
        <f t="shared" si="27"/>
        <v>40-50</v>
      </c>
    </row>
    <row r="1741" spans="1:7" ht="20" customHeight="1" x14ac:dyDescent="0.35">
      <c r="A1741" s="17">
        <v>1740</v>
      </c>
      <c r="B1741" s="23" t="s">
        <v>99</v>
      </c>
      <c r="C1741" s="18" t="s">
        <v>126</v>
      </c>
      <c r="D1741" s="18">
        <v>25</v>
      </c>
      <c r="E1741" s="18" t="s">
        <v>131</v>
      </c>
      <c r="F1741" s="18" t="str">
        <f>IF(OR(D1741&gt;Answers!L1756,D1741&lt;Answers!L1757),"Outlier","Normal")</f>
        <v>Outlier</v>
      </c>
      <c r="G1741" s="19" t="str">
        <f t="shared" si="27"/>
        <v>20-30</v>
      </c>
    </row>
    <row r="1742" spans="1:7" ht="20" customHeight="1" x14ac:dyDescent="0.35">
      <c r="A1742" s="17">
        <v>1741</v>
      </c>
      <c r="B1742" s="23" t="s">
        <v>99</v>
      </c>
      <c r="C1742" s="18" t="s">
        <v>126</v>
      </c>
      <c r="D1742" s="18">
        <v>71</v>
      </c>
      <c r="E1742" s="18" t="s">
        <v>131</v>
      </c>
      <c r="F1742" s="18" t="str">
        <f>IF(OR(D1742&gt;Answers!L1757,D1742&lt;Answers!L1758),"Outlier","Normal")</f>
        <v>Outlier</v>
      </c>
      <c r="G1742" s="19" t="str">
        <f t="shared" si="27"/>
        <v>40-50</v>
      </c>
    </row>
    <row r="1743" spans="1:7" ht="20" customHeight="1" x14ac:dyDescent="0.35">
      <c r="A1743" s="17">
        <v>1742</v>
      </c>
      <c r="B1743" s="23" t="s">
        <v>99</v>
      </c>
      <c r="C1743" s="18" t="s">
        <v>126</v>
      </c>
      <c r="D1743" s="18">
        <v>49</v>
      </c>
      <c r="E1743" s="18" t="s">
        <v>131</v>
      </c>
      <c r="F1743" s="18" t="str">
        <f>IF(OR(D1743&gt;Answers!L1758,D1743&lt;Answers!L1759),"Outlier","Normal")</f>
        <v>Outlier</v>
      </c>
      <c r="G1743" s="19" t="str">
        <f t="shared" si="27"/>
        <v>40-50</v>
      </c>
    </row>
    <row r="1744" spans="1:7" ht="20" customHeight="1" x14ac:dyDescent="0.35">
      <c r="A1744" s="17">
        <v>1743</v>
      </c>
      <c r="B1744" s="23" t="s">
        <v>99</v>
      </c>
      <c r="C1744" s="18" t="s">
        <v>126</v>
      </c>
      <c r="D1744" s="18">
        <v>30</v>
      </c>
      <c r="E1744" s="18" t="s">
        <v>131</v>
      </c>
      <c r="F1744" s="18" t="str">
        <f>IF(OR(D1744&gt;Answers!L1759,D1744&lt;Answers!L1760),"Outlier","Normal")</f>
        <v>Outlier</v>
      </c>
      <c r="G1744" s="19" t="str">
        <f t="shared" si="27"/>
        <v>20-30</v>
      </c>
    </row>
    <row r="1745" spans="1:7" ht="20" customHeight="1" x14ac:dyDescent="0.35">
      <c r="A1745" s="17">
        <v>1744</v>
      </c>
      <c r="B1745" s="23" t="s">
        <v>99</v>
      </c>
      <c r="C1745" s="18" t="s">
        <v>126</v>
      </c>
      <c r="D1745" s="18">
        <v>36</v>
      </c>
      <c r="E1745" s="18" t="s">
        <v>131</v>
      </c>
      <c r="F1745" s="18" t="str">
        <f>IF(OR(D1745&gt;Answers!L1760,D1745&lt;Answers!L1761),"Outlier","Normal")</f>
        <v>Outlier</v>
      </c>
      <c r="G1745" s="19" t="str">
        <f t="shared" si="27"/>
        <v>30-40</v>
      </c>
    </row>
    <row r="1746" spans="1:7" ht="20" customHeight="1" x14ac:dyDescent="0.35">
      <c r="A1746" s="17">
        <v>1745</v>
      </c>
      <c r="B1746" s="23" t="s">
        <v>99</v>
      </c>
      <c r="C1746" s="18" t="s">
        <v>126</v>
      </c>
      <c r="D1746" s="18">
        <v>54</v>
      </c>
      <c r="E1746" s="18" t="s">
        <v>131</v>
      </c>
      <c r="F1746" s="18" t="str">
        <f>IF(OR(D1746&gt;Answers!L1761,D1746&lt;Answers!L1762),"Outlier","Normal")</f>
        <v>Outlier</v>
      </c>
      <c r="G1746" s="19" t="str">
        <f t="shared" si="27"/>
        <v>40-50</v>
      </c>
    </row>
    <row r="1747" spans="1:7" ht="20" customHeight="1" x14ac:dyDescent="0.35">
      <c r="A1747" s="17">
        <v>1746</v>
      </c>
      <c r="B1747" s="23" t="s">
        <v>107</v>
      </c>
      <c r="C1747" s="18" t="s">
        <v>125</v>
      </c>
      <c r="D1747" s="18">
        <v>66</v>
      </c>
      <c r="E1747" s="18" t="s">
        <v>131</v>
      </c>
      <c r="F1747" s="18" t="str">
        <f>IF(OR(D1747&gt;Answers!L1762,D1747&lt;Answers!L1763),"Outlier","Normal")</f>
        <v>Outlier</v>
      </c>
      <c r="G1747" s="19" t="str">
        <f t="shared" si="27"/>
        <v>40-50</v>
      </c>
    </row>
    <row r="1748" spans="1:7" ht="20" customHeight="1" x14ac:dyDescent="0.35">
      <c r="A1748" s="17">
        <v>1747</v>
      </c>
      <c r="B1748" s="23" t="s">
        <v>99</v>
      </c>
      <c r="C1748" s="18" t="s">
        <v>126</v>
      </c>
      <c r="D1748" s="18">
        <v>61</v>
      </c>
      <c r="E1748" s="18" t="s">
        <v>131</v>
      </c>
      <c r="F1748" s="18" t="str">
        <f>IF(OR(D1748&gt;Answers!L1763,D1748&lt;Answers!L1764),"Outlier","Normal")</f>
        <v>Outlier</v>
      </c>
      <c r="G1748" s="19" t="str">
        <f t="shared" si="27"/>
        <v>40-50</v>
      </c>
    </row>
    <row r="1749" spans="1:7" ht="20" customHeight="1" x14ac:dyDescent="0.35">
      <c r="A1749" s="17">
        <v>1748</v>
      </c>
      <c r="B1749" s="23" t="s">
        <v>100</v>
      </c>
      <c r="C1749" s="18" t="s">
        <v>125</v>
      </c>
      <c r="D1749" s="18">
        <v>44</v>
      </c>
      <c r="E1749" s="18" t="s">
        <v>131</v>
      </c>
      <c r="F1749" s="18" t="str">
        <f>IF(OR(D1749&gt;Answers!L1764,D1749&lt;Answers!L1765),"Outlier","Normal")</f>
        <v>Outlier</v>
      </c>
      <c r="G1749" s="19" t="str">
        <f t="shared" si="27"/>
        <v>40-50</v>
      </c>
    </row>
    <row r="1750" spans="1:7" ht="20" customHeight="1" x14ac:dyDescent="0.35">
      <c r="A1750" s="17">
        <v>1749</v>
      </c>
      <c r="B1750" s="23" t="s">
        <v>104</v>
      </c>
      <c r="C1750" s="18" t="s">
        <v>125</v>
      </c>
      <c r="D1750" s="18">
        <v>30</v>
      </c>
      <c r="E1750" s="18" t="s">
        <v>131</v>
      </c>
      <c r="F1750" s="18" t="str">
        <f>IF(OR(D1750&gt;Answers!L1765,D1750&lt;Answers!L1766),"Outlier","Normal")</f>
        <v>Outlier</v>
      </c>
      <c r="G1750" s="19" t="str">
        <f t="shared" si="27"/>
        <v>20-30</v>
      </c>
    </row>
    <row r="1751" spans="1:7" ht="20" customHeight="1" x14ac:dyDescent="0.35">
      <c r="A1751" s="17">
        <v>1750</v>
      </c>
      <c r="B1751" s="23" t="s">
        <v>102</v>
      </c>
      <c r="C1751" s="18" t="s">
        <v>126</v>
      </c>
      <c r="D1751" s="18">
        <v>85</v>
      </c>
      <c r="E1751" s="18" t="s">
        <v>131</v>
      </c>
      <c r="F1751" s="18" t="str">
        <f>IF(OR(D1751&gt;Answers!L1766,D1751&lt;Answers!L1767),"Outlier","Normal")</f>
        <v>Outlier</v>
      </c>
      <c r="G1751" s="19" t="str">
        <f t="shared" si="27"/>
        <v>40-50</v>
      </c>
    </row>
    <row r="1752" spans="1:7" ht="20" customHeight="1" x14ac:dyDescent="0.35">
      <c r="A1752" s="17">
        <v>1751</v>
      </c>
      <c r="B1752" s="23" t="s">
        <v>99</v>
      </c>
      <c r="C1752" s="18" t="s">
        <v>125</v>
      </c>
      <c r="D1752" s="18">
        <v>78</v>
      </c>
      <c r="E1752" s="18" t="s">
        <v>131</v>
      </c>
      <c r="F1752" s="18" t="str">
        <f>IF(OR(D1752&gt;Answers!L1767,D1752&lt;Answers!L1768),"Outlier","Normal")</f>
        <v>Outlier</v>
      </c>
      <c r="G1752" s="19" t="str">
        <f t="shared" si="27"/>
        <v>40-50</v>
      </c>
    </row>
    <row r="1753" spans="1:7" ht="20" customHeight="1" x14ac:dyDescent="0.35">
      <c r="A1753" s="17">
        <v>1752</v>
      </c>
      <c r="B1753" s="23" t="s">
        <v>101</v>
      </c>
      <c r="C1753" s="18" t="s">
        <v>126</v>
      </c>
      <c r="D1753" s="18">
        <v>50</v>
      </c>
      <c r="E1753" s="18" t="s">
        <v>131</v>
      </c>
      <c r="F1753" s="18" t="str">
        <f>IF(OR(D1753&gt;Answers!L1768,D1753&lt;Answers!L1769),"Outlier","Normal")</f>
        <v>Outlier</v>
      </c>
      <c r="G1753" s="19" t="str">
        <f t="shared" si="27"/>
        <v>40-50</v>
      </c>
    </row>
    <row r="1754" spans="1:7" ht="20" customHeight="1" x14ac:dyDescent="0.35">
      <c r="A1754" s="17">
        <v>1753</v>
      </c>
      <c r="B1754" s="23" t="s">
        <v>99</v>
      </c>
      <c r="C1754" s="18" t="s">
        <v>126</v>
      </c>
      <c r="D1754" s="18">
        <v>68</v>
      </c>
      <c r="E1754" s="18" t="s">
        <v>131</v>
      </c>
      <c r="F1754" s="18" t="str">
        <f>IF(OR(D1754&gt;Answers!L1769,D1754&lt;Answers!L1770),"Outlier","Normal")</f>
        <v>Outlier</v>
      </c>
      <c r="G1754" s="19" t="str">
        <f t="shared" si="27"/>
        <v>40-50</v>
      </c>
    </row>
    <row r="1755" spans="1:7" ht="20" customHeight="1" x14ac:dyDescent="0.35">
      <c r="A1755" s="17">
        <v>1754</v>
      </c>
      <c r="B1755" s="23" t="s">
        <v>99</v>
      </c>
      <c r="C1755" s="18" t="s">
        <v>126</v>
      </c>
      <c r="D1755" s="18">
        <v>63</v>
      </c>
      <c r="E1755" s="18" t="s">
        <v>131</v>
      </c>
      <c r="F1755" s="18" t="str">
        <f>IF(OR(D1755&gt;Answers!L1770,D1755&lt;Answers!L1771),"Outlier","Normal")</f>
        <v>Outlier</v>
      </c>
      <c r="G1755" s="19" t="str">
        <f t="shared" si="27"/>
        <v>40-50</v>
      </c>
    </row>
    <row r="1756" spans="1:7" ht="20" customHeight="1" x14ac:dyDescent="0.35">
      <c r="A1756" s="17">
        <v>1755</v>
      </c>
      <c r="B1756" s="23" t="s">
        <v>105</v>
      </c>
      <c r="C1756" s="18" t="s">
        <v>125</v>
      </c>
      <c r="D1756" s="18">
        <v>66</v>
      </c>
      <c r="E1756" s="18" t="s">
        <v>131</v>
      </c>
      <c r="F1756" s="18" t="str">
        <f>IF(OR(D1756&gt;Answers!L1771,D1756&lt;Answers!L1772),"Outlier","Normal")</f>
        <v>Outlier</v>
      </c>
      <c r="G1756" s="19" t="str">
        <f t="shared" si="27"/>
        <v>40-50</v>
      </c>
    </row>
    <row r="1757" spans="1:7" ht="20" customHeight="1" x14ac:dyDescent="0.35">
      <c r="A1757" s="17">
        <v>1756</v>
      </c>
      <c r="B1757" s="23" t="s">
        <v>99</v>
      </c>
      <c r="C1757" s="18" t="s">
        <v>126</v>
      </c>
      <c r="D1757" s="18">
        <v>54</v>
      </c>
      <c r="E1757" s="18" t="s">
        <v>131</v>
      </c>
      <c r="F1757" s="18" t="str">
        <f>IF(OR(D1757&gt;Answers!L1772,D1757&lt;Answers!L1773),"Outlier","Normal")</f>
        <v>Outlier</v>
      </c>
      <c r="G1757" s="19" t="str">
        <f t="shared" si="27"/>
        <v>40-50</v>
      </c>
    </row>
    <row r="1758" spans="1:7" ht="20" customHeight="1" x14ac:dyDescent="0.35">
      <c r="A1758" s="17">
        <v>1757</v>
      </c>
      <c r="B1758" s="23" t="s">
        <v>105</v>
      </c>
      <c r="C1758" s="18" t="s">
        <v>125</v>
      </c>
      <c r="D1758" s="18">
        <v>20</v>
      </c>
      <c r="E1758" s="18" t="s">
        <v>131</v>
      </c>
      <c r="F1758" s="18" t="str">
        <f>IF(OR(D1758&gt;Answers!L1773,D1758&lt;Answers!L1774),"Outlier","Normal")</f>
        <v>Outlier</v>
      </c>
      <c r="G1758" s="19" t="str">
        <f t="shared" si="27"/>
        <v>20-30</v>
      </c>
    </row>
    <row r="1759" spans="1:7" ht="20" customHeight="1" x14ac:dyDescent="0.35">
      <c r="A1759" s="17">
        <v>1758</v>
      </c>
      <c r="B1759" s="23" t="s">
        <v>99</v>
      </c>
      <c r="C1759" s="18" t="s">
        <v>126</v>
      </c>
      <c r="D1759" s="18">
        <v>81</v>
      </c>
      <c r="E1759" s="18" t="s">
        <v>131</v>
      </c>
      <c r="F1759" s="18" t="str">
        <f>IF(OR(D1759&gt;Answers!L1774,D1759&lt;Answers!L1775),"Outlier","Normal")</f>
        <v>Outlier</v>
      </c>
      <c r="G1759" s="19" t="str">
        <f t="shared" si="27"/>
        <v>40-50</v>
      </c>
    </row>
    <row r="1760" spans="1:7" ht="20" customHeight="1" x14ac:dyDescent="0.35">
      <c r="A1760" s="17">
        <v>1759</v>
      </c>
      <c r="B1760" s="23" t="s">
        <v>105</v>
      </c>
      <c r="C1760" s="18" t="s">
        <v>126</v>
      </c>
      <c r="D1760" s="18">
        <v>22</v>
      </c>
      <c r="E1760" s="18" t="s">
        <v>131</v>
      </c>
      <c r="F1760" s="18" t="str">
        <f>IF(OR(D1760&gt;Answers!L1775,D1760&lt;Answers!L1776),"Outlier","Normal")</f>
        <v>Outlier</v>
      </c>
      <c r="G1760" s="19" t="str">
        <f t="shared" si="27"/>
        <v>20-30</v>
      </c>
    </row>
    <row r="1761" spans="1:7" ht="20" customHeight="1" x14ac:dyDescent="0.35">
      <c r="A1761" s="17">
        <v>1760</v>
      </c>
      <c r="B1761" s="23" t="s">
        <v>100</v>
      </c>
      <c r="C1761" s="18" t="s">
        <v>126</v>
      </c>
      <c r="D1761" s="18">
        <v>19</v>
      </c>
      <c r="E1761" s="18" t="s">
        <v>131</v>
      </c>
      <c r="F1761" s="18" t="str">
        <f>IF(OR(D1761&gt;Answers!L1776,D1761&lt;Answers!L1777),"Outlier","Normal")</f>
        <v>Outlier</v>
      </c>
      <c r="G1761" s="19" t="str">
        <f t="shared" si="27"/>
        <v>&lt;20</v>
      </c>
    </row>
    <row r="1762" spans="1:7" ht="20" customHeight="1" x14ac:dyDescent="0.35">
      <c r="A1762" s="17">
        <v>1761</v>
      </c>
      <c r="B1762" s="23" t="s">
        <v>105</v>
      </c>
      <c r="C1762" s="18" t="s">
        <v>126</v>
      </c>
      <c r="D1762" s="18">
        <v>30</v>
      </c>
      <c r="E1762" s="18" t="s">
        <v>131</v>
      </c>
      <c r="F1762" s="18" t="str">
        <f>IF(OR(D1762&gt;Answers!L1777,D1762&lt;Answers!L1778),"Outlier","Normal")</f>
        <v>Outlier</v>
      </c>
      <c r="G1762" s="19" t="str">
        <f t="shared" si="27"/>
        <v>20-30</v>
      </c>
    </row>
    <row r="1763" spans="1:7" ht="20" customHeight="1" x14ac:dyDescent="0.35">
      <c r="A1763" s="17">
        <v>1762</v>
      </c>
      <c r="B1763" s="23" t="s">
        <v>99</v>
      </c>
      <c r="C1763" s="18" t="s">
        <v>125</v>
      </c>
      <c r="D1763" s="18">
        <v>29</v>
      </c>
      <c r="E1763" s="18" t="s">
        <v>131</v>
      </c>
      <c r="F1763" s="18" t="str">
        <f>IF(OR(D1763&gt;Answers!L1778,D1763&lt;Answers!L1779),"Outlier","Normal")</f>
        <v>Outlier</v>
      </c>
      <c r="G1763" s="19" t="str">
        <f t="shared" si="27"/>
        <v>20-30</v>
      </c>
    </row>
    <row r="1764" spans="1:7" ht="20" customHeight="1" x14ac:dyDescent="0.35">
      <c r="A1764" s="17">
        <v>1763</v>
      </c>
      <c r="B1764" s="23" t="s">
        <v>99</v>
      </c>
      <c r="C1764" s="18" t="s">
        <v>126</v>
      </c>
      <c r="D1764" s="18">
        <v>84</v>
      </c>
      <c r="E1764" s="18" t="s">
        <v>131</v>
      </c>
      <c r="F1764" s="18" t="str">
        <f>IF(OR(D1764&gt;Answers!L1779,D1764&lt;Answers!L1780),"Outlier","Normal")</f>
        <v>Outlier</v>
      </c>
      <c r="G1764" s="19" t="str">
        <f t="shared" si="27"/>
        <v>40-50</v>
      </c>
    </row>
    <row r="1765" spans="1:7" ht="20" customHeight="1" x14ac:dyDescent="0.35">
      <c r="A1765" s="17">
        <v>1764</v>
      </c>
      <c r="B1765" s="23" t="s">
        <v>102</v>
      </c>
      <c r="C1765" s="18" t="s">
        <v>126</v>
      </c>
      <c r="D1765" s="18">
        <v>37</v>
      </c>
      <c r="E1765" s="18" t="s">
        <v>131</v>
      </c>
      <c r="F1765" s="18" t="str">
        <f>IF(OR(D1765&gt;Answers!L1780,D1765&lt;Answers!L1781),"Outlier","Normal")</f>
        <v>Outlier</v>
      </c>
      <c r="G1765" s="19" t="str">
        <f t="shared" si="27"/>
        <v>30-40</v>
      </c>
    </row>
    <row r="1766" spans="1:7" ht="20" customHeight="1" x14ac:dyDescent="0.35">
      <c r="A1766" s="17">
        <v>1765</v>
      </c>
      <c r="B1766" s="23" t="s">
        <v>99</v>
      </c>
      <c r="C1766" s="18" t="s">
        <v>126</v>
      </c>
      <c r="D1766" s="18">
        <v>18</v>
      </c>
      <c r="E1766" s="18" t="s">
        <v>131</v>
      </c>
      <c r="F1766" s="18" t="str">
        <f>IF(OR(D1766&gt;Answers!L1781,D1766&lt;Answers!L1782),"Outlier","Normal")</f>
        <v>Outlier</v>
      </c>
      <c r="G1766" s="19" t="str">
        <f t="shared" si="27"/>
        <v>&lt;20</v>
      </c>
    </row>
    <row r="1767" spans="1:7" ht="20" customHeight="1" x14ac:dyDescent="0.35">
      <c r="A1767" s="17">
        <v>1766</v>
      </c>
      <c r="B1767" s="23" t="s">
        <v>105</v>
      </c>
      <c r="C1767" s="18" t="s">
        <v>125</v>
      </c>
      <c r="D1767" s="18">
        <v>42</v>
      </c>
      <c r="E1767" s="18" t="s">
        <v>131</v>
      </c>
      <c r="F1767" s="18" t="str">
        <f>IF(OR(D1767&gt;Answers!L1782,D1767&lt;Answers!L1783),"Outlier","Normal")</f>
        <v>Outlier</v>
      </c>
      <c r="G1767" s="19" t="str">
        <f t="shared" si="27"/>
        <v>40-50</v>
      </c>
    </row>
    <row r="1768" spans="1:7" ht="20" customHeight="1" x14ac:dyDescent="0.35">
      <c r="A1768" s="17">
        <v>1767</v>
      </c>
      <c r="B1768" s="23" t="s">
        <v>100</v>
      </c>
      <c r="C1768" s="18" t="s">
        <v>126</v>
      </c>
      <c r="D1768" s="18">
        <v>52</v>
      </c>
      <c r="E1768" s="18" t="s">
        <v>131</v>
      </c>
      <c r="F1768" s="18" t="str">
        <f>IF(OR(D1768&gt;Answers!L1783,D1768&lt;Answers!L1784),"Outlier","Normal")</f>
        <v>Outlier</v>
      </c>
      <c r="G1768" s="19" t="str">
        <f t="shared" si="27"/>
        <v>40-50</v>
      </c>
    </row>
    <row r="1769" spans="1:7" ht="20" customHeight="1" x14ac:dyDescent="0.35">
      <c r="A1769" s="17">
        <v>1768</v>
      </c>
      <c r="B1769" s="23" t="s">
        <v>99</v>
      </c>
      <c r="C1769" s="18" t="s">
        <v>126</v>
      </c>
      <c r="D1769" s="18">
        <v>81</v>
      </c>
      <c r="E1769" s="18" t="s">
        <v>131</v>
      </c>
      <c r="F1769" s="18" t="str">
        <f>IF(OR(D1769&gt;Answers!L1784,D1769&lt;Answers!L1785),"Outlier","Normal")</f>
        <v>Outlier</v>
      </c>
      <c r="G1769" s="19" t="str">
        <f t="shared" si="27"/>
        <v>40-50</v>
      </c>
    </row>
    <row r="1770" spans="1:7" ht="20" customHeight="1" x14ac:dyDescent="0.35">
      <c r="A1770" s="17">
        <v>1769</v>
      </c>
      <c r="B1770" s="23" t="s">
        <v>105</v>
      </c>
      <c r="C1770" s="18" t="s">
        <v>125</v>
      </c>
      <c r="D1770" s="18">
        <v>27</v>
      </c>
      <c r="E1770" s="18" t="s">
        <v>131</v>
      </c>
      <c r="F1770" s="18" t="str">
        <f>IF(OR(D1770&gt;Answers!L1785,D1770&lt;Answers!L1786),"Outlier","Normal")</f>
        <v>Outlier</v>
      </c>
      <c r="G1770" s="19" t="str">
        <f t="shared" si="27"/>
        <v>20-30</v>
      </c>
    </row>
    <row r="1771" spans="1:7" ht="20" customHeight="1" x14ac:dyDescent="0.35">
      <c r="A1771" s="17">
        <v>1770</v>
      </c>
      <c r="B1771" s="23" t="s">
        <v>104</v>
      </c>
      <c r="C1771" s="18" t="s">
        <v>125</v>
      </c>
      <c r="D1771" s="18">
        <v>88</v>
      </c>
      <c r="E1771" s="18" t="s">
        <v>131</v>
      </c>
      <c r="F1771" s="18" t="str">
        <f>IF(OR(D1771&gt;Answers!L1786,D1771&lt;Answers!L1787),"Outlier","Normal")</f>
        <v>Outlier</v>
      </c>
      <c r="G1771" s="19" t="str">
        <f t="shared" si="27"/>
        <v>40-50</v>
      </c>
    </row>
    <row r="1772" spans="1:7" ht="20" customHeight="1" x14ac:dyDescent="0.35">
      <c r="A1772" s="17">
        <v>1771</v>
      </c>
      <c r="B1772" s="23" t="s">
        <v>107</v>
      </c>
      <c r="C1772" s="18" t="s">
        <v>125</v>
      </c>
      <c r="D1772" s="18">
        <v>80</v>
      </c>
      <c r="E1772" s="18" t="s">
        <v>131</v>
      </c>
      <c r="F1772" s="18" t="str">
        <f>IF(OR(D1772&gt;Answers!L1787,D1772&lt;Answers!L1788),"Outlier","Normal")</f>
        <v>Outlier</v>
      </c>
      <c r="G1772" s="19" t="str">
        <f t="shared" si="27"/>
        <v>40-50</v>
      </c>
    </row>
    <row r="1773" spans="1:7" ht="20" customHeight="1" x14ac:dyDescent="0.35">
      <c r="A1773" s="17">
        <v>1772</v>
      </c>
      <c r="B1773" s="23" t="s">
        <v>99</v>
      </c>
      <c r="C1773" s="18" t="s">
        <v>125</v>
      </c>
      <c r="D1773" s="18">
        <v>42</v>
      </c>
      <c r="E1773" s="18" t="s">
        <v>131</v>
      </c>
      <c r="F1773" s="18" t="str">
        <f>IF(OR(D1773&gt;Answers!L1788,D1773&lt;Answers!L1789),"Outlier","Normal")</f>
        <v>Outlier</v>
      </c>
      <c r="G1773" s="19" t="str">
        <f t="shared" si="27"/>
        <v>40-50</v>
      </c>
    </row>
    <row r="1774" spans="1:7" ht="20" customHeight="1" x14ac:dyDescent="0.35">
      <c r="A1774" s="17">
        <v>1773</v>
      </c>
      <c r="B1774" s="23" t="s">
        <v>99</v>
      </c>
      <c r="C1774" s="18" t="s">
        <v>126</v>
      </c>
      <c r="D1774" s="18">
        <v>22</v>
      </c>
      <c r="E1774" s="18" t="s">
        <v>131</v>
      </c>
      <c r="F1774" s="18" t="str">
        <f>IF(OR(D1774&gt;Answers!L1789,D1774&lt;Answers!L1790),"Outlier","Normal")</f>
        <v>Outlier</v>
      </c>
      <c r="G1774" s="19" t="str">
        <f t="shared" si="27"/>
        <v>20-30</v>
      </c>
    </row>
    <row r="1775" spans="1:7" ht="20" customHeight="1" x14ac:dyDescent="0.35">
      <c r="A1775" s="17">
        <v>1774</v>
      </c>
      <c r="B1775" s="23" t="s">
        <v>99</v>
      </c>
      <c r="C1775" s="18" t="s">
        <v>125</v>
      </c>
      <c r="D1775" s="18">
        <v>46</v>
      </c>
      <c r="E1775" s="18" t="s">
        <v>131</v>
      </c>
      <c r="F1775" s="18" t="str">
        <f>IF(OR(D1775&gt;Answers!L1790,D1775&lt;Answers!L1791),"Outlier","Normal")</f>
        <v>Outlier</v>
      </c>
      <c r="G1775" s="19" t="str">
        <f t="shared" si="27"/>
        <v>40-50</v>
      </c>
    </row>
    <row r="1776" spans="1:7" ht="20" customHeight="1" x14ac:dyDescent="0.35">
      <c r="A1776" s="17">
        <v>1775</v>
      </c>
      <c r="B1776" s="23" t="s">
        <v>99</v>
      </c>
      <c r="C1776" s="18" t="s">
        <v>126</v>
      </c>
      <c r="D1776" s="18">
        <v>42</v>
      </c>
      <c r="E1776" s="18" t="s">
        <v>131</v>
      </c>
      <c r="F1776" s="18" t="str">
        <f>IF(OR(D1776&gt;Answers!L1791,D1776&lt;Answers!L1792),"Outlier","Normal")</f>
        <v>Outlier</v>
      </c>
      <c r="G1776" s="19" t="str">
        <f t="shared" si="27"/>
        <v>40-50</v>
      </c>
    </row>
    <row r="1777" spans="1:7" ht="20" customHeight="1" x14ac:dyDescent="0.35">
      <c r="A1777" s="17">
        <v>1776</v>
      </c>
      <c r="B1777" s="23" t="s">
        <v>99</v>
      </c>
      <c r="C1777" s="18" t="s">
        <v>126</v>
      </c>
      <c r="D1777" s="18">
        <v>77</v>
      </c>
      <c r="E1777" s="18" t="s">
        <v>131</v>
      </c>
      <c r="F1777" s="18" t="str">
        <f>IF(OR(D1777&gt;Answers!L1792,D1777&lt;Answers!L1793),"Outlier","Normal")</f>
        <v>Outlier</v>
      </c>
      <c r="G1777" s="19" t="str">
        <f t="shared" si="27"/>
        <v>40-50</v>
      </c>
    </row>
    <row r="1778" spans="1:7" ht="20" customHeight="1" x14ac:dyDescent="0.35">
      <c r="A1778" s="17">
        <v>1777</v>
      </c>
      <c r="B1778" s="23" t="s">
        <v>99</v>
      </c>
      <c r="C1778" s="18" t="s">
        <v>126</v>
      </c>
      <c r="D1778" s="18">
        <v>58</v>
      </c>
      <c r="E1778" s="18" t="s">
        <v>131</v>
      </c>
      <c r="F1778" s="18" t="str">
        <f>IF(OR(D1778&gt;Answers!L1793,D1778&lt;Answers!L1794),"Outlier","Normal")</f>
        <v>Outlier</v>
      </c>
      <c r="G1778" s="19" t="str">
        <f t="shared" si="27"/>
        <v>40-50</v>
      </c>
    </row>
    <row r="1779" spans="1:7" ht="20" customHeight="1" x14ac:dyDescent="0.35">
      <c r="A1779" s="17">
        <v>1778</v>
      </c>
      <c r="B1779" s="23" t="s">
        <v>99</v>
      </c>
      <c r="C1779" s="18" t="s">
        <v>125</v>
      </c>
      <c r="D1779" s="18">
        <v>20</v>
      </c>
      <c r="E1779" s="18" t="s">
        <v>131</v>
      </c>
      <c r="F1779" s="18" t="str">
        <f>IF(OR(D1779&gt;Answers!L1794,D1779&lt;Answers!L1795),"Outlier","Normal")</f>
        <v>Outlier</v>
      </c>
      <c r="G1779" s="19" t="str">
        <f t="shared" si="27"/>
        <v>20-30</v>
      </c>
    </row>
    <row r="1780" spans="1:7" ht="20" customHeight="1" x14ac:dyDescent="0.35">
      <c r="A1780" s="17">
        <v>1779</v>
      </c>
      <c r="B1780" s="23" t="s">
        <v>99</v>
      </c>
      <c r="C1780" s="18" t="s">
        <v>126</v>
      </c>
      <c r="D1780" s="18">
        <v>88</v>
      </c>
      <c r="E1780" s="18" t="s">
        <v>131</v>
      </c>
      <c r="F1780" s="18" t="str">
        <f>IF(OR(D1780&gt;Answers!L1795,D1780&lt;Answers!L1796),"Outlier","Normal")</f>
        <v>Outlier</v>
      </c>
      <c r="G1780" s="19" t="str">
        <f t="shared" si="27"/>
        <v>40-50</v>
      </c>
    </row>
    <row r="1781" spans="1:7" ht="20" customHeight="1" x14ac:dyDescent="0.35">
      <c r="A1781" s="17">
        <v>1780</v>
      </c>
      <c r="B1781" s="23" t="s">
        <v>106</v>
      </c>
      <c r="C1781" s="18" t="s">
        <v>126</v>
      </c>
      <c r="D1781" s="18">
        <v>49</v>
      </c>
      <c r="E1781" s="18" t="s">
        <v>131</v>
      </c>
      <c r="F1781" s="18" t="str">
        <f>IF(OR(D1781&gt;Answers!L1796,D1781&lt;Answers!L1797),"Outlier","Normal")</f>
        <v>Outlier</v>
      </c>
      <c r="G1781" s="19" t="str">
        <f t="shared" si="27"/>
        <v>40-50</v>
      </c>
    </row>
    <row r="1782" spans="1:7" ht="20" customHeight="1" x14ac:dyDescent="0.35">
      <c r="A1782" s="17">
        <v>1781</v>
      </c>
      <c r="B1782" s="23" t="s">
        <v>108</v>
      </c>
      <c r="C1782" s="18" t="s">
        <v>126</v>
      </c>
      <c r="D1782" s="18">
        <v>29</v>
      </c>
      <c r="E1782" s="18" t="s">
        <v>131</v>
      </c>
      <c r="F1782" s="18" t="str">
        <f>IF(OR(D1782&gt;Answers!L1797,D1782&lt;Answers!L1798),"Outlier","Normal")</f>
        <v>Outlier</v>
      </c>
      <c r="G1782" s="19" t="str">
        <f t="shared" si="27"/>
        <v>20-30</v>
      </c>
    </row>
    <row r="1783" spans="1:7" ht="20" customHeight="1" x14ac:dyDescent="0.35">
      <c r="A1783" s="17">
        <v>1782</v>
      </c>
      <c r="B1783" s="23" t="s">
        <v>105</v>
      </c>
      <c r="C1783" s="18" t="s">
        <v>125</v>
      </c>
      <c r="D1783" s="18">
        <v>50</v>
      </c>
      <c r="E1783" s="18" t="s">
        <v>131</v>
      </c>
      <c r="F1783" s="18" t="str">
        <f>IF(OR(D1783&gt;Answers!L1798,D1783&lt;Answers!L1799),"Outlier","Normal")</f>
        <v>Outlier</v>
      </c>
      <c r="G1783" s="19" t="str">
        <f t="shared" si="27"/>
        <v>40-50</v>
      </c>
    </row>
    <row r="1784" spans="1:7" ht="20" customHeight="1" x14ac:dyDescent="0.35">
      <c r="A1784" s="17">
        <v>1783</v>
      </c>
      <c r="B1784" s="23" t="s">
        <v>99</v>
      </c>
      <c r="C1784" s="18" t="s">
        <v>125</v>
      </c>
      <c r="D1784" s="18">
        <v>27</v>
      </c>
      <c r="E1784" s="18" t="s">
        <v>131</v>
      </c>
      <c r="F1784" s="18" t="str">
        <f>IF(OR(D1784&gt;Answers!L1799,D1784&lt;Answers!L1800),"Outlier","Normal")</f>
        <v>Outlier</v>
      </c>
      <c r="G1784" s="19" t="str">
        <f t="shared" si="27"/>
        <v>20-30</v>
      </c>
    </row>
    <row r="1785" spans="1:7" ht="20" customHeight="1" x14ac:dyDescent="0.35">
      <c r="A1785" s="17">
        <v>1784</v>
      </c>
      <c r="B1785" s="23" t="s">
        <v>99</v>
      </c>
      <c r="C1785" s="18" t="s">
        <v>125</v>
      </c>
      <c r="D1785" s="18">
        <v>57</v>
      </c>
      <c r="E1785" s="18" t="s">
        <v>131</v>
      </c>
      <c r="F1785" s="18" t="str">
        <f>IF(OR(D1785&gt;Answers!L1800,D1785&lt;Answers!L1801),"Outlier","Normal")</f>
        <v>Outlier</v>
      </c>
      <c r="G1785" s="19" t="str">
        <f t="shared" si="27"/>
        <v>40-50</v>
      </c>
    </row>
    <row r="1786" spans="1:7" ht="20" customHeight="1" x14ac:dyDescent="0.35">
      <c r="A1786" s="17">
        <v>1785</v>
      </c>
      <c r="B1786" s="23" t="s">
        <v>106</v>
      </c>
      <c r="C1786" s="18" t="s">
        <v>126</v>
      </c>
      <c r="D1786" s="18">
        <v>42</v>
      </c>
      <c r="E1786" s="18" t="s">
        <v>131</v>
      </c>
      <c r="F1786" s="18" t="str">
        <f>IF(OR(D1786&gt;Answers!L1801,D1786&lt;Answers!L1802),"Outlier","Normal")</f>
        <v>Outlier</v>
      </c>
      <c r="G1786" s="19" t="str">
        <f t="shared" si="27"/>
        <v>40-50</v>
      </c>
    </row>
    <row r="1787" spans="1:7" ht="20" customHeight="1" x14ac:dyDescent="0.35">
      <c r="A1787" s="17">
        <v>1786</v>
      </c>
      <c r="B1787" s="23" t="s">
        <v>106</v>
      </c>
      <c r="C1787" s="18" t="s">
        <v>126</v>
      </c>
      <c r="D1787" s="18">
        <v>78</v>
      </c>
      <c r="E1787" s="18" t="s">
        <v>131</v>
      </c>
      <c r="F1787" s="18" t="str">
        <f>IF(OR(D1787&gt;Answers!L1802,D1787&lt;Answers!L1803),"Outlier","Normal")</f>
        <v>Outlier</v>
      </c>
      <c r="G1787" s="19" t="str">
        <f t="shared" si="27"/>
        <v>40-50</v>
      </c>
    </row>
    <row r="1788" spans="1:7" ht="20" customHeight="1" x14ac:dyDescent="0.35">
      <c r="A1788" s="17">
        <v>1787</v>
      </c>
      <c r="B1788" s="23" t="s">
        <v>100</v>
      </c>
      <c r="C1788" s="18" t="s">
        <v>126</v>
      </c>
      <c r="D1788" s="18">
        <v>48</v>
      </c>
      <c r="E1788" s="18" t="s">
        <v>131</v>
      </c>
      <c r="F1788" s="18" t="str">
        <f>IF(OR(D1788&gt;Answers!L1803,D1788&lt;Answers!L1804),"Outlier","Normal")</f>
        <v>Outlier</v>
      </c>
      <c r="G1788" s="19" t="str">
        <f t="shared" si="27"/>
        <v>40-50</v>
      </c>
    </row>
    <row r="1789" spans="1:7" ht="20" customHeight="1" x14ac:dyDescent="0.35">
      <c r="A1789" s="17">
        <v>1788</v>
      </c>
      <c r="B1789" s="23" t="s">
        <v>100</v>
      </c>
      <c r="C1789" s="18" t="s">
        <v>126</v>
      </c>
      <c r="D1789" s="18">
        <v>82</v>
      </c>
      <c r="E1789" s="18" t="s">
        <v>131</v>
      </c>
      <c r="F1789" s="18" t="str">
        <f>IF(OR(D1789&gt;Answers!L1804,D1789&lt;Answers!L1805),"Outlier","Normal")</f>
        <v>Outlier</v>
      </c>
      <c r="G1789" s="19" t="str">
        <f t="shared" si="27"/>
        <v>40-50</v>
      </c>
    </row>
    <row r="1790" spans="1:7" ht="20" customHeight="1" x14ac:dyDescent="0.35">
      <c r="A1790" s="17">
        <v>1789</v>
      </c>
      <c r="B1790" s="23" t="s">
        <v>109</v>
      </c>
      <c r="C1790" s="18" t="s">
        <v>126</v>
      </c>
      <c r="D1790" s="18">
        <v>35</v>
      </c>
      <c r="E1790" s="18" t="s">
        <v>131</v>
      </c>
      <c r="F1790" s="18" t="str">
        <f>IF(OR(D1790&gt;Answers!L1805,D1790&lt;Answers!L1806),"Outlier","Normal")</f>
        <v>Outlier</v>
      </c>
      <c r="G1790" s="19" t="str">
        <f t="shared" si="27"/>
        <v>30-40</v>
      </c>
    </row>
    <row r="1791" spans="1:7" ht="20" customHeight="1" x14ac:dyDescent="0.35">
      <c r="A1791" s="17">
        <v>1790</v>
      </c>
      <c r="B1791" s="23" t="s">
        <v>99</v>
      </c>
      <c r="C1791" s="18" t="s">
        <v>125</v>
      </c>
      <c r="D1791" s="18">
        <v>85</v>
      </c>
      <c r="E1791" s="18" t="s">
        <v>131</v>
      </c>
      <c r="F1791" s="18" t="str">
        <f>IF(OR(D1791&gt;Answers!L1806,D1791&lt;Answers!L1807),"Outlier","Normal")</f>
        <v>Outlier</v>
      </c>
      <c r="G1791" s="19" t="str">
        <f t="shared" si="27"/>
        <v>40-50</v>
      </c>
    </row>
    <row r="1792" spans="1:7" ht="20" customHeight="1" x14ac:dyDescent="0.35">
      <c r="A1792" s="17">
        <v>1791</v>
      </c>
      <c r="B1792" s="23" t="s">
        <v>99</v>
      </c>
      <c r="C1792" s="18" t="s">
        <v>125</v>
      </c>
      <c r="D1792" s="18">
        <v>33</v>
      </c>
      <c r="E1792" s="18" t="s">
        <v>131</v>
      </c>
      <c r="F1792" s="18" t="str">
        <f>IF(OR(D1792&gt;Answers!L1807,D1792&lt;Answers!L1808),"Outlier","Normal")</f>
        <v>Outlier</v>
      </c>
      <c r="G1792" s="19" t="str">
        <f t="shared" si="27"/>
        <v>30-40</v>
      </c>
    </row>
    <row r="1793" spans="1:7" ht="20" customHeight="1" x14ac:dyDescent="0.35">
      <c r="A1793" s="17">
        <v>1792</v>
      </c>
      <c r="B1793" s="23" t="s">
        <v>108</v>
      </c>
      <c r="C1793" s="18" t="s">
        <v>125</v>
      </c>
      <c r="D1793" s="18">
        <v>59</v>
      </c>
      <c r="E1793" s="18" t="s">
        <v>131</v>
      </c>
      <c r="F1793" s="18" t="str">
        <f>IF(OR(D1793&gt;Answers!L1808,D1793&lt;Answers!L1809),"Outlier","Normal")</f>
        <v>Outlier</v>
      </c>
      <c r="G1793" s="19" t="str">
        <f t="shared" si="27"/>
        <v>40-50</v>
      </c>
    </row>
    <row r="1794" spans="1:7" ht="20" customHeight="1" x14ac:dyDescent="0.35">
      <c r="A1794" s="17">
        <v>1793</v>
      </c>
      <c r="B1794" s="23" t="s">
        <v>100</v>
      </c>
      <c r="C1794" s="18" t="s">
        <v>126</v>
      </c>
      <c r="D1794" s="18">
        <v>66</v>
      </c>
      <c r="E1794" s="18" t="s">
        <v>131</v>
      </c>
      <c r="F1794" s="18" t="str">
        <f>IF(OR(D1794&gt;Answers!L1809,D1794&lt;Answers!L1810),"Outlier","Normal")</f>
        <v>Outlier</v>
      </c>
      <c r="G1794" s="19" t="str">
        <f t="shared" si="27"/>
        <v>40-50</v>
      </c>
    </row>
    <row r="1795" spans="1:7" ht="20" customHeight="1" x14ac:dyDescent="0.35">
      <c r="A1795" s="17">
        <v>1794</v>
      </c>
      <c r="B1795" s="23" t="s">
        <v>101</v>
      </c>
      <c r="C1795" s="18" t="s">
        <v>125</v>
      </c>
      <c r="D1795" s="18">
        <v>41</v>
      </c>
      <c r="E1795" s="18" t="s">
        <v>131</v>
      </c>
      <c r="F1795" s="18" t="str">
        <f>IF(OR(D1795&gt;Answers!L1810,D1795&lt;Answers!L1811),"Outlier","Normal")</f>
        <v>Outlier</v>
      </c>
      <c r="G1795" s="19" t="str">
        <f t="shared" ref="G1795:G1858" si="28">IF(D1795&lt;20,"&lt;20",
IF(D1795&lt;=30,"20-30",
IF(D1795&lt;=40,"30-40","40-50")))</f>
        <v>40-50</v>
      </c>
    </row>
    <row r="1796" spans="1:7" ht="20" customHeight="1" x14ac:dyDescent="0.35">
      <c r="A1796" s="17">
        <v>1795</v>
      </c>
      <c r="B1796" s="23" t="s">
        <v>100</v>
      </c>
      <c r="C1796" s="18" t="s">
        <v>125</v>
      </c>
      <c r="D1796" s="18">
        <v>53</v>
      </c>
      <c r="E1796" s="18" t="s">
        <v>131</v>
      </c>
      <c r="F1796" s="18" t="str">
        <f>IF(OR(D1796&gt;Answers!L1811,D1796&lt;Answers!L1812),"Outlier","Normal")</f>
        <v>Outlier</v>
      </c>
      <c r="G1796" s="19" t="str">
        <f t="shared" si="28"/>
        <v>40-50</v>
      </c>
    </row>
    <row r="1797" spans="1:7" ht="20" customHeight="1" x14ac:dyDescent="0.35">
      <c r="A1797" s="17">
        <v>1796</v>
      </c>
      <c r="B1797" s="23" t="s">
        <v>108</v>
      </c>
      <c r="C1797" s="18" t="s">
        <v>126</v>
      </c>
      <c r="D1797" s="18">
        <v>86</v>
      </c>
      <c r="E1797" s="18" t="s">
        <v>131</v>
      </c>
      <c r="F1797" s="18" t="str">
        <f>IF(OR(D1797&gt;Answers!L1812,D1797&lt;Answers!L1813),"Outlier","Normal")</f>
        <v>Outlier</v>
      </c>
      <c r="G1797" s="19" t="str">
        <f t="shared" si="28"/>
        <v>40-50</v>
      </c>
    </row>
    <row r="1798" spans="1:7" ht="20" customHeight="1" x14ac:dyDescent="0.35">
      <c r="A1798" s="17">
        <v>1797</v>
      </c>
      <c r="B1798" s="23" t="s">
        <v>99</v>
      </c>
      <c r="C1798" s="18" t="s">
        <v>125</v>
      </c>
      <c r="D1798" s="18">
        <v>45</v>
      </c>
      <c r="E1798" s="18" t="s">
        <v>131</v>
      </c>
      <c r="F1798" s="18" t="str">
        <f>IF(OR(D1798&gt;Answers!L1813,D1798&lt;Answers!L1814),"Outlier","Normal")</f>
        <v>Outlier</v>
      </c>
      <c r="G1798" s="19" t="str">
        <f t="shared" si="28"/>
        <v>40-50</v>
      </c>
    </row>
    <row r="1799" spans="1:7" ht="20" customHeight="1" x14ac:dyDescent="0.35">
      <c r="A1799" s="17">
        <v>1798</v>
      </c>
      <c r="B1799" s="23" t="s">
        <v>99</v>
      </c>
      <c r="C1799" s="18" t="s">
        <v>125</v>
      </c>
      <c r="D1799" s="18">
        <v>31</v>
      </c>
      <c r="E1799" s="18" t="s">
        <v>131</v>
      </c>
      <c r="F1799" s="18" t="str">
        <f>IF(OR(D1799&gt;Answers!L1814,D1799&lt;Answers!L1815),"Outlier","Normal")</f>
        <v>Outlier</v>
      </c>
      <c r="G1799" s="19" t="str">
        <f t="shared" si="28"/>
        <v>30-40</v>
      </c>
    </row>
    <row r="1800" spans="1:7" ht="20" customHeight="1" x14ac:dyDescent="0.35">
      <c r="A1800" s="17">
        <v>1799</v>
      </c>
      <c r="B1800" s="23" t="s">
        <v>100</v>
      </c>
      <c r="C1800" s="18" t="s">
        <v>126</v>
      </c>
      <c r="D1800" s="18">
        <v>75</v>
      </c>
      <c r="E1800" s="18" t="s">
        <v>131</v>
      </c>
      <c r="F1800" s="18" t="str">
        <f>IF(OR(D1800&gt;Answers!L1815,D1800&lt;Answers!L1816),"Outlier","Normal")</f>
        <v>Outlier</v>
      </c>
      <c r="G1800" s="19" t="str">
        <f t="shared" si="28"/>
        <v>40-50</v>
      </c>
    </row>
    <row r="1801" spans="1:7" ht="20" customHeight="1" x14ac:dyDescent="0.35">
      <c r="A1801" s="17">
        <v>1800</v>
      </c>
      <c r="B1801" s="23" t="s">
        <v>101</v>
      </c>
      <c r="C1801" s="18" t="s">
        <v>125</v>
      </c>
      <c r="D1801" s="18">
        <v>63</v>
      </c>
      <c r="E1801" s="18" t="s">
        <v>131</v>
      </c>
      <c r="F1801" s="18" t="str">
        <f>IF(OR(D1801&gt;Answers!L1816,D1801&lt;Answers!L1817),"Outlier","Normal")</f>
        <v>Outlier</v>
      </c>
      <c r="G1801" s="19" t="str">
        <f t="shared" si="28"/>
        <v>40-50</v>
      </c>
    </row>
    <row r="1802" spans="1:7" ht="20" customHeight="1" x14ac:dyDescent="0.35">
      <c r="A1802" s="17">
        <v>1801</v>
      </c>
      <c r="B1802" s="23" t="s">
        <v>105</v>
      </c>
      <c r="C1802" s="18" t="s">
        <v>126</v>
      </c>
      <c r="D1802" s="18">
        <v>53</v>
      </c>
      <c r="E1802" s="18" t="s">
        <v>131</v>
      </c>
      <c r="F1802" s="18" t="str">
        <f>IF(OR(D1802&gt;Answers!L1817,D1802&lt;Answers!L1818),"Outlier","Normal")</f>
        <v>Outlier</v>
      </c>
      <c r="G1802" s="19" t="str">
        <f t="shared" si="28"/>
        <v>40-50</v>
      </c>
    </row>
    <row r="1803" spans="1:7" ht="20" customHeight="1" x14ac:dyDescent="0.35">
      <c r="A1803" s="17">
        <v>1802</v>
      </c>
      <c r="B1803" s="23" t="s">
        <v>100</v>
      </c>
      <c r="C1803" s="18" t="s">
        <v>126</v>
      </c>
      <c r="D1803" s="18">
        <v>61</v>
      </c>
      <c r="E1803" s="18" t="s">
        <v>131</v>
      </c>
      <c r="F1803" s="18" t="str">
        <f>IF(OR(D1803&gt;Answers!L1818,D1803&lt;Answers!L1819),"Outlier","Normal")</f>
        <v>Outlier</v>
      </c>
      <c r="G1803" s="19" t="str">
        <f t="shared" si="28"/>
        <v>40-50</v>
      </c>
    </row>
    <row r="1804" spans="1:7" ht="20" customHeight="1" x14ac:dyDescent="0.35">
      <c r="A1804" s="17">
        <v>1803</v>
      </c>
      <c r="B1804" s="23" t="s">
        <v>105</v>
      </c>
      <c r="C1804" s="18" t="s">
        <v>126</v>
      </c>
      <c r="D1804" s="18">
        <f>ROUND(AVERAGE(D1801:D1803),0)</f>
        <v>59</v>
      </c>
      <c r="E1804" s="18" t="s">
        <v>131</v>
      </c>
      <c r="F1804" s="18" t="str">
        <f>IF(OR(D1804&gt;Answers!L1819,D1804&lt;Answers!L1820),"Outlier","Normal")</f>
        <v>Outlier</v>
      </c>
      <c r="G1804" s="19" t="str">
        <f t="shared" si="28"/>
        <v>40-50</v>
      </c>
    </row>
    <row r="1805" spans="1:7" ht="20" customHeight="1" x14ac:dyDescent="0.35">
      <c r="A1805" s="17">
        <v>1804</v>
      </c>
      <c r="B1805" s="23" t="s">
        <v>101</v>
      </c>
      <c r="C1805" s="18" t="s">
        <v>126</v>
      </c>
      <c r="D1805" s="18">
        <v>81</v>
      </c>
      <c r="E1805" s="18" t="s">
        <v>131</v>
      </c>
      <c r="F1805" s="18" t="str">
        <f>IF(OR(D1805&gt;Answers!L1820,D1805&lt;Answers!L1821),"Outlier","Normal")</f>
        <v>Outlier</v>
      </c>
      <c r="G1805" s="19" t="str">
        <f t="shared" si="28"/>
        <v>40-50</v>
      </c>
    </row>
    <row r="1806" spans="1:7" ht="20" customHeight="1" x14ac:dyDescent="0.35">
      <c r="A1806" s="17">
        <v>1805</v>
      </c>
      <c r="B1806" s="23" t="s">
        <v>100</v>
      </c>
      <c r="C1806" s="18" t="s">
        <v>126</v>
      </c>
      <c r="D1806" s="18">
        <v>39</v>
      </c>
      <c r="E1806" s="18" t="s">
        <v>131</v>
      </c>
      <c r="F1806" s="18" t="str">
        <f>IF(OR(D1806&gt;Answers!L1821,D1806&lt;Answers!L1822),"Outlier","Normal")</f>
        <v>Outlier</v>
      </c>
      <c r="G1806" s="19" t="str">
        <f t="shared" si="28"/>
        <v>30-40</v>
      </c>
    </row>
    <row r="1807" spans="1:7" ht="20" customHeight="1" x14ac:dyDescent="0.35">
      <c r="A1807" s="17">
        <v>1806</v>
      </c>
      <c r="B1807" s="23" t="s">
        <v>99</v>
      </c>
      <c r="C1807" s="18" t="s">
        <v>125</v>
      </c>
      <c r="D1807" s="18">
        <v>35</v>
      </c>
      <c r="E1807" s="18" t="s">
        <v>131</v>
      </c>
      <c r="F1807" s="18" t="str">
        <f>IF(OR(D1807&gt;Answers!L1822,D1807&lt;Answers!L1823),"Outlier","Normal")</f>
        <v>Outlier</v>
      </c>
      <c r="G1807" s="19" t="str">
        <f t="shared" si="28"/>
        <v>30-40</v>
      </c>
    </row>
    <row r="1808" spans="1:7" ht="20" customHeight="1" x14ac:dyDescent="0.35">
      <c r="A1808" s="17">
        <v>1807</v>
      </c>
      <c r="B1808" s="23" t="s">
        <v>101</v>
      </c>
      <c r="C1808" s="18" t="s">
        <v>126</v>
      </c>
      <c r="D1808" s="18">
        <v>77</v>
      </c>
      <c r="E1808" s="18" t="s">
        <v>131</v>
      </c>
      <c r="F1808" s="18" t="str">
        <f>IF(OR(D1808&gt;Answers!L1823,D1808&lt;Answers!L1824),"Outlier","Normal")</f>
        <v>Outlier</v>
      </c>
      <c r="G1808" s="19" t="str">
        <f t="shared" si="28"/>
        <v>40-50</v>
      </c>
    </row>
    <row r="1809" spans="1:7" ht="20" customHeight="1" x14ac:dyDescent="0.35">
      <c r="A1809" s="17">
        <v>1808</v>
      </c>
      <c r="B1809" s="23" t="s">
        <v>107</v>
      </c>
      <c r="C1809" s="18" t="s">
        <v>126</v>
      </c>
      <c r="D1809" s="18">
        <v>28</v>
      </c>
      <c r="E1809" s="18" t="s">
        <v>131</v>
      </c>
      <c r="F1809" s="18" t="str">
        <f>IF(OR(D1809&gt;Answers!L1824,D1809&lt;Answers!L1825),"Outlier","Normal")</f>
        <v>Outlier</v>
      </c>
      <c r="G1809" s="19" t="str">
        <f t="shared" si="28"/>
        <v>20-30</v>
      </c>
    </row>
    <row r="1810" spans="1:7" ht="20" customHeight="1" x14ac:dyDescent="0.35">
      <c r="A1810" s="17">
        <v>1809</v>
      </c>
      <c r="B1810" s="23" t="s">
        <v>99</v>
      </c>
      <c r="C1810" s="18" t="s">
        <v>126</v>
      </c>
      <c r="D1810" s="18">
        <v>57</v>
      </c>
      <c r="E1810" s="18" t="s">
        <v>131</v>
      </c>
      <c r="F1810" s="18" t="str">
        <f>IF(OR(D1810&gt;Answers!L1825,D1810&lt;Answers!L1826),"Outlier","Normal")</f>
        <v>Outlier</v>
      </c>
      <c r="G1810" s="19" t="str">
        <f t="shared" si="28"/>
        <v>40-50</v>
      </c>
    </row>
    <row r="1811" spans="1:7" ht="20" customHeight="1" x14ac:dyDescent="0.35">
      <c r="A1811" s="17">
        <v>1810</v>
      </c>
      <c r="B1811" s="23" t="s">
        <v>99</v>
      </c>
      <c r="C1811" s="18" t="s">
        <v>125</v>
      </c>
      <c r="D1811" s="18">
        <v>86</v>
      </c>
      <c r="E1811" s="18" t="s">
        <v>131</v>
      </c>
      <c r="F1811" s="18" t="str">
        <f>IF(OR(D1811&gt;Answers!L1826,D1811&lt;Answers!L1827),"Outlier","Normal")</f>
        <v>Outlier</v>
      </c>
      <c r="G1811" s="19" t="str">
        <f t="shared" si="28"/>
        <v>40-50</v>
      </c>
    </row>
    <row r="1812" spans="1:7" ht="20" customHeight="1" x14ac:dyDescent="0.35">
      <c r="A1812" s="17">
        <v>1811</v>
      </c>
      <c r="B1812" s="23" t="s">
        <v>99</v>
      </c>
      <c r="C1812" s="18" t="s">
        <v>126</v>
      </c>
      <c r="D1812" s="18">
        <v>79</v>
      </c>
      <c r="E1812" s="18" t="s">
        <v>131</v>
      </c>
      <c r="F1812" s="18" t="str">
        <f>IF(OR(D1812&gt;Answers!L1827,D1812&lt;Answers!L1828),"Outlier","Normal")</f>
        <v>Outlier</v>
      </c>
      <c r="G1812" s="19" t="str">
        <f t="shared" si="28"/>
        <v>40-50</v>
      </c>
    </row>
    <row r="1813" spans="1:7" ht="20" customHeight="1" x14ac:dyDescent="0.35">
      <c r="A1813" s="17">
        <v>1812</v>
      </c>
      <c r="B1813" s="23" t="s">
        <v>105</v>
      </c>
      <c r="C1813" s="18" t="s">
        <v>125</v>
      </c>
      <c r="D1813" s="18">
        <v>49</v>
      </c>
      <c r="E1813" s="18" t="s">
        <v>131</v>
      </c>
      <c r="F1813" s="18" t="str">
        <f>IF(OR(D1813&gt;Answers!L1828,D1813&lt;Answers!L1829),"Outlier","Normal")</f>
        <v>Outlier</v>
      </c>
      <c r="G1813" s="19" t="str">
        <f t="shared" si="28"/>
        <v>40-50</v>
      </c>
    </row>
    <row r="1814" spans="1:7" ht="20" customHeight="1" x14ac:dyDescent="0.35">
      <c r="A1814" s="17">
        <v>1813</v>
      </c>
      <c r="B1814" s="23" t="s">
        <v>99</v>
      </c>
      <c r="C1814" s="18" t="s">
        <v>125</v>
      </c>
      <c r="D1814" s="18">
        <v>21</v>
      </c>
      <c r="E1814" s="18" t="s">
        <v>131</v>
      </c>
      <c r="F1814" s="18" t="str">
        <f>IF(OR(D1814&gt;Answers!L1829,D1814&lt;Answers!L1830),"Outlier","Normal")</f>
        <v>Outlier</v>
      </c>
      <c r="G1814" s="19" t="str">
        <f t="shared" si="28"/>
        <v>20-30</v>
      </c>
    </row>
    <row r="1815" spans="1:7" ht="20" customHeight="1" x14ac:dyDescent="0.35">
      <c r="A1815" s="17">
        <v>1814</v>
      </c>
      <c r="B1815" s="23" t="s">
        <v>99</v>
      </c>
      <c r="C1815" s="18" t="s">
        <v>125</v>
      </c>
      <c r="D1815" s="18">
        <v>86</v>
      </c>
      <c r="E1815" s="18" t="s">
        <v>131</v>
      </c>
      <c r="F1815" s="18" t="str">
        <f>IF(OR(D1815&gt;Answers!L1830,D1815&lt;Answers!L1831),"Outlier","Normal")</f>
        <v>Outlier</v>
      </c>
      <c r="G1815" s="19" t="str">
        <f t="shared" si="28"/>
        <v>40-50</v>
      </c>
    </row>
    <row r="1816" spans="1:7" ht="20" customHeight="1" x14ac:dyDescent="0.35">
      <c r="A1816" s="17">
        <v>1815</v>
      </c>
      <c r="B1816" s="23" t="s">
        <v>104</v>
      </c>
      <c r="C1816" s="18" t="s">
        <v>125</v>
      </c>
      <c r="D1816" s="18">
        <v>43</v>
      </c>
      <c r="E1816" s="18" t="s">
        <v>131</v>
      </c>
      <c r="F1816" s="18" t="str">
        <f>IF(OR(D1816&gt;Answers!L1831,D1816&lt;Answers!L1832),"Outlier","Normal")</f>
        <v>Outlier</v>
      </c>
      <c r="G1816" s="19" t="str">
        <f t="shared" si="28"/>
        <v>40-50</v>
      </c>
    </row>
    <row r="1817" spans="1:7" ht="20" customHeight="1" x14ac:dyDescent="0.35">
      <c r="A1817" s="17">
        <v>1816</v>
      </c>
      <c r="B1817" s="23" t="s">
        <v>105</v>
      </c>
      <c r="C1817" s="18" t="s">
        <v>125</v>
      </c>
      <c r="D1817" s="18">
        <v>75</v>
      </c>
      <c r="E1817" s="18" t="s">
        <v>131</v>
      </c>
      <c r="F1817" s="18" t="str">
        <f>IF(OR(D1817&gt;Answers!L1832,D1817&lt;Answers!L1833),"Outlier","Normal")</f>
        <v>Outlier</v>
      </c>
      <c r="G1817" s="19" t="str">
        <f t="shared" si="28"/>
        <v>40-50</v>
      </c>
    </row>
    <row r="1818" spans="1:7" ht="20" customHeight="1" x14ac:dyDescent="0.35">
      <c r="A1818" s="17">
        <v>1817</v>
      </c>
      <c r="B1818" s="23" t="s">
        <v>99</v>
      </c>
      <c r="C1818" s="18" t="s">
        <v>125</v>
      </c>
      <c r="D1818" s="18">
        <v>21</v>
      </c>
      <c r="E1818" s="18" t="s">
        <v>131</v>
      </c>
      <c r="F1818" s="18" t="str">
        <f>IF(OR(D1818&gt;Answers!L1833,D1818&lt;Answers!L1834),"Outlier","Normal")</f>
        <v>Outlier</v>
      </c>
      <c r="G1818" s="19" t="str">
        <f t="shared" si="28"/>
        <v>20-30</v>
      </c>
    </row>
    <row r="1819" spans="1:7" ht="20" customHeight="1" x14ac:dyDescent="0.35">
      <c r="A1819" s="17">
        <v>1818</v>
      </c>
      <c r="B1819" s="23" t="s">
        <v>99</v>
      </c>
      <c r="C1819" s="18" t="s">
        <v>125</v>
      </c>
      <c r="D1819" s="18">
        <v>20</v>
      </c>
      <c r="E1819" s="18" t="s">
        <v>131</v>
      </c>
      <c r="F1819" s="18" t="str">
        <f>IF(OR(D1819&gt;Answers!L1834,D1819&lt;Answers!L1835),"Outlier","Normal")</f>
        <v>Outlier</v>
      </c>
      <c r="G1819" s="19" t="str">
        <f t="shared" si="28"/>
        <v>20-30</v>
      </c>
    </row>
    <row r="1820" spans="1:7" ht="20" customHeight="1" x14ac:dyDescent="0.35">
      <c r="A1820" s="17">
        <v>1819</v>
      </c>
      <c r="B1820" s="23" t="s">
        <v>99</v>
      </c>
      <c r="C1820" s="18" t="s">
        <v>125</v>
      </c>
      <c r="D1820" s="18">
        <v>82</v>
      </c>
      <c r="E1820" s="18" t="s">
        <v>131</v>
      </c>
      <c r="F1820" s="18" t="str">
        <f>IF(OR(D1820&gt;Answers!L1835,D1820&lt;Answers!L1836),"Outlier","Normal")</f>
        <v>Outlier</v>
      </c>
      <c r="G1820" s="19" t="str">
        <f t="shared" si="28"/>
        <v>40-50</v>
      </c>
    </row>
    <row r="1821" spans="1:7" ht="20" customHeight="1" x14ac:dyDescent="0.35">
      <c r="A1821" s="17">
        <v>1820</v>
      </c>
      <c r="B1821" s="23" t="s">
        <v>99</v>
      </c>
      <c r="C1821" s="18" t="s">
        <v>125</v>
      </c>
      <c r="D1821" s="18">
        <v>71</v>
      </c>
      <c r="E1821" s="18" t="s">
        <v>131</v>
      </c>
      <c r="F1821" s="18" t="str">
        <f>IF(OR(D1821&gt;Answers!L1836,D1821&lt;Answers!L1837),"Outlier","Normal")</f>
        <v>Outlier</v>
      </c>
      <c r="G1821" s="19" t="str">
        <f t="shared" si="28"/>
        <v>40-50</v>
      </c>
    </row>
    <row r="1822" spans="1:7" ht="20" customHeight="1" x14ac:dyDescent="0.35">
      <c r="A1822" s="17">
        <v>1821</v>
      </c>
      <c r="B1822" s="23" t="s">
        <v>99</v>
      </c>
      <c r="C1822" s="18" t="s">
        <v>126</v>
      </c>
      <c r="D1822" s="18">
        <v>32</v>
      </c>
      <c r="E1822" s="18" t="s">
        <v>131</v>
      </c>
      <c r="F1822" s="18" t="str">
        <f>IF(OR(D1822&gt;Answers!L1837,D1822&lt;Answers!L1838),"Outlier","Normal")</f>
        <v>Outlier</v>
      </c>
      <c r="G1822" s="19" t="str">
        <f t="shared" si="28"/>
        <v>30-40</v>
      </c>
    </row>
    <row r="1823" spans="1:7" ht="20" customHeight="1" x14ac:dyDescent="0.35">
      <c r="A1823" s="17">
        <v>1822</v>
      </c>
      <c r="B1823" s="23" t="s">
        <v>99</v>
      </c>
      <c r="C1823" s="18" t="s">
        <v>125</v>
      </c>
      <c r="D1823" s="18">
        <v>56</v>
      </c>
      <c r="E1823" s="18" t="s">
        <v>131</v>
      </c>
      <c r="F1823" s="18" t="str">
        <f>IF(OR(D1823&gt;Answers!L1838,D1823&lt;Answers!L1839),"Outlier","Normal")</f>
        <v>Outlier</v>
      </c>
      <c r="G1823" s="19" t="str">
        <f t="shared" si="28"/>
        <v>40-50</v>
      </c>
    </row>
    <row r="1824" spans="1:7" ht="20" customHeight="1" x14ac:dyDescent="0.35">
      <c r="A1824" s="17">
        <v>1823</v>
      </c>
      <c r="B1824" s="23" t="s">
        <v>105</v>
      </c>
      <c r="C1824" s="18" t="s">
        <v>125</v>
      </c>
      <c r="D1824" s="18">
        <v>18</v>
      </c>
      <c r="E1824" s="18" t="s">
        <v>131</v>
      </c>
      <c r="F1824" s="18" t="str">
        <f>IF(OR(D1824&gt;Answers!L1839,D1824&lt;Answers!L1840),"Outlier","Normal")</f>
        <v>Outlier</v>
      </c>
      <c r="G1824" s="19" t="str">
        <f t="shared" si="28"/>
        <v>&lt;20</v>
      </c>
    </row>
    <row r="1825" spans="1:7" ht="20" customHeight="1" x14ac:dyDescent="0.35">
      <c r="A1825" s="17">
        <v>1824</v>
      </c>
      <c r="B1825" s="23" t="s">
        <v>99</v>
      </c>
      <c r="C1825" s="18" t="s">
        <v>126</v>
      </c>
      <c r="D1825" s="18">
        <v>35</v>
      </c>
      <c r="E1825" s="18" t="s">
        <v>131</v>
      </c>
      <c r="F1825" s="18" t="str">
        <f>IF(OR(D1825&gt;Answers!L1840,D1825&lt;Answers!L1841),"Outlier","Normal")</f>
        <v>Outlier</v>
      </c>
      <c r="G1825" s="19" t="str">
        <f t="shared" si="28"/>
        <v>30-40</v>
      </c>
    </row>
    <row r="1826" spans="1:7" ht="20" customHeight="1" x14ac:dyDescent="0.35">
      <c r="A1826" s="17">
        <v>1825</v>
      </c>
      <c r="B1826" s="23" t="s">
        <v>101</v>
      </c>
      <c r="C1826" s="18" t="s">
        <v>126</v>
      </c>
      <c r="D1826" s="18">
        <v>22</v>
      </c>
      <c r="E1826" s="18" t="s">
        <v>131</v>
      </c>
      <c r="F1826" s="18" t="str">
        <f>IF(OR(D1826&gt;Answers!L1841,D1826&lt;Answers!L1842),"Outlier","Normal")</f>
        <v>Outlier</v>
      </c>
      <c r="G1826" s="19" t="str">
        <f t="shared" si="28"/>
        <v>20-30</v>
      </c>
    </row>
    <row r="1827" spans="1:7" ht="20" customHeight="1" x14ac:dyDescent="0.35">
      <c r="A1827" s="17">
        <v>1826</v>
      </c>
      <c r="B1827" s="23" t="s">
        <v>107</v>
      </c>
      <c r="C1827" s="18" t="s">
        <v>125</v>
      </c>
      <c r="D1827" s="18">
        <v>21</v>
      </c>
      <c r="E1827" s="18" t="s">
        <v>131</v>
      </c>
      <c r="F1827" s="18" t="str">
        <f>IF(OR(D1827&gt;Answers!L1842,D1827&lt;Answers!L1843),"Outlier","Normal")</f>
        <v>Outlier</v>
      </c>
      <c r="G1827" s="19" t="str">
        <f t="shared" si="28"/>
        <v>20-30</v>
      </c>
    </row>
    <row r="1828" spans="1:7" ht="20" customHeight="1" x14ac:dyDescent="0.35">
      <c r="A1828" s="17">
        <v>1827</v>
      </c>
      <c r="B1828" s="23" t="s">
        <v>99</v>
      </c>
      <c r="C1828" s="18" t="s">
        <v>125</v>
      </c>
      <c r="D1828" s="18">
        <v>61</v>
      </c>
      <c r="E1828" s="18" t="s">
        <v>131</v>
      </c>
      <c r="F1828" s="18" t="str">
        <f>IF(OR(D1828&gt;Answers!L1843,D1828&lt;Answers!L1844),"Outlier","Normal")</f>
        <v>Outlier</v>
      </c>
      <c r="G1828" s="19" t="str">
        <f t="shared" si="28"/>
        <v>40-50</v>
      </c>
    </row>
    <row r="1829" spans="1:7" ht="20" customHeight="1" x14ac:dyDescent="0.35">
      <c r="A1829" s="17">
        <v>1828</v>
      </c>
      <c r="B1829" s="23" t="s">
        <v>102</v>
      </c>
      <c r="C1829" s="18" t="s">
        <v>126</v>
      </c>
      <c r="D1829" s="18">
        <v>51</v>
      </c>
      <c r="E1829" s="18" t="s">
        <v>131</v>
      </c>
      <c r="F1829" s="18" t="str">
        <f>IF(OR(D1829&gt;Answers!L1844,D1829&lt;Answers!L1845),"Outlier","Normal")</f>
        <v>Outlier</v>
      </c>
      <c r="G1829" s="19" t="str">
        <f t="shared" si="28"/>
        <v>40-50</v>
      </c>
    </row>
    <row r="1830" spans="1:7" ht="20" customHeight="1" x14ac:dyDescent="0.35">
      <c r="A1830" s="17">
        <v>1829</v>
      </c>
      <c r="B1830" s="23" t="s">
        <v>101</v>
      </c>
      <c r="C1830" s="18" t="s">
        <v>125</v>
      </c>
      <c r="D1830" s="18">
        <v>82</v>
      </c>
      <c r="E1830" s="18" t="s">
        <v>131</v>
      </c>
      <c r="F1830" s="18" t="str">
        <f>IF(OR(D1830&gt;Answers!L1845,D1830&lt;Answers!L1846),"Outlier","Normal")</f>
        <v>Outlier</v>
      </c>
      <c r="G1830" s="19" t="str">
        <f t="shared" si="28"/>
        <v>40-50</v>
      </c>
    </row>
    <row r="1831" spans="1:7" ht="20" customHeight="1" x14ac:dyDescent="0.35">
      <c r="A1831" s="17">
        <v>1830</v>
      </c>
      <c r="B1831" s="23" t="s">
        <v>101</v>
      </c>
      <c r="C1831" s="18" t="s">
        <v>126</v>
      </c>
      <c r="D1831" s="18">
        <v>44</v>
      </c>
      <c r="E1831" s="18" t="s">
        <v>131</v>
      </c>
      <c r="F1831" s="18" t="str">
        <f>IF(OR(D1831&gt;Answers!L1846,D1831&lt;Answers!L1847),"Outlier","Normal")</f>
        <v>Outlier</v>
      </c>
      <c r="G1831" s="19" t="str">
        <f t="shared" si="28"/>
        <v>40-50</v>
      </c>
    </row>
    <row r="1832" spans="1:7" ht="20" customHeight="1" x14ac:dyDescent="0.35">
      <c r="A1832" s="17">
        <v>1831</v>
      </c>
      <c r="B1832" s="23" t="s">
        <v>99</v>
      </c>
      <c r="C1832" s="18" t="s">
        <v>125</v>
      </c>
      <c r="D1832" s="18">
        <v>48</v>
      </c>
      <c r="E1832" s="18" t="s">
        <v>131</v>
      </c>
      <c r="F1832" s="18" t="str">
        <f>IF(OR(D1832&gt;Answers!L1847,D1832&lt;Answers!L1848),"Outlier","Normal")</f>
        <v>Outlier</v>
      </c>
      <c r="G1832" s="19" t="str">
        <f t="shared" si="28"/>
        <v>40-50</v>
      </c>
    </row>
    <row r="1833" spans="1:7" ht="20" customHeight="1" x14ac:dyDescent="0.35">
      <c r="A1833" s="17">
        <v>1832</v>
      </c>
      <c r="B1833" s="23" t="s">
        <v>99</v>
      </c>
      <c r="C1833" s="18" t="s">
        <v>126</v>
      </c>
      <c r="D1833" s="18">
        <v>82</v>
      </c>
      <c r="E1833" s="18" t="s">
        <v>131</v>
      </c>
      <c r="F1833" s="18" t="str">
        <f>IF(OR(D1833&gt;Answers!L1848,D1833&lt;Answers!L1849),"Outlier","Normal")</f>
        <v>Outlier</v>
      </c>
      <c r="G1833" s="19" t="str">
        <f t="shared" si="28"/>
        <v>40-50</v>
      </c>
    </row>
    <row r="1834" spans="1:7" ht="20" customHeight="1" x14ac:dyDescent="0.35">
      <c r="A1834" s="17">
        <v>1833</v>
      </c>
      <c r="B1834" s="23" t="s">
        <v>106</v>
      </c>
      <c r="C1834" s="18" t="s">
        <v>126</v>
      </c>
      <c r="D1834" s="18">
        <v>29</v>
      </c>
      <c r="E1834" s="18" t="s">
        <v>131</v>
      </c>
      <c r="F1834" s="18" t="str">
        <f>IF(OR(D1834&gt;Answers!L1849,D1834&lt;Answers!L1850),"Outlier","Normal")</f>
        <v>Outlier</v>
      </c>
      <c r="G1834" s="19" t="str">
        <f t="shared" si="28"/>
        <v>20-30</v>
      </c>
    </row>
    <row r="1835" spans="1:7" ht="20" customHeight="1" x14ac:dyDescent="0.35">
      <c r="A1835" s="17">
        <v>1834</v>
      </c>
      <c r="B1835" s="23" t="s">
        <v>101</v>
      </c>
      <c r="C1835" s="18" t="s">
        <v>125</v>
      </c>
      <c r="D1835" s="18">
        <v>60</v>
      </c>
      <c r="E1835" s="18" t="s">
        <v>131</v>
      </c>
      <c r="F1835" s="18" t="str">
        <f>IF(OR(D1835&gt;Answers!L1850,D1835&lt;Answers!L1851),"Outlier","Normal")</f>
        <v>Outlier</v>
      </c>
      <c r="G1835" s="19" t="str">
        <f t="shared" si="28"/>
        <v>40-50</v>
      </c>
    </row>
    <row r="1836" spans="1:7" ht="20" customHeight="1" x14ac:dyDescent="0.35">
      <c r="A1836" s="17">
        <v>1835</v>
      </c>
      <c r="B1836" s="23" t="s">
        <v>102</v>
      </c>
      <c r="C1836" s="18" t="s">
        <v>125</v>
      </c>
      <c r="D1836" s="18">
        <v>43</v>
      </c>
      <c r="E1836" s="18" t="s">
        <v>131</v>
      </c>
      <c r="F1836" s="18" t="str">
        <f>IF(OR(D1836&gt;Answers!L1851,D1836&lt;Answers!L1852),"Outlier","Normal")</f>
        <v>Outlier</v>
      </c>
      <c r="G1836" s="19" t="str">
        <f t="shared" si="28"/>
        <v>40-50</v>
      </c>
    </row>
    <row r="1837" spans="1:7" ht="20" customHeight="1" x14ac:dyDescent="0.35">
      <c r="A1837" s="17">
        <v>1836</v>
      </c>
      <c r="B1837" s="23" t="s">
        <v>100</v>
      </c>
      <c r="C1837" s="18" t="s">
        <v>125</v>
      </c>
      <c r="D1837" s="18">
        <v>36</v>
      </c>
      <c r="E1837" s="18" t="s">
        <v>131</v>
      </c>
      <c r="F1837" s="18" t="str">
        <f>IF(OR(D1837&gt;Answers!L1852,D1837&lt;Answers!L1853),"Outlier","Normal")</f>
        <v>Outlier</v>
      </c>
      <c r="G1837" s="19" t="str">
        <f t="shared" si="28"/>
        <v>30-40</v>
      </c>
    </row>
    <row r="1838" spans="1:7" ht="20" customHeight="1" x14ac:dyDescent="0.35">
      <c r="A1838" s="17">
        <v>1837</v>
      </c>
      <c r="B1838" s="23" t="s">
        <v>110</v>
      </c>
      <c r="C1838" s="18" t="s">
        <v>126</v>
      </c>
      <c r="D1838" s="18">
        <v>87</v>
      </c>
      <c r="E1838" s="18" t="s">
        <v>131</v>
      </c>
      <c r="F1838" s="18" t="str">
        <f>IF(OR(D1838&gt;Answers!L1853,D1838&lt;Answers!L1854),"Outlier","Normal")</f>
        <v>Outlier</v>
      </c>
      <c r="G1838" s="19" t="str">
        <f t="shared" si="28"/>
        <v>40-50</v>
      </c>
    </row>
    <row r="1839" spans="1:7" ht="20" customHeight="1" x14ac:dyDescent="0.35">
      <c r="A1839" s="17">
        <v>1838</v>
      </c>
      <c r="B1839" s="23" t="s">
        <v>99</v>
      </c>
      <c r="C1839" s="18" t="s">
        <v>126</v>
      </c>
      <c r="D1839" s="18">
        <v>48</v>
      </c>
      <c r="E1839" s="18" t="s">
        <v>131</v>
      </c>
      <c r="F1839" s="18" t="str">
        <f>IF(OR(D1839&gt;Answers!L1854,D1839&lt;Answers!L1855),"Outlier","Normal")</f>
        <v>Outlier</v>
      </c>
      <c r="G1839" s="19" t="str">
        <f t="shared" si="28"/>
        <v>40-50</v>
      </c>
    </row>
    <row r="1840" spans="1:7" ht="20" customHeight="1" x14ac:dyDescent="0.35">
      <c r="A1840" s="17">
        <v>1839</v>
      </c>
      <c r="B1840" s="23" t="s">
        <v>109</v>
      </c>
      <c r="C1840" s="18" t="s">
        <v>126</v>
      </c>
      <c r="D1840" s="18">
        <v>33</v>
      </c>
      <c r="E1840" s="18" t="s">
        <v>131</v>
      </c>
      <c r="F1840" s="18" t="str">
        <f>IF(OR(D1840&gt;Answers!L1855,D1840&lt;Answers!L1856),"Outlier","Normal")</f>
        <v>Outlier</v>
      </c>
      <c r="G1840" s="19" t="str">
        <f t="shared" si="28"/>
        <v>30-40</v>
      </c>
    </row>
    <row r="1841" spans="1:7" ht="20" customHeight="1" x14ac:dyDescent="0.35">
      <c r="A1841" s="17">
        <v>1840</v>
      </c>
      <c r="B1841" s="23" t="s">
        <v>99</v>
      </c>
      <c r="C1841" s="18" t="s">
        <v>125</v>
      </c>
      <c r="D1841" s="18">
        <v>83</v>
      </c>
      <c r="E1841" s="18" t="s">
        <v>131</v>
      </c>
      <c r="F1841" s="18" t="str">
        <f>IF(OR(D1841&gt;Answers!L1856,D1841&lt;Answers!L1857),"Outlier","Normal")</f>
        <v>Outlier</v>
      </c>
      <c r="G1841" s="19" t="str">
        <f t="shared" si="28"/>
        <v>40-50</v>
      </c>
    </row>
    <row r="1842" spans="1:7" ht="20" customHeight="1" x14ac:dyDescent="0.35">
      <c r="A1842" s="17">
        <v>1841</v>
      </c>
      <c r="B1842" s="23" t="s">
        <v>106</v>
      </c>
      <c r="C1842" s="18" t="s">
        <v>125</v>
      </c>
      <c r="D1842" s="18">
        <v>82</v>
      </c>
      <c r="E1842" s="18" t="s">
        <v>131</v>
      </c>
      <c r="F1842" s="18" t="str">
        <f>IF(OR(D1842&gt;Answers!L1857,D1842&lt;Answers!L1858),"Outlier","Normal")</f>
        <v>Outlier</v>
      </c>
      <c r="G1842" s="19" t="str">
        <f t="shared" si="28"/>
        <v>40-50</v>
      </c>
    </row>
    <row r="1843" spans="1:7" ht="20" customHeight="1" x14ac:dyDescent="0.35">
      <c r="A1843" s="17">
        <v>1842</v>
      </c>
      <c r="B1843" s="23" t="s">
        <v>106</v>
      </c>
      <c r="C1843" s="18" t="s">
        <v>125</v>
      </c>
      <c r="D1843" s="18">
        <v>61</v>
      </c>
      <c r="E1843" s="18" t="s">
        <v>131</v>
      </c>
      <c r="F1843" s="18" t="str">
        <f>IF(OR(D1843&gt;Answers!L1858,D1843&lt;Answers!L1859),"Outlier","Normal")</f>
        <v>Outlier</v>
      </c>
      <c r="G1843" s="19" t="str">
        <f t="shared" si="28"/>
        <v>40-50</v>
      </c>
    </row>
    <row r="1844" spans="1:7" ht="20" customHeight="1" x14ac:dyDescent="0.35">
      <c r="A1844" s="17">
        <v>1843</v>
      </c>
      <c r="B1844" s="23" t="s">
        <v>99</v>
      </c>
      <c r="C1844" s="18" t="s">
        <v>126</v>
      </c>
      <c r="D1844" s="18">
        <v>20</v>
      </c>
      <c r="E1844" s="18" t="s">
        <v>131</v>
      </c>
      <c r="F1844" s="18" t="str">
        <f>IF(OR(D1844&gt;Answers!L1859,D1844&lt;Answers!L1860),"Outlier","Normal")</f>
        <v>Outlier</v>
      </c>
      <c r="G1844" s="19" t="str">
        <f t="shared" si="28"/>
        <v>20-30</v>
      </c>
    </row>
    <row r="1845" spans="1:7" ht="20" customHeight="1" x14ac:dyDescent="0.35">
      <c r="A1845" s="17">
        <v>1844</v>
      </c>
      <c r="B1845" s="23" t="s">
        <v>106</v>
      </c>
      <c r="C1845" s="18" t="s">
        <v>126</v>
      </c>
      <c r="D1845" s="18">
        <v>88</v>
      </c>
      <c r="E1845" s="18" t="s">
        <v>131</v>
      </c>
      <c r="F1845" s="18" t="str">
        <f>IF(OR(D1845&gt;Answers!L1860,D1845&lt;Answers!L1861),"Outlier","Normal")</f>
        <v>Outlier</v>
      </c>
      <c r="G1845" s="19" t="str">
        <f t="shared" si="28"/>
        <v>40-50</v>
      </c>
    </row>
    <row r="1846" spans="1:7" ht="20" customHeight="1" x14ac:dyDescent="0.35">
      <c r="A1846" s="17">
        <v>1845</v>
      </c>
      <c r="B1846" s="23" t="s">
        <v>102</v>
      </c>
      <c r="C1846" s="18" t="s">
        <v>126</v>
      </c>
      <c r="D1846" s="18">
        <v>83</v>
      </c>
      <c r="E1846" s="18" t="s">
        <v>131</v>
      </c>
      <c r="F1846" s="18" t="str">
        <f>IF(OR(D1846&gt;Answers!L1861,D1846&lt;Answers!L1862),"Outlier","Normal")</f>
        <v>Outlier</v>
      </c>
      <c r="G1846" s="19" t="str">
        <f t="shared" si="28"/>
        <v>40-50</v>
      </c>
    </row>
    <row r="1847" spans="1:7" ht="20" customHeight="1" x14ac:dyDescent="0.35">
      <c r="A1847" s="17">
        <v>1846</v>
      </c>
      <c r="B1847" s="23" t="s">
        <v>101</v>
      </c>
      <c r="C1847" s="18" t="s">
        <v>125</v>
      </c>
      <c r="D1847" s="18">
        <v>41</v>
      </c>
      <c r="E1847" s="18" t="s">
        <v>131</v>
      </c>
      <c r="F1847" s="18" t="str">
        <f>IF(OR(D1847&gt;Answers!L1862,D1847&lt;Answers!L1863),"Outlier","Normal")</f>
        <v>Outlier</v>
      </c>
      <c r="G1847" s="19" t="str">
        <f t="shared" si="28"/>
        <v>40-50</v>
      </c>
    </row>
    <row r="1848" spans="1:7" ht="20" customHeight="1" x14ac:dyDescent="0.35">
      <c r="A1848" s="17">
        <v>1847</v>
      </c>
      <c r="B1848" s="23" t="s">
        <v>100</v>
      </c>
      <c r="C1848" s="18" t="s">
        <v>125</v>
      </c>
      <c r="D1848" s="18">
        <v>33</v>
      </c>
      <c r="E1848" s="18" t="s">
        <v>131</v>
      </c>
      <c r="F1848" s="18" t="str">
        <f>IF(OR(D1848&gt;Answers!L1863,D1848&lt;Answers!L1864),"Outlier","Normal")</f>
        <v>Outlier</v>
      </c>
      <c r="G1848" s="19" t="str">
        <f t="shared" si="28"/>
        <v>30-40</v>
      </c>
    </row>
    <row r="1849" spans="1:7" ht="20" customHeight="1" x14ac:dyDescent="0.35">
      <c r="A1849" s="17">
        <v>1848</v>
      </c>
      <c r="B1849" s="23" t="s">
        <v>99</v>
      </c>
      <c r="C1849" s="18" t="s">
        <v>125</v>
      </c>
      <c r="D1849" s="18">
        <v>63</v>
      </c>
      <c r="E1849" s="18" t="s">
        <v>131</v>
      </c>
      <c r="F1849" s="18" t="str">
        <f>IF(OR(D1849&gt;Answers!L1864,D1849&lt;Answers!L1865),"Outlier","Normal")</f>
        <v>Outlier</v>
      </c>
      <c r="G1849" s="19" t="str">
        <f t="shared" si="28"/>
        <v>40-50</v>
      </c>
    </row>
    <row r="1850" spans="1:7" ht="20" customHeight="1" x14ac:dyDescent="0.35">
      <c r="A1850" s="17">
        <v>1849</v>
      </c>
      <c r="B1850" s="23" t="s">
        <v>108</v>
      </c>
      <c r="C1850" s="18" t="s">
        <v>125</v>
      </c>
      <c r="D1850" s="18">
        <v>35</v>
      </c>
      <c r="E1850" s="18" t="s">
        <v>131</v>
      </c>
      <c r="F1850" s="18" t="str">
        <f>IF(OR(D1850&gt;Answers!L1865,D1850&lt;Answers!L1866),"Outlier","Normal")</f>
        <v>Outlier</v>
      </c>
      <c r="G1850" s="19" t="str">
        <f t="shared" si="28"/>
        <v>30-40</v>
      </c>
    </row>
    <row r="1851" spans="1:7" ht="20" customHeight="1" x14ac:dyDescent="0.35">
      <c r="A1851" s="17">
        <v>1850</v>
      </c>
      <c r="B1851" s="23" t="s">
        <v>109</v>
      </c>
      <c r="C1851" s="18" t="s">
        <v>125</v>
      </c>
      <c r="D1851" s="18">
        <v>60</v>
      </c>
      <c r="E1851" s="18" t="s">
        <v>131</v>
      </c>
      <c r="F1851" s="18" t="str">
        <f>IF(OR(D1851&gt;Answers!L1866,D1851&lt;Answers!L1867),"Outlier","Normal")</f>
        <v>Outlier</v>
      </c>
      <c r="G1851" s="19" t="str">
        <f t="shared" si="28"/>
        <v>40-50</v>
      </c>
    </row>
    <row r="1852" spans="1:7" ht="20" customHeight="1" x14ac:dyDescent="0.35">
      <c r="A1852" s="17">
        <v>1851</v>
      </c>
      <c r="B1852" s="23" t="s">
        <v>105</v>
      </c>
      <c r="C1852" s="18" t="s">
        <v>126</v>
      </c>
      <c r="D1852" s="18">
        <v>76</v>
      </c>
      <c r="E1852" s="18" t="s">
        <v>131</v>
      </c>
      <c r="F1852" s="18" t="str">
        <f>IF(OR(D1852&gt;Answers!L1867,D1852&lt;Answers!L1868),"Outlier","Normal")</f>
        <v>Outlier</v>
      </c>
      <c r="G1852" s="19" t="str">
        <f t="shared" si="28"/>
        <v>40-50</v>
      </c>
    </row>
    <row r="1853" spans="1:7" ht="20" customHeight="1" x14ac:dyDescent="0.35">
      <c r="A1853" s="17">
        <v>1852</v>
      </c>
      <c r="B1853" s="23" t="s">
        <v>107</v>
      </c>
      <c r="C1853" s="18" t="s">
        <v>125</v>
      </c>
      <c r="D1853" s="18">
        <v>87</v>
      </c>
      <c r="E1853" s="18" t="s">
        <v>131</v>
      </c>
      <c r="F1853" s="18" t="str">
        <f>IF(OR(D1853&gt;Answers!L1868,D1853&lt;Answers!L1869),"Outlier","Normal")</f>
        <v>Outlier</v>
      </c>
      <c r="G1853" s="19" t="str">
        <f t="shared" si="28"/>
        <v>40-50</v>
      </c>
    </row>
    <row r="1854" spans="1:7" ht="20" customHeight="1" x14ac:dyDescent="0.35">
      <c r="A1854" s="17">
        <v>1853</v>
      </c>
      <c r="B1854" s="23" t="s">
        <v>100</v>
      </c>
      <c r="C1854" s="18" t="s">
        <v>125</v>
      </c>
      <c r="D1854" s="18">
        <v>65</v>
      </c>
      <c r="E1854" s="18" t="s">
        <v>131</v>
      </c>
      <c r="F1854" s="18" t="str">
        <f>IF(OR(D1854&gt;Answers!L1869,D1854&lt;Answers!L1870),"Outlier","Normal")</f>
        <v>Outlier</v>
      </c>
      <c r="G1854" s="19" t="str">
        <f t="shared" si="28"/>
        <v>40-50</v>
      </c>
    </row>
    <row r="1855" spans="1:7" ht="20" customHeight="1" x14ac:dyDescent="0.35">
      <c r="A1855" s="17">
        <v>1854</v>
      </c>
      <c r="B1855" s="23" t="s">
        <v>99</v>
      </c>
      <c r="C1855" s="18" t="s">
        <v>126</v>
      </c>
      <c r="D1855" s="18">
        <v>87</v>
      </c>
      <c r="E1855" s="18" t="s">
        <v>131</v>
      </c>
      <c r="F1855" s="18" t="str">
        <f>IF(OR(D1855&gt;Answers!L1870,D1855&lt;Answers!L1871),"Outlier","Normal")</f>
        <v>Outlier</v>
      </c>
      <c r="G1855" s="19" t="str">
        <f t="shared" si="28"/>
        <v>40-50</v>
      </c>
    </row>
    <row r="1856" spans="1:7" ht="20" customHeight="1" x14ac:dyDescent="0.35">
      <c r="A1856" s="17">
        <v>1855</v>
      </c>
      <c r="B1856" s="23" t="s">
        <v>108</v>
      </c>
      <c r="C1856" s="18" t="s">
        <v>126</v>
      </c>
      <c r="D1856" s="18">
        <v>44</v>
      </c>
      <c r="E1856" s="18" t="s">
        <v>131</v>
      </c>
      <c r="F1856" s="18" t="str">
        <f>IF(OR(D1856&gt;Answers!L1871,D1856&lt;Answers!L1872),"Outlier","Normal")</f>
        <v>Outlier</v>
      </c>
      <c r="G1856" s="19" t="str">
        <f t="shared" si="28"/>
        <v>40-50</v>
      </c>
    </row>
    <row r="1857" spans="1:7" ht="20" customHeight="1" x14ac:dyDescent="0.35">
      <c r="A1857" s="17">
        <v>1856</v>
      </c>
      <c r="B1857" s="23" t="s">
        <v>99</v>
      </c>
      <c r="C1857" s="18" t="s">
        <v>126</v>
      </c>
      <c r="D1857" s="18">
        <v>78</v>
      </c>
      <c r="E1857" s="18" t="s">
        <v>131</v>
      </c>
      <c r="F1857" s="18" t="str">
        <f>IF(OR(D1857&gt;Answers!L1872,D1857&lt;Answers!L1873),"Outlier","Normal")</f>
        <v>Outlier</v>
      </c>
      <c r="G1857" s="19" t="str">
        <f t="shared" si="28"/>
        <v>40-50</v>
      </c>
    </row>
    <row r="1858" spans="1:7" ht="20" customHeight="1" x14ac:dyDescent="0.35">
      <c r="A1858" s="17">
        <v>1857</v>
      </c>
      <c r="B1858" s="23" t="s">
        <v>100</v>
      </c>
      <c r="C1858" s="18" t="s">
        <v>126</v>
      </c>
      <c r="D1858" s="18">
        <v>75</v>
      </c>
      <c r="E1858" s="18" t="s">
        <v>131</v>
      </c>
      <c r="F1858" s="18" t="str">
        <f>IF(OR(D1858&gt;Answers!L1873,D1858&lt;Answers!L1874),"Outlier","Normal")</f>
        <v>Outlier</v>
      </c>
      <c r="G1858" s="19" t="str">
        <f t="shared" si="28"/>
        <v>40-50</v>
      </c>
    </row>
    <row r="1859" spans="1:7" ht="20" customHeight="1" x14ac:dyDescent="0.35">
      <c r="A1859" s="17">
        <v>1858</v>
      </c>
      <c r="B1859" s="23" t="s">
        <v>99</v>
      </c>
      <c r="C1859" s="18" t="s">
        <v>126</v>
      </c>
      <c r="D1859" s="18">
        <v>59</v>
      </c>
      <c r="E1859" s="18" t="s">
        <v>131</v>
      </c>
      <c r="F1859" s="18" t="str">
        <f>IF(OR(D1859&gt;Answers!L1874,D1859&lt;Answers!L1875),"Outlier","Normal")</f>
        <v>Outlier</v>
      </c>
      <c r="G1859" s="19" t="str">
        <f t="shared" ref="G1859:G1922" si="29">IF(D1859&lt;20,"&lt;20",
IF(D1859&lt;=30,"20-30",
IF(D1859&lt;=40,"30-40","40-50")))</f>
        <v>40-50</v>
      </c>
    </row>
    <row r="1860" spans="1:7" ht="20" customHeight="1" x14ac:dyDescent="0.35">
      <c r="A1860" s="17">
        <v>1859</v>
      </c>
      <c r="B1860" s="23" t="s">
        <v>105</v>
      </c>
      <c r="C1860" s="18" t="s">
        <v>126</v>
      </c>
      <c r="D1860" s="18">
        <v>64</v>
      </c>
      <c r="E1860" s="18" t="s">
        <v>131</v>
      </c>
      <c r="F1860" s="18" t="str">
        <f>IF(OR(D1860&gt;Answers!L1875,D1860&lt;Answers!L1876),"Outlier","Normal")</f>
        <v>Outlier</v>
      </c>
      <c r="G1860" s="19" t="str">
        <f t="shared" si="29"/>
        <v>40-50</v>
      </c>
    </row>
    <row r="1861" spans="1:7" ht="20" customHeight="1" x14ac:dyDescent="0.35">
      <c r="A1861" s="17">
        <v>1860</v>
      </c>
      <c r="B1861" s="23" t="s">
        <v>105</v>
      </c>
      <c r="C1861" s="18" t="s">
        <v>126</v>
      </c>
      <c r="D1861" s="18">
        <v>61</v>
      </c>
      <c r="E1861" s="18" t="s">
        <v>131</v>
      </c>
      <c r="F1861" s="18" t="str">
        <f>IF(OR(D1861&gt;Answers!L1876,D1861&lt;Answers!L1877),"Outlier","Normal")</f>
        <v>Outlier</v>
      </c>
      <c r="G1861" s="19" t="str">
        <f t="shared" si="29"/>
        <v>40-50</v>
      </c>
    </row>
    <row r="1862" spans="1:7" ht="20" customHeight="1" x14ac:dyDescent="0.35">
      <c r="A1862" s="17">
        <v>1861</v>
      </c>
      <c r="B1862" s="23" t="s">
        <v>99</v>
      </c>
      <c r="C1862" s="18" t="s">
        <v>125</v>
      </c>
      <c r="D1862" s="18">
        <v>84</v>
      </c>
      <c r="E1862" s="18" t="s">
        <v>131</v>
      </c>
      <c r="F1862" s="18" t="str">
        <f>IF(OR(D1862&gt;Answers!L1877,D1862&lt;Answers!L1878),"Outlier","Normal")</f>
        <v>Outlier</v>
      </c>
      <c r="G1862" s="19" t="str">
        <f t="shared" si="29"/>
        <v>40-50</v>
      </c>
    </row>
    <row r="1863" spans="1:7" ht="20" customHeight="1" x14ac:dyDescent="0.35">
      <c r="A1863" s="17">
        <v>1862</v>
      </c>
      <c r="B1863" s="23" t="s">
        <v>101</v>
      </c>
      <c r="C1863" s="18" t="s">
        <v>126</v>
      </c>
      <c r="D1863" s="18">
        <v>70</v>
      </c>
      <c r="E1863" s="18" t="s">
        <v>131</v>
      </c>
      <c r="F1863" s="18" t="str">
        <f>IF(OR(D1863&gt;Answers!L1878,D1863&lt;Answers!L1879),"Outlier","Normal")</f>
        <v>Outlier</v>
      </c>
      <c r="G1863" s="19" t="str">
        <f t="shared" si="29"/>
        <v>40-50</v>
      </c>
    </row>
    <row r="1864" spans="1:7" ht="20" customHeight="1" x14ac:dyDescent="0.35">
      <c r="A1864" s="17">
        <v>1863</v>
      </c>
      <c r="B1864" s="23" t="s">
        <v>105</v>
      </c>
      <c r="C1864" s="18" t="s">
        <v>126</v>
      </c>
      <c r="D1864" s="18">
        <v>21</v>
      </c>
      <c r="E1864" s="18" t="s">
        <v>131</v>
      </c>
      <c r="F1864" s="18" t="str">
        <f>IF(OR(D1864&gt;Answers!L1879,D1864&lt;Answers!L1880),"Outlier","Normal")</f>
        <v>Outlier</v>
      </c>
      <c r="G1864" s="19" t="str">
        <f t="shared" si="29"/>
        <v>20-30</v>
      </c>
    </row>
    <row r="1865" spans="1:7" ht="20" customHeight="1" x14ac:dyDescent="0.35">
      <c r="A1865" s="17">
        <v>1864</v>
      </c>
      <c r="B1865" s="23" t="s">
        <v>101</v>
      </c>
      <c r="C1865" s="18" t="s">
        <v>126</v>
      </c>
      <c r="D1865" s="18">
        <v>83</v>
      </c>
      <c r="E1865" s="18" t="s">
        <v>131</v>
      </c>
      <c r="F1865" s="18" t="str">
        <f>IF(OR(D1865&gt;Answers!L1880,D1865&lt;Answers!L1881),"Outlier","Normal")</f>
        <v>Outlier</v>
      </c>
      <c r="G1865" s="19" t="str">
        <f t="shared" si="29"/>
        <v>40-50</v>
      </c>
    </row>
    <row r="1866" spans="1:7" ht="20" customHeight="1" x14ac:dyDescent="0.35">
      <c r="A1866" s="17">
        <v>1865</v>
      </c>
      <c r="B1866" s="23" t="s">
        <v>100</v>
      </c>
      <c r="C1866" s="18" t="s">
        <v>125</v>
      </c>
      <c r="D1866" s="18">
        <v>90</v>
      </c>
      <c r="E1866" s="18" t="s">
        <v>131</v>
      </c>
      <c r="F1866" s="18" t="str">
        <f>IF(OR(D1866&gt;Answers!L1881,D1866&lt;Answers!L1882),"Outlier","Normal")</f>
        <v>Outlier</v>
      </c>
      <c r="G1866" s="19" t="str">
        <f t="shared" si="29"/>
        <v>40-50</v>
      </c>
    </row>
    <row r="1867" spans="1:7" ht="20" customHeight="1" x14ac:dyDescent="0.35">
      <c r="A1867" s="17">
        <v>1866</v>
      </c>
      <c r="B1867" s="23" t="s">
        <v>105</v>
      </c>
      <c r="C1867" s="18" t="s">
        <v>125</v>
      </c>
      <c r="D1867" s="18">
        <v>53</v>
      </c>
      <c r="E1867" s="18" t="s">
        <v>131</v>
      </c>
      <c r="F1867" s="18" t="str">
        <f>IF(OR(D1867&gt;Answers!L1882,D1867&lt;Answers!L1883),"Outlier","Normal")</f>
        <v>Outlier</v>
      </c>
      <c r="G1867" s="19" t="str">
        <f t="shared" si="29"/>
        <v>40-50</v>
      </c>
    </row>
    <row r="1868" spans="1:7" ht="20" customHeight="1" x14ac:dyDescent="0.35">
      <c r="A1868" s="17">
        <v>1867</v>
      </c>
      <c r="B1868" s="23" t="s">
        <v>99</v>
      </c>
      <c r="C1868" s="18" t="s">
        <v>125</v>
      </c>
      <c r="D1868" s="18">
        <v>57</v>
      </c>
      <c r="E1868" s="18" t="s">
        <v>131</v>
      </c>
      <c r="F1868" s="18" t="str">
        <f>IF(OR(D1868&gt;Answers!L1883,D1868&lt;Answers!L1884),"Outlier","Normal")</f>
        <v>Outlier</v>
      </c>
      <c r="G1868" s="19" t="str">
        <f t="shared" si="29"/>
        <v>40-50</v>
      </c>
    </row>
    <row r="1869" spans="1:7" ht="20" customHeight="1" x14ac:dyDescent="0.35">
      <c r="A1869" s="17">
        <v>1868</v>
      </c>
      <c r="B1869" s="23" t="s">
        <v>100</v>
      </c>
      <c r="C1869" s="18" t="s">
        <v>125</v>
      </c>
      <c r="D1869" s="18">
        <v>49</v>
      </c>
      <c r="E1869" s="18" t="s">
        <v>131</v>
      </c>
      <c r="F1869" s="18" t="str">
        <f>IF(OR(D1869&gt;Answers!L1884,D1869&lt;Answers!L1885),"Outlier","Normal")</f>
        <v>Outlier</v>
      </c>
      <c r="G1869" s="19" t="str">
        <f t="shared" si="29"/>
        <v>40-50</v>
      </c>
    </row>
    <row r="1870" spans="1:7" ht="20" customHeight="1" x14ac:dyDescent="0.35">
      <c r="A1870" s="17">
        <v>1869</v>
      </c>
      <c r="B1870" s="23" t="s">
        <v>106</v>
      </c>
      <c r="C1870" s="18" t="s">
        <v>126</v>
      </c>
      <c r="D1870" s="18">
        <v>60</v>
      </c>
      <c r="E1870" s="18" t="s">
        <v>131</v>
      </c>
      <c r="F1870" s="18" t="str">
        <f>IF(OR(D1870&gt;Answers!L1885,D1870&lt;Answers!L1886),"Outlier","Normal")</f>
        <v>Outlier</v>
      </c>
      <c r="G1870" s="19" t="str">
        <f t="shared" si="29"/>
        <v>40-50</v>
      </c>
    </row>
    <row r="1871" spans="1:7" ht="20" customHeight="1" x14ac:dyDescent="0.35">
      <c r="A1871" s="17">
        <v>1870</v>
      </c>
      <c r="B1871" s="23" t="s">
        <v>99</v>
      </c>
      <c r="C1871" s="18" t="s">
        <v>126</v>
      </c>
      <c r="D1871" s="18">
        <v>39</v>
      </c>
      <c r="E1871" s="18" t="s">
        <v>131</v>
      </c>
      <c r="F1871" s="18" t="str">
        <f>IF(OR(D1871&gt;Answers!L1886,D1871&lt;Answers!L1887),"Outlier","Normal")</f>
        <v>Outlier</v>
      </c>
      <c r="G1871" s="19" t="str">
        <f t="shared" si="29"/>
        <v>30-40</v>
      </c>
    </row>
    <row r="1872" spans="1:7" ht="20" customHeight="1" x14ac:dyDescent="0.35">
      <c r="A1872" s="17">
        <v>1871</v>
      </c>
      <c r="B1872" s="23" t="s">
        <v>107</v>
      </c>
      <c r="C1872" s="18" t="s">
        <v>126</v>
      </c>
      <c r="D1872" s="18">
        <v>49</v>
      </c>
      <c r="E1872" s="18" t="s">
        <v>131</v>
      </c>
      <c r="F1872" s="18" t="str">
        <f>IF(OR(D1872&gt;Answers!L1887,D1872&lt;Answers!L1888),"Outlier","Normal")</f>
        <v>Outlier</v>
      </c>
      <c r="G1872" s="19" t="str">
        <f t="shared" si="29"/>
        <v>40-50</v>
      </c>
    </row>
    <row r="1873" spans="1:7" ht="20" customHeight="1" x14ac:dyDescent="0.35">
      <c r="A1873" s="17">
        <v>1872</v>
      </c>
      <c r="B1873" s="23" t="s">
        <v>100</v>
      </c>
      <c r="C1873" s="18" t="s">
        <v>126</v>
      </c>
      <c r="D1873" s="18">
        <v>34</v>
      </c>
      <c r="E1873" s="18" t="s">
        <v>131</v>
      </c>
      <c r="F1873" s="18" t="str">
        <f>IF(OR(D1873&gt;Answers!L1888,D1873&lt;Answers!L1889),"Outlier","Normal")</f>
        <v>Outlier</v>
      </c>
      <c r="G1873" s="19" t="str">
        <f t="shared" si="29"/>
        <v>30-40</v>
      </c>
    </row>
    <row r="1874" spans="1:7" ht="20" customHeight="1" x14ac:dyDescent="0.35">
      <c r="A1874" s="17">
        <v>1873</v>
      </c>
      <c r="B1874" s="23" t="s">
        <v>101</v>
      </c>
      <c r="C1874" s="18" t="s">
        <v>126</v>
      </c>
      <c r="D1874" s="18">
        <v>20</v>
      </c>
      <c r="E1874" s="18" t="s">
        <v>131</v>
      </c>
      <c r="F1874" s="18" t="str">
        <f>IF(OR(D1874&gt;Answers!L1889,D1874&lt;Answers!L1890),"Outlier","Normal")</f>
        <v>Outlier</v>
      </c>
      <c r="G1874" s="19" t="str">
        <f t="shared" si="29"/>
        <v>20-30</v>
      </c>
    </row>
    <row r="1875" spans="1:7" ht="20" customHeight="1" x14ac:dyDescent="0.35">
      <c r="A1875" s="17">
        <v>1874</v>
      </c>
      <c r="B1875" s="23" t="s">
        <v>99</v>
      </c>
      <c r="C1875" s="18" t="s">
        <v>125</v>
      </c>
      <c r="D1875" s="18">
        <v>51</v>
      </c>
      <c r="E1875" s="18" t="s">
        <v>131</v>
      </c>
      <c r="F1875" s="18" t="str">
        <f>IF(OR(D1875&gt;Answers!L1890,D1875&lt;Answers!L1891),"Outlier","Normal")</f>
        <v>Outlier</v>
      </c>
      <c r="G1875" s="19" t="str">
        <f t="shared" si="29"/>
        <v>40-50</v>
      </c>
    </row>
    <row r="1876" spans="1:7" ht="20" customHeight="1" x14ac:dyDescent="0.35">
      <c r="A1876" s="17">
        <v>1875</v>
      </c>
      <c r="B1876" s="23" t="s">
        <v>100</v>
      </c>
      <c r="C1876" s="18" t="s">
        <v>126</v>
      </c>
      <c r="D1876" s="18">
        <v>62</v>
      </c>
      <c r="E1876" s="18" t="s">
        <v>131</v>
      </c>
      <c r="F1876" s="18" t="str">
        <f>IF(OR(D1876&gt;Answers!L1891,D1876&lt;Answers!L1892),"Outlier","Normal")</f>
        <v>Outlier</v>
      </c>
      <c r="G1876" s="19" t="str">
        <f t="shared" si="29"/>
        <v>40-50</v>
      </c>
    </row>
    <row r="1877" spans="1:7" ht="20" customHeight="1" x14ac:dyDescent="0.35">
      <c r="A1877" s="17">
        <v>1876</v>
      </c>
      <c r="B1877" s="23" t="s">
        <v>103</v>
      </c>
      <c r="C1877" s="18" t="s">
        <v>125</v>
      </c>
      <c r="D1877" s="18">
        <v>27</v>
      </c>
      <c r="E1877" s="18" t="s">
        <v>131</v>
      </c>
      <c r="F1877" s="18" t="str">
        <f>IF(OR(D1877&gt;Answers!L1892,D1877&lt;Answers!L1893),"Outlier","Normal")</f>
        <v>Outlier</v>
      </c>
      <c r="G1877" s="19" t="str">
        <f t="shared" si="29"/>
        <v>20-30</v>
      </c>
    </row>
    <row r="1878" spans="1:7" ht="20" customHeight="1" x14ac:dyDescent="0.35">
      <c r="A1878" s="17">
        <v>1877</v>
      </c>
      <c r="B1878" s="23" t="s">
        <v>105</v>
      </c>
      <c r="C1878" s="18" t="s">
        <v>125</v>
      </c>
      <c r="D1878" s="18">
        <v>22</v>
      </c>
      <c r="E1878" s="18" t="s">
        <v>131</v>
      </c>
      <c r="F1878" s="18" t="str">
        <f>IF(OR(D1878&gt;Answers!L1893,D1878&lt;Answers!L1894),"Outlier","Normal")</f>
        <v>Outlier</v>
      </c>
      <c r="G1878" s="19" t="str">
        <f t="shared" si="29"/>
        <v>20-30</v>
      </c>
    </row>
    <row r="1879" spans="1:7" ht="20" customHeight="1" x14ac:dyDescent="0.35">
      <c r="A1879" s="17">
        <v>1878</v>
      </c>
      <c r="B1879" s="23" t="s">
        <v>105</v>
      </c>
      <c r="C1879" s="18" t="s">
        <v>125</v>
      </c>
      <c r="D1879" s="18">
        <v>24</v>
      </c>
      <c r="E1879" s="18" t="s">
        <v>131</v>
      </c>
      <c r="F1879" s="18" t="str">
        <f>IF(OR(D1879&gt;Answers!L1894,D1879&lt;Answers!L1895),"Outlier","Normal")</f>
        <v>Outlier</v>
      </c>
      <c r="G1879" s="19" t="str">
        <f t="shared" si="29"/>
        <v>20-30</v>
      </c>
    </row>
    <row r="1880" spans="1:7" ht="20" customHeight="1" x14ac:dyDescent="0.35">
      <c r="A1880" s="17">
        <v>1879</v>
      </c>
      <c r="B1880" s="23" t="s">
        <v>99</v>
      </c>
      <c r="C1880" s="18" t="s">
        <v>125</v>
      </c>
      <c r="D1880" s="18">
        <v>76</v>
      </c>
      <c r="E1880" s="18" t="s">
        <v>131</v>
      </c>
      <c r="F1880" s="18" t="str">
        <f>IF(OR(D1880&gt;Answers!L1895,D1880&lt;Answers!L1896),"Outlier","Normal")</f>
        <v>Outlier</v>
      </c>
      <c r="G1880" s="19" t="str">
        <f t="shared" si="29"/>
        <v>40-50</v>
      </c>
    </row>
    <row r="1881" spans="1:7" ht="20" customHeight="1" x14ac:dyDescent="0.35">
      <c r="A1881" s="17">
        <v>1880</v>
      </c>
      <c r="B1881" s="23" t="s">
        <v>105</v>
      </c>
      <c r="C1881" s="18" t="s">
        <v>126</v>
      </c>
      <c r="D1881" s="18">
        <v>73</v>
      </c>
      <c r="E1881" s="18" t="s">
        <v>131</v>
      </c>
      <c r="F1881" s="18" t="str">
        <f>IF(OR(D1881&gt;Answers!L1896,D1881&lt;Answers!L1897),"Outlier","Normal")</f>
        <v>Outlier</v>
      </c>
      <c r="G1881" s="19" t="str">
        <f t="shared" si="29"/>
        <v>40-50</v>
      </c>
    </row>
    <row r="1882" spans="1:7" ht="20" customHeight="1" x14ac:dyDescent="0.35">
      <c r="A1882" s="17">
        <v>1881</v>
      </c>
      <c r="B1882" s="23" t="s">
        <v>100</v>
      </c>
      <c r="C1882" s="18" t="s">
        <v>126</v>
      </c>
      <c r="D1882" s="18">
        <v>83</v>
      </c>
      <c r="E1882" s="18" t="s">
        <v>131</v>
      </c>
      <c r="F1882" s="18" t="str">
        <f>IF(OR(D1882&gt;Answers!L1897,D1882&lt;Answers!L1898),"Outlier","Normal")</f>
        <v>Outlier</v>
      </c>
      <c r="G1882" s="19" t="str">
        <f t="shared" si="29"/>
        <v>40-50</v>
      </c>
    </row>
    <row r="1883" spans="1:7" ht="20" customHeight="1" x14ac:dyDescent="0.35">
      <c r="A1883" s="17">
        <v>1882</v>
      </c>
      <c r="B1883" s="23" t="s">
        <v>99</v>
      </c>
      <c r="C1883" s="18" t="s">
        <v>125</v>
      </c>
      <c r="D1883" s="18">
        <v>18</v>
      </c>
      <c r="E1883" s="18" t="s">
        <v>131</v>
      </c>
      <c r="F1883" s="18" t="str">
        <f>IF(OR(D1883&gt;Answers!L1898,D1883&lt;Answers!L1899),"Outlier","Normal")</f>
        <v>Outlier</v>
      </c>
      <c r="G1883" s="19" t="str">
        <f t="shared" si="29"/>
        <v>&lt;20</v>
      </c>
    </row>
    <row r="1884" spans="1:7" ht="20" customHeight="1" x14ac:dyDescent="0.35">
      <c r="A1884" s="17">
        <v>1883</v>
      </c>
      <c r="B1884" s="23" t="s">
        <v>99</v>
      </c>
      <c r="C1884" s="18" t="s">
        <v>125</v>
      </c>
      <c r="D1884" s="18">
        <v>20</v>
      </c>
      <c r="E1884" s="18" t="s">
        <v>131</v>
      </c>
      <c r="F1884" s="18" t="str">
        <f>IF(OR(D1884&gt;Answers!L1899,D1884&lt;Answers!L1900),"Outlier","Normal")</f>
        <v>Outlier</v>
      </c>
      <c r="G1884" s="19" t="str">
        <f t="shared" si="29"/>
        <v>20-30</v>
      </c>
    </row>
    <row r="1885" spans="1:7" ht="20" customHeight="1" x14ac:dyDescent="0.35">
      <c r="A1885" s="17">
        <v>1884</v>
      </c>
      <c r="B1885" s="23" t="s">
        <v>99</v>
      </c>
      <c r="C1885" s="18" t="s">
        <v>126</v>
      </c>
      <c r="D1885" s="18">
        <v>31</v>
      </c>
      <c r="E1885" s="18" t="s">
        <v>131</v>
      </c>
      <c r="F1885" s="18" t="str">
        <f>IF(OR(D1885&gt;Answers!L1900,D1885&lt;Answers!L1901),"Outlier","Normal")</f>
        <v>Outlier</v>
      </c>
      <c r="G1885" s="19" t="str">
        <f t="shared" si="29"/>
        <v>30-40</v>
      </c>
    </row>
    <row r="1886" spans="1:7" ht="20" customHeight="1" x14ac:dyDescent="0.35">
      <c r="A1886" s="17">
        <v>1885</v>
      </c>
      <c r="B1886" s="23" t="s">
        <v>104</v>
      </c>
      <c r="C1886" s="18" t="s">
        <v>126</v>
      </c>
      <c r="D1886" s="18">
        <v>27</v>
      </c>
      <c r="E1886" s="18" t="s">
        <v>131</v>
      </c>
      <c r="F1886" s="18" t="str">
        <f>IF(OR(D1886&gt;Answers!L1901,D1886&lt;Answers!L1902),"Outlier","Normal")</f>
        <v>Outlier</v>
      </c>
      <c r="G1886" s="19" t="str">
        <f t="shared" si="29"/>
        <v>20-30</v>
      </c>
    </row>
    <row r="1887" spans="1:7" ht="20" customHeight="1" x14ac:dyDescent="0.35">
      <c r="A1887" s="17">
        <v>1886</v>
      </c>
      <c r="B1887" s="23" t="s">
        <v>101</v>
      </c>
      <c r="C1887" s="18" t="s">
        <v>126</v>
      </c>
      <c r="D1887" s="18">
        <v>28</v>
      </c>
      <c r="E1887" s="18" t="s">
        <v>131</v>
      </c>
      <c r="F1887" s="18" t="str">
        <f>IF(OR(D1887&gt;Answers!L1902,D1887&lt;Answers!L1903),"Outlier","Normal")</f>
        <v>Outlier</v>
      </c>
      <c r="G1887" s="19" t="str">
        <f t="shared" si="29"/>
        <v>20-30</v>
      </c>
    </row>
    <row r="1888" spans="1:7" ht="20" customHeight="1" x14ac:dyDescent="0.35">
      <c r="A1888" s="17">
        <v>1887</v>
      </c>
      <c r="B1888" s="23" t="s">
        <v>105</v>
      </c>
      <c r="C1888" s="18" t="s">
        <v>125</v>
      </c>
      <c r="D1888" s="18">
        <v>89</v>
      </c>
      <c r="E1888" s="18" t="s">
        <v>131</v>
      </c>
      <c r="F1888" s="18" t="str">
        <f>IF(OR(D1888&gt;Answers!L1903,D1888&lt;Answers!L1904),"Outlier","Normal")</f>
        <v>Outlier</v>
      </c>
      <c r="G1888" s="19" t="str">
        <f t="shared" si="29"/>
        <v>40-50</v>
      </c>
    </row>
    <row r="1889" spans="1:7" ht="20" customHeight="1" x14ac:dyDescent="0.35">
      <c r="A1889" s="17">
        <v>1888</v>
      </c>
      <c r="B1889" s="23" t="s">
        <v>101</v>
      </c>
      <c r="C1889" s="18" t="s">
        <v>125</v>
      </c>
      <c r="D1889" s="18">
        <v>71</v>
      </c>
      <c r="E1889" s="18" t="s">
        <v>131</v>
      </c>
      <c r="F1889" s="18" t="str">
        <f>IF(OR(D1889&gt;Answers!L1904,D1889&lt;Answers!L1905),"Outlier","Normal")</f>
        <v>Outlier</v>
      </c>
      <c r="G1889" s="19" t="str">
        <f t="shared" si="29"/>
        <v>40-50</v>
      </c>
    </row>
    <row r="1890" spans="1:7" ht="20" customHeight="1" x14ac:dyDescent="0.35">
      <c r="A1890" s="17">
        <v>1889</v>
      </c>
      <c r="B1890" s="23" t="s">
        <v>106</v>
      </c>
      <c r="C1890" s="18" t="s">
        <v>125</v>
      </c>
      <c r="D1890" s="18">
        <v>42</v>
      </c>
      <c r="E1890" s="18" t="s">
        <v>131</v>
      </c>
      <c r="F1890" s="18" t="str">
        <f>IF(OR(D1890&gt;Answers!L1905,D1890&lt;Answers!L1906),"Outlier","Normal")</f>
        <v>Outlier</v>
      </c>
      <c r="G1890" s="19" t="str">
        <f t="shared" si="29"/>
        <v>40-50</v>
      </c>
    </row>
    <row r="1891" spans="1:7" ht="20" customHeight="1" x14ac:dyDescent="0.35">
      <c r="A1891" s="17">
        <v>1890</v>
      </c>
      <c r="B1891" s="23" t="s">
        <v>99</v>
      </c>
      <c r="C1891" s="18" t="s">
        <v>125</v>
      </c>
      <c r="D1891" s="18">
        <v>87</v>
      </c>
      <c r="E1891" s="18" t="s">
        <v>131</v>
      </c>
      <c r="F1891" s="18" t="str">
        <f>IF(OR(D1891&gt;Answers!L1906,D1891&lt;Answers!L1907),"Outlier","Normal")</f>
        <v>Outlier</v>
      </c>
      <c r="G1891" s="19" t="str">
        <f t="shared" si="29"/>
        <v>40-50</v>
      </c>
    </row>
    <row r="1892" spans="1:7" ht="20" customHeight="1" x14ac:dyDescent="0.35">
      <c r="A1892" s="17">
        <v>1891</v>
      </c>
      <c r="B1892" s="23" t="s">
        <v>106</v>
      </c>
      <c r="C1892" s="18" t="s">
        <v>125</v>
      </c>
      <c r="D1892" s="18">
        <v>54</v>
      </c>
      <c r="E1892" s="18" t="s">
        <v>131</v>
      </c>
      <c r="F1892" s="18" t="str">
        <f>IF(OR(D1892&gt;Answers!L1907,D1892&lt;Answers!L1908),"Outlier","Normal")</f>
        <v>Outlier</v>
      </c>
      <c r="G1892" s="19" t="str">
        <f t="shared" si="29"/>
        <v>40-50</v>
      </c>
    </row>
    <row r="1893" spans="1:7" ht="20" customHeight="1" x14ac:dyDescent="0.35">
      <c r="A1893" s="17">
        <v>1892</v>
      </c>
      <c r="B1893" s="23" t="s">
        <v>99</v>
      </c>
      <c r="C1893" s="18" t="s">
        <v>125</v>
      </c>
      <c r="D1893" s="18">
        <v>64</v>
      </c>
      <c r="E1893" s="18" t="s">
        <v>131</v>
      </c>
      <c r="F1893" s="18" t="str">
        <f>IF(OR(D1893&gt;Answers!L1908,D1893&lt;Answers!L1909),"Outlier","Normal")</f>
        <v>Outlier</v>
      </c>
      <c r="G1893" s="19" t="str">
        <f t="shared" si="29"/>
        <v>40-50</v>
      </c>
    </row>
    <row r="1894" spans="1:7" ht="20" customHeight="1" x14ac:dyDescent="0.35">
      <c r="A1894" s="17">
        <v>1893</v>
      </c>
      <c r="B1894" s="23" t="s">
        <v>101</v>
      </c>
      <c r="C1894" s="18" t="s">
        <v>125</v>
      </c>
      <c r="D1894" s="18">
        <v>47</v>
      </c>
      <c r="E1894" s="18" t="s">
        <v>131</v>
      </c>
      <c r="F1894" s="18" t="str">
        <f>IF(OR(D1894&gt;Answers!L1909,D1894&lt;Answers!L1910),"Outlier","Normal")</f>
        <v>Outlier</v>
      </c>
      <c r="G1894" s="19" t="str">
        <f t="shared" si="29"/>
        <v>40-50</v>
      </c>
    </row>
    <row r="1895" spans="1:7" ht="20" customHeight="1" x14ac:dyDescent="0.35">
      <c r="A1895" s="17">
        <v>1894</v>
      </c>
      <c r="B1895" s="23" t="s">
        <v>105</v>
      </c>
      <c r="C1895" s="18" t="s">
        <v>125</v>
      </c>
      <c r="D1895" s="18">
        <v>69</v>
      </c>
      <c r="E1895" s="18" t="s">
        <v>131</v>
      </c>
      <c r="F1895" s="18" t="str">
        <f>IF(OR(D1895&gt;Answers!L1910,D1895&lt;Answers!L1911),"Outlier","Normal")</f>
        <v>Outlier</v>
      </c>
      <c r="G1895" s="19" t="str">
        <f t="shared" si="29"/>
        <v>40-50</v>
      </c>
    </row>
    <row r="1896" spans="1:7" ht="20" customHeight="1" x14ac:dyDescent="0.35">
      <c r="A1896" s="17">
        <v>1895</v>
      </c>
      <c r="B1896" s="23" t="s">
        <v>100</v>
      </c>
      <c r="C1896" s="18" t="s">
        <v>125</v>
      </c>
      <c r="D1896" s="18">
        <f>ROUND(AVERAGE(D1893:D1895),0)</f>
        <v>60</v>
      </c>
      <c r="E1896" s="18" t="s">
        <v>131</v>
      </c>
      <c r="F1896" s="18" t="str">
        <f>IF(OR(D1896&gt;Answers!L1911,D1896&lt;Answers!L1912),"Outlier","Normal")</f>
        <v>Outlier</v>
      </c>
      <c r="G1896" s="19" t="str">
        <f t="shared" si="29"/>
        <v>40-50</v>
      </c>
    </row>
    <row r="1897" spans="1:7" ht="20" customHeight="1" x14ac:dyDescent="0.35">
      <c r="A1897" s="17">
        <v>1896</v>
      </c>
      <c r="B1897" s="23" t="s">
        <v>100</v>
      </c>
      <c r="C1897" s="18" t="s">
        <v>126</v>
      </c>
      <c r="D1897" s="18">
        <v>22</v>
      </c>
      <c r="E1897" s="18" t="s">
        <v>131</v>
      </c>
      <c r="F1897" s="18" t="str">
        <f>IF(OR(D1897&gt;Answers!L1912,D1897&lt;Answers!L1913),"Outlier","Normal")</f>
        <v>Outlier</v>
      </c>
      <c r="G1897" s="19" t="str">
        <f t="shared" si="29"/>
        <v>20-30</v>
      </c>
    </row>
    <row r="1898" spans="1:7" ht="20" customHeight="1" x14ac:dyDescent="0.35">
      <c r="A1898" s="17">
        <v>1897</v>
      </c>
      <c r="B1898" s="23" t="s">
        <v>99</v>
      </c>
      <c r="C1898" s="18" t="s">
        <v>126</v>
      </c>
      <c r="D1898" s="18">
        <v>28</v>
      </c>
      <c r="E1898" s="18" t="s">
        <v>131</v>
      </c>
      <c r="F1898" s="18" t="str">
        <f>IF(OR(D1898&gt;Answers!L1913,D1898&lt;Answers!L1914),"Outlier","Normal")</f>
        <v>Outlier</v>
      </c>
      <c r="G1898" s="19" t="str">
        <f t="shared" si="29"/>
        <v>20-30</v>
      </c>
    </row>
    <row r="1899" spans="1:7" ht="20" customHeight="1" x14ac:dyDescent="0.35">
      <c r="A1899" s="17">
        <v>1898</v>
      </c>
      <c r="B1899" s="23" t="s">
        <v>101</v>
      </c>
      <c r="C1899" s="18" t="s">
        <v>125</v>
      </c>
      <c r="D1899" s="18">
        <v>74</v>
      </c>
      <c r="E1899" s="18" t="s">
        <v>131</v>
      </c>
      <c r="F1899" s="18" t="str">
        <f>IF(OR(D1899&gt;Answers!L1914,D1899&lt;Answers!L1915),"Outlier","Normal")</f>
        <v>Outlier</v>
      </c>
      <c r="G1899" s="19" t="str">
        <f t="shared" si="29"/>
        <v>40-50</v>
      </c>
    </row>
    <row r="1900" spans="1:7" ht="20" customHeight="1" x14ac:dyDescent="0.35">
      <c r="A1900" s="17">
        <v>1899</v>
      </c>
      <c r="B1900" s="23" t="s">
        <v>99</v>
      </c>
      <c r="C1900" s="18" t="s">
        <v>126</v>
      </c>
      <c r="D1900" s="18">
        <v>63</v>
      </c>
      <c r="E1900" s="18" t="s">
        <v>131</v>
      </c>
      <c r="F1900" s="18" t="str">
        <f>IF(OR(D1900&gt;Answers!L1915,D1900&lt;Answers!L1916),"Outlier","Normal")</f>
        <v>Outlier</v>
      </c>
      <c r="G1900" s="19" t="str">
        <f t="shared" si="29"/>
        <v>40-50</v>
      </c>
    </row>
    <row r="1901" spans="1:7" ht="20" customHeight="1" x14ac:dyDescent="0.35">
      <c r="A1901" s="17">
        <v>1900</v>
      </c>
      <c r="B1901" s="23" t="s">
        <v>106</v>
      </c>
      <c r="C1901" s="18" t="s">
        <v>126</v>
      </c>
      <c r="D1901" s="18">
        <v>28</v>
      </c>
      <c r="E1901" s="18" t="s">
        <v>131</v>
      </c>
      <c r="F1901" s="18" t="str">
        <f>IF(OR(D1901&gt;Answers!L1916,D1901&lt;Answers!L1917),"Outlier","Normal")</f>
        <v>Outlier</v>
      </c>
      <c r="G1901" s="19" t="str">
        <f t="shared" si="29"/>
        <v>20-30</v>
      </c>
    </row>
    <row r="1902" spans="1:7" ht="20" customHeight="1" x14ac:dyDescent="0.35">
      <c r="A1902" s="17">
        <v>1901</v>
      </c>
      <c r="B1902" s="23" t="s">
        <v>99</v>
      </c>
      <c r="C1902" s="18" t="s">
        <v>126</v>
      </c>
      <c r="D1902" s="18">
        <v>34</v>
      </c>
      <c r="E1902" s="18" t="s">
        <v>131</v>
      </c>
      <c r="F1902" s="18" t="str">
        <f>IF(OR(D1902&gt;Answers!L1917,D1902&lt;Answers!L1918),"Outlier","Normal")</f>
        <v>Outlier</v>
      </c>
      <c r="G1902" s="19" t="str">
        <f t="shared" si="29"/>
        <v>30-40</v>
      </c>
    </row>
    <row r="1903" spans="1:7" ht="20" customHeight="1" x14ac:dyDescent="0.35">
      <c r="A1903" s="17">
        <v>1902</v>
      </c>
      <c r="B1903" s="23" t="s">
        <v>104</v>
      </c>
      <c r="C1903" s="18" t="s">
        <v>126</v>
      </c>
      <c r="D1903" s="18">
        <v>46</v>
      </c>
      <c r="E1903" s="18" t="s">
        <v>131</v>
      </c>
      <c r="F1903" s="18" t="str">
        <f>IF(OR(D1903&gt;Answers!L1918,D1903&lt;Answers!L1919),"Outlier","Normal")</f>
        <v>Outlier</v>
      </c>
      <c r="G1903" s="19" t="str">
        <f t="shared" si="29"/>
        <v>40-50</v>
      </c>
    </row>
    <row r="1904" spans="1:7" ht="20" customHeight="1" x14ac:dyDescent="0.35">
      <c r="A1904" s="17">
        <v>1903</v>
      </c>
      <c r="B1904" s="23" t="s">
        <v>101</v>
      </c>
      <c r="C1904" s="18" t="s">
        <v>125</v>
      </c>
      <c r="D1904" s="18">
        <v>71</v>
      </c>
      <c r="E1904" s="18" t="s">
        <v>131</v>
      </c>
      <c r="F1904" s="18" t="str">
        <f>IF(OR(D1904&gt;Answers!L1919,D1904&lt;Answers!L1920),"Outlier","Normal")</f>
        <v>Outlier</v>
      </c>
      <c r="G1904" s="19" t="str">
        <f t="shared" si="29"/>
        <v>40-50</v>
      </c>
    </row>
    <row r="1905" spans="1:7" ht="20" customHeight="1" x14ac:dyDescent="0.35">
      <c r="A1905" s="17">
        <v>1904</v>
      </c>
      <c r="B1905" s="23" t="s">
        <v>108</v>
      </c>
      <c r="C1905" s="18" t="s">
        <v>125</v>
      </c>
      <c r="D1905" s="18">
        <v>70</v>
      </c>
      <c r="E1905" s="18" t="s">
        <v>131</v>
      </c>
      <c r="F1905" s="18" t="str">
        <f>IF(OR(D1905&gt;Answers!L1920,D1905&lt;Answers!L1921),"Outlier","Normal")</f>
        <v>Outlier</v>
      </c>
      <c r="G1905" s="19" t="str">
        <f t="shared" si="29"/>
        <v>40-50</v>
      </c>
    </row>
    <row r="1906" spans="1:7" ht="20" customHeight="1" x14ac:dyDescent="0.35">
      <c r="A1906" s="17">
        <v>1905</v>
      </c>
      <c r="B1906" s="23" t="s">
        <v>105</v>
      </c>
      <c r="C1906" s="18" t="s">
        <v>125</v>
      </c>
      <c r="D1906" s="18">
        <v>48</v>
      </c>
      <c r="E1906" s="18" t="s">
        <v>131</v>
      </c>
      <c r="F1906" s="18" t="str">
        <f>IF(OR(D1906&gt;Answers!L1921,D1906&lt;Answers!L1922),"Outlier","Normal")</f>
        <v>Outlier</v>
      </c>
      <c r="G1906" s="19" t="str">
        <f t="shared" si="29"/>
        <v>40-50</v>
      </c>
    </row>
    <row r="1907" spans="1:7" ht="20" customHeight="1" x14ac:dyDescent="0.35">
      <c r="A1907" s="17">
        <v>1906</v>
      </c>
      <c r="B1907" s="23" t="s">
        <v>110</v>
      </c>
      <c r="C1907" s="18" t="s">
        <v>126</v>
      </c>
      <c r="D1907" s="18">
        <v>81</v>
      </c>
      <c r="E1907" s="18" t="s">
        <v>131</v>
      </c>
      <c r="F1907" s="18" t="str">
        <f>IF(OR(D1907&gt;Answers!L1922,D1907&lt;Answers!L1923),"Outlier","Normal")</f>
        <v>Outlier</v>
      </c>
      <c r="G1907" s="19" t="str">
        <f t="shared" si="29"/>
        <v>40-50</v>
      </c>
    </row>
    <row r="1908" spans="1:7" ht="20" customHeight="1" x14ac:dyDescent="0.35">
      <c r="A1908" s="17">
        <v>1907</v>
      </c>
      <c r="B1908" s="23" t="s">
        <v>101</v>
      </c>
      <c r="C1908" s="18" t="s">
        <v>126</v>
      </c>
      <c r="D1908" s="18">
        <v>83</v>
      </c>
      <c r="E1908" s="18" t="s">
        <v>131</v>
      </c>
      <c r="F1908" s="18" t="str">
        <f>IF(OR(D1908&gt;Answers!L1923,D1908&lt;Answers!L1924),"Outlier","Normal")</f>
        <v>Outlier</v>
      </c>
      <c r="G1908" s="19" t="str">
        <f t="shared" si="29"/>
        <v>40-50</v>
      </c>
    </row>
    <row r="1909" spans="1:7" ht="20" customHeight="1" x14ac:dyDescent="0.35">
      <c r="A1909" s="17">
        <v>1908</v>
      </c>
      <c r="B1909" s="23" t="s">
        <v>99</v>
      </c>
      <c r="C1909" s="18" t="s">
        <v>125</v>
      </c>
      <c r="D1909" s="18">
        <v>20</v>
      </c>
      <c r="E1909" s="18" t="s">
        <v>131</v>
      </c>
      <c r="F1909" s="18" t="str">
        <f>IF(OR(D1909&gt;Answers!L1924,D1909&lt;Answers!L1925),"Outlier","Normal")</f>
        <v>Outlier</v>
      </c>
      <c r="G1909" s="19" t="str">
        <f t="shared" si="29"/>
        <v>20-30</v>
      </c>
    </row>
    <row r="1910" spans="1:7" ht="20" customHeight="1" x14ac:dyDescent="0.35">
      <c r="A1910" s="17">
        <v>1909</v>
      </c>
      <c r="B1910" s="23" t="s">
        <v>108</v>
      </c>
      <c r="C1910" s="18" t="s">
        <v>125</v>
      </c>
      <c r="D1910" s="18">
        <v>40</v>
      </c>
      <c r="E1910" s="18" t="s">
        <v>131</v>
      </c>
      <c r="F1910" s="18" t="str">
        <f>IF(OR(D1910&gt;Answers!L1925,D1910&lt;Answers!L1926),"Outlier","Normal")</f>
        <v>Outlier</v>
      </c>
      <c r="G1910" s="19" t="str">
        <f t="shared" si="29"/>
        <v>30-40</v>
      </c>
    </row>
    <row r="1911" spans="1:7" ht="20" customHeight="1" x14ac:dyDescent="0.35">
      <c r="A1911" s="17">
        <v>1910</v>
      </c>
      <c r="B1911" s="23" t="s">
        <v>100</v>
      </c>
      <c r="C1911" s="18" t="s">
        <v>125</v>
      </c>
      <c r="D1911" s="18">
        <v>51</v>
      </c>
      <c r="E1911" s="18" t="s">
        <v>131</v>
      </c>
      <c r="F1911" s="18" t="str">
        <f>IF(OR(D1911&gt;Answers!L1926,D1911&lt;Answers!L1927),"Outlier","Normal")</f>
        <v>Outlier</v>
      </c>
      <c r="G1911" s="19" t="str">
        <f t="shared" si="29"/>
        <v>40-50</v>
      </c>
    </row>
    <row r="1912" spans="1:7" ht="20" customHeight="1" x14ac:dyDescent="0.35">
      <c r="A1912" s="17">
        <v>1911</v>
      </c>
      <c r="B1912" s="23" t="s">
        <v>101</v>
      </c>
      <c r="C1912" s="18" t="s">
        <v>126</v>
      </c>
      <c r="D1912" s="18">
        <v>78</v>
      </c>
      <c r="E1912" s="18" t="s">
        <v>131</v>
      </c>
      <c r="F1912" s="18" t="str">
        <f>IF(OR(D1912&gt;Answers!L1927,D1912&lt;Answers!L1928),"Outlier","Normal")</f>
        <v>Outlier</v>
      </c>
      <c r="G1912" s="19" t="str">
        <f t="shared" si="29"/>
        <v>40-50</v>
      </c>
    </row>
    <row r="1913" spans="1:7" ht="20" customHeight="1" x14ac:dyDescent="0.35">
      <c r="A1913" s="17">
        <v>1912</v>
      </c>
      <c r="B1913" s="23" t="s">
        <v>101</v>
      </c>
      <c r="C1913" s="18" t="s">
        <v>126</v>
      </c>
      <c r="D1913" s="18">
        <v>90</v>
      </c>
      <c r="E1913" s="18" t="s">
        <v>131</v>
      </c>
      <c r="F1913" s="18" t="str">
        <f>IF(OR(D1913&gt;Answers!L1928,D1913&lt;Answers!L1929),"Outlier","Normal")</f>
        <v>Outlier</v>
      </c>
      <c r="G1913" s="19" t="str">
        <f t="shared" si="29"/>
        <v>40-50</v>
      </c>
    </row>
    <row r="1914" spans="1:7" ht="20" customHeight="1" x14ac:dyDescent="0.35">
      <c r="A1914" s="17">
        <v>1913</v>
      </c>
      <c r="B1914" s="23" t="s">
        <v>107</v>
      </c>
      <c r="C1914" s="18" t="s">
        <v>126</v>
      </c>
      <c r="D1914" s="18">
        <v>51</v>
      </c>
      <c r="E1914" s="18" t="s">
        <v>131</v>
      </c>
      <c r="F1914" s="18" t="str">
        <f>IF(OR(D1914&gt;Answers!L1929,D1914&lt;Answers!L1930),"Outlier","Normal")</f>
        <v>Outlier</v>
      </c>
      <c r="G1914" s="19" t="str">
        <f t="shared" si="29"/>
        <v>40-50</v>
      </c>
    </row>
    <row r="1915" spans="1:7" ht="20" customHeight="1" x14ac:dyDescent="0.35">
      <c r="A1915" s="17">
        <v>1914</v>
      </c>
      <c r="B1915" s="23" t="s">
        <v>101</v>
      </c>
      <c r="C1915" s="18" t="s">
        <v>125</v>
      </c>
      <c r="D1915" s="18">
        <v>34</v>
      </c>
      <c r="E1915" s="18" t="s">
        <v>131</v>
      </c>
      <c r="F1915" s="18" t="str">
        <f>IF(OR(D1915&gt;Answers!L1930,D1915&lt;Answers!L1931),"Outlier","Normal")</f>
        <v>Outlier</v>
      </c>
      <c r="G1915" s="19" t="str">
        <f t="shared" si="29"/>
        <v>30-40</v>
      </c>
    </row>
    <row r="1916" spans="1:7" ht="20" customHeight="1" x14ac:dyDescent="0.35">
      <c r="A1916" s="17">
        <v>1915</v>
      </c>
      <c r="B1916" s="23" t="s">
        <v>99</v>
      </c>
      <c r="C1916" s="18" t="s">
        <v>125</v>
      </c>
      <c r="D1916" s="18">
        <v>74</v>
      </c>
      <c r="E1916" s="18" t="s">
        <v>131</v>
      </c>
      <c r="F1916" s="18" t="str">
        <f>IF(OR(D1916&gt;Answers!L1931,D1916&lt;Answers!L1932),"Outlier","Normal")</f>
        <v>Outlier</v>
      </c>
      <c r="G1916" s="19" t="str">
        <f t="shared" si="29"/>
        <v>40-50</v>
      </c>
    </row>
    <row r="1917" spans="1:7" ht="20" customHeight="1" x14ac:dyDescent="0.35">
      <c r="A1917" s="17">
        <v>1916</v>
      </c>
      <c r="B1917" s="23" t="s">
        <v>110</v>
      </c>
      <c r="C1917" s="18" t="s">
        <v>125</v>
      </c>
      <c r="D1917" s="18">
        <v>34</v>
      </c>
      <c r="E1917" s="18" t="s">
        <v>131</v>
      </c>
      <c r="F1917" s="18" t="str">
        <f>IF(OR(D1917&gt;Answers!L1932,D1917&lt;Answers!L1933),"Outlier","Normal")</f>
        <v>Outlier</v>
      </c>
      <c r="G1917" s="19" t="str">
        <f t="shared" si="29"/>
        <v>30-40</v>
      </c>
    </row>
    <row r="1918" spans="1:7" ht="20" customHeight="1" x14ac:dyDescent="0.35">
      <c r="A1918" s="17">
        <v>1917</v>
      </c>
      <c r="B1918" s="23" t="s">
        <v>99</v>
      </c>
      <c r="C1918" s="18" t="s">
        <v>126</v>
      </c>
      <c r="D1918" s="18">
        <v>63</v>
      </c>
      <c r="E1918" s="18" t="s">
        <v>131</v>
      </c>
      <c r="F1918" s="18" t="str">
        <f>IF(OR(D1918&gt;Answers!L1933,D1918&lt;Answers!L1934),"Outlier","Normal")</f>
        <v>Outlier</v>
      </c>
      <c r="G1918" s="19" t="str">
        <f t="shared" si="29"/>
        <v>40-50</v>
      </c>
    </row>
    <row r="1919" spans="1:7" ht="20" customHeight="1" x14ac:dyDescent="0.35">
      <c r="A1919" s="17">
        <v>1918</v>
      </c>
      <c r="B1919" s="23" t="s">
        <v>100</v>
      </c>
      <c r="C1919" s="18" t="s">
        <v>125</v>
      </c>
      <c r="D1919" s="18">
        <f>ROUND(AVERAGE(D1916:D1918),0)</f>
        <v>57</v>
      </c>
      <c r="E1919" s="18" t="s">
        <v>131</v>
      </c>
      <c r="F1919" s="18" t="str">
        <f>IF(OR(D1919&gt;Answers!L1934,D1919&lt;Answers!L1935),"Outlier","Normal")</f>
        <v>Outlier</v>
      </c>
      <c r="G1919" s="19" t="str">
        <f t="shared" si="29"/>
        <v>40-50</v>
      </c>
    </row>
    <row r="1920" spans="1:7" ht="20" customHeight="1" x14ac:dyDescent="0.35">
      <c r="A1920" s="17">
        <v>1919</v>
      </c>
      <c r="B1920" s="23" t="s">
        <v>100</v>
      </c>
      <c r="C1920" s="18" t="s">
        <v>125</v>
      </c>
      <c r="D1920" s="18">
        <v>86</v>
      </c>
      <c r="E1920" s="18" t="s">
        <v>131</v>
      </c>
      <c r="F1920" s="18" t="str">
        <f>IF(OR(D1920&gt;Answers!L1935,D1920&lt;Answers!L1936),"Outlier","Normal")</f>
        <v>Outlier</v>
      </c>
      <c r="G1920" s="19" t="str">
        <f t="shared" si="29"/>
        <v>40-50</v>
      </c>
    </row>
    <row r="1921" spans="1:7" ht="20" customHeight="1" x14ac:dyDescent="0.35">
      <c r="A1921" s="17">
        <v>1920</v>
      </c>
      <c r="B1921" s="23" t="s">
        <v>99</v>
      </c>
      <c r="C1921" s="18" t="s">
        <v>125</v>
      </c>
      <c r="D1921" s="18">
        <v>43</v>
      </c>
      <c r="E1921" s="18" t="s">
        <v>131</v>
      </c>
      <c r="F1921" s="18" t="str">
        <f>IF(OR(D1921&gt;Answers!L1936,D1921&lt;Answers!L1937),"Outlier","Normal")</f>
        <v>Outlier</v>
      </c>
      <c r="G1921" s="19" t="str">
        <f t="shared" si="29"/>
        <v>40-50</v>
      </c>
    </row>
    <row r="1922" spans="1:7" ht="20" customHeight="1" x14ac:dyDescent="0.35">
      <c r="A1922" s="17">
        <v>1921</v>
      </c>
      <c r="B1922" s="23" t="s">
        <v>99</v>
      </c>
      <c r="C1922" s="18" t="s">
        <v>126</v>
      </c>
      <c r="D1922" s="18">
        <v>62</v>
      </c>
      <c r="E1922" s="18" t="s">
        <v>131</v>
      </c>
      <c r="F1922" s="18" t="str">
        <f>IF(OR(D1922&gt;Answers!L1937,D1922&lt;Answers!L1938),"Outlier","Normal")</f>
        <v>Outlier</v>
      </c>
      <c r="G1922" s="19" t="str">
        <f t="shared" si="29"/>
        <v>40-50</v>
      </c>
    </row>
    <row r="1923" spans="1:7" ht="20" customHeight="1" x14ac:dyDescent="0.35">
      <c r="A1923" s="17">
        <v>1922</v>
      </c>
      <c r="B1923" s="23" t="s">
        <v>105</v>
      </c>
      <c r="C1923" s="18" t="s">
        <v>126</v>
      </c>
      <c r="D1923" s="18">
        <v>59</v>
      </c>
      <c r="E1923" s="18" t="s">
        <v>131</v>
      </c>
      <c r="F1923" s="18" t="str">
        <f>IF(OR(D1923&gt;Answers!L1938,D1923&lt;Answers!L1939),"Outlier","Normal")</f>
        <v>Outlier</v>
      </c>
      <c r="G1923" s="19" t="str">
        <f t="shared" ref="G1923:G1986" si="30">IF(D1923&lt;20,"&lt;20",
IF(D1923&lt;=30,"20-30",
IF(D1923&lt;=40,"30-40","40-50")))</f>
        <v>40-50</v>
      </c>
    </row>
    <row r="1924" spans="1:7" ht="20" customHeight="1" x14ac:dyDescent="0.35">
      <c r="A1924" s="17">
        <v>1923</v>
      </c>
      <c r="B1924" s="23" t="s">
        <v>107</v>
      </c>
      <c r="C1924" s="18" t="s">
        <v>125</v>
      </c>
      <c r="D1924" s="18">
        <v>29</v>
      </c>
      <c r="E1924" s="18" t="s">
        <v>131</v>
      </c>
      <c r="F1924" s="18" t="str">
        <f>IF(OR(D1924&gt;Answers!L1939,D1924&lt;Answers!L1940),"Outlier","Normal")</f>
        <v>Outlier</v>
      </c>
      <c r="G1924" s="19" t="str">
        <f t="shared" si="30"/>
        <v>20-30</v>
      </c>
    </row>
    <row r="1925" spans="1:7" ht="20" customHeight="1" x14ac:dyDescent="0.35">
      <c r="A1925" s="17">
        <v>1924</v>
      </c>
      <c r="B1925" s="23" t="s">
        <v>107</v>
      </c>
      <c r="C1925" s="18" t="s">
        <v>126</v>
      </c>
      <c r="D1925" s="18">
        <v>48</v>
      </c>
      <c r="E1925" s="18" t="s">
        <v>131</v>
      </c>
      <c r="F1925" s="18" t="str">
        <f>IF(OR(D1925&gt;Answers!L1940,D1925&lt;Answers!L1941),"Outlier","Normal")</f>
        <v>Outlier</v>
      </c>
      <c r="G1925" s="19" t="str">
        <f t="shared" si="30"/>
        <v>40-50</v>
      </c>
    </row>
    <row r="1926" spans="1:7" ht="20" customHeight="1" x14ac:dyDescent="0.35">
      <c r="A1926" s="17">
        <v>1925</v>
      </c>
      <c r="B1926" s="23" t="s">
        <v>99</v>
      </c>
      <c r="C1926" s="18" t="s">
        <v>125</v>
      </c>
      <c r="D1926" s="18">
        <v>65</v>
      </c>
      <c r="E1926" s="18" t="s">
        <v>131</v>
      </c>
      <c r="F1926" s="18" t="str">
        <f>IF(OR(D1926&gt;Answers!L1941,D1926&lt;Answers!L1942),"Outlier","Normal")</f>
        <v>Outlier</v>
      </c>
      <c r="G1926" s="19" t="str">
        <f t="shared" si="30"/>
        <v>40-50</v>
      </c>
    </row>
    <row r="1927" spans="1:7" ht="20" customHeight="1" x14ac:dyDescent="0.35">
      <c r="A1927" s="17">
        <v>1926</v>
      </c>
      <c r="B1927" s="23" t="s">
        <v>105</v>
      </c>
      <c r="C1927" s="18" t="s">
        <v>126</v>
      </c>
      <c r="D1927" s="18">
        <v>24</v>
      </c>
      <c r="E1927" s="18" t="s">
        <v>131</v>
      </c>
      <c r="F1927" s="18" t="str">
        <f>IF(OR(D1927&gt;Answers!L1942,D1927&lt;Answers!L1943),"Outlier","Normal")</f>
        <v>Outlier</v>
      </c>
      <c r="G1927" s="19" t="str">
        <f t="shared" si="30"/>
        <v>20-30</v>
      </c>
    </row>
    <row r="1928" spans="1:7" ht="20" customHeight="1" x14ac:dyDescent="0.35">
      <c r="A1928" s="17">
        <v>1927</v>
      </c>
      <c r="B1928" s="23" t="s">
        <v>105</v>
      </c>
      <c r="C1928" s="18" t="s">
        <v>126</v>
      </c>
      <c r="D1928" s="18">
        <v>52</v>
      </c>
      <c r="E1928" s="18" t="s">
        <v>131</v>
      </c>
      <c r="F1928" s="18" t="str">
        <f>IF(OR(D1928&gt;Answers!L1943,D1928&lt;Answers!L1944),"Outlier","Normal")</f>
        <v>Outlier</v>
      </c>
      <c r="G1928" s="19" t="str">
        <f t="shared" si="30"/>
        <v>40-50</v>
      </c>
    </row>
    <row r="1929" spans="1:7" ht="20" customHeight="1" x14ac:dyDescent="0.35">
      <c r="A1929" s="17">
        <v>1928</v>
      </c>
      <c r="B1929" s="23" t="s">
        <v>101</v>
      </c>
      <c r="C1929" s="18" t="s">
        <v>125</v>
      </c>
      <c r="D1929" s="18">
        <v>62</v>
      </c>
      <c r="E1929" s="18" t="s">
        <v>131</v>
      </c>
      <c r="F1929" s="18" t="str">
        <f>IF(OR(D1929&gt;Answers!L1944,D1929&lt;Answers!L1945),"Outlier","Normal")</f>
        <v>Outlier</v>
      </c>
      <c r="G1929" s="19" t="str">
        <f t="shared" si="30"/>
        <v>40-50</v>
      </c>
    </row>
    <row r="1930" spans="1:7" ht="20" customHeight="1" x14ac:dyDescent="0.35">
      <c r="A1930" s="17">
        <v>1929</v>
      </c>
      <c r="B1930" s="23" t="s">
        <v>100</v>
      </c>
      <c r="C1930" s="18" t="s">
        <v>126</v>
      </c>
      <c r="D1930" s="18">
        <v>69</v>
      </c>
      <c r="E1930" s="18" t="s">
        <v>131</v>
      </c>
      <c r="F1930" s="18" t="str">
        <f>IF(OR(D1930&gt;Answers!L1945,D1930&lt;Answers!L1946),"Outlier","Normal")</f>
        <v>Outlier</v>
      </c>
      <c r="G1930" s="19" t="str">
        <f t="shared" si="30"/>
        <v>40-50</v>
      </c>
    </row>
    <row r="1931" spans="1:7" ht="20" customHeight="1" x14ac:dyDescent="0.35">
      <c r="A1931" s="17">
        <v>1930</v>
      </c>
      <c r="B1931" s="23" t="s">
        <v>99</v>
      </c>
      <c r="C1931" s="18" t="s">
        <v>126</v>
      </c>
      <c r="D1931" s="18">
        <v>40</v>
      </c>
      <c r="E1931" s="18" t="s">
        <v>131</v>
      </c>
      <c r="F1931" s="18" t="str">
        <f>IF(OR(D1931&gt;Answers!L1946,D1931&lt;Answers!L1947),"Outlier","Normal")</f>
        <v>Outlier</v>
      </c>
      <c r="G1931" s="19" t="str">
        <f t="shared" si="30"/>
        <v>30-40</v>
      </c>
    </row>
    <row r="1932" spans="1:7" ht="20" customHeight="1" x14ac:dyDescent="0.35">
      <c r="A1932" s="17">
        <v>1931</v>
      </c>
      <c r="B1932" s="23" t="s">
        <v>99</v>
      </c>
      <c r="C1932" s="18" t="s">
        <v>126</v>
      </c>
      <c r="D1932" s="18">
        <v>76</v>
      </c>
      <c r="E1932" s="18" t="s">
        <v>131</v>
      </c>
      <c r="F1932" s="18" t="str">
        <f>IF(OR(D1932&gt;Answers!L1947,D1932&lt;Answers!L1948),"Outlier","Normal")</f>
        <v>Outlier</v>
      </c>
      <c r="G1932" s="19" t="str">
        <f t="shared" si="30"/>
        <v>40-50</v>
      </c>
    </row>
    <row r="1933" spans="1:7" ht="20" customHeight="1" x14ac:dyDescent="0.35">
      <c r="A1933" s="17">
        <v>1932</v>
      </c>
      <c r="B1933" s="23" t="s">
        <v>103</v>
      </c>
      <c r="C1933" s="18" t="s">
        <v>126</v>
      </c>
      <c r="D1933" s="18">
        <v>72</v>
      </c>
      <c r="E1933" s="18" t="s">
        <v>131</v>
      </c>
      <c r="F1933" s="18" t="str">
        <f>IF(OR(D1933&gt;Answers!L1948,D1933&lt;Answers!L1949),"Outlier","Normal")</f>
        <v>Outlier</v>
      </c>
      <c r="G1933" s="19" t="str">
        <f t="shared" si="30"/>
        <v>40-50</v>
      </c>
    </row>
    <row r="1934" spans="1:7" ht="20" customHeight="1" x14ac:dyDescent="0.35">
      <c r="A1934" s="17">
        <v>1933</v>
      </c>
      <c r="B1934" s="23" t="s">
        <v>105</v>
      </c>
      <c r="C1934" s="18" t="s">
        <v>125</v>
      </c>
      <c r="D1934" s="18">
        <v>62</v>
      </c>
      <c r="E1934" s="18" t="s">
        <v>131</v>
      </c>
      <c r="F1934" s="18" t="str">
        <f>IF(OR(D1934&gt;Answers!L1949,D1934&lt;Answers!L1950),"Outlier","Normal")</f>
        <v>Outlier</v>
      </c>
      <c r="G1934" s="19" t="str">
        <f t="shared" si="30"/>
        <v>40-50</v>
      </c>
    </row>
    <row r="1935" spans="1:7" ht="20" customHeight="1" x14ac:dyDescent="0.35">
      <c r="A1935" s="17">
        <v>1934</v>
      </c>
      <c r="B1935" s="23" t="s">
        <v>105</v>
      </c>
      <c r="C1935" s="18" t="s">
        <v>125</v>
      </c>
      <c r="D1935" s="18">
        <v>25</v>
      </c>
      <c r="E1935" s="18" t="s">
        <v>131</v>
      </c>
      <c r="F1935" s="18" t="str">
        <f>IF(OR(D1935&gt;Answers!L1950,D1935&lt;Answers!L1951),"Outlier","Normal")</f>
        <v>Outlier</v>
      </c>
      <c r="G1935" s="19" t="str">
        <f t="shared" si="30"/>
        <v>20-30</v>
      </c>
    </row>
    <row r="1936" spans="1:7" ht="20" customHeight="1" x14ac:dyDescent="0.35">
      <c r="A1936" s="17">
        <v>1935</v>
      </c>
      <c r="B1936" s="23" t="s">
        <v>105</v>
      </c>
      <c r="C1936" s="18" t="s">
        <v>126</v>
      </c>
      <c r="D1936" s="18">
        <v>77</v>
      </c>
      <c r="E1936" s="18" t="s">
        <v>131</v>
      </c>
      <c r="F1936" s="18" t="str">
        <f>IF(OR(D1936&gt;Answers!L1951,D1936&lt;Answers!L1952),"Outlier","Normal")</f>
        <v>Outlier</v>
      </c>
      <c r="G1936" s="19" t="str">
        <f t="shared" si="30"/>
        <v>40-50</v>
      </c>
    </row>
    <row r="1937" spans="1:7" ht="20" customHeight="1" x14ac:dyDescent="0.35">
      <c r="A1937" s="17">
        <v>1936</v>
      </c>
      <c r="B1937" s="23" t="s">
        <v>101</v>
      </c>
      <c r="C1937" s="18" t="s">
        <v>126</v>
      </c>
      <c r="D1937" s="18">
        <v>78</v>
      </c>
      <c r="E1937" s="18" t="s">
        <v>131</v>
      </c>
      <c r="F1937" s="18" t="str">
        <f>IF(OR(D1937&gt;Answers!L1952,D1937&lt;Answers!L1953),"Outlier","Normal")</f>
        <v>Outlier</v>
      </c>
      <c r="G1937" s="19" t="str">
        <f t="shared" si="30"/>
        <v>40-50</v>
      </c>
    </row>
    <row r="1938" spans="1:7" ht="20" customHeight="1" x14ac:dyDescent="0.35">
      <c r="A1938" s="17">
        <v>1937</v>
      </c>
      <c r="B1938" s="23" t="s">
        <v>104</v>
      </c>
      <c r="C1938" s="18" t="s">
        <v>126</v>
      </c>
      <c r="D1938" s="18">
        <v>27</v>
      </c>
      <c r="E1938" s="18" t="s">
        <v>131</v>
      </c>
      <c r="F1938" s="18" t="str">
        <f>IF(OR(D1938&gt;Answers!L1953,D1938&lt;Answers!L1954),"Outlier","Normal")</f>
        <v>Outlier</v>
      </c>
      <c r="G1938" s="19" t="str">
        <f t="shared" si="30"/>
        <v>20-30</v>
      </c>
    </row>
    <row r="1939" spans="1:7" ht="20" customHeight="1" x14ac:dyDescent="0.35">
      <c r="A1939" s="17">
        <v>1938</v>
      </c>
      <c r="B1939" s="23" t="s">
        <v>99</v>
      </c>
      <c r="C1939" s="18" t="s">
        <v>125</v>
      </c>
      <c r="D1939" s="18">
        <v>70</v>
      </c>
      <c r="E1939" s="18" t="s">
        <v>131</v>
      </c>
      <c r="F1939" s="18" t="str">
        <f>IF(OR(D1939&gt;Answers!L1954,D1939&lt;Answers!L1955),"Outlier","Normal")</f>
        <v>Outlier</v>
      </c>
      <c r="G1939" s="19" t="str">
        <f t="shared" si="30"/>
        <v>40-50</v>
      </c>
    </row>
    <row r="1940" spans="1:7" ht="20" customHeight="1" x14ac:dyDescent="0.35">
      <c r="A1940" s="17">
        <v>1939</v>
      </c>
      <c r="B1940" s="23" t="s">
        <v>99</v>
      </c>
      <c r="C1940" s="18" t="s">
        <v>125</v>
      </c>
      <c r="D1940" s="18">
        <v>44</v>
      </c>
      <c r="E1940" s="18" t="s">
        <v>131</v>
      </c>
      <c r="F1940" s="18" t="str">
        <f>IF(OR(D1940&gt;Answers!L1955,D1940&lt;Answers!L1956),"Outlier","Normal")</f>
        <v>Outlier</v>
      </c>
      <c r="G1940" s="19" t="str">
        <f t="shared" si="30"/>
        <v>40-50</v>
      </c>
    </row>
    <row r="1941" spans="1:7" ht="20" customHeight="1" x14ac:dyDescent="0.35">
      <c r="A1941" s="17">
        <v>1940</v>
      </c>
      <c r="B1941" s="23" t="s">
        <v>105</v>
      </c>
      <c r="C1941" s="18" t="s">
        <v>125</v>
      </c>
      <c r="D1941" s="18">
        <v>46</v>
      </c>
      <c r="E1941" s="18" t="s">
        <v>131</v>
      </c>
      <c r="F1941" s="18" t="str">
        <f>IF(OR(D1941&gt;Answers!L1956,D1941&lt;Answers!L1957),"Outlier","Normal")</f>
        <v>Outlier</v>
      </c>
      <c r="G1941" s="19" t="str">
        <f t="shared" si="30"/>
        <v>40-50</v>
      </c>
    </row>
    <row r="1942" spans="1:7" ht="20" customHeight="1" x14ac:dyDescent="0.35">
      <c r="A1942" s="17">
        <v>1941</v>
      </c>
      <c r="B1942" s="23" t="s">
        <v>105</v>
      </c>
      <c r="C1942" s="18" t="s">
        <v>126</v>
      </c>
      <c r="D1942" s="18">
        <v>86</v>
      </c>
      <c r="E1942" s="18" t="s">
        <v>131</v>
      </c>
      <c r="F1942" s="18" t="str">
        <f>IF(OR(D1942&gt;Answers!L1957,D1942&lt;Answers!L1958),"Outlier","Normal")</f>
        <v>Outlier</v>
      </c>
      <c r="G1942" s="19" t="str">
        <f t="shared" si="30"/>
        <v>40-50</v>
      </c>
    </row>
    <row r="1943" spans="1:7" ht="20" customHeight="1" x14ac:dyDescent="0.35">
      <c r="A1943" s="17">
        <v>1942</v>
      </c>
      <c r="B1943" s="23" t="s">
        <v>99</v>
      </c>
      <c r="C1943" s="18" t="s">
        <v>126</v>
      </c>
      <c r="D1943" s="18">
        <v>30</v>
      </c>
      <c r="E1943" s="18" t="s">
        <v>131</v>
      </c>
      <c r="F1943" s="18" t="str">
        <f>IF(OR(D1943&gt;Answers!L1958,D1943&lt;Answers!L1959),"Outlier","Normal")</f>
        <v>Outlier</v>
      </c>
      <c r="G1943" s="19" t="str">
        <f t="shared" si="30"/>
        <v>20-30</v>
      </c>
    </row>
    <row r="1944" spans="1:7" ht="20" customHeight="1" x14ac:dyDescent="0.35">
      <c r="A1944" s="17">
        <v>1943</v>
      </c>
      <c r="B1944" s="23" t="s">
        <v>99</v>
      </c>
      <c r="C1944" s="18" t="s">
        <v>126</v>
      </c>
      <c r="D1944" s="18">
        <v>72</v>
      </c>
      <c r="E1944" s="18" t="s">
        <v>131</v>
      </c>
      <c r="F1944" s="18" t="str">
        <f>IF(OR(D1944&gt;Answers!L1959,D1944&lt;Answers!L1960),"Outlier","Normal")</f>
        <v>Outlier</v>
      </c>
      <c r="G1944" s="19" t="str">
        <f t="shared" si="30"/>
        <v>40-50</v>
      </c>
    </row>
    <row r="1945" spans="1:7" ht="20" customHeight="1" x14ac:dyDescent="0.35">
      <c r="A1945" s="17">
        <v>1944</v>
      </c>
      <c r="B1945" s="23" t="s">
        <v>105</v>
      </c>
      <c r="C1945" s="18" t="s">
        <v>125</v>
      </c>
      <c r="D1945" s="18">
        <v>82</v>
      </c>
      <c r="E1945" s="18" t="s">
        <v>131</v>
      </c>
      <c r="F1945" s="18" t="str">
        <f>IF(OR(D1945&gt;Answers!L1960,D1945&lt;Answers!L1961),"Outlier","Normal")</f>
        <v>Outlier</v>
      </c>
      <c r="G1945" s="19" t="str">
        <f t="shared" si="30"/>
        <v>40-50</v>
      </c>
    </row>
    <row r="1946" spans="1:7" ht="20" customHeight="1" x14ac:dyDescent="0.35">
      <c r="A1946" s="17">
        <v>1945</v>
      </c>
      <c r="B1946" s="23" t="s">
        <v>99</v>
      </c>
      <c r="C1946" s="18" t="s">
        <v>125</v>
      </c>
      <c r="D1946" s="18">
        <v>62</v>
      </c>
      <c r="E1946" s="18" t="s">
        <v>131</v>
      </c>
      <c r="F1946" s="18" t="str">
        <f>IF(OR(D1946&gt;Answers!L1961,D1946&lt;Answers!L1962),"Outlier","Normal")</f>
        <v>Outlier</v>
      </c>
      <c r="G1946" s="19" t="str">
        <f t="shared" si="30"/>
        <v>40-50</v>
      </c>
    </row>
    <row r="1947" spans="1:7" ht="20" customHeight="1" x14ac:dyDescent="0.35">
      <c r="A1947" s="17">
        <v>1946</v>
      </c>
      <c r="B1947" s="23" t="s">
        <v>99</v>
      </c>
      <c r="C1947" s="18" t="s">
        <v>125</v>
      </c>
      <c r="D1947" s="18">
        <v>75</v>
      </c>
      <c r="E1947" s="18" t="s">
        <v>131</v>
      </c>
      <c r="F1947" s="18" t="str">
        <f>IF(OR(D1947&gt;Answers!L1962,D1947&lt;Answers!L1963),"Outlier","Normal")</f>
        <v>Outlier</v>
      </c>
      <c r="G1947" s="19" t="str">
        <f t="shared" si="30"/>
        <v>40-50</v>
      </c>
    </row>
    <row r="1948" spans="1:7" ht="20" customHeight="1" x14ac:dyDescent="0.35">
      <c r="A1948" s="17">
        <v>1947</v>
      </c>
      <c r="B1948" s="23" t="s">
        <v>105</v>
      </c>
      <c r="C1948" s="18" t="s">
        <v>126</v>
      </c>
      <c r="D1948" s="18">
        <v>33</v>
      </c>
      <c r="E1948" s="18" t="s">
        <v>131</v>
      </c>
      <c r="F1948" s="18" t="str">
        <f>IF(OR(D1948&gt;Answers!L1963,D1948&lt;Answers!L1964),"Outlier","Normal")</f>
        <v>Outlier</v>
      </c>
      <c r="G1948" s="19" t="str">
        <f t="shared" si="30"/>
        <v>30-40</v>
      </c>
    </row>
    <row r="1949" spans="1:7" ht="20" customHeight="1" x14ac:dyDescent="0.35">
      <c r="A1949" s="17">
        <v>1948</v>
      </c>
      <c r="B1949" s="23" t="s">
        <v>99</v>
      </c>
      <c r="C1949" s="18" t="s">
        <v>126</v>
      </c>
      <c r="D1949" s="18">
        <v>79</v>
      </c>
      <c r="E1949" s="18" t="s">
        <v>131</v>
      </c>
      <c r="F1949" s="18" t="str">
        <f>IF(OR(D1949&gt;Answers!L1964,D1949&lt;Answers!L1965),"Outlier","Normal")</f>
        <v>Outlier</v>
      </c>
      <c r="G1949" s="19" t="str">
        <f t="shared" si="30"/>
        <v>40-50</v>
      </c>
    </row>
    <row r="1950" spans="1:7" ht="20" customHeight="1" x14ac:dyDescent="0.35">
      <c r="A1950" s="17">
        <v>1949</v>
      </c>
      <c r="B1950" s="23" t="s">
        <v>104</v>
      </c>
      <c r="C1950" s="18" t="s">
        <v>125</v>
      </c>
      <c r="D1950" s="18">
        <v>57</v>
      </c>
      <c r="E1950" s="18" t="s">
        <v>131</v>
      </c>
      <c r="F1950" s="18" t="str">
        <f>IF(OR(D1950&gt;Answers!L1965,D1950&lt;Answers!L1966),"Outlier","Normal")</f>
        <v>Outlier</v>
      </c>
      <c r="G1950" s="19" t="str">
        <f t="shared" si="30"/>
        <v>40-50</v>
      </c>
    </row>
    <row r="1951" spans="1:7" ht="20" customHeight="1" x14ac:dyDescent="0.35">
      <c r="A1951" s="17">
        <v>1950</v>
      </c>
      <c r="B1951" s="23" t="s">
        <v>106</v>
      </c>
      <c r="C1951" s="18" t="s">
        <v>126</v>
      </c>
      <c r="D1951" s="18">
        <v>87</v>
      </c>
      <c r="E1951" s="18" t="s">
        <v>131</v>
      </c>
      <c r="F1951" s="18" t="str">
        <f>IF(OR(D1951&gt;Answers!L1966,D1951&lt;Answers!L1967),"Outlier","Normal")</f>
        <v>Outlier</v>
      </c>
      <c r="G1951" s="19" t="str">
        <f t="shared" si="30"/>
        <v>40-50</v>
      </c>
    </row>
    <row r="1952" spans="1:7" ht="20" customHeight="1" x14ac:dyDescent="0.35">
      <c r="A1952" s="17">
        <v>1951</v>
      </c>
      <c r="B1952" s="23" t="s">
        <v>108</v>
      </c>
      <c r="C1952" s="18" t="s">
        <v>125</v>
      </c>
      <c r="D1952" s="18">
        <v>28</v>
      </c>
      <c r="E1952" s="18" t="s">
        <v>131</v>
      </c>
      <c r="F1952" s="18" t="str">
        <f>IF(OR(D1952&gt;Answers!L1967,D1952&lt;Answers!L1968),"Outlier","Normal")</f>
        <v>Outlier</v>
      </c>
      <c r="G1952" s="19" t="str">
        <f t="shared" si="30"/>
        <v>20-30</v>
      </c>
    </row>
    <row r="1953" spans="1:7" ht="20" customHeight="1" x14ac:dyDescent="0.35">
      <c r="A1953" s="17">
        <v>1952</v>
      </c>
      <c r="B1953" s="23" t="s">
        <v>99</v>
      </c>
      <c r="C1953" s="18" t="s">
        <v>125</v>
      </c>
      <c r="D1953" s="18">
        <v>49</v>
      </c>
      <c r="E1953" s="18" t="s">
        <v>131</v>
      </c>
      <c r="F1953" s="18" t="str">
        <f>IF(OR(D1953&gt;Answers!L1968,D1953&lt;Answers!L1969),"Outlier","Normal")</f>
        <v>Outlier</v>
      </c>
      <c r="G1953" s="19" t="str">
        <f t="shared" si="30"/>
        <v>40-50</v>
      </c>
    </row>
    <row r="1954" spans="1:7" ht="20" customHeight="1" x14ac:dyDescent="0.35">
      <c r="A1954" s="17">
        <v>1953</v>
      </c>
      <c r="B1954" s="23" t="s">
        <v>99</v>
      </c>
      <c r="C1954" s="18" t="s">
        <v>125</v>
      </c>
      <c r="D1954" s="18">
        <v>19</v>
      </c>
      <c r="E1954" s="18" t="s">
        <v>131</v>
      </c>
      <c r="F1954" s="18" t="str">
        <f>IF(OR(D1954&gt;Answers!L1969,D1954&lt;Answers!L1970),"Outlier","Normal")</f>
        <v>Outlier</v>
      </c>
      <c r="G1954" s="19" t="str">
        <f t="shared" si="30"/>
        <v>&lt;20</v>
      </c>
    </row>
    <row r="1955" spans="1:7" ht="20" customHeight="1" x14ac:dyDescent="0.35">
      <c r="A1955" s="17">
        <v>1954</v>
      </c>
      <c r="B1955" s="23" t="s">
        <v>102</v>
      </c>
      <c r="C1955" s="18" t="s">
        <v>126</v>
      </c>
      <c r="D1955" s="18">
        <v>55</v>
      </c>
      <c r="E1955" s="18" t="s">
        <v>131</v>
      </c>
      <c r="F1955" s="18" t="str">
        <f>IF(OR(D1955&gt;Answers!L1970,D1955&lt;Answers!L1971),"Outlier","Normal")</f>
        <v>Outlier</v>
      </c>
      <c r="G1955" s="19" t="str">
        <f t="shared" si="30"/>
        <v>40-50</v>
      </c>
    </row>
    <row r="1956" spans="1:7" ht="20" customHeight="1" x14ac:dyDescent="0.35">
      <c r="A1956" s="17">
        <v>1955</v>
      </c>
      <c r="B1956" s="23" t="s">
        <v>105</v>
      </c>
      <c r="C1956" s="18" t="s">
        <v>126</v>
      </c>
      <c r="D1956" s="18">
        <v>68</v>
      </c>
      <c r="E1956" s="18" t="s">
        <v>131</v>
      </c>
      <c r="F1956" s="18" t="str">
        <f>IF(OR(D1956&gt;Answers!L1971,D1956&lt;Answers!L1972),"Outlier","Normal")</f>
        <v>Outlier</v>
      </c>
      <c r="G1956" s="19" t="str">
        <f t="shared" si="30"/>
        <v>40-50</v>
      </c>
    </row>
    <row r="1957" spans="1:7" ht="20" customHeight="1" x14ac:dyDescent="0.35">
      <c r="A1957" s="17">
        <v>1956</v>
      </c>
      <c r="B1957" s="23" t="s">
        <v>104</v>
      </c>
      <c r="C1957" s="18" t="s">
        <v>125</v>
      </c>
      <c r="D1957" s="18">
        <v>41</v>
      </c>
      <c r="E1957" s="18" t="s">
        <v>131</v>
      </c>
      <c r="F1957" s="18" t="str">
        <f>IF(OR(D1957&gt;Answers!L1972,D1957&lt;Answers!L1973),"Outlier","Normal")</f>
        <v>Outlier</v>
      </c>
      <c r="G1957" s="19" t="str">
        <f t="shared" si="30"/>
        <v>40-50</v>
      </c>
    </row>
    <row r="1958" spans="1:7" ht="20" customHeight="1" x14ac:dyDescent="0.35">
      <c r="A1958" s="17">
        <v>1957</v>
      </c>
      <c r="B1958" s="23" t="s">
        <v>99</v>
      </c>
      <c r="C1958" s="18" t="s">
        <v>126</v>
      </c>
      <c r="D1958" s="18">
        <v>42</v>
      </c>
      <c r="E1958" s="18" t="s">
        <v>131</v>
      </c>
      <c r="F1958" s="18" t="str">
        <f>IF(OR(D1958&gt;Answers!L1973,D1958&lt;Answers!L1974),"Outlier","Normal")</f>
        <v>Outlier</v>
      </c>
      <c r="G1958" s="19" t="str">
        <f t="shared" si="30"/>
        <v>40-50</v>
      </c>
    </row>
    <row r="1959" spans="1:7" ht="20" customHeight="1" x14ac:dyDescent="0.35">
      <c r="A1959" s="17">
        <v>1958</v>
      </c>
      <c r="B1959" s="23" t="s">
        <v>111</v>
      </c>
      <c r="C1959" s="18" t="s">
        <v>126</v>
      </c>
      <c r="D1959" s="18">
        <v>23</v>
      </c>
      <c r="E1959" s="18" t="s">
        <v>131</v>
      </c>
      <c r="F1959" s="18" t="str">
        <f>IF(OR(D1959&gt;Answers!L1974,D1959&lt;Answers!L1975),"Outlier","Normal")</f>
        <v>Outlier</v>
      </c>
      <c r="G1959" s="19" t="str">
        <f t="shared" si="30"/>
        <v>20-30</v>
      </c>
    </row>
    <row r="1960" spans="1:7" ht="20" customHeight="1" x14ac:dyDescent="0.35">
      <c r="A1960" s="17">
        <v>1959</v>
      </c>
      <c r="B1960" s="23" t="s">
        <v>109</v>
      </c>
      <c r="C1960" s="18" t="s">
        <v>125</v>
      </c>
      <c r="D1960" s="18">
        <v>28</v>
      </c>
      <c r="E1960" s="18" t="s">
        <v>131</v>
      </c>
      <c r="F1960" s="18" t="str">
        <f>IF(OR(D1960&gt;Answers!L1975,D1960&lt;Answers!L1976),"Outlier","Normal")</f>
        <v>Outlier</v>
      </c>
      <c r="G1960" s="19" t="str">
        <f t="shared" si="30"/>
        <v>20-30</v>
      </c>
    </row>
    <row r="1961" spans="1:7" ht="20" customHeight="1" x14ac:dyDescent="0.35">
      <c r="A1961" s="17">
        <v>1960</v>
      </c>
      <c r="B1961" s="23" t="s">
        <v>111</v>
      </c>
      <c r="C1961" s="18" t="s">
        <v>126</v>
      </c>
      <c r="D1961" s="18">
        <v>33</v>
      </c>
      <c r="E1961" s="18" t="s">
        <v>131</v>
      </c>
      <c r="F1961" s="18" t="str">
        <f>IF(OR(D1961&gt;Answers!L1976,D1961&lt;Answers!L1977),"Outlier","Normal")</f>
        <v>Outlier</v>
      </c>
      <c r="G1961" s="19" t="str">
        <f t="shared" si="30"/>
        <v>30-40</v>
      </c>
    </row>
    <row r="1962" spans="1:7" ht="20" customHeight="1" x14ac:dyDescent="0.35">
      <c r="A1962" s="17">
        <v>1961</v>
      </c>
      <c r="B1962" s="23" t="s">
        <v>109</v>
      </c>
      <c r="C1962" s="18" t="s">
        <v>125</v>
      </c>
      <c r="D1962" s="18">
        <v>87</v>
      </c>
      <c r="E1962" s="18" t="s">
        <v>131</v>
      </c>
      <c r="F1962" s="18" t="str">
        <f>IF(OR(D1962&gt;Answers!L1977,D1962&lt;Answers!L1978),"Outlier","Normal")</f>
        <v>Outlier</v>
      </c>
      <c r="G1962" s="19" t="str">
        <f t="shared" si="30"/>
        <v>40-50</v>
      </c>
    </row>
    <row r="1963" spans="1:7" ht="20" customHeight="1" x14ac:dyDescent="0.35">
      <c r="A1963" s="17">
        <v>1962</v>
      </c>
      <c r="B1963" s="23" t="s">
        <v>99</v>
      </c>
      <c r="C1963" s="18" t="s">
        <v>125</v>
      </c>
      <c r="D1963" s="18">
        <v>23</v>
      </c>
      <c r="E1963" s="18" t="s">
        <v>131</v>
      </c>
      <c r="F1963" s="18" t="str">
        <f>IF(OR(D1963&gt;Answers!L1978,D1963&lt;Answers!L1979),"Outlier","Normal")</f>
        <v>Outlier</v>
      </c>
      <c r="G1963" s="19" t="str">
        <f t="shared" si="30"/>
        <v>20-30</v>
      </c>
    </row>
    <row r="1964" spans="1:7" ht="20" customHeight="1" x14ac:dyDescent="0.35">
      <c r="A1964" s="17">
        <v>1963</v>
      </c>
      <c r="B1964" s="23" t="s">
        <v>101</v>
      </c>
      <c r="C1964" s="18" t="s">
        <v>126</v>
      </c>
      <c r="D1964" s="18">
        <v>25</v>
      </c>
      <c r="E1964" s="18" t="s">
        <v>131</v>
      </c>
      <c r="F1964" s="18" t="str">
        <f>IF(OR(D1964&gt;Answers!L1979,D1964&lt;Answers!L1980),"Outlier","Normal")</f>
        <v>Outlier</v>
      </c>
      <c r="G1964" s="19" t="str">
        <f t="shared" si="30"/>
        <v>20-30</v>
      </c>
    </row>
    <row r="1965" spans="1:7" ht="20" customHeight="1" x14ac:dyDescent="0.35">
      <c r="A1965" s="17">
        <v>1964</v>
      </c>
      <c r="B1965" s="23" t="s">
        <v>105</v>
      </c>
      <c r="C1965" s="18" t="s">
        <v>126</v>
      </c>
      <c r="D1965" s="18">
        <v>32</v>
      </c>
      <c r="E1965" s="18" t="s">
        <v>131</v>
      </c>
      <c r="F1965" s="18" t="str">
        <f>IF(OR(D1965&gt;Answers!L1980,D1965&lt;Answers!L1981),"Outlier","Normal")</f>
        <v>Outlier</v>
      </c>
      <c r="G1965" s="19" t="str">
        <f t="shared" si="30"/>
        <v>30-40</v>
      </c>
    </row>
    <row r="1966" spans="1:7" ht="20" customHeight="1" x14ac:dyDescent="0.35">
      <c r="A1966" s="17">
        <v>1965</v>
      </c>
      <c r="B1966" s="23" t="s">
        <v>100</v>
      </c>
      <c r="C1966" s="18" t="s">
        <v>125</v>
      </c>
      <c r="D1966" s="18">
        <v>84</v>
      </c>
      <c r="E1966" s="18" t="s">
        <v>131</v>
      </c>
      <c r="F1966" s="18" t="str">
        <f>IF(OR(D1966&gt;Answers!L1981,D1966&lt;Answers!L1982),"Outlier","Normal")</f>
        <v>Outlier</v>
      </c>
      <c r="G1966" s="19" t="str">
        <f t="shared" si="30"/>
        <v>40-50</v>
      </c>
    </row>
    <row r="1967" spans="1:7" ht="20" customHeight="1" x14ac:dyDescent="0.35">
      <c r="A1967" s="17">
        <v>1966</v>
      </c>
      <c r="B1967" s="23" t="s">
        <v>107</v>
      </c>
      <c r="C1967" s="18" t="s">
        <v>125</v>
      </c>
      <c r="D1967" s="18">
        <v>82</v>
      </c>
      <c r="E1967" s="18" t="s">
        <v>131</v>
      </c>
      <c r="F1967" s="18" t="str">
        <f>IF(OR(D1967&gt;Answers!L1982,D1967&lt;Answers!L1983),"Outlier","Normal")</f>
        <v>Outlier</v>
      </c>
      <c r="G1967" s="19" t="str">
        <f t="shared" si="30"/>
        <v>40-50</v>
      </c>
    </row>
    <row r="1968" spans="1:7" ht="20" customHeight="1" x14ac:dyDescent="0.35">
      <c r="A1968" s="17">
        <v>1967</v>
      </c>
      <c r="B1968" s="23" t="s">
        <v>105</v>
      </c>
      <c r="C1968" s="18" t="s">
        <v>125</v>
      </c>
      <c r="D1968" s="18">
        <v>89</v>
      </c>
      <c r="E1968" s="18" t="s">
        <v>131</v>
      </c>
      <c r="F1968" s="18" t="str">
        <f>IF(OR(D1968&gt;Answers!L1983,D1968&lt;Answers!L1984),"Outlier","Normal")</f>
        <v>Outlier</v>
      </c>
      <c r="G1968" s="19" t="str">
        <f t="shared" si="30"/>
        <v>40-50</v>
      </c>
    </row>
    <row r="1969" spans="1:7" ht="20" customHeight="1" x14ac:dyDescent="0.35">
      <c r="A1969" s="17">
        <v>1968</v>
      </c>
      <c r="B1969" s="23" t="s">
        <v>99</v>
      </c>
      <c r="C1969" s="18" t="s">
        <v>126</v>
      </c>
      <c r="D1969" s="18">
        <v>20</v>
      </c>
      <c r="E1969" s="18" t="s">
        <v>131</v>
      </c>
      <c r="F1969" s="18" t="str">
        <f>IF(OR(D1969&gt;Answers!L1984,D1969&lt;Answers!L1985),"Outlier","Normal")</f>
        <v>Outlier</v>
      </c>
      <c r="G1969" s="19" t="str">
        <f t="shared" si="30"/>
        <v>20-30</v>
      </c>
    </row>
    <row r="1970" spans="1:7" ht="20" customHeight="1" x14ac:dyDescent="0.35">
      <c r="A1970" s="17">
        <v>1969</v>
      </c>
      <c r="B1970" s="23" t="s">
        <v>105</v>
      </c>
      <c r="C1970" s="18" t="s">
        <v>125</v>
      </c>
      <c r="D1970" s="18">
        <v>41</v>
      </c>
      <c r="E1970" s="18" t="s">
        <v>131</v>
      </c>
      <c r="F1970" s="18" t="str">
        <f>IF(OR(D1970&gt;Answers!L1985,D1970&lt;Answers!L1986),"Outlier","Normal")</f>
        <v>Outlier</v>
      </c>
      <c r="G1970" s="19" t="str">
        <f t="shared" si="30"/>
        <v>40-50</v>
      </c>
    </row>
    <row r="1971" spans="1:7" ht="20" customHeight="1" x14ac:dyDescent="0.35">
      <c r="A1971" s="17">
        <v>1970</v>
      </c>
      <c r="B1971" s="23" t="s">
        <v>100</v>
      </c>
      <c r="C1971" s="18" t="s">
        <v>125</v>
      </c>
      <c r="D1971" s="18">
        <v>79</v>
      </c>
      <c r="E1971" s="18" t="s">
        <v>131</v>
      </c>
      <c r="F1971" s="18" t="str">
        <f>IF(OR(D1971&gt;Answers!L1986,D1971&lt;Answers!L1987),"Outlier","Normal")</f>
        <v>Outlier</v>
      </c>
      <c r="G1971" s="19" t="str">
        <f t="shared" si="30"/>
        <v>40-50</v>
      </c>
    </row>
    <row r="1972" spans="1:7" ht="20" customHeight="1" x14ac:dyDescent="0.35">
      <c r="A1972" s="17">
        <v>1971</v>
      </c>
      <c r="B1972" s="23" t="s">
        <v>105</v>
      </c>
      <c r="C1972" s="18" t="s">
        <v>126</v>
      </c>
      <c r="D1972" s="18">
        <v>44</v>
      </c>
      <c r="E1972" s="18" t="s">
        <v>131</v>
      </c>
      <c r="F1972" s="18" t="str">
        <f>IF(OR(D1972&gt;Answers!L1987,D1972&lt;Answers!L1988),"Outlier","Normal")</f>
        <v>Outlier</v>
      </c>
      <c r="G1972" s="19" t="str">
        <f t="shared" si="30"/>
        <v>40-50</v>
      </c>
    </row>
    <row r="1973" spans="1:7" ht="20" customHeight="1" x14ac:dyDescent="0.35">
      <c r="A1973" s="17">
        <v>1972</v>
      </c>
      <c r="B1973" s="23" t="s">
        <v>99</v>
      </c>
      <c r="C1973" s="18" t="s">
        <v>125</v>
      </c>
      <c r="D1973" s="18">
        <v>37</v>
      </c>
      <c r="E1973" s="18" t="s">
        <v>131</v>
      </c>
      <c r="F1973" s="18" t="str">
        <f>IF(OR(D1973&gt;Answers!L1988,D1973&lt;Answers!L1989),"Outlier","Normal")</f>
        <v>Outlier</v>
      </c>
      <c r="G1973" s="19" t="str">
        <f t="shared" si="30"/>
        <v>30-40</v>
      </c>
    </row>
    <row r="1974" spans="1:7" ht="20" customHeight="1" x14ac:dyDescent="0.35">
      <c r="A1974" s="17">
        <v>1973</v>
      </c>
      <c r="B1974" s="23" t="s">
        <v>99</v>
      </c>
      <c r="C1974" s="18" t="s">
        <v>125</v>
      </c>
      <c r="D1974" s="18">
        <v>64</v>
      </c>
      <c r="E1974" s="18" t="s">
        <v>131</v>
      </c>
      <c r="F1974" s="18" t="str">
        <f>IF(OR(D1974&gt;Answers!L1989,D1974&lt;Answers!L1990),"Outlier","Normal")</f>
        <v>Outlier</v>
      </c>
      <c r="G1974" s="19" t="str">
        <f t="shared" si="30"/>
        <v>40-50</v>
      </c>
    </row>
    <row r="1975" spans="1:7" ht="20" customHeight="1" x14ac:dyDescent="0.35">
      <c r="A1975" s="17">
        <v>1974</v>
      </c>
      <c r="B1975" s="23" t="s">
        <v>99</v>
      </c>
      <c r="C1975" s="18" t="s">
        <v>126</v>
      </c>
      <c r="D1975" s="18">
        <v>74</v>
      </c>
      <c r="E1975" s="18" t="s">
        <v>131</v>
      </c>
      <c r="F1975" s="18" t="str">
        <f>IF(OR(D1975&gt;Answers!L1990,D1975&lt;Answers!L1991),"Outlier","Normal")</f>
        <v>Outlier</v>
      </c>
      <c r="G1975" s="19" t="str">
        <f t="shared" si="30"/>
        <v>40-50</v>
      </c>
    </row>
    <row r="1976" spans="1:7" ht="20" customHeight="1" x14ac:dyDescent="0.35">
      <c r="A1976" s="17">
        <v>1975</v>
      </c>
      <c r="B1976" s="23" t="s">
        <v>99</v>
      </c>
      <c r="C1976" s="18" t="s">
        <v>125</v>
      </c>
      <c r="D1976" s="18">
        <v>40</v>
      </c>
      <c r="E1976" s="18" t="s">
        <v>131</v>
      </c>
      <c r="F1976" s="18" t="str">
        <f>IF(OR(D1976&gt;Answers!L1991,D1976&lt;Answers!L1992),"Outlier","Normal")</f>
        <v>Outlier</v>
      </c>
      <c r="G1976" s="19" t="str">
        <f t="shared" si="30"/>
        <v>30-40</v>
      </c>
    </row>
    <row r="1977" spans="1:7" ht="20" customHeight="1" x14ac:dyDescent="0.35">
      <c r="A1977" s="17">
        <v>1976</v>
      </c>
      <c r="B1977" s="23" t="s">
        <v>105</v>
      </c>
      <c r="C1977" s="18" t="s">
        <v>126</v>
      </c>
      <c r="D1977" s="18">
        <v>73</v>
      </c>
      <c r="E1977" s="18" t="s">
        <v>131</v>
      </c>
      <c r="F1977" s="18" t="str">
        <f>IF(OR(D1977&gt;Answers!L1992,D1977&lt;Answers!L1993),"Outlier","Normal")</f>
        <v>Outlier</v>
      </c>
      <c r="G1977" s="19" t="str">
        <f t="shared" si="30"/>
        <v>40-50</v>
      </c>
    </row>
    <row r="1978" spans="1:7" ht="20" customHeight="1" x14ac:dyDescent="0.35">
      <c r="A1978" s="17">
        <v>1977</v>
      </c>
      <c r="B1978" s="23" t="s">
        <v>99</v>
      </c>
      <c r="C1978" s="18" t="s">
        <v>126</v>
      </c>
      <c r="D1978" s="18">
        <v>79</v>
      </c>
      <c r="E1978" s="18" t="s">
        <v>131</v>
      </c>
      <c r="F1978" s="18" t="str">
        <f>IF(OR(D1978&gt;Answers!L1993,D1978&lt;Answers!L1994),"Outlier","Normal")</f>
        <v>Outlier</v>
      </c>
      <c r="G1978" s="19" t="str">
        <f t="shared" si="30"/>
        <v>40-50</v>
      </c>
    </row>
    <row r="1979" spans="1:7" ht="20" customHeight="1" x14ac:dyDescent="0.35">
      <c r="A1979" s="17">
        <v>1978</v>
      </c>
      <c r="B1979" s="23" t="s">
        <v>105</v>
      </c>
      <c r="C1979" s="18" t="s">
        <v>126</v>
      </c>
      <c r="D1979" s="18">
        <v>23</v>
      </c>
      <c r="E1979" s="18" t="s">
        <v>131</v>
      </c>
      <c r="F1979" s="18" t="str">
        <f>IF(OR(D1979&gt;Answers!L1994,D1979&lt;Answers!L1995),"Outlier","Normal")</f>
        <v>Outlier</v>
      </c>
      <c r="G1979" s="19" t="str">
        <f t="shared" si="30"/>
        <v>20-30</v>
      </c>
    </row>
    <row r="1980" spans="1:7" ht="20" customHeight="1" x14ac:dyDescent="0.35">
      <c r="A1980" s="17">
        <v>1979</v>
      </c>
      <c r="B1980" s="23" t="s">
        <v>102</v>
      </c>
      <c r="C1980" s="18" t="s">
        <v>126</v>
      </c>
      <c r="D1980" s="18">
        <v>21</v>
      </c>
      <c r="E1980" s="18" t="s">
        <v>131</v>
      </c>
      <c r="F1980" s="18" t="str">
        <f>IF(OR(D1980&gt;Answers!L1995,D1980&lt;Answers!L1996),"Outlier","Normal")</f>
        <v>Outlier</v>
      </c>
      <c r="G1980" s="19" t="str">
        <f t="shared" si="30"/>
        <v>20-30</v>
      </c>
    </row>
    <row r="1981" spans="1:7" ht="20" customHeight="1" x14ac:dyDescent="0.35">
      <c r="A1981" s="17">
        <v>1980</v>
      </c>
      <c r="B1981" s="23" t="s">
        <v>110</v>
      </c>
      <c r="C1981" s="18" t="s">
        <v>125</v>
      </c>
      <c r="D1981" s="18">
        <v>57</v>
      </c>
      <c r="E1981" s="18" t="s">
        <v>131</v>
      </c>
      <c r="F1981" s="18" t="str">
        <f>IF(OR(D1981&gt;Answers!L1996,D1981&lt;Answers!L1997),"Outlier","Normal")</f>
        <v>Outlier</v>
      </c>
      <c r="G1981" s="19" t="str">
        <f t="shared" si="30"/>
        <v>40-50</v>
      </c>
    </row>
    <row r="1982" spans="1:7" ht="20" customHeight="1" x14ac:dyDescent="0.35">
      <c r="A1982" s="17">
        <v>1981</v>
      </c>
      <c r="B1982" s="23" t="s">
        <v>99</v>
      </c>
      <c r="C1982" s="18" t="s">
        <v>125</v>
      </c>
      <c r="D1982" s="18">
        <v>26</v>
      </c>
      <c r="E1982" s="18" t="s">
        <v>131</v>
      </c>
      <c r="F1982" s="18" t="str">
        <f>IF(OR(D1982&gt;Answers!L1997,D1982&lt;Answers!L1998),"Outlier","Normal")</f>
        <v>Outlier</v>
      </c>
      <c r="G1982" s="19" t="str">
        <f t="shared" si="30"/>
        <v>20-30</v>
      </c>
    </row>
    <row r="1983" spans="1:7" ht="20" customHeight="1" x14ac:dyDescent="0.35">
      <c r="A1983" s="17">
        <v>1982</v>
      </c>
      <c r="B1983" s="23" t="s">
        <v>107</v>
      </c>
      <c r="C1983" s="18" t="s">
        <v>126</v>
      </c>
      <c r="D1983" s="18">
        <v>74</v>
      </c>
      <c r="E1983" s="18" t="s">
        <v>131</v>
      </c>
      <c r="F1983" s="18" t="str">
        <f>IF(OR(D1983&gt;Answers!L1998,D1983&lt;Answers!L1999),"Outlier","Normal")</f>
        <v>Outlier</v>
      </c>
      <c r="G1983" s="19" t="str">
        <f t="shared" si="30"/>
        <v>40-50</v>
      </c>
    </row>
    <row r="1984" spans="1:7" ht="20" customHeight="1" x14ac:dyDescent="0.35">
      <c r="A1984" s="17">
        <v>1983</v>
      </c>
      <c r="B1984" s="23" t="s">
        <v>105</v>
      </c>
      <c r="C1984" s="18" t="s">
        <v>126</v>
      </c>
      <c r="D1984" s="18">
        <v>35</v>
      </c>
      <c r="E1984" s="18" t="s">
        <v>131</v>
      </c>
      <c r="F1984" s="18" t="str">
        <f>IF(OR(D1984&gt;Answers!L1999,D1984&lt;Answers!L2000),"Outlier","Normal")</f>
        <v>Outlier</v>
      </c>
      <c r="G1984" s="19" t="str">
        <f t="shared" si="30"/>
        <v>30-40</v>
      </c>
    </row>
    <row r="1985" spans="1:7" ht="20" customHeight="1" x14ac:dyDescent="0.35">
      <c r="A1985" s="17">
        <v>1984</v>
      </c>
      <c r="B1985" s="23" t="s">
        <v>101</v>
      </c>
      <c r="C1985" s="18" t="s">
        <v>125</v>
      </c>
      <c r="D1985" s="18">
        <v>45</v>
      </c>
      <c r="E1985" s="18" t="s">
        <v>131</v>
      </c>
      <c r="F1985" s="18" t="str">
        <f>IF(OR(D1985&gt;Answers!L2000,D1985&lt;Answers!L2001),"Outlier","Normal")</f>
        <v>Outlier</v>
      </c>
      <c r="G1985" s="19" t="str">
        <f t="shared" si="30"/>
        <v>40-50</v>
      </c>
    </row>
    <row r="1986" spans="1:7" ht="20" customHeight="1" x14ac:dyDescent="0.35">
      <c r="A1986" s="17">
        <v>1985</v>
      </c>
      <c r="B1986" s="23" t="s">
        <v>100</v>
      </c>
      <c r="C1986" s="18" t="s">
        <v>125</v>
      </c>
      <c r="D1986" s="18">
        <v>49</v>
      </c>
      <c r="E1986" s="18" t="s">
        <v>131</v>
      </c>
      <c r="F1986" s="18" t="str">
        <f>IF(OR(D1986&gt;Answers!L2001,D1986&lt;Answers!L2002),"Outlier","Normal")</f>
        <v>Outlier</v>
      </c>
      <c r="G1986" s="19" t="str">
        <f t="shared" si="30"/>
        <v>40-50</v>
      </c>
    </row>
    <row r="1987" spans="1:7" ht="20" customHeight="1" x14ac:dyDescent="0.35">
      <c r="A1987" s="17">
        <v>1986</v>
      </c>
      <c r="B1987" s="23" t="s">
        <v>100</v>
      </c>
      <c r="C1987" s="18" t="s">
        <v>125</v>
      </c>
      <c r="D1987" s="18">
        <v>21</v>
      </c>
      <c r="E1987" s="18" t="s">
        <v>131</v>
      </c>
      <c r="F1987" s="18" t="str">
        <f>IF(OR(D1987&gt;Answers!L2002,D1987&lt;Answers!L2003),"Outlier","Normal")</f>
        <v>Outlier</v>
      </c>
      <c r="G1987" s="19" t="str">
        <f t="shared" ref="G1987:G2050" si="31">IF(D1987&lt;20,"&lt;20",
IF(D1987&lt;=30,"20-30",
IF(D1987&lt;=40,"30-40","40-50")))</f>
        <v>20-30</v>
      </c>
    </row>
    <row r="1988" spans="1:7" ht="20" customHeight="1" x14ac:dyDescent="0.35">
      <c r="A1988" s="17">
        <v>1987</v>
      </c>
      <c r="B1988" s="23" t="s">
        <v>100</v>
      </c>
      <c r="C1988" s="18" t="s">
        <v>125</v>
      </c>
      <c r="D1988" s="18">
        <v>48</v>
      </c>
      <c r="E1988" s="18" t="s">
        <v>131</v>
      </c>
      <c r="F1988" s="18" t="str">
        <f>IF(OR(D1988&gt;Answers!L2003,D1988&lt;Answers!L2004),"Outlier","Normal")</f>
        <v>Outlier</v>
      </c>
      <c r="G1988" s="19" t="str">
        <f t="shared" si="31"/>
        <v>40-50</v>
      </c>
    </row>
    <row r="1989" spans="1:7" ht="20" customHeight="1" x14ac:dyDescent="0.35">
      <c r="A1989" s="17">
        <v>1988</v>
      </c>
      <c r="B1989" s="23" t="s">
        <v>99</v>
      </c>
      <c r="C1989" s="18" t="s">
        <v>125</v>
      </c>
      <c r="D1989" s="18">
        <v>66</v>
      </c>
      <c r="E1989" s="18" t="s">
        <v>131</v>
      </c>
      <c r="F1989" s="18" t="str">
        <f>IF(OR(D1989&gt;Answers!L2004,D1989&lt;Answers!L2005),"Outlier","Normal")</f>
        <v>Outlier</v>
      </c>
      <c r="G1989" s="19" t="str">
        <f t="shared" si="31"/>
        <v>40-50</v>
      </c>
    </row>
    <row r="1990" spans="1:7" ht="20" customHeight="1" x14ac:dyDescent="0.35">
      <c r="A1990" s="17">
        <v>1989</v>
      </c>
      <c r="B1990" s="23" t="s">
        <v>99</v>
      </c>
      <c r="C1990" s="18" t="s">
        <v>125</v>
      </c>
      <c r="D1990" s="18">
        <v>89</v>
      </c>
      <c r="E1990" s="18" t="s">
        <v>131</v>
      </c>
      <c r="F1990" s="18" t="str">
        <f>IF(OR(D1990&gt;Answers!L2005,D1990&lt;Answers!L2006),"Outlier","Normal")</f>
        <v>Outlier</v>
      </c>
      <c r="G1990" s="19" t="str">
        <f t="shared" si="31"/>
        <v>40-50</v>
      </c>
    </row>
    <row r="1991" spans="1:7" ht="20" customHeight="1" x14ac:dyDescent="0.35">
      <c r="A1991" s="17">
        <v>1990</v>
      </c>
      <c r="B1991" s="23" t="s">
        <v>99</v>
      </c>
      <c r="C1991" s="18" t="s">
        <v>126</v>
      </c>
      <c r="D1991" s="18">
        <v>89</v>
      </c>
      <c r="E1991" s="18" t="s">
        <v>131</v>
      </c>
      <c r="F1991" s="18" t="str">
        <f>IF(OR(D1991&gt;Answers!L2006,D1991&lt;Answers!L2007),"Outlier","Normal")</f>
        <v>Outlier</v>
      </c>
      <c r="G1991" s="19" t="str">
        <f t="shared" si="31"/>
        <v>40-50</v>
      </c>
    </row>
    <row r="1992" spans="1:7" ht="20" customHeight="1" x14ac:dyDescent="0.35">
      <c r="A1992" s="17">
        <v>1991</v>
      </c>
      <c r="B1992" s="23" t="s">
        <v>99</v>
      </c>
      <c r="C1992" s="18" t="s">
        <v>126</v>
      </c>
      <c r="D1992" s="18">
        <v>49</v>
      </c>
      <c r="E1992" s="18" t="s">
        <v>131</v>
      </c>
      <c r="F1992" s="18" t="str">
        <f>IF(OR(D1992&gt;Answers!L2007,D1992&lt;Answers!L2008),"Outlier","Normal")</f>
        <v>Outlier</v>
      </c>
      <c r="G1992" s="19" t="str">
        <f t="shared" si="31"/>
        <v>40-50</v>
      </c>
    </row>
    <row r="1993" spans="1:7" ht="20" customHeight="1" x14ac:dyDescent="0.35">
      <c r="A1993" s="17">
        <v>1992</v>
      </c>
      <c r="B1993" s="23" t="s">
        <v>108</v>
      </c>
      <c r="C1993" s="18" t="s">
        <v>126</v>
      </c>
      <c r="D1993" s="18">
        <v>66</v>
      </c>
      <c r="E1993" s="18" t="s">
        <v>131</v>
      </c>
      <c r="F1993" s="18" t="str">
        <f>IF(OR(D1993&gt;Answers!L2008,D1993&lt;Answers!L2009),"Outlier","Normal")</f>
        <v>Outlier</v>
      </c>
      <c r="G1993" s="19" t="str">
        <f t="shared" si="31"/>
        <v>40-50</v>
      </c>
    </row>
    <row r="1994" spans="1:7" ht="20" customHeight="1" x14ac:dyDescent="0.35">
      <c r="A1994" s="17">
        <v>1993</v>
      </c>
      <c r="B1994" s="23" t="s">
        <v>99</v>
      </c>
      <c r="C1994" s="18" t="s">
        <v>125</v>
      </c>
      <c r="D1994" s="18">
        <v>61</v>
      </c>
      <c r="E1994" s="18" t="s">
        <v>131</v>
      </c>
      <c r="F1994" s="18" t="str">
        <f>IF(OR(D1994&gt;Answers!L2009,D1994&lt;Answers!L2010),"Outlier","Normal")</f>
        <v>Outlier</v>
      </c>
      <c r="G1994" s="19" t="str">
        <f t="shared" si="31"/>
        <v>40-50</v>
      </c>
    </row>
    <row r="1995" spans="1:7" ht="20" customHeight="1" x14ac:dyDescent="0.35">
      <c r="A1995" s="17">
        <v>1994</v>
      </c>
      <c r="B1995" s="23" t="s">
        <v>106</v>
      </c>
      <c r="C1995" s="18" t="s">
        <v>125</v>
      </c>
      <c r="D1995" s="18">
        <v>43</v>
      </c>
      <c r="E1995" s="18" t="s">
        <v>131</v>
      </c>
      <c r="F1995" s="18" t="str">
        <f>IF(OR(D1995&gt;Answers!L2010,D1995&lt;Answers!L2011),"Outlier","Normal")</f>
        <v>Outlier</v>
      </c>
      <c r="G1995" s="19" t="str">
        <f t="shared" si="31"/>
        <v>40-50</v>
      </c>
    </row>
    <row r="1996" spans="1:7" ht="20" customHeight="1" x14ac:dyDescent="0.35">
      <c r="A1996" s="17">
        <v>1995</v>
      </c>
      <c r="B1996" s="23" t="s">
        <v>99</v>
      </c>
      <c r="C1996" s="18" t="s">
        <v>125</v>
      </c>
      <c r="D1996" s="18">
        <v>45</v>
      </c>
      <c r="E1996" s="18" t="s">
        <v>131</v>
      </c>
      <c r="F1996" s="18" t="str">
        <f>IF(OR(D1996&gt;Answers!L2011,D1996&lt;Answers!L2012),"Outlier","Normal")</f>
        <v>Outlier</v>
      </c>
      <c r="G1996" s="19" t="str">
        <f t="shared" si="31"/>
        <v>40-50</v>
      </c>
    </row>
    <row r="1997" spans="1:7" ht="20" customHeight="1" x14ac:dyDescent="0.35">
      <c r="A1997" s="17">
        <v>1996</v>
      </c>
      <c r="B1997" s="23" t="s">
        <v>99</v>
      </c>
      <c r="C1997" s="18" t="s">
        <v>125</v>
      </c>
      <c r="D1997" s="18">
        <v>83</v>
      </c>
      <c r="E1997" s="18" t="s">
        <v>131</v>
      </c>
      <c r="F1997" s="18" t="str">
        <f>IF(OR(D1997&gt;Answers!L2012,D1997&lt;Answers!L2013),"Outlier","Normal")</f>
        <v>Outlier</v>
      </c>
      <c r="G1997" s="19" t="str">
        <f t="shared" si="31"/>
        <v>40-50</v>
      </c>
    </row>
    <row r="1998" spans="1:7" ht="20" customHeight="1" x14ac:dyDescent="0.35">
      <c r="A1998" s="17">
        <v>1997</v>
      </c>
      <c r="B1998" s="23" t="s">
        <v>105</v>
      </c>
      <c r="C1998" s="18" t="s">
        <v>126</v>
      </c>
      <c r="D1998" s="18">
        <v>79</v>
      </c>
      <c r="E1998" s="18" t="s">
        <v>131</v>
      </c>
      <c r="F1998" s="18" t="str">
        <f>IF(OR(D1998&gt;Answers!L2013,D1998&lt;Answers!L2014),"Outlier","Normal")</f>
        <v>Outlier</v>
      </c>
      <c r="G1998" s="19" t="str">
        <f t="shared" si="31"/>
        <v>40-50</v>
      </c>
    </row>
    <row r="1999" spans="1:7" ht="20" customHeight="1" x14ac:dyDescent="0.35">
      <c r="A1999" s="17">
        <v>1998</v>
      </c>
      <c r="B1999" s="23" t="s">
        <v>101</v>
      </c>
      <c r="C1999" s="18" t="s">
        <v>125</v>
      </c>
      <c r="D1999" s="18">
        <v>82</v>
      </c>
      <c r="E1999" s="18" t="s">
        <v>131</v>
      </c>
      <c r="F1999" s="18" t="str">
        <f>IF(OR(D1999&gt;Answers!L2014,D1999&lt;Answers!L2015),"Outlier","Normal")</f>
        <v>Outlier</v>
      </c>
      <c r="G1999" s="19" t="str">
        <f t="shared" si="31"/>
        <v>40-50</v>
      </c>
    </row>
    <row r="2000" spans="1:7" ht="20" customHeight="1" x14ac:dyDescent="0.35">
      <c r="A2000" s="17">
        <v>1999</v>
      </c>
      <c r="B2000" s="23" t="s">
        <v>107</v>
      </c>
      <c r="C2000" s="18" t="s">
        <v>125</v>
      </c>
      <c r="D2000" s="18">
        <v>72</v>
      </c>
      <c r="E2000" s="18" t="s">
        <v>131</v>
      </c>
      <c r="F2000" s="18" t="str">
        <f>IF(OR(D2000&gt;Answers!L2015,D2000&lt;Answers!L2016),"Outlier","Normal")</f>
        <v>Outlier</v>
      </c>
      <c r="G2000" s="19" t="str">
        <f t="shared" si="31"/>
        <v>40-50</v>
      </c>
    </row>
    <row r="2001" spans="1:7" ht="20" customHeight="1" x14ac:dyDescent="0.35">
      <c r="A2001" s="17">
        <v>2000</v>
      </c>
      <c r="B2001" s="23" t="s">
        <v>99</v>
      </c>
      <c r="C2001" s="18" t="s">
        <v>126</v>
      </c>
      <c r="D2001" s="18">
        <v>39</v>
      </c>
      <c r="E2001" s="18" t="s">
        <v>131</v>
      </c>
      <c r="F2001" s="18" t="str">
        <f>IF(OR(D2001&gt;Answers!L2016,D2001&lt;Answers!L2017),"Outlier","Normal")</f>
        <v>Outlier</v>
      </c>
      <c r="G2001" s="19" t="str">
        <f t="shared" si="31"/>
        <v>30-40</v>
      </c>
    </row>
    <row r="2002" spans="1:7" ht="20" customHeight="1" x14ac:dyDescent="0.35">
      <c r="A2002" s="17">
        <v>2001</v>
      </c>
      <c r="B2002" s="23" t="s">
        <v>105</v>
      </c>
      <c r="C2002" s="18" t="s">
        <v>126</v>
      </c>
      <c r="D2002" s="18">
        <v>59</v>
      </c>
      <c r="E2002" s="18" t="s">
        <v>132</v>
      </c>
      <c r="F2002" s="18" t="str">
        <f>IF(OR(D2002&gt;Answers!L2017,D2002&lt;Answers!L2018),"Outlier","Normal")</f>
        <v>Outlier</v>
      </c>
      <c r="G2002" s="19" t="str">
        <f t="shared" si="31"/>
        <v>40-50</v>
      </c>
    </row>
    <row r="2003" spans="1:7" ht="20" customHeight="1" x14ac:dyDescent="0.35">
      <c r="A2003" s="17">
        <v>2002</v>
      </c>
      <c r="B2003" s="23" t="s">
        <v>99</v>
      </c>
      <c r="C2003" s="18" t="s">
        <v>126</v>
      </c>
      <c r="D2003" s="18">
        <v>53</v>
      </c>
      <c r="E2003" s="18" t="s">
        <v>132</v>
      </c>
      <c r="F2003" s="18" t="str">
        <f>IF(OR(D2003&gt;Answers!L2018,D2003&lt;Answers!L2019),"Outlier","Normal")</f>
        <v>Outlier</v>
      </c>
      <c r="G2003" s="19" t="str">
        <f t="shared" si="31"/>
        <v>40-50</v>
      </c>
    </row>
    <row r="2004" spans="1:7" ht="20" customHeight="1" x14ac:dyDescent="0.35">
      <c r="A2004" s="17">
        <v>2003</v>
      </c>
      <c r="B2004" s="23" t="s">
        <v>99</v>
      </c>
      <c r="C2004" s="18" t="s">
        <v>125</v>
      </c>
      <c r="D2004" s="18">
        <v>23</v>
      </c>
      <c r="E2004" s="18" t="s">
        <v>132</v>
      </c>
      <c r="F2004" s="18" t="str">
        <f>IF(OR(D2004&gt;Answers!L2019,D2004&lt;Answers!L2020),"Outlier","Normal")</f>
        <v>Outlier</v>
      </c>
      <c r="G2004" s="19" t="str">
        <f t="shared" si="31"/>
        <v>20-30</v>
      </c>
    </row>
    <row r="2005" spans="1:7" ht="20" customHeight="1" x14ac:dyDescent="0.35">
      <c r="A2005" s="17">
        <v>2004</v>
      </c>
      <c r="B2005" s="23" t="s">
        <v>99</v>
      </c>
      <c r="C2005" s="18" t="s">
        <v>126</v>
      </c>
      <c r="D2005" s="18">
        <v>40</v>
      </c>
      <c r="E2005" s="18" t="s">
        <v>132</v>
      </c>
      <c r="F2005" s="18" t="str">
        <f>IF(OR(D2005&gt;Answers!L2020,D2005&lt;Answers!L2021),"Outlier","Normal")</f>
        <v>Outlier</v>
      </c>
      <c r="G2005" s="19" t="str">
        <f t="shared" si="31"/>
        <v>30-40</v>
      </c>
    </row>
    <row r="2006" spans="1:7" ht="20" customHeight="1" x14ac:dyDescent="0.35">
      <c r="A2006" s="17">
        <v>2005</v>
      </c>
      <c r="B2006" s="23" t="s">
        <v>105</v>
      </c>
      <c r="C2006" s="18" t="s">
        <v>125</v>
      </c>
      <c r="D2006" s="18">
        <v>38</v>
      </c>
      <c r="E2006" s="18" t="s">
        <v>132</v>
      </c>
      <c r="F2006" s="18" t="str">
        <f>IF(OR(D2006&gt;Answers!L2021,D2006&lt;Answers!L2022),"Outlier","Normal")</f>
        <v>Outlier</v>
      </c>
      <c r="G2006" s="19" t="str">
        <f t="shared" si="31"/>
        <v>30-40</v>
      </c>
    </row>
    <row r="2007" spans="1:7" ht="20" customHeight="1" x14ac:dyDescent="0.35">
      <c r="A2007" s="17">
        <v>2006</v>
      </c>
      <c r="B2007" s="23" t="s">
        <v>99</v>
      </c>
      <c r="C2007" s="18" t="s">
        <v>125</v>
      </c>
      <c r="D2007" s="18">
        <v>21</v>
      </c>
      <c r="E2007" s="18" t="s">
        <v>132</v>
      </c>
      <c r="F2007" s="18" t="str">
        <f>IF(OR(D2007&gt;Answers!L2022,D2007&lt;Answers!L2023),"Outlier","Normal")</f>
        <v>Outlier</v>
      </c>
      <c r="G2007" s="19" t="str">
        <f t="shared" si="31"/>
        <v>20-30</v>
      </c>
    </row>
    <row r="2008" spans="1:7" ht="20" customHeight="1" x14ac:dyDescent="0.35">
      <c r="A2008" s="17">
        <v>2007</v>
      </c>
      <c r="B2008" s="23" t="s">
        <v>107</v>
      </c>
      <c r="C2008" s="18" t="s">
        <v>125</v>
      </c>
      <c r="D2008" s="18">
        <v>58</v>
      </c>
      <c r="E2008" s="18" t="s">
        <v>132</v>
      </c>
      <c r="F2008" s="18" t="str">
        <f>IF(OR(D2008&gt;Answers!L2023,D2008&lt;Answers!L2024),"Outlier","Normal")</f>
        <v>Outlier</v>
      </c>
      <c r="G2008" s="19" t="str">
        <f t="shared" si="31"/>
        <v>40-50</v>
      </c>
    </row>
    <row r="2009" spans="1:7" ht="20" customHeight="1" x14ac:dyDescent="0.35">
      <c r="A2009" s="17">
        <v>2008</v>
      </c>
      <c r="B2009" s="23" t="s">
        <v>101</v>
      </c>
      <c r="C2009" s="18" t="s">
        <v>125</v>
      </c>
      <c r="D2009" s="18">
        <v>67</v>
      </c>
      <c r="E2009" s="18" t="s">
        <v>132</v>
      </c>
      <c r="F2009" s="18" t="str">
        <f>IF(OR(D2009&gt;Answers!L2024,D2009&lt;Answers!L2025),"Outlier","Normal")</f>
        <v>Outlier</v>
      </c>
      <c r="G2009" s="19" t="str">
        <f t="shared" si="31"/>
        <v>40-50</v>
      </c>
    </row>
    <row r="2010" spans="1:7" ht="20" customHeight="1" x14ac:dyDescent="0.35">
      <c r="A2010" s="17">
        <v>2009</v>
      </c>
      <c r="B2010" s="23" t="s">
        <v>99</v>
      </c>
      <c r="C2010" s="18" t="s">
        <v>126</v>
      </c>
      <c r="D2010" s="18">
        <v>42</v>
      </c>
      <c r="E2010" s="18" t="s">
        <v>132</v>
      </c>
      <c r="F2010" s="18" t="str">
        <f>IF(OR(D2010&gt;Answers!L2025,D2010&lt;Answers!L2026),"Outlier","Normal")</f>
        <v>Outlier</v>
      </c>
      <c r="G2010" s="19" t="str">
        <f t="shared" si="31"/>
        <v>40-50</v>
      </c>
    </row>
    <row r="2011" spans="1:7" ht="20" customHeight="1" x14ac:dyDescent="0.35">
      <c r="A2011" s="17">
        <v>2010</v>
      </c>
      <c r="B2011" s="23" t="s">
        <v>100</v>
      </c>
      <c r="C2011" s="18" t="s">
        <v>125</v>
      </c>
      <c r="D2011" s="18">
        <v>50</v>
      </c>
      <c r="E2011" s="18" t="s">
        <v>132</v>
      </c>
      <c r="F2011" s="18" t="str">
        <f>IF(OR(D2011&gt;Answers!L2026,D2011&lt;Answers!L2027),"Outlier","Normal")</f>
        <v>Outlier</v>
      </c>
      <c r="G2011" s="19" t="str">
        <f t="shared" si="31"/>
        <v>40-50</v>
      </c>
    </row>
    <row r="2012" spans="1:7" ht="20" customHeight="1" x14ac:dyDescent="0.35">
      <c r="A2012" s="17">
        <v>2011</v>
      </c>
      <c r="B2012" s="23" t="s">
        <v>99</v>
      </c>
      <c r="C2012" s="18" t="s">
        <v>125</v>
      </c>
      <c r="D2012" s="18">
        <v>18</v>
      </c>
      <c r="E2012" s="18" t="s">
        <v>132</v>
      </c>
      <c r="F2012" s="18" t="str">
        <f>IF(OR(D2012&gt;Answers!L2027,D2012&lt;Answers!L2028),"Outlier","Normal")</f>
        <v>Outlier</v>
      </c>
      <c r="G2012" s="19" t="str">
        <f t="shared" si="31"/>
        <v>&lt;20</v>
      </c>
    </row>
    <row r="2013" spans="1:7" ht="20" customHeight="1" x14ac:dyDescent="0.35">
      <c r="A2013" s="17">
        <v>2012</v>
      </c>
      <c r="B2013" s="23" t="s">
        <v>99</v>
      </c>
      <c r="C2013" s="18" t="s">
        <v>125</v>
      </c>
      <c r="D2013" s="18">
        <v>42</v>
      </c>
      <c r="E2013" s="18" t="s">
        <v>132</v>
      </c>
      <c r="F2013" s="18" t="str">
        <f>IF(OR(D2013&gt;Answers!L2028,D2013&lt;Answers!L2029),"Outlier","Normal")</f>
        <v>Outlier</v>
      </c>
      <c r="G2013" s="19" t="str">
        <f t="shared" si="31"/>
        <v>40-50</v>
      </c>
    </row>
    <row r="2014" spans="1:7" ht="20" customHeight="1" x14ac:dyDescent="0.35">
      <c r="A2014" s="17">
        <v>2013</v>
      </c>
      <c r="B2014" s="23" t="s">
        <v>99</v>
      </c>
      <c r="C2014" s="18" t="s">
        <v>125</v>
      </c>
      <c r="D2014" s="18">
        <v>39</v>
      </c>
      <c r="E2014" s="18" t="s">
        <v>132</v>
      </c>
      <c r="F2014" s="18" t="str">
        <f>IF(OR(D2014&gt;Answers!L2029,D2014&lt;Answers!L2030),"Outlier","Normal")</f>
        <v>Outlier</v>
      </c>
      <c r="G2014" s="19" t="str">
        <f t="shared" si="31"/>
        <v>30-40</v>
      </c>
    </row>
    <row r="2015" spans="1:7" ht="20" customHeight="1" x14ac:dyDescent="0.35">
      <c r="A2015" s="17">
        <v>2014</v>
      </c>
      <c r="B2015" s="23" t="s">
        <v>100</v>
      </c>
      <c r="C2015" s="18" t="s">
        <v>126</v>
      </c>
      <c r="D2015" s="18">
        <v>41</v>
      </c>
      <c r="E2015" s="18" t="s">
        <v>132</v>
      </c>
      <c r="F2015" s="18" t="str">
        <f>IF(OR(D2015&gt;Answers!L2030,D2015&lt;Answers!L2031),"Outlier","Normal")</f>
        <v>Outlier</v>
      </c>
      <c r="G2015" s="19" t="str">
        <f t="shared" si="31"/>
        <v>40-50</v>
      </c>
    </row>
    <row r="2016" spans="1:7" ht="20" customHeight="1" x14ac:dyDescent="0.35">
      <c r="A2016" s="17">
        <v>2015</v>
      </c>
      <c r="B2016" s="23" t="s">
        <v>100</v>
      </c>
      <c r="C2016" s="18" t="s">
        <v>125</v>
      </c>
      <c r="D2016" s="18">
        <v>55</v>
      </c>
      <c r="E2016" s="18" t="s">
        <v>132</v>
      </c>
      <c r="F2016" s="18" t="str">
        <f>IF(OR(D2016&gt;Answers!L2031,D2016&lt;Answers!L2032),"Outlier","Normal")</f>
        <v>Outlier</v>
      </c>
      <c r="G2016" s="19" t="str">
        <f t="shared" si="31"/>
        <v>40-50</v>
      </c>
    </row>
    <row r="2017" spans="1:7" ht="20" customHeight="1" x14ac:dyDescent="0.35">
      <c r="A2017" s="17">
        <v>2016</v>
      </c>
      <c r="B2017" s="23" t="s">
        <v>105</v>
      </c>
      <c r="C2017" s="18" t="s">
        <v>126</v>
      </c>
      <c r="D2017" s="18">
        <v>71</v>
      </c>
      <c r="E2017" s="18" t="s">
        <v>132</v>
      </c>
      <c r="F2017" s="18" t="str">
        <f>IF(OR(D2017&gt;Answers!L2032,D2017&lt;Answers!L2033),"Outlier","Normal")</f>
        <v>Outlier</v>
      </c>
      <c r="G2017" s="19" t="str">
        <f t="shared" si="31"/>
        <v>40-50</v>
      </c>
    </row>
    <row r="2018" spans="1:7" ht="20" customHeight="1" x14ac:dyDescent="0.35">
      <c r="A2018" s="17">
        <v>2017</v>
      </c>
      <c r="B2018" s="23" t="s">
        <v>99</v>
      </c>
      <c r="C2018" s="18" t="s">
        <v>125</v>
      </c>
      <c r="D2018" s="18">
        <v>76</v>
      </c>
      <c r="E2018" s="18" t="s">
        <v>132</v>
      </c>
      <c r="F2018" s="18" t="str">
        <f>IF(OR(D2018&gt;Answers!L2033,D2018&lt;Answers!L2034),"Outlier","Normal")</f>
        <v>Outlier</v>
      </c>
      <c r="G2018" s="19" t="str">
        <f t="shared" si="31"/>
        <v>40-50</v>
      </c>
    </row>
    <row r="2019" spans="1:7" ht="20" customHeight="1" x14ac:dyDescent="0.35">
      <c r="A2019" s="17">
        <v>2018</v>
      </c>
      <c r="B2019" s="23" t="s">
        <v>105</v>
      </c>
      <c r="C2019" s="18" t="s">
        <v>125</v>
      </c>
      <c r="D2019" s="18">
        <v>44</v>
      </c>
      <c r="E2019" s="18" t="s">
        <v>132</v>
      </c>
      <c r="F2019" s="18" t="str">
        <f>IF(OR(D2019&gt;Answers!L2034,D2019&lt;Answers!L2035),"Outlier","Normal")</f>
        <v>Outlier</v>
      </c>
      <c r="G2019" s="19" t="str">
        <f t="shared" si="31"/>
        <v>40-50</v>
      </c>
    </row>
    <row r="2020" spans="1:7" ht="20" customHeight="1" x14ac:dyDescent="0.35">
      <c r="A2020" s="17">
        <v>2019</v>
      </c>
      <c r="B2020" s="23" t="s">
        <v>99</v>
      </c>
      <c r="C2020" s="18" t="s">
        <v>125</v>
      </c>
      <c r="D2020" s="18">
        <v>57</v>
      </c>
      <c r="E2020" s="18" t="s">
        <v>132</v>
      </c>
      <c r="F2020" s="18" t="str">
        <f>IF(OR(D2020&gt;Answers!L2035,D2020&lt;Answers!L2036),"Outlier","Normal")</f>
        <v>Outlier</v>
      </c>
      <c r="G2020" s="19" t="str">
        <f t="shared" si="31"/>
        <v>40-50</v>
      </c>
    </row>
    <row r="2021" spans="1:7" ht="20" customHeight="1" x14ac:dyDescent="0.35">
      <c r="A2021" s="17">
        <v>2020</v>
      </c>
      <c r="B2021" s="23" t="s">
        <v>100</v>
      </c>
      <c r="C2021" s="18" t="s">
        <v>125</v>
      </c>
      <c r="D2021" s="18">
        <v>58</v>
      </c>
      <c r="E2021" s="18" t="s">
        <v>132</v>
      </c>
      <c r="F2021" s="18" t="str">
        <f>IF(OR(D2021&gt;Answers!L2036,D2021&lt;Answers!L2037),"Outlier","Normal")</f>
        <v>Outlier</v>
      </c>
      <c r="G2021" s="19" t="str">
        <f t="shared" si="31"/>
        <v>40-50</v>
      </c>
    </row>
    <row r="2022" spans="1:7" ht="20" customHeight="1" x14ac:dyDescent="0.35">
      <c r="A2022" s="17">
        <v>2021</v>
      </c>
      <c r="B2022" s="23" t="s">
        <v>105</v>
      </c>
      <c r="C2022" s="18" t="s">
        <v>126</v>
      </c>
      <c r="D2022" s="18">
        <v>26</v>
      </c>
      <c r="E2022" s="18" t="s">
        <v>132</v>
      </c>
      <c r="F2022" s="18" t="str">
        <f>IF(OR(D2022&gt;Answers!L2037,D2022&lt;Answers!L2038),"Outlier","Normal")</f>
        <v>Outlier</v>
      </c>
      <c r="G2022" s="19" t="str">
        <f t="shared" si="31"/>
        <v>20-30</v>
      </c>
    </row>
    <row r="2023" spans="1:7" ht="20" customHeight="1" x14ac:dyDescent="0.35">
      <c r="A2023" s="17">
        <v>2022</v>
      </c>
      <c r="B2023" s="23" t="s">
        <v>99</v>
      </c>
      <c r="C2023" s="18" t="s">
        <v>126</v>
      </c>
      <c r="D2023" s="18">
        <v>52</v>
      </c>
      <c r="E2023" s="18" t="s">
        <v>132</v>
      </c>
      <c r="F2023" s="18" t="str">
        <f>IF(OR(D2023&gt;Answers!L2038,D2023&lt;Answers!L2039),"Outlier","Normal")</f>
        <v>Outlier</v>
      </c>
      <c r="G2023" s="19" t="str">
        <f t="shared" si="31"/>
        <v>40-50</v>
      </c>
    </row>
    <row r="2024" spans="1:7" ht="20" customHeight="1" x14ac:dyDescent="0.35">
      <c r="A2024" s="17">
        <v>2023</v>
      </c>
      <c r="B2024" s="23" t="s">
        <v>99</v>
      </c>
      <c r="C2024" s="18" t="s">
        <v>125</v>
      </c>
      <c r="D2024" s="18">
        <v>73</v>
      </c>
      <c r="E2024" s="18" t="s">
        <v>132</v>
      </c>
      <c r="F2024" s="18" t="str">
        <f>IF(OR(D2024&gt;Answers!L2039,D2024&lt;Answers!L2040),"Outlier","Normal")</f>
        <v>Outlier</v>
      </c>
      <c r="G2024" s="19" t="str">
        <f t="shared" si="31"/>
        <v>40-50</v>
      </c>
    </row>
    <row r="2025" spans="1:7" ht="20" customHeight="1" x14ac:dyDescent="0.35">
      <c r="A2025" s="17">
        <v>2024</v>
      </c>
      <c r="B2025" s="23" t="s">
        <v>105</v>
      </c>
      <c r="C2025" s="18" t="s">
        <v>126</v>
      </c>
      <c r="D2025" s="18">
        <v>78</v>
      </c>
      <c r="E2025" s="18" t="s">
        <v>132</v>
      </c>
      <c r="F2025" s="18" t="str">
        <f>IF(OR(D2025&gt;Answers!L2040,D2025&lt;Answers!L2041),"Outlier","Normal")</f>
        <v>Outlier</v>
      </c>
      <c r="G2025" s="19" t="str">
        <f t="shared" si="31"/>
        <v>40-50</v>
      </c>
    </row>
    <row r="2026" spans="1:7" ht="20" customHeight="1" x14ac:dyDescent="0.35">
      <c r="A2026" s="17">
        <v>2025</v>
      </c>
      <c r="B2026" s="23" t="s">
        <v>99</v>
      </c>
      <c r="C2026" s="18" t="s">
        <v>126</v>
      </c>
      <c r="D2026" s="18">
        <v>21</v>
      </c>
      <c r="E2026" s="18" t="s">
        <v>132</v>
      </c>
      <c r="F2026" s="18" t="str">
        <f>IF(OR(D2026&gt;Answers!L2041,D2026&lt;Answers!L2042),"Outlier","Normal")</f>
        <v>Outlier</v>
      </c>
      <c r="G2026" s="19" t="str">
        <f t="shared" si="31"/>
        <v>20-30</v>
      </c>
    </row>
    <row r="2027" spans="1:7" ht="20" customHeight="1" x14ac:dyDescent="0.35">
      <c r="A2027" s="17">
        <v>2026</v>
      </c>
      <c r="B2027" s="23" t="s">
        <v>100</v>
      </c>
      <c r="C2027" s="18" t="s">
        <v>126</v>
      </c>
      <c r="D2027" s="18">
        <v>58</v>
      </c>
      <c r="E2027" s="18" t="s">
        <v>132</v>
      </c>
      <c r="F2027" s="18" t="str">
        <f>IF(OR(D2027&gt;Answers!L2042,D2027&lt;Answers!L2043),"Outlier","Normal")</f>
        <v>Outlier</v>
      </c>
      <c r="G2027" s="19" t="str">
        <f t="shared" si="31"/>
        <v>40-50</v>
      </c>
    </row>
    <row r="2028" spans="1:7" ht="20" customHeight="1" x14ac:dyDescent="0.35">
      <c r="A2028" s="17">
        <v>2027</v>
      </c>
      <c r="B2028" s="23" t="s">
        <v>105</v>
      </c>
      <c r="C2028" s="18" t="s">
        <v>126</v>
      </c>
      <c r="D2028" s="18">
        <v>89</v>
      </c>
      <c r="E2028" s="18" t="s">
        <v>132</v>
      </c>
      <c r="F2028" s="18" t="str">
        <f>IF(OR(D2028&gt;Answers!L2043,D2028&lt;Answers!L2044),"Outlier","Normal")</f>
        <v>Outlier</v>
      </c>
      <c r="G2028" s="19" t="str">
        <f t="shared" si="31"/>
        <v>40-50</v>
      </c>
    </row>
    <row r="2029" spans="1:7" ht="20" customHeight="1" x14ac:dyDescent="0.35">
      <c r="A2029" s="17">
        <v>2028</v>
      </c>
      <c r="B2029" s="23" t="s">
        <v>99</v>
      </c>
      <c r="C2029" s="18" t="s">
        <v>126</v>
      </c>
      <c r="D2029" s="18">
        <v>39</v>
      </c>
      <c r="E2029" s="18" t="s">
        <v>132</v>
      </c>
      <c r="F2029" s="18" t="str">
        <f>IF(OR(D2029&gt;Answers!L2044,D2029&lt;Answers!L2045),"Outlier","Normal")</f>
        <v>Outlier</v>
      </c>
      <c r="G2029" s="19" t="str">
        <f t="shared" si="31"/>
        <v>30-40</v>
      </c>
    </row>
    <row r="2030" spans="1:7" ht="20" customHeight="1" x14ac:dyDescent="0.35">
      <c r="A2030" s="17">
        <v>2029</v>
      </c>
      <c r="B2030" s="23" t="s">
        <v>99</v>
      </c>
      <c r="C2030" s="18" t="s">
        <v>125</v>
      </c>
      <c r="D2030" s="18">
        <v>48</v>
      </c>
      <c r="E2030" s="18" t="s">
        <v>132</v>
      </c>
      <c r="F2030" s="18" t="str">
        <f>IF(OR(D2030&gt;Answers!L2045,D2030&lt;Answers!L2046),"Outlier","Normal")</f>
        <v>Outlier</v>
      </c>
      <c r="G2030" s="19" t="str">
        <f t="shared" si="31"/>
        <v>40-50</v>
      </c>
    </row>
    <row r="2031" spans="1:7" ht="20" customHeight="1" x14ac:dyDescent="0.35">
      <c r="A2031" s="17">
        <v>2030</v>
      </c>
      <c r="B2031" s="23" t="s">
        <v>104</v>
      </c>
      <c r="C2031" s="18" t="s">
        <v>125</v>
      </c>
      <c r="D2031" s="18">
        <v>72</v>
      </c>
      <c r="E2031" s="18" t="s">
        <v>132</v>
      </c>
      <c r="F2031" s="18" t="str">
        <f>IF(OR(D2031&gt;Answers!L2046,D2031&lt;Answers!L2047),"Outlier","Normal")</f>
        <v>Outlier</v>
      </c>
      <c r="G2031" s="19" t="str">
        <f t="shared" si="31"/>
        <v>40-50</v>
      </c>
    </row>
    <row r="2032" spans="1:7" ht="20" customHeight="1" x14ac:dyDescent="0.35">
      <c r="A2032" s="17">
        <v>2031</v>
      </c>
      <c r="B2032" s="23" t="s">
        <v>105</v>
      </c>
      <c r="C2032" s="18" t="s">
        <v>126</v>
      </c>
      <c r="D2032" s="18">
        <v>54</v>
      </c>
      <c r="E2032" s="18" t="s">
        <v>132</v>
      </c>
      <c r="F2032" s="18" t="str">
        <f>IF(OR(D2032&gt;Answers!L2047,D2032&lt;Answers!L2048),"Outlier","Normal")</f>
        <v>Outlier</v>
      </c>
      <c r="G2032" s="19" t="str">
        <f t="shared" si="31"/>
        <v>40-50</v>
      </c>
    </row>
    <row r="2033" spans="1:7" ht="20" customHeight="1" x14ac:dyDescent="0.35">
      <c r="A2033" s="17">
        <v>2032</v>
      </c>
      <c r="B2033" s="23" t="s">
        <v>106</v>
      </c>
      <c r="C2033" s="18" t="s">
        <v>126</v>
      </c>
      <c r="D2033" s="18">
        <v>83</v>
      </c>
      <c r="E2033" s="18" t="s">
        <v>132</v>
      </c>
      <c r="F2033" s="18" t="str">
        <f>IF(OR(D2033&gt;Answers!L2048,D2033&lt;Answers!L2049),"Outlier","Normal")</f>
        <v>Outlier</v>
      </c>
      <c r="G2033" s="19" t="str">
        <f t="shared" si="31"/>
        <v>40-50</v>
      </c>
    </row>
    <row r="2034" spans="1:7" ht="20" customHeight="1" x14ac:dyDescent="0.35">
      <c r="A2034" s="17">
        <v>2033</v>
      </c>
      <c r="B2034" s="23" t="s">
        <v>99</v>
      </c>
      <c r="C2034" s="18" t="s">
        <v>125</v>
      </c>
      <c r="D2034" s="18">
        <v>21</v>
      </c>
      <c r="E2034" s="18" t="s">
        <v>132</v>
      </c>
      <c r="F2034" s="18" t="str">
        <f>IF(OR(D2034&gt;Answers!L2049,D2034&lt;Answers!L2050),"Outlier","Normal")</f>
        <v>Outlier</v>
      </c>
      <c r="G2034" s="19" t="str">
        <f t="shared" si="31"/>
        <v>20-30</v>
      </c>
    </row>
    <row r="2035" spans="1:7" ht="20" customHeight="1" x14ac:dyDescent="0.35">
      <c r="A2035" s="17">
        <v>2034</v>
      </c>
      <c r="B2035" s="23" t="s">
        <v>99</v>
      </c>
      <c r="C2035" s="18" t="s">
        <v>126</v>
      </c>
      <c r="D2035" s="18">
        <v>39</v>
      </c>
      <c r="E2035" s="18" t="s">
        <v>132</v>
      </c>
      <c r="F2035" s="18" t="str">
        <f>IF(OR(D2035&gt;Answers!L2050,D2035&lt;Answers!L2051),"Outlier","Normal")</f>
        <v>Outlier</v>
      </c>
      <c r="G2035" s="19" t="str">
        <f t="shared" si="31"/>
        <v>30-40</v>
      </c>
    </row>
    <row r="2036" spans="1:7" ht="20" customHeight="1" x14ac:dyDescent="0.35">
      <c r="A2036" s="17">
        <v>2035</v>
      </c>
      <c r="B2036" s="23" t="s">
        <v>100</v>
      </c>
      <c r="C2036" s="18" t="s">
        <v>126</v>
      </c>
      <c r="D2036" s="18">
        <v>42</v>
      </c>
      <c r="E2036" s="18" t="s">
        <v>132</v>
      </c>
      <c r="F2036" s="18" t="str">
        <f>IF(OR(D2036&gt;Answers!L2051,D2036&lt;Answers!L2052),"Outlier","Normal")</f>
        <v>Outlier</v>
      </c>
      <c r="G2036" s="19" t="str">
        <f t="shared" si="31"/>
        <v>40-50</v>
      </c>
    </row>
    <row r="2037" spans="1:7" ht="20" customHeight="1" x14ac:dyDescent="0.35">
      <c r="A2037" s="17">
        <v>2036</v>
      </c>
      <c r="B2037" s="23" t="s">
        <v>99</v>
      </c>
      <c r="C2037" s="18" t="s">
        <v>125</v>
      </c>
      <c r="D2037" s="18">
        <v>83</v>
      </c>
      <c r="E2037" s="18" t="s">
        <v>132</v>
      </c>
      <c r="F2037" s="18" t="str">
        <f>IF(OR(D2037&gt;Answers!L2052,D2037&lt;Answers!L2053),"Outlier","Normal")</f>
        <v>Outlier</v>
      </c>
      <c r="G2037" s="19" t="str">
        <f t="shared" si="31"/>
        <v>40-50</v>
      </c>
    </row>
    <row r="2038" spans="1:7" ht="20" customHeight="1" x14ac:dyDescent="0.35">
      <c r="A2038" s="17">
        <v>2037</v>
      </c>
      <c r="B2038" s="23" t="s">
        <v>107</v>
      </c>
      <c r="C2038" s="18" t="s">
        <v>126</v>
      </c>
      <c r="D2038" s="18">
        <v>22</v>
      </c>
      <c r="E2038" s="18" t="s">
        <v>132</v>
      </c>
      <c r="F2038" s="18" t="str">
        <f>IF(OR(D2038&gt;Answers!L2053,D2038&lt;Answers!L2054),"Outlier","Normal")</f>
        <v>Outlier</v>
      </c>
      <c r="G2038" s="19" t="str">
        <f t="shared" si="31"/>
        <v>20-30</v>
      </c>
    </row>
    <row r="2039" spans="1:7" ht="20" customHeight="1" x14ac:dyDescent="0.35">
      <c r="A2039" s="17">
        <v>2038</v>
      </c>
      <c r="B2039" s="23" t="s">
        <v>102</v>
      </c>
      <c r="C2039" s="18" t="s">
        <v>125</v>
      </c>
      <c r="D2039" s="18">
        <v>56</v>
      </c>
      <c r="E2039" s="18" t="s">
        <v>132</v>
      </c>
      <c r="F2039" s="18" t="str">
        <f>IF(OR(D2039&gt;Answers!L2054,D2039&lt;Answers!L2055),"Outlier","Normal")</f>
        <v>Outlier</v>
      </c>
      <c r="G2039" s="19" t="str">
        <f t="shared" si="31"/>
        <v>40-50</v>
      </c>
    </row>
    <row r="2040" spans="1:7" ht="20" customHeight="1" x14ac:dyDescent="0.35">
      <c r="A2040" s="17">
        <v>2039</v>
      </c>
      <c r="B2040" s="23" t="s">
        <v>108</v>
      </c>
      <c r="C2040" s="18" t="s">
        <v>126</v>
      </c>
      <c r="D2040" s="18">
        <v>55</v>
      </c>
      <c r="E2040" s="18" t="s">
        <v>132</v>
      </c>
      <c r="F2040" s="18" t="str">
        <f>IF(OR(D2040&gt;Answers!L2055,D2040&lt;Answers!L2056),"Outlier","Normal")</f>
        <v>Outlier</v>
      </c>
      <c r="G2040" s="19" t="str">
        <f t="shared" si="31"/>
        <v>40-50</v>
      </c>
    </row>
    <row r="2041" spans="1:7" ht="20" customHeight="1" x14ac:dyDescent="0.35">
      <c r="A2041" s="17">
        <v>2040</v>
      </c>
      <c r="B2041" s="23" t="s">
        <v>109</v>
      </c>
      <c r="C2041" s="18" t="s">
        <v>125</v>
      </c>
      <c r="D2041" s="18">
        <v>38</v>
      </c>
      <c r="E2041" s="18" t="s">
        <v>132</v>
      </c>
      <c r="F2041" s="18" t="str">
        <f>IF(OR(D2041&gt;Answers!L2056,D2041&lt;Answers!L2057),"Outlier","Normal")</f>
        <v>Outlier</v>
      </c>
      <c r="G2041" s="19" t="str">
        <f t="shared" si="31"/>
        <v>30-40</v>
      </c>
    </row>
    <row r="2042" spans="1:7" ht="20" customHeight="1" x14ac:dyDescent="0.35">
      <c r="A2042" s="17">
        <v>2041</v>
      </c>
      <c r="B2042" s="23" t="s">
        <v>101</v>
      </c>
      <c r="C2042" s="18" t="s">
        <v>125</v>
      </c>
      <c r="D2042" s="18">
        <v>70</v>
      </c>
      <c r="E2042" s="18" t="s">
        <v>132</v>
      </c>
      <c r="F2042" s="18" t="str">
        <f>IF(OR(D2042&gt;Answers!L2057,D2042&lt;Answers!L2058),"Outlier","Normal")</f>
        <v>Outlier</v>
      </c>
      <c r="G2042" s="19" t="str">
        <f t="shared" si="31"/>
        <v>40-50</v>
      </c>
    </row>
    <row r="2043" spans="1:7" ht="20" customHeight="1" x14ac:dyDescent="0.35">
      <c r="A2043" s="17">
        <v>2042</v>
      </c>
      <c r="B2043" s="23" t="s">
        <v>104</v>
      </c>
      <c r="C2043" s="18" t="s">
        <v>126</v>
      </c>
      <c r="D2043" s="18">
        <v>57</v>
      </c>
      <c r="E2043" s="18" t="s">
        <v>132</v>
      </c>
      <c r="F2043" s="18" t="str">
        <f>IF(OR(D2043&gt;Answers!L2058,D2043&lt;Answers!L2059),"Outlier","Normal")</f>
        <v>Outlier</v>
      </c>
      <c r="G2043" s="19" t="str">
        <f t="shared" si="31"/>
        <v>40-50</v>
      </c>
    </row>
    <row r="2044" spans="1:7" ht="20" customHeight="1" x14ac:dyDescent="0.35">
      <c r="A2044" s="17">
        <v>2043</v>
      </c>
      <c r="B2044" s="23" t="s">
        <v>105</v>
      </c>
      <c r="C2044" s="18" t="s">
        <v>125</v>
      </c>
      <c r="D2044" s="18">
        <v>51</v>
      </c>
      <c r="E2044" s="18" t="s">
        <v>132</v>
      </c>
      <c r="F2044" s="18" t="str">
        <f>IF(OR(D2044&gt;Answers!L2059,D2044&lt;Answers!L2060),"Outlier","Normal")</f>
        <v>Outlier</v>
      </c>
      <c r="G2044" s="19" t="str">
        <f t="shared" si="31"/>
        <v>40-50</v>
      </c>
    </row>
    <row r="2045" spans="1:7" ht="20" customHeight="1" x14ac:dyDescent="0.35">
      <c r="A2045" s="17">
        <v>2044</v>
      </c>
      <c r="B2045" s="23" t="s">
        <v>99</v>
      </c>
      <c r="C2045" s="18" t="s">
        <v>126</v>
      </c>
      <c r="D2045" s="18">
        <v>39</v>
      </c>
      <c r="E2045" s="18" t="s">
        <v>132</v>
      </c>
      <c r="F2045" s="18" t="str">
        <f>IF(OR(D2045&gt;Answers!L2060,D2045&lt;Answers!L2061),"Outlier","Normal")</f>
        <v>Outlier</v>
      </c>
      <c r="G2045" s="19" t="str">
        <f t="shared" si="31"/>
        <v>30-40</v>
      </c>
    </row>
    <row r="2046" spans="1:7" ht="20" customHeight="1" x14ac:dyDescent="0.35">
      <c r="A2046" s="17">
        <v>2045</v>
      </c>
      <c r="B2046" s="23" t="s">
        <v>105</v>
      </c>
      <c r="C2046" s="18" t="s">
        <v>125</v>
      </c>
      <c r="D2046" s="18">
        <v>56</v>
      </c>
      <c r="E2046" s="18" t="s">
        <v>132</v>
      </c>
      <c r="F2046" s="18" t="str">
        <f>IF(OR(D2046&gt;Answers!L2061,D2046&lt;Answers!L2062),"Outlier","Normal")</f>
        <v>Outlier</v>
      </c>
      <c r="G2046" s="19" t="str">
        <f t="shared" si="31"/>
        <v>40-50</v>
      </c>
    </row>
    <row r="2047" spans="1:7" ht="20" customHeight="1" x14ac:dyDescent="0.35">
      <c r="A2047" s="17">
        <v>2046</v>
      </c>
      <c r="B2047" s="23" t="s">
        <v>100</v>
      </c>
      <c r="C2047" s="18" t="s">
        <v>126</v>
      </c>
      <c r="D2047" s="18">
        <v>43</v>
      </c>
      <c r="E2047" s="18" t="s">
        <v>132</v>
      </c>
      <c r="F2047" s="18" t="str">
        <f>IF(OR(D2047&gt;Answers!L2062,D2047&lt;Answers!L2063),"Outlier","Normal")</f>
        <v>Outlier</v>
      </c>
      <c r="G2047" s="19" t="str">
        <f t="shared" si="31"/>
        <v>40-50</v>
      </c>
    </row>
    <row r="2048" spans="1:7" ht="20" customHeight="1" x14ac:dyDescent="0.35">
      <c r="A2048" s="17">
        <v>2047</v>
      </c>
      <c r="B2048" s="23" t="s">
        <v>99</v>
      </c>
      <c r="C2048" s="18" t="s">
        <v>126</v>
      </c>
      <c r="D2048" s="18">
        <v>87</v>
      </c>
      <c r="E2048" s="18" t="s">
        <v>132</v>
      </c>
      <c r="F2048" s="18" t="str">
        <f>IF(OR(D2048&gt;Answers!L2063,D2048&lt;Answers!L2064),"Outlier","Normal")</f>
        <v>Outlier</v>
      </c>
      <c r="G2048" s="19" t="str">
        <f t="shared" si="31"/>
        <v>40-50</v>
      </c>
    </row>
    <row r="2049" spans="1:7" ht="20" customHeight="1" x14ac:dyDescent="0.35">
      <c r="A2049" s="17">
        <v>2048</v>
      </c>
      <c r="B2049" s="23" t="s">
        <v>99</v>
      </c>
      <c r="C2049" s="18" t="s">
        <v>125</v>
      </c>
      <c r="D2049" s="18">
        <v>63</v>
      </c>
      <c r="E2049" s="18" t="s">
        <v>132</v>
      </c>
      <c r="F2049" s="18" t="str">
        <f>IF(OR(D2049&gt;Answers!L2064,D2049&lt;Answers!L2065),"Outlier","Normal")</f>
        <v>Outlier</v>
      </c>
      <c r="G2049" s="19" t="str">
        <f t="shared" si="31"/>
        <v>40-50</v>
      </c>
    </row>
    <row r="2050" spans="1:7" ht="20" customHeight="1" x14ac:dyDescent="0.35">
      <c r="A2050" s="17">
        <v>2049</v>
      </c>
      <c r="B2050" s="23" t="s">
        <v>99</v>
      </c>
      <c r="C2050" s="18" t="s">
        <v>125</v>
      </c>
      <c r="D2050" s="18">
        <v>67</v>
      </c>
      <c r="E2050" s="18" t="s">
        <v>132</v>
      </c>
      <c r="F2050" s="18" t="str">
        <f>IF(OR(D2050&gt;Answers!L2065,D2050&lt;Answers!L2066),"Outlier","Normal")</f>
        <v>Outlier</v>
      </c>
      <c r="G2050" s="19" t="str">
        <f t="shared" si="31"/>
        <v>40-50</v>
      </c>
    </row>
    <row r="2051" spans="1:7" ht="20" customHeight="1" x14ac:dyDescent="0.35">
      <c r="A2051" s="17">
        <v>2050</v>
      </c>
      <c r="B2051" s="23" t="s">
        <v>102</v>
      </c>
      <c r="C2051" s="18" t="s">
        <v>126</v>
      </c>
      <c r="D2051" s="18">
        <v>34</v>
      </c>
      <c r="E2051" s="18" t="s">
        <v>132</v>
      </c>
      <c r="F2051" s="18" t="str">
        <f>IF(OR(D2051&gt;Answers!L2066,D2051&lt;Answers!L2067),"Outlier","Normal")</f>
        <v>Outlier</v>
      </c>
      <c r="G2051" s="19" t="str">
        <f t="shared" ref="G2051:G2114" si="32">IF(D2051&lt;20,"&lt;20",
IF(D2051&lt;=30,"20-30",
IF(D2051&lt;=40,"30-40","40-50")))</f>
        <v>30-40</v>
      </c>
    </row>
    <row r="2052" spans="1:7" ht="20" customHeight="1" x14ac:dyDescent="0.35">
      <c r="A2052" s="17">
        <v>2051</v>
      </c>
      <c r="B2052" s="23" t="s">
        <v>110</v>
      </c>
      <c r="C2052" s="18" t="s">
        <v>126</v>
      </c>
      <c r="D2052" s="18">
        <v>90</v>
      </c>
      <c r="E2052" s="18" t="s">
        <v>132</v>
      </c>
      <c r="F2052" s="18" t="str">
        <f>IF(OR(D2052&gt;Answers!L2067,D2052&lt;Answers!L2068),"Outlier","Normal")</f>
        <v>Outlier</v>
      </c>
      <c r="G2052" s="19" t="str">
        <f t="shared" si="32"/>
        <v>40-50</v>
      </c>
    </row>
    <row r="2053" spans="1:7" ht="20" customHeight="1" x14ac:dyDescent="0.35">
      <c r="A2053" s="17">
        <v>2052</v>
      </c>
      <c r="B2053" s="23" t="s">
        <v>107</v>
      </c>
      <c r="C2053" s="18" t="s">
        <v>125</v>
      </c>
      <c r="D2053" s="18">
        <v>65</v>
      </c>
      <c r="E2053" s="18" t="s">
        <v>132</v>
      </c>
      <c r="F2053" s="18" t="str">
        <f>IF(OR(D2053&gt;Answers!L2068,D2053&lt;Answers!L2069),"Outlier","Normal")</f>
        <v>Outlier</v>
      </c>
      <c r="G2053" s="19" t="str">
        <f t="shared" si="32"/>
        <v>40-50</v>
      </c>
    </row>
    <row r="2054" spans="1:7" ht="20" customHeight="1" x14ac:dyDescent="0.35">
      <c r="A2054" s="17">
        <v>2053</v>
      </c>
      <c r="B2054" s="23" t="s">
        <v>99</v>
      </c>
      <c r="C2054" s="18" t="s">
        <v>125</v>
      </c>
      <c r="D2054" s="18">
        <v>38</v>
      </c>
      <c r="E2054" s="18" t="s">
        <v>132</v>
      </c>
      <c r="F2054" s="18" t="str">
        <f>IF(OR(D2054&gt;Answers!L2069,D2054&lt;Answers!L2070),"Outlier","Normal")</f>
        <v>Outlier</v>
      </c>
      <c r="G2054" s="19" t="str">
        <f t="shared" si="32"/>
        <v>30-40</v>
      </c>
    </row>
    <row r="2055" spans="1:7" ht="20" customHeight="1" x14ac:dyDescent="0.35">
      <c r="A2055" s="17">
        <v>2054</v>
      </c>
      <c r="B2055" s="23" t="s">
        <v>105</v>
      </c>
      <c r="C2055" s="18" t="s">
        <v>126</v>
      </c>
      <c r="D2055" s="18">
        <v>28</v>
      </c>
      <c r="E2055" s="18" t="s">
        <v>132</v>
      </c>
      <c r="F2055" s="18" t="str">
        <f>IF(OR(D2055&gt;Answers!L2070,D2055&lt;Answers!L2071),"Outlier","Normal")</f>
        <v>Outlier</v>
      </c>
      <c r="G2055" s="19" t="str">
        <f t="shared" si="32"/>
        <v>20-30</v>
      </c>
    </row>
    <row r="2056" spans="1:7" ht="20" customHeight="1" x14ac:dyDescent="0.35">
      <c r="A2056" s="17">
        <v>2055</v>
      </c>
      <c r="B2056" s="23" t="s">
        <v>99</v>
      </c>
      <c r="C2056" s="18" t="s">
        <v>126</v>
      </c>
      <c r="D2056" s="18">
        <v>33</v>
      </c>
      <c r="E2056" s="18" t="s">
        <v>132</v>
      </c>
      <c r="F2056" s="18" t="str">
        <f>IF(OR(D2056&gt;Answers!L2071,D2056&lt;Answers!L2072),"Outlier","Normal")</f>
        <v>Outlier</v>
      </c>
      <c r="G2056" s="19" t="str">
        <f t="shared" si="32"/>
        <v>30-40</v>
      </c>
    </row>
    <row r="2057" spans="1:7" ht="20" customHeight="1" x14ac:dyDescent="0.35">
      <c r="A2057" s="17">
        <v>2056</v>
      </c>
      <c r="B2057" s="23" t="s">
        <v>99</v>
      </c>
      <c r="C2057" s="18" t="s">
        <v>125</v>
      </c>
      <c r="D2057" s="18">
        <v>79</v>
      </c>
      <c r="E2057" s="18" t="s">
        <v>132</v>
      </c>
      <c r="F2057" s="18" t="str">
        <f>IF(OR(D2057&gt;Answers!L2072,D2057&lt;Answers!L2073),"Outlier","Normal")</f>
        <v>Outlier</v>
      </c>
      <c r="G2057" s="19" t="str">
        <f t="shared" si="32"/>
        <v>40-50</v>
      </c>
    </row>
    <row r="2058" spans="1:7" ht="20" customHeight="1" x14ac:dyDescent="0.35">
      <c r="A2058" s="17">
        <v>2057</v>
      </c>
      <c r="B2058" s="23" t="s">
        <v>100</v>
      </c>
      <c r="C2058" s="18" t="s">
        <v>125</v>
      </c>
      <c r="D2058" s="18">
        <v>41</v>
      </c>
      <c r="E2058" s="18" t="s">
        <v>132</v>
      </c>
      <c r="F2058" s="18" t="str">
        <f>IF(OR(D2058&gt;Answers!L2073,D2058&lt;Answers!L2074),"Outlier","Normal")</f>
        <v>Outlier</v>
      </c>
      <c r="G2058" s="19" t="str">
        <f t="shared" si="32"/>
        <v>40-50</v>
      </c>
    </row>
    <row r="2059" spans="1:7" ht="20" customHeight="1" x14ac:dyDescent="0.35">
      <c r="A2059" s="17">
        <v>2058</v>
      </c>
      <c r="B2059" s="23" t="s">
        <v>99</v>
      </c>
      <c r="C2059" s="18" t="s">
        <v>125</v>
      </c>
      <c r="D2059" s="18">
        <v>30</v>
      </c>
      <c r="E2059" s="18" t="s">
        <v>132</v>
      </c>
      <c r="F2059" s="18" t="str">
        <f>IF(OR(D2059&gt;Answers!L2074,D2059&lt;Answers!L2075),"Outlier","Normal")</f>
        <v>Outlier</v>
      </c>
      <c r="G2059" s="19" t="str">
        <f t="shared" si="32"/>
        <v>20-30</v>
      </c>
    </row>
    <row r="2060" spans="1:7" ht="20" customHeight="1" x14ac:dyDescent="0.35">
      <c r="A2060" s="17">
        <v>2059</v>
      </c>
      <c r="B2060" s="23" t="s">
        <v>108</v>
      </c>
      <c r="C2060" s="18" t="s">
        <v>125</v>
      </c>
      <c r="D2060" s="18">
        <v>27</v>
      </c>
      <c r="E2060" s="18" t="s">
        <v>132</v>
      </c>
      <c r="F2060" s="18" t="str">
        <f>IF(OR(D2060&gt;Answers!L2075,D2060&lt;Answers!L2076),"Outlier","Normal")</f>
        <v>Outlier</v>
      </c>
      <c r="G2060" s="19" t="str">
        <f t="shared" si="32"/>
        <v>20-30</v>
      </c>
    </row>
    <row r="2061" spans="1:7" ht="20" customHeight="1" x14ac:dyDescent="0.35">
      <c r="A2061" s="17">
        <v>2060</v>
      </c>
      <c r="B2061" s="23" t="s">
        <v>100</v>
      </c>
      <c r="C2061" s="18" t="s">
        <v>126</v>
      </c>
      <c r="D2061" s="18">
        <v>42</v>
      </c>
      <c r="E2061" s="18" t="s">
        <v>132</v>
      </c>
      <c r="F2061" s="18" t="str">
        <f>IF(OR(D2061&gt;Answers!L2076,D2061&lt;Answers!L2077),"Outlier","Normal")</f>
        <v>Outlier</v>
      </c>
      <c r="G2061" s="19" t="str">
        <f t="shared" si="32"/>
        <v>40-50</v>
      </c>
    </row>
    <row r="2062" spans="1:7" ht="20" customHeight="1" x14ac:dyDescent="0.35">
      <c r="A2062" s="17">
        <v>2061</v>
      </c>
      <c r="B2062" s="23" t="s">
        <v>99</v>
      </c>
      <c r="C2062" s="18" t="s">
        <v>125</v>
      </c>
      <c r="D2062" s="18">
        <v>78</v>
      </c>
      <c r="E2062" s="18" t="s">
        <v>132</v>
      </c>
      <c r="F2062" s="18" t="str">
        <f>IF(OR(D2062&gt;Answers!L2077,D2062&lt;Answers!L2078),"Outlier","Normal")</f>
        <v>Outlier</v>
      </c>
      <c r="G2062" s="19" t="str">
        <f t="shared" si="32"/>
        <v>40-50</v>
      </c>
    </row>
    <row r="2063" spans="1:7" ht="20" customHeight="1" x14ac:dyDescent="0.35">
      <c r="A2063" s="17">
        <v>2062</v>
      </c>
      <c r="B2063" s="23" t="s">
        <v>101</v>
      </c>
      <c r="C2063" s="18" t="s">
        <v>125</v>
      </c>
      <c r="D2063" s="18">
        <v>52</v>
      </c>
      <c r="E2063" s="18" t="s">
        <v>132</v>
      </c>
      <c r="F2063" s="18" t="str">
        <f>IF(OR(D2063&gt;Answers!L2078,D2063&lt;Answers!L2079),"Outlier","Normal")</f>
        <v>Outlier</v>
      </c>
      <c r="G2063" s="19" t="str">
        <f t="shared" si="32"/>
        <v>40-50</v>
      </c>
    </row>
    <row r="2064" spans="1:7" ht="20" customHeight="1" x14ac:dyDescent="0.35">
      <c r="A2064" s="17">
        <v>2063</v>
      </c>
      <c r="B2064" s="23" t="s">
        <v>101</v>
      </c>
      <c r="C2064" s="18" t="s">
        <v>125</v>
      </c>
      <c r="D2064" s="18">
        <v>23</v>
      </c>
      <c r="E2064" s="18" t="s">
        <v>132</v>
      </c>
      <c r="F2064" s="18" t="str">
        <f>IF(OR(D2064&gt;Answers!L2079,D2064&lt;Answers!L2080),"Outlier","Normal")</f>
        <v>Outlier</v>
      </c>
      <c r="G2064" s="19" t="str">
        <f t="shared" si="32"/>
        <v>20-30</v>
      </c>
    </row>
    <row r="2065" spans="1:7" ht="20" customHeight="1" x14ac:dyDescent="0.35">
      <c r="A2065" s="17">
        <v>2064</v>
      </c>
      <c r="B2065" s="23" t="s">
        <v>102</v>
      </c>
      <c r="C2065" s="18" t="s">
        <v>125</v>
      </c>
      <c r="D2065" s="18">
        <v>47</v>
      </c>
      <c r="E2065" s="18" t="s">
        <v>132</v>
      </c>
      <c r="F2065" s="18" t="str">
        <f>IF(OR(D2065&gt;Answers!L2080,D2065&lt;Answers!L2081),"Outlier","Normal")</f>
        <v>Outlier</v>
      </c>
      <c r="G2065" s="19" t="str">
        <f t="shared" si="32"/>
        <v>40-50</v>
      </c>
    </row>
    <row r="2066" spans="1:7" ht="20" customHeight="1" x14ac:dyDescent="0.35">
      <c r="A2066" s="17">
        <v>2065</v>
      </c>
      <c r="B2066" s="23" t="s">
        <v>101</v>
      </c>
      <c r="C2066" s="18" t="s">
        <v>126</v>
      </c>
      <c r="D2066" s="18">
        <v>58</v>
      </c>
      <c r="E2066" s="18" t="s">
        <v>132</v>
      </c>
      <c r="F2066" s="18" t="str">
        <f>IF(OR(D2066&gt;Answers!L2081,D2066&lt;Answers!L2082),"Outlier","Normal")</f>
        <v>Outlier</v>
      </c>
      <c r="G2066" s="19" t="str">
        <f t="shared" si="32"/>
        <v>40-50</v>
      </c>
    </row>
    <row r="2067" spans="1:7" ht="20" customHeight="1" x14ac:dyDescent="0.35">
      <c r="A2067" s="17">
        <v>2066</v>
      </c>
      <c r="B2067" s="23" t="s">
        <v>105</v>
      </c>
      <c r="C2067" s="18" t="s">
        <v>125</v>
      </c>
      <c r="D2067" s="18">
        <v>69</v>
      </c>
      <c r="E2067" s="18" t="s">
        <v>132</v>
      </c>
      <c r="F2067" s="18" t="str">
        <f>IF(OR(D2067&gt;Answers!L2082,D2067&lt;Answers!L2083),"Outlier","Normal")</f>
        <v>Outlier</v>
      </c>
      <c r="G2067" s="19" t="str">
        <f t="shared" si="32"/>
        <v>40-50</v>
      </c>
    </row>
    <row r="2068" spans="1:7" ht="20" customHeight="1" x14ac:dyDescent="0.35">
      <c r="A2068" s="17">
        <v>2067</v>
      </c>
      <c r="B2068" s="23" t="s">
        <v>102</v>
      </c>
      <c r="C2068" s="18" t="s">
        <v>126</v>
      </c>
      <c r="D2068" s="18">
        <v>70</v>
      </c>
      <c r="E2068" s="18" t="s">
        <v>132</v>
      </c>
      <c r="F2068" s="18" t="str">
        <f>IF(OR(D2068&gt;Answers!L2083,D2068&lt;Answers!L2084),"Outlier","Normal")</f>
        <v>Outlier</v>
      </c>
      <c r="G2068" s="19" t="str">
        <f t="shared" si="32"/>
        <v>40-50</v>
      </c>
    </row>
    <row r="2069" spans="1:7" ht="20" customHeight="1" x14ac:dyDescent="0.35">
      <c r="A2069" s="17">
        <v>2068</v>
      </c>
      <c r="B2069" s="23" t="s">
        <v>99</v>
      </c>
      <c r="C2069" s="18" t="s">
        <v>125</v>
      </c>
      <c r="D2069" s="18">
        <v>70</v>
      </c>
      <c r="E2069" s="18" t="s">
        <v>132</v>
      </c>
      <c r="F2069" s="18" t="str">
        <f>IF(OR(D2069&gt;Answers!L2084,D2069&lt;Answers!L2085),"Outlier","Normal")</f>
        <v>Outlier</v>
      </c>
      <c r="G2069" s="19" t="str">
        <f t="shared" si="32"/>
        <v>40-50</v>
      </c>
    </row>
    <row r="2070" spans="1:7" ht="20" customHeight="1" x14ac:dyDescent="0.35">
      <c r="A2070" s="17">
        <v>2069</v>
      </c>
      <c r="B2070" s="23" t="s">
        <v>110</v>
      </c>
      <c r="C2070" s="18" t="s">
        <v>126</v>
      </c>
      <c r="D2070" s="18">
        <v>61</v>
      </c>
      <c r="E2070" s="18" t="s">
        <v>132</v>
      </c>
      <c r="F2070" s="18" t="str">
        <f>IF(OR(D2070&gt;Answers!L2085,D2070&lt;Answers!L2086),"Outlier","Normal")</f>
        <v>Outlier</v>
      </c>
      <c r="G2070" s="19" t="str">
        <f t="shared" si="32"/>
        <v>40-50</v>
      </c>
    </row>
    <row r="2071" spans="1:7" ht="20" customHeight="1" x14ac:dyDescent="0.35">
      <c r="A2071" s="17">
        <v>2070</v>
      </c>
      <c r="B2071" s="23" t="s">
        <v>105</v>
      </c>
      <c r="C2071" s="18" t="s">
        <v>125</v>
      </c>
      <c r="D2071" s="18">
        <v>41</v>
      </c>
      <c r="E2071" s="18" t="s">
        <v>132</v>
      </c>
      <c r="F2071" s="18" t="str">
        <f>IF(OR(D2071&gt;Answers!L2086,D2071&lt;Answers!L2087),"Outlier","Normal")</f>
        <v>Outlier</v>
      </c>
      <c r="G2071" s="19" t="str">
        <f t="shared" si="32"/>
        <v>40-50</v>
      </c>
    </row>
    <row r="2072" spans="1:7" ht="20" customHeight="1" x14ac:dyDescent="0.35">
      <c r="A2072" s="17">
        <v>2071</v>
      </c>
      <c r="B2072" s="23" t="s">
        <v>105</v>
      </c>
      <c r="C2072" s="18" t="s">
        <v>125</v>
      </c>
      <c r="D2072" s="18">
        <v>46</v>
      </c>
      <c r="E2072" s="18" t="s">
        <v>132</v>
      </c>
      <c r="F2072" s="18" t="str">
        <f>IF(OR(D2072&gt;Answers!L2087,D2072&lt;Answers!L2088),"Outlier","Normal")</f>
        <v>Outlier</v>
      </c>
      <c r="G2072" s="19" t="str">
        <f t="shared" si="32"/>
        <v>40-50</v>
      </c>
    </row>
    <row r="2073" spans="1:7" ht="20" customHeight="1" x14ac:dyDescent="0.35">
      <c r="A2073" s="17">
        <v>2072</v>
      </c>
      <c r="B2073" s="23" t="s">
        <v>99</v>
      </c>
      <c r="C2073" s="18" t="s">
        <v>125</v>
      </c>
      <c r="D2073" s="18">
        <v>80</v>
      </c>
      <c r="E2073" s="18" t="s">
        <v>132</v>
      </c>
      <c r="F2073" s="18" t="str">
        <f>IF(OR(D2073&gt;Answers!L2088,D2073&lt;Answers!L2089),"Outlier","Normal")</f>
        <v>Outlier</v>
      </c>
      <c r="G2073" s="19" t="str">
        <f t="shared" si="32"/>
        <v>40-50</v>
      </c>
    </row>
    <row r="2074" spans="1:7" ht="20" customHeight="1" x14ac:dyDescent="0.35">
      <c r="A2074" s="17">
        <v>2073</v>
      </c>
      <c r="B2074" s="23" t="s">
        <v>104</v>
      </c>
      <c r="C2074" s="18" t="s">
        <v>126</v>
      </c>
      <c r="D2074" s="18">
        <v>30</v>
      </c>
      <c r="E2074" s="18" t="s">
        <v>132</v>
      </c>
      <c r="F2074" s="18" t="str">
        <f>IF(OR(D2074&gt;Answers!L2089,D2074&lt;Answers!L2090),"Outlier","Normal")</f>
        <v>Outlier</v>
      </c>
      <c r="G2074" s="19" t="str">
        <f t="shared" si="32"/>
        <v>20-30</v>
      </c>
    </row>
    <row r="2075" spans="1:7" ht="20" customHeight="1" x14ac:dyDescent="0.35">
      <c r="A2075" s="17">
        <v>2074</v>
      </c>
      <c r="B2075" s="23" t="s">
        <v>99</v>
      </c>
      <c r="C2075" s="18" t="s">
        <v>126</v>
      </c>
      <c r="D2075" s="18">
        <v>86</v>
      </c>
      <c r="E2075" s="18" t="s">
        <v>132</v>
      </c>
      <c r="F2075" s="18" t="str">
        <f>IF(OR(D2075&gt;Answers!L2090,D2075&lt;Answers!L2091),"Outlier","Normal")</f>
        <v>Outlier</v>
      </c>
      <c r="G2075" s="19" t="str">
        <f t="shared" si="32"/>
        <v>40-50</v>
      </c>
    </row>
    <row r="2076" spans="1:7" ht="20" customHeight="1" x14ac:dyDescent="0.35">
      <c r="A2076" s="17">
        <v>2075</v>
      </c>
      <c r="B2076" s="23" t="s">
        <v>99</v>
      </c>
      <c r="C2076" s="18" t="s">
        <v>125</v>
      </c>
      <c r="D2076" s="18">
        <v>81</v>
      </c>
      <c r="E2076" s="18" t="s">
        <v>132</v>
      </c>
      <c r="F2076" s="18" t="str">
        <f>IF(OR(D2076&gt;Answers!L2091,D2076&lt;Answers!L2092),"Outlier","Normal")</f>
        <v>Outlier</v>
      </c>
      <c r="G2076" s="19" t="str">
        <f t="shared" si="32"/>
        <v>40-50</v>
      </c>
    </row>
    <row r="2077" spans="1:7" ht="20" customHeight="1" x14ac:dyDescent="0.35">
      <c r="A2077" s="17">
        <v>2076</v>
      </c>
      <c r="B2077" s="23" t="s">
        <v>99</v>
      </c>
      <c r="C2077" s="18" t="s">
        <v>126</v>
      </c>
      <c r="D2077" s="18">
        <v>55</v>
      </c>
      <c r="E2077" s="18" t="s">
        <v>132</v>
      </c>
      <c r="F2077" s="18" t="str">
        <f>IF(OR(D2077&gt;Answers!L2092,D2077&lt;Answers!L2093),"Outlier","Normal")</f>
        <v>Outlier</v>
      </c>
      <c r="G2077" s="19" t="str">
        <f t="shared" si="32"/>
        <v>40-50</v>
      </c>
    </row>
    <row r="2078" spans="1:7" ht="20" customHeight="1" x14ac:dyDescent="0.35">
      <c r="A2078" s="17">
        <v>2077</v>
      </c>
      <c r="B2078" s="23" t="s">
        <v>105</v>
      </c>
      <c r="C2078" s="18" t="s">
        <v>126</v>
      </c>
      <c r="D2078" s="18">
        <v>61</v>
      </c>
      <c r="E2078" s="18" t="s">
        <v>132</v>
      </c>
      <c r="F2078" s="18" t="str">
        <f>IF(OR(D2078&gt;Answers!L2093,D2078&lt;Answers!L2094),"Outlier","Normal")</f>
        <v>Outlier</v>
      </c>
      <c r="G2078" s="19" t="str">
        <f t="shared" si="32"/>
        <v>40-50</v>
      </c>
    </row>
    <row r="2079" spans="1:7" ht="20" customHeight="1" x14ac:dyDescent="0.35">
      <c r="A2079" s="17">
        <v>2078</v>
      </c>
      <c r="B2079" s="23" t="s">
        <v>104</v>
      </c>
      <c r="C2079" s="18" t="s">
        <v>125</v>
      </c>
      <c r="D2079" s="18">
        <v>63</v>
      </c>
      <c r="E2079" s="18" t="s">
        <v>132</v>
      </c>
      <c r="F2079" s="18" t="str">
        <f>IF(OR(D2079&gt;Answers!L2094,D2079&lt;Answers!L2095),"Outlier","Normal")</f>
        <v>Outlier</v>
      </c>
      <c r="G2079" s="19" t="str">
        <f t="shared" si="32"/>
        <v>40-50</v>
      </c>
    </row>
    <row r="2080" spans="1:7" ht="20" customHeight="1" x14ac:dyDescent="0.35">
      <c r="A2080" s="17">
        <v>2079</v>
      </c>
      <c r="B2080" s="23" t="s">
        <v>99</v>
      </c>
      <c r="C2080" s="18" t="s">
        <v>125</v>
      </c>
      <c r="D2080" s="18">
        <v>55</v>
      </c>
      <c r="E2080" s="18" t="s">
        <v>132</v>
      </c>
      <c r="F2080" s="18" t="str">
        <f>IF(OR(D2080&gt;Answers!L2095,D2080&lt;Answers!L2096),"Outlier","Normal")</f>
        <v>Outlier</v>
      </c>
      <c r="G2080" s="19" t="str">
        <f t="shared" si="32"/>
        <v>40-50</v>
      </c>
    </row>
    <row r="2081" spans="1:7" ht="20" customHeight="1" x14ac:dyDescent="0.35">
      <c r="A2081" s="17">
        <v>2080</v>
      </c>
      <c r="B2081" s="23" t="s">
        <v>99</v>
      </c>
      <c r="C2081" s="18" t="s">
        <v>125</v>
      </c>
      <c r="D2081" s="18">
        <v>73</v>
      </c>
      <c r="E2081" s="18" t="s">
        <v>132</v>
      </c>
      <c r="F2081" s="18" t="str">
        <f>IF(OR(D2081&gt;Answers!L2096,D2081&lt;Answers!L2097),"Outlier","Normal")</f>
        <v>Outlier</v>
      </c>
      <c r="G2081" s="19" t="str">
        <f t="shared" si="32"/>
        <v>40-50</v>
      </c>
    </row>
    <row r="2082" spans="1:7" ht="20" customHeight="1" x14ac:dyDescent="0.35">
      <c r="A2082" s="17">
        <v>2081</v>
      </c>
      <c r="B2082" s="23" t="s">
        <v>106</v>
      </c>
      <c r="C2082" s="18" t="s">
        <v>126</v>
      </c>
      <c r="D2082" s="18">
        <v>82</v>
      </c>
      <c r="E2082" s="18" t="s">
        <v>132</v>
      </c>
      <c r="F2082" s="18" t="str">
        <f>IF(OR(D2082&gt;Answers!L2097,D2082&lt;Answers!L2098),"Outlier","Normal")</f>
        <v>Outlier</v>
      </c>
      <c r="G2082" s="19" t="str">
        <f t="shared" si="32"/>
        <v>40-50</v>
      </c>
    </row>
    <row r="2083" spans="1:7" ht="20" customHeight="1" x14ac:dyDescent="0.35">
      <c r="A2083" s="17">
        <v>2082</v>
      </c>
      <c r="B2083" s="23" t="s">
        <v>109</v>
      </c>
      <c r="C2083" s="18" t="s">
        <v>125</v>
      </c>
      <c r="D2083" s="18">
        <v>70</v>
      </c>
      <c r="E2083" s="18" t="s">
        <v>132</v>
      </c>
      <c r="F2083" s="18" t="str">
        <f>IF(OR(D2083&gt;Answers!L2098,D2083&lt;Answers!L2099),"Outlier","Normal")</f>
        <v>Outlier</v>
      </c>
      <c r="G2083" s="19" t="str">
        <f t="shared" si="32"/>
        <v>40-50</v>
      </c>
    </row>
    <row r="2084" spans="1:7" ht="20" customHeight="1" x14ac:dyDescent="0.35">
      <c r="A2084" s="17">
        <v>2083</v>
      </c>
      <c r="B2084" s="23" t="s">
        <v>99</v>
      </c>
      <c r="C2084" s="18" t="s">
        <v>125</v>
      </c>
      <c r="D2084" s="18">
        <v>22</v>
      </c>
      <c r="E2084" s="18" t="s">
        <v>132</v>
      </c>
      <c r="F2084" s="18" t="str">
        <f>IF(OR(D2084&gt;Answers!L2099,D2084&lt;Answers!L2100),"Outlier","Normal")</f>
        <v>Outlier</v>
      </c>
      <c r="G2084" s="19" t="str">
        <f t="shared" si="32"/>
        <v>20-30</v>
      </c>
    </row>
    <row r="2085" spans="1:7" ht="20" customHeight="1" x14ac:dyDescent="0.35">
      <c r="A2085" s="17">
        <v>2084</v>
      </c>
      <c r="B2085" s="23" t="s">
        <v>99</v>
      </c>
      <c r="C2085" s="18" t="s">
        <v>126</v>
      </c>
      <c r="D2085" s="18">
        <v>75</v>
      </c>
      <c r="E2085" s="18" t="s">
        <v>132</v>
      </c>
      <c r="F2085" s="18" t="str">
        <f>IF(OR(D2085&gt;Answers!L2100,D2085&lt;Answers!L2101),"Outlier","Normal")</f>
        <v>Outlier</v>
      </c>
      <c r="G2085" s="19" t="str">
        <f t="shared" si="32"/>
        <v>40-50</v>
      </c>
    </row>
    <row r="2086" spans="1:7" ht="20" customHeight="1" x14ac:dyDescent="0.35">
      <c r="A2086" s="17">
        <v>2085</v>
      </c>
      <c r="B2086" s="23" t="s">
        <v>100</v>
      </c>
      <c r="C2086" s="18" t="s">
        <v>126</v>
      </c>
      <c r="D2086" s="18">
        <v>23</v>
      </c>
      <c r="E2086" s="18" t="s">
        <v>132</v>
      </c>
      <c r="F2086" s="18" t="str">
        <f>IF(OR(D2086&gt;Answers!L2101,D2086&lt;Answers!L2102),"Outlier","Normal")</f>
        <v>Outlier</v>
      </c>
      <c r="G2086" s="19" t="str">
        <f t="shared" si="32"/>
        <v>20-30</v>
      </c>
    </row>
    <row r="2087" spans="1:7" ht="20" customHeight="1" x14ac:dyDescent="0.35">
      <c r="A2087" s="17">
        <v>2086</v>
      </c>
      <c r="B2087" s="23" t="s">
        <v>99</v>
      </c>
      <c r="C2087" s="18" t="s">
        <v>126</v>
      </c>
      <c r="D2087" s="18">
        <v>48</v>
      </c>
      <c r="E2087" s="18" t="s">
        <v>132</v>
      </c>
      <c r="F2087" s="18" t="str">
        <f>IF(OR(D2087&gt;Answers!L2102,D2087&lt;Answers!L2103),"Outlier","Normal")</f>
        <v>Outlier</v>
      </c>
      <c r="G2087" s="19" t="str">
        <f t="shared" si="32"/>
        <v>40-50</v>
      </c>
    </row>
    <row r="2088" spans="1:7" ht="20" customHeight="1" x14ac:dyDescent="0.35">
      <c r="A2088" s="17">
        <v>2087</v>
      </c>
      <c r="B2088" s="23" t="s">
        <v>99</v>
      </c>
      <c r="C2088" s="18" t="s">
        <v>126</v>
      </c>
      <c r="D2088" s="18">
        <v>49</v>
      </c>
      <c r="E2088" s="18" t="s">
        <v>132</v>
      </c>
      <c r="F2088" s="18" t="str">
        <f>IF(OR(D2088&gt;Answers!L2103,D2088&lt;Answers!L2104),"Outlier","Normal")</f>
        <v>Outlier</v>
      </c>
      <c r="G2088" s="19" t="str">
        <f t="shared" si="32"/>
        <v>40-50</v>
      </c>
    </row>
    <row r="2089" spans="1:7" ht="20" customHeight="1" x14ac:dyDescent="0.35">
      <c r="A2089" s="17">
        <v>2088</v>
      </c>
      <c r="B2089" s="23" t="s">
        <v>99</v>
      </c>
      <c r="C2089" s="18" t="s">
        <v>125</v>
      </c>
      <c r="D2089" s="18">
        <v>56</v>
      </c>
      <c r="E2089" s="18" t="s">
        <v>132</v>
      </c>
      <c r="F2089" s="18" t="str">
        <f>IF(OR(D2089&gt;Answers!L2104,D2089&lt;Answers!L2105),"Outlier","Normal")</f>
        <v>Outlier</v>
      </c>
      <c r="G2089" s="19" t="str">
        <f t="shared" si="32"/>
        <v>40-50</v>
      </c>
    </row>
    <row r="2090" spans="1:7" ht="20" customHeight="1" x14ac:dyDescent="0.35">
      <c r="A2090" s="17">
        <v>2089</v>
      </c>
      <c r="B2090" s="23" t="s">
        <v>99</v>
      </c>
      <c r="C2090" s="18" t="s">
        <v>125</v>
      </c>
      <c r="D2090" s="18">
        <v>28</v>
      </c>
      <c r="E2090" s="18" t="s">
        <v>132</v>
      </c>
      <c r="F2090" s="18" t="str">
        <f>IF(OR(D2090&gt;Answers!L2105,D2090&lt;Answers!L2106),"Outlier","Normal")</f>
        <v>Outlier</v>
      </c>
      <c r="G2090" s="19" t="str">
        <f t="shared" si="32"/>
        <v>20-30</v>
      </c>
    </row>
    <row r="2091" spans="1:7" ht="20" customHeight="1" x14ac:dyDescent="0.35">
      <c r="A2091" s="17">
        <v>2090</v>
      </c>
      <c r="B2091" s="23" t="s">
        <v>99</v>
      </c>
      <c r="C2091" s="18" t="s">
        <v>126</v>
      </c>
      <c r="D2091" s="18">
        <v>74</v>
      </c>
      <c r="E2091" s="18" t="s">
        <v>132</v>
      </c>
      <c r="F2091" s="18" t="str">
        <f>IF(OR(D2091&gt;Answers!L2106,D2091&lt;Answers!L2107),"Outlier","Normal")</f>
        <v>Outlier</v>
      </c>
      <c r="G2091" s="19" t="str">
        <f t="shared" si="32"/>
        <v>40-50</v>
      </c>
    </row>
    <row r="2092" spans="1:7" ht="20" customHeight="1" x14ac:dyDescent="0.35">
      <c r="A2092" s="17">
        <v>2091</v>
      </c>
      <c r="B2092" s="23" t="s">
        <v>99</v>
      </c>
      <c r="C2092" s="18" t="s">
        <v>125</v>
      </c>
      <c r="D2092" s="18">
        <v>66</v>
      </c>
      <c r="E2092" s="18" t="s">
        <v>132</v>
      </c>
      <c r="F2092" s="18" t="str">
        <f>IF(OR(D2092&gt;Answers!L2107,D2092&lt;Answers!L2108),"Outlier","Normal")</f>
        <v>Outlier</v>
      </c>
      <c r="G2092" s="19" t="str">
        <f t="shared" si="32"/>
        <v>40-50</v>
      </c>
    </row>
    <row r="2093" spans="1:7" ht="20" customHeight="1" x14ac:dyDescent="0.35">
      <c r="A2093" s="17">
        <v>2092</v>
      </c>
      <c r="B2093" s="23" t="s">
        <v>99</v>
      </c>
      <c r="C2093" s="18" t="s">
        <v>125</v>
      </c>
      <c r="D2093" s="18">
        <v>90</v>
      </c>
      <c r="E2093" s="18" t="s">
        <v>132</v>
      </c>
      <c r="F2093" s="18" t="str">
        <f>IF(OR(D2093&gt;Answers!L2108,D2093&lt;Answers!L2109),"Outlier","Normal")</f>
        <v>Outlier</v>
      </c>
      <c r="G2093" s="19" t="str">
        <f t="shared" si="32"/>
        <v>40-50</v>
      </c>
    </row>
    <row r="2094" spans="1:7" ht="20" customHeight="1" x14ac:dyDescent="0.35">
      <c r="A2094" s="17">
        <v>2093</v>
      </c>
      <c r="B2094" s="23" t="s">
        <v>100</v>
      </c>
      <c r="C2094" s="18" t="s">
        <v>126</v>
      </c>
      <c r="D2094" s="18">
        <v>41</v>
      </c>
      <c r="E2094" s="18" t="s">
        <v>132</v>
      </c>
      <c r="F2094" s="18" t="str">
        <f>IF(OR(D2094&gt;Answers!L2109,D2094&lt;Answers!L2110),"Outlier","Normal")</f>
        <v>Outlier</v>
      </c>
      <c r="G2094" s="19" t="str">
        <f t="shared" si="32"/>
        <v>40-50</v>
      </c>
    </row>
    <row r="2095" spans="1:7" ht="20" customHeight="1" x14ac:dyDescent="0.35">
      <c r="A2095" s="17">
        <v>2094</v>
      </c>
      <c r="B2095" s="23" t="s">
        <v>101</v>
      </c>
      <c r="C2095" s="18" t="s">
        <v>126</v>
      </c>
      <c r="D2095" s="18">
        <v>24</v>
      </c>
      <c r="E2095" s="18" t="s">
        <v>132</v>
      </c>
      <c r="F2095" s="18" t="str">
        <f>IF(OR(D2095&gt;Answers!L2110,D2095&lt;Answers!L2111),"Outlier","Normal")</f>
        <v>Outlier</v>
      </c>
      <c r="G2095" s="19" t="str">
        <f t="shared" si="32"/>
        <v>20-30</v>
      </c>
    </row>
    <row r="2096" spans="1:7" ht="20" customHeight="1" x14ac:dyDescent="0.35">
      <c r="A2096" s="17">
        <v>2095</v>
      </c>
      <c r="B2096" s="23" t="s">
        <v>99</v>
      </c>
      <c r="C2096" s="18" t="s">
        <v>126</v>
      </c>
      <c r="D2096" s="18">
        <v>29</v>
      </c>
      <c r="E2096" s="18" t="s">
        <v>132</v>
      </c>
      <c r="F2096" s="18" t="str">
        <f>IF(OR(D2096&gt;Answers!L2111,D2096&lt;Answers!L2112),"Outlier","Normal")</f>
        <v>Outlier</v>
      </c>
      <c r="G2096" s="19" t="str">
        <f t="shared" si="32"/>
        <v>20-30</v>
      </c>
    </row>
    <row r="2097" spans="1:7" ht="20" customHeight="1" x14ac:dyDescent="0.35">
      <c r="A2097" s="17">
        <v>2096</v>
      </c>
      <c r="B2097" s="23" t="s">
        <v>99</v>
      </c>
      <c r="C2097" s="18" t="s">
        <v>125</v>
      </c>
      <c r="D2097" s="18">
        <v>36</v>
      </c>
      <c r="E2097" s="18" t="s">
        <v>132</v>
      </c>
      <c r="F2097" s="18" t="str">
        <f>IF(OR(D2097&gt;Answers!L2112,D2097&lt;Answers!L2113),"Outlier","Normal")</f>
        <v>Outlier</v>
      </c>
      <c r="G2097" s="19" t="str">
        <f t="shared" si="32"/>
        <v>30-40</v>
      </c>
    </row>
    <row r="2098" spans="1:7" ht="20" customHeight="1" x14ac:dyDescent="0.35">
      <c r="A2098" s="17">
        <v>2097</v>
      </c>
      <c r="B2098" s="23" t="s">
        <v>100</v>
      </c>
      <c r="C2098" s="18" t="s">
        <v>125</v>
      </c>
      <c r="D2098" s="18">
        <v>30</v>
      </c>
      <c r="E2098" s="18" t="s">
        <v>132</v>
      </c>
      <c r="F2098" s="18" t="str">
        <f>IF(OR(D2098&gt;Answers!L2113,D2098&lt;Answers!L2114),"Outlier","Normal")</f>
        <v>Outlier</v>
      </c>
      <c r="G2098" s="19" t="str">
        <f t="shared" si="32"/>
        <v>20-30</v>
      </c>
    </row>
    <row r="2099" spans="1:7" ht="20" customHeight="1" x14ac:dyDescent="0.35">
      <c r="A2099" s="17">
        <v>2098</v>
      </c>
      <c r="B2099" s="23" t="s">
        <v>107</v>
      </c>
      <c r="C2099" s="18" t="s">
        <v>125</v>
      </c>
      <c r="D2099" s="18">
        <v>35</v>
      </c>
      <c r="E2099" s="18" t="s">
        <v>132</v>
      </c>
      <c r="F2099" s="18" t="str">
        <f>IF(OR(D2099&gt;Answers!L2114,D2099&lt;Answers!L2115),"Outlier","Normal")</f>
        <v>Outlier</v>
      </c>
      <c r="G2099" s="19" t="str">
        <f t="shared" si="32"/>
        <v>30-40</v>
      </c>
    </row>
    <row r="2100" spans="1:7" ht="20" customHeight="1" x14ac:dyDescent="0.35">
      <c r="A2100" s="17">
        <v>2099</v>
      </c>
      <c r="B2100" s="23" t="s">
        <v>106</v>
      </c>
      <c r="C2100" s="18" t="s">
        <v>126</v>
      </c>
      <c r="D2100" s="18">
        <v>76</v>
      </c>
      <c r="E2100" s="18" t="s">
        <v>132</v>
      </c>
      <c r="F2100" s="18" t="str">
        <f>IF(OR(D2100&gt;Answers!L2115,D2100&lt;Answers!L2116),"Outlier","Normal")</f>
        <v>Outlier</v>
      </c>
      <c r="G2100" s="19" t="str">
        <f t="shared" si="32"/>
        <v>40-50</v>
      </c>
    </row>
    <row r="2101" spans="1:7" ht="20" customHeight="1" x14ac:dyDescent="0.35">
      <c r="A2101" s="17">
        <v>2100</v>
      </c>
      <c r="B2101" s="23" t="s">
        <v>100</v>
      </c>
      <c r="C2101" s="18" t="s">
        <v>125</v>
      </c>
      <c r="D2101" s="18">
        <v>82</v>
      </c>
      <c r="E2101" s="18" t="s">
        <v>132</v>
      </c>
      <c r="F2101" s="18" t="str">
        <f>IF(OR(D2101&gt;Answers!L2116,D2101&lt;Answers!L2117),"Outlier","Normal")</f>
        <v>Outlier</v>
      </c>
      <c r="G2101" s="19" t="str">
        <f t="shared" si="32"/>
        <v>40-50</v>
      </c>
    </row>
    <row r="2102" spans="1:7" ht="20" customHeight="1" x14ac:dyDescent="0.35">
      <c r="A2102" s="17">
        <v>2101</v>
      </c>
      <c r="B2102" s="23" t="s">
        <v>107</v>
      </c>
      <c r="C2102" s="18" t="s">
        <v>125</v>
      </c>
      <c r="D2102" s="18">
        <v>57</v>
      </c>
      <c r="E2102" s="18" t="s">
        <v>132</v>
      </c>
      <c r="F2102" s="18" t="str">
        <f>IF(OR(D2102&gt;Answers!L2117,D2102&lt;Answers!L2118),"Outlier","Normal")</f>
        <v>Outlier</v>
      </c>
      <c r="G2102" s="19" t="str">
        <f t="shared" si="32"/>
        <v>40-50</v>
      </c>
    </row>
    <row r="2103" spans="1:7" ht="20" customHeight="1" x14ac:dyDescent="0.35">
      <c r="A2103" s="17">
        <v>2102</v>
      </c>
      <c r="B2103" s="23" t="s">
        <v>99</v>
      </c>
      <c r="C2103" s="18" t="s">
        <v>126</v>
      </c>
      <c r="D2103" s="18">
        <v>57</v>
      </c>
      <c r="E2103" s="18" t="s">
        <v>132</v>
      </c>
      <c r="F2103" s="18" t="str">
        <f>IF(OR(D2103&gt;Answers!L2118,D2103&lt;Answers!L2119),"Outlier","Normal")</f>
        <v>Outlier</v>
      </c>
      <c r="G2103" s="19" t="str">
        <f t="shared" si="32"/>
        <v>40-50</v>
      </c>
    </row>
    <row r="2104" spans="1:7" ht="20" customHeight="1" x14ac:dyDescent="0.35">
      <c r="A2104" s="17">
        <v>2103</v>
      </c>
      <c r="B2104" s="23" t="s">
        <v>99</v>
      </c>
      <c r="C2104" s="18" t="s">
        <v>125</v>
      </c>
      <c r="D2104" s="18">
        <v>87</v>
      </c>
      <c r="E2104" s="18" t="s">
        <v>132</v>
      </c>
      <c r="F2104" s="18" t="str">
        <f>IF(OR(D2104&gt;Answers!L2119,D2104&lt;Answers!L2120),"Outlier","Normal")</f>
        <v>Outlier</v>
      </c>
      <c r="G2104" s="19" t="str">
        <f t="shared" si="32"/>
        <v>40-50</v>
      </c>
    </row>
    <row r="2105" spans="1:7" ht="20" customHeight="1" x14ac:dyDescent="0.35">
      <c r="A2105" s="17">
        <v>2104</v>
      </c>
      <c r="B2105" s="23" t="s">
        <v>99</v>
      </c>
      <c r="C2105" s="18" t="s">
        <v>125</v>
      </c>
      <c r="D2105" s="18">
        <v>59</v>
      </c>
      <c r="E2105" s="18" t="s">
        <v>132</v>
      </c>
      <c r="F2105" s="18" t="str">
        <f>IF(OR(D2105&gt;Answers!L2120,D2105&lt;Answers!L2121),"Outlier","Normal")</f>
        <v>Outlier</v>
      </c>
      <c r="G2105" s="19" t="str">
        <f t="shared" si="32"/>
        <v>40-50</v>
      </c>
    </row>
    <row r="2106" spans="1:7" ht="20" customHeight="1" x14ac:dyDescent="0.35">
      <c r="A2106" s="17">
        <v>2105</v>
      </c>
      <c r="B2106" s="23" t="s">
        <v>108</v>
      </c>
      <c r="C2106" s="18" t="s">
        <v>125</v>
      </c>
      <c r="D2106" s="18">
        <v>33</v>
      </c>
      <c r="E2106" s="18" t="s">
        <v>132</v>
      </c>
      <c r="F2106" s="18" t="str">
        <f>IF(OR(D2106&gt;Answers!L2121,D2106&lt;Answers!L2122),"Outlier","Normal")</f>
        <v>Outlier</v>
      </c>
      <c r="G2106" s="19" t="str">
        <f t="shared" si="32"/>
        <v>30-40</v>
      </c>
    </row>
    <row r="2107" spans="1:7" ht="20" customHeight="1" x14ac:dyDescent="0.35">
      <c r="A2107" s="17">
        <v>2106</v>
      </c>
      <c r="B2107" s="23" t="s">
        <v>107</v>
      </c>
      <c r="C2107" s="18" t="s">
        <v>125</v>
      </c>
      <c r="D2107" s="18">
        <v>36</v>
      </c>
      <c r="E2107" s="18" t="s">
        <v>132</v>
      </c>
      <c r="F2107" s="18" t="str">
        <f>IF(OR(D2107&gt;Answers!L2122,D2107&lt;Answers!L2123),"Outlier","Normal")</f>
        <v>Outlier</v>
      </c>
      <c r="G2107" s="19" t="str">
        <f t="shared" si="32"/>
        <v>30-40</v>
      </c>
    </row>
    <row r="2108" spans="1:7" ht="20" customHeight="1" x14ac:dyDescent="0.35">
      <c r="A2108" s="17">
        <v>2107</v>
      </c>
      <c r="B2108" s="23" t="s">
        <v>105</v>
      </c>
      <c r="C2108" s="18" t="s">
        <v>125</v>
      </c>
      <c r="D2108" s="18">
        <v>56</v>
      </c>
      <c r="E2108" s="18" t="s">
        <v>132</v>
      </c>
      <c r="F2108" s="18" t="str">
        <f>IF(OR(D2108&gt;Answers!L2123,D2108&lt;Answers!L2124),"Outlier","Normal")</f>
        <v>Outlier</v>
      </c>
      <c r="G2108" s="19" t="str">
        <f t="shared" si="32"/>
        <v>40-50</v>
      </c>
    </row>
    <row r="2109" spans="1:7" ht="20" customHeight="1" x14ac:dyDescent="0.35">
      <c r="A2109" s="17">
        <v>2108</v>
      </c>
      <c r="B2109" s="23" t="s">
        <v>99</v>
      </c>
      <c r="C2109" s="18" t="s">
        <v>125</v>
      </c>
      <c r="D2109" s="18">
        <v>37</v>
      </c>
      <c r="E2109" s="18" t="s">
        <v>132</v>
      </c>
      <c r="F2109" s="18" t="str">
        <f>IF(OR(D2109&gt;Answers!L2124,D2109&lt;Answers!L2125),"Outlier","Normal")</f>
        <v>Outlier</v>
      </c>
      <c r="G2109" s="19" t="str">
        <f t="shared" si="32"/>
        <v>30-40</v>
      </c>
    </row>
    <row r="2110" spans="1:7" ht="20" customHeight="1" x14ac:dyDescent="0.35">
      <c r="A2110" s="17">
        <v>2109</v>
      </c>
      <c r="B2110" s="23" t="s">
        <v>99</v>
      </c>
      <c r="C2110" s="18" t="s">
        <v>125</v>
      </c>
      <c r="D2110" s="18">
        <v>62</v>
      </c>
      <c r="E2110" s="18" t="s">
        <v>132</v>
      </c>
      <c r="F2110" s="18" t="str">
        <f>IF(OR(D2110&gt;Answers!L2125,D2110&lt;Answers!L2126),"Outlier","Normal")</f>
        <v>Outlier</v>
      </c>
      <c r="G2110" s="19" t="str">
        <f t="shared" si="32"/>
        <v>40-50</v>
      </c>
    </row>
    <row r="2111" spans="1:7" ht="20" customHeight="1" x14ac:dyDescent="0.35">
      <c r="A2111" s="17">
        <v>2110</v>
      </c>
      <c r="B2111" s="23" t="s">
        <v>100</v>
      </c>
      <c r="C2111" s="18" t="s">
        <v>125</v>
      </c>
      <c r="D2111" s="18">
        <v>84</v>
      </c>
      <c r="E2111" s="18" t="s">
        <v>132</v>
      </c>
      <c r="F2111" s="18" t="str">
        <f>IF(OR(D2111&gt;Answers!L2126,D2111&lt;Answers!L2127),"Outlier","Normal")</f>
        <v>Outlier</v>
      </c>
      <c r="G2111" s="19" t="str">
        <f t="shared" si="32"/>
        <v>40-50</v>
      </c>
    </row>
    <row r="2112" spans="1:7" ht="20" customHeight="1" x14ac:dyDescent="0.35">
      <c r="A2112" s="17">
        <v>2111</v>
      </c>
      <c r="B2112" s="23" t="s">
        <v>100</v>
      </c>
      <c r="C2112" s="18" t="s">
        <v>126</v>
      </c>
      <c r="D2112" s="18">
        <v>42</v>
      </c>
      <c r="E2112" s="18" t="s">
        <v>132</v>
      </c>
      <c r="F2112" s="18" t="str">
        <f>IF(OR(D2112&gt;Answers!L2127,D2112&lt;Answers!L2128),"Outlier","Normal")</f>
        <v>Outlier</v>
      </c>
      <c r="G2112" s="19" t="str">
        <f t="shared" si="32"/>
        <v>40-50</v>
      </c>
    </row>
    <row r="2113" spans="1:7" ht="20" customHeight="1" x14ac:dyDescent="0.35">
      <c r="A2113" s="17">
        <v>2112</v>
      </c>
      <c r="B2113" s="23" t="s">
        <v>99</v>
      </c>
      <c r="C2113" s="18" t="s">
        <v>125</v>
      </c>
      <c r="D2113" s="18">
        <v>70</v>
      </c>
      <c r="E2113" s="18" t="s">
        <v>132</v>
      </c>
      <c r="F2113" s="18" t="str">
        <f>IF(OR(D2113&gt;Answers!L2128,D2113&lt;Answers!L2129),"Outlier","Normal")</f>
        <v>Outlier</v>
      </c>
      <c r="G2113" s="19" t="str">
        <f t="shared" si="32"/>
        <v>40-50</v>
      </c>
    </row>
    <row r="2114" spans="1:7" ht="20" customHeight="1" x14ac:dyDescent="0.35">
      <c r="A2114" s="17">
        <v>2113</v>
      </c>
      <c r="B2114" s="23" t="s">
        <v>99</v>
      </c>
      <c r="C2114" s="18" t="s">
        <v>126</v>
      </c>
      <c r="D2114" s="18">
        <v>32</v>
      </c>
      <c r="E2114" s="18" t="s">
        <v>132</v>
      </c>
      <c r="F2114" s="18" t="str">
        <f>IF(OR(D2114&gt;Answers!L2129,D2114&lt;Answers!L2130),"Outlier","Normal")</f>
        <v>Outlier</v>
      </c>
      <c r="G2114" s="19" t="str">
        <f t="shared" si="32"/>
        <v>30-40</v>
      </c>
    </row>
    <row r="2115" spans="1:7" ht="20" customHeight="1" x14ac:dyDescent="0.35">
      <c r="A2115" s="17">
        <v>2114</v>
      </c>
      <c r="B2115" s="23" t="s">
        <v>100</v>
      </c>
      <c r="C2115" s="18" t="s">
        <v>125</v>
      </c>
      <c r="D2115" s="18">
        <v>62</v>
      </c>
      <c r="E2115" s="18" t="s">
        <v>132</v>
      </c>
      <c r="F2115" s="18" t="str">
        <f>IF(OR(D2115&gt;Answers!L2130,D2115&lt;Answers!L2131),"Outlier","Normal")</f>
        <v>Outlier</v>
      </c>
      <c r="G2115" s="19" t="str">
        <f t="shared" ref="G2115:G2178" si="33">IF(D2115&lt;20,"&lt;20",
IF(D2115&lt;=30,"20-30",
IF(D2115&lt;=40,"30-40","40-50")))</f>
        <v>40-50</v>
      </c>
    </row>
    <row r="2116" spans="1:7" ht="20" customHeight="1" x14ac:dyDescent="0.35">
      <c r="A2116" s="17">
        <v>2115</v>
      </c>
      <c r="B2116" s="23" t="s">
        <v>99</v>
      </c>
      <c r="C2116" s="18" t="s">
        <v>126</v>
      </c>
      <c r="D2116" s="18">
        <v>45</v>
      </c>
      <c r="E2116" s="18" t="s">
        <v>132</v>
      </c>
      <c r="F2116" s="18" t="str">
        <f>IF(OR(D2116&gt;Answers!L2131,D2116&lt;Answers!L2132),"Outlier","Normal")</f>
        <v>Outlier</v>
      </c>
      <c r="G2116" s="19" t="str">
        <f t="shared" si="33"/>
        <v>40-50</v>
      </c>
    </row>
    <row r="2117" spans="1:7" ht="20" customHeight="1" x14ac:dyDescent="0.35">
      <c r="A2117" s="17">
        <v>2116</v>
      </c>
      <c r="B2117" s="23" t="s">
        <v>110</v>
      </c>
      <c r="C2117" s="18" t="s">
        <v>126</v>
      </c>
      <c r="D2117" s="18">
        <v>84</v>
      </c>
      <c r="E2117" s="18" t="s">
        <v>132</v>
      </c>
      <c r="F2117" s="18" t="str">
        <f>IF(OR(D2117&gt;Answers!L2132,D2117&lt;Answers!L2133),"Outlier","Normal")</f>
        <v>Outlier</v>
      </c>
      <c r="G2117" s="19" t="str">
        <f t="shared" si="33"/>
        <v>40-50</v>
      </c>
    </row>
    <row r="2118" spans="1:7" ht="20" customHeight="1" x14ac:dyDescent="0.35">
      <c r="A2118" s="17">
        <v>2117</v>
      </c>
      <c r="B2118" s="23" t="s">
        <v>99</v>
      </c>
      <c r="C2118" s="18" t="s">
        <v>126</v>
      </c>
      <c r="D2118" s="18">
        <v>21</v>
      </c>
      <c r="E2118" s="18" t="s">
        <v>132</v>
      </c>
      <c r="F2118" s="18" t="str">
        <f>IF(OR(D2118&gt;Answers!L2133,D2118&lt;Answers!L2134),"Outlier","Normal")</f>
        <v>Outlier</v>
      </c>
      <c r="G2118" s="19" t="str">
        <f t="shared" si="33"/>
        <v>20-30</v>
      </c>
    </row>
    <row r="2119" spans="1:7" ht="20" customHeight="1" x14ac:dyDescent="0.35">
      <c r="A2119" s="17">
        <v>2118</v>
      </c>
      <c r="B2119" s="23" t="s">
        <v>99</v>
      </c>
      <c r="C2119" s="18" t="s">
        <v>125</v>
      </c>
      <c r="D2119" s="18">
        <v>68</v>
      </c>
      <c r="E2119" s="18" t="s">
        <v>132</v>
      </c>
      <c r="F2119" s="18" t="str">
        <f>IF(OR(D2119&gt;Answers!L2134,D2119&lt;Answers!L2135),"Outlier","Normal")</f>
        <v>Outlier</v>
      </c>
      <c r="G2119" s="19" t="str">
        <f t="shared" si="33"/>
        <v>40-50</v>
      </c>
    </row>
    <row r="2120" spans="1:7" ht="20" customHeight="1" x14ac:dyDescent="0.35">
      <c r="A2120" s="17">
        <v>2119</v>
      </c>
      <c r="B2120" s="23" t="s">
        <v>99</v>
      </c>
      <c r="C2120" s="18" t="s">
        <v>126</v>
      </c>
      <c r="D2120" s="18">
        <v>68</v>
      </c>
      <c r="E2120" s="18" t="s">
        <v>132</v>
      </c>
      <c r="F2120" s="18" t="str">
        <f>IF(OR(D2120&gt;Answers!L2135,D2120&lt;Answers!L2136),"Outlier","Normal")</f>
        <v>Outlier</v>
      </c>
      <c r="G2120" s="19" t="str">
        <f t="shared" si="33"/>
        <v>40-50</v>
      </c>
    </row>
    <row r="2121" spans="1:7" ht="20" customHeight="1" x14ac:dyDescent="0.35">
      <c r="A2121" s="17">
        <v>2120</v>
      </c>
      <c r="B2121" s="23" t="s">
        <v>99</v>
      </c>
      <c r="C2121" s="18" t="s">
        <v>126</v>
      </c>
      <c r="D2121" s="18">
        <v>26</v>
      </c>
      <c r="E2121" s="18" t="s">
        <v>132</v>
      </c>
      <c r="F2121" s="18" t="str">
        <f>IF(OR(D2121&gt;Answers!L2136,D2121&lt;Answers!L2137),"Outlier","Normal")</f>
        <v>Outlier</v>
      </c>
      <c r="G2121" s="19" t="str">
        <f t="shared" si="33"/>
        <v>20-30</v>
      </c>
    </row>
    <row r="2122" spans="1:7" ht="20" customHeight="1" x14ac:dyDescent="0.35">
      <c r="A2122" s="17">
        <v>2121</v>
      </c>
      <c r="B2122" s="23" t="s">
        <v>103</v>
      </c>
      <c r="C2122" s="18" t="s">
        <v>125</v>
      </c>
      <c r="D2122" s="18">
        <v>29</v>
      </c>
      <c r="E2122" s="18" t="s">
        <v>132</v>
      </c>
      <c r="F2122" s="18" t="str">
        <f>IF(OR(D2122&gt;Answers!L2137,D2122&lt;Answers!L2138),"Outlier","Normal")</f>
        <v>Outlier</v>
      </c>
      <c r="G2122" s="19" t="str">
        <f t="shared" si="33"/>
        <v>20-30</v>
      </c>
    </row>
    <row r="2123" spans="1:7" ht="20" customHeight="1" x14ac:dyDescent="0.35">
      <c r="A2123" s="17">
        <v>2122</v>
      </c>
      <c r="B2123" s="23" t="s">
        <v>100</v>
      </c>
      <c r="C2123" s="18" t="s">
        <v>125</v>
      </c>
      <c r="D2123" s="18">
        <v>84</v>
      </c>
      <c r="E2123" s="18" t="s">
        <v>132</v>
      </c>
      <c r="F2123" s="18" t="str">
        <f>IF(OR(D2123&gt;Answers!L2138,D2123&lt;Answers!L2139),"Outlier","Normal")</f>
        <v>Outlier</v>
      </c>
      <c r="G2123" s="19" t="str">
        <f t="shared" si="33"/>
        <v>40-50</v>
      </c>
    </row>
    <row r="2124" spans="1:7" ht="20" customHeight="1" x14ac:dyDescent="0.35">
      <c r="A2124" s="17">
        <v>2123</v>
      </c>
      <c r="B2124" s="23" t="s">
        <v>107</v>
      </c>
      <c r="C2124" s="18" t="s">
        <v>126</v>
      </c>
      <c r="D2124" s="18">
        <v>54</v>
      </c>
      <c r="E2124" s="18" t="s">
        <v>132</v>
      </c>
      <c r="F2124" s="18" t="str">
        <f>IF(OR(D2124&gt;Answers!L2139,D2124&lt;Answers!L2140),"Outlier","Normal")</f>
        <v>Outlier</v>
      </c>
      <c r="G2124" s="19" t="str">
        <f t="shared" si="33"/>
        <v>40-50</v>
      </c>
    </row>
    <row r="2125" spans="1:7" ht="20" customHeight="1" x14ac:dyDescent="0.35">
      <c r="A2125" s="17">
        <v>2124</v>
      </c>
      <c r="B2125" s="23" t="s">
        <v>100</v>
      </c>
      <c r="C2125" s="18" t="s">
        <v>126</v>
      </c>
      <c r="D2125" s="18">
        <v>83</v>
      </c>
      <c r="E2125" s="18" t="s">
        <v>132</v>
      </c>
      <c r="F2125" s="18" t="str">
        <f>IF(OR(D2125&gt;Answers!L2140,D2125&lt;Answers!L2141),"Outlier","Normal")</f>
        <v>Outlier</v>
      </c>
      <c r="G2125" s="19" t="str">
        <f t="shared" si="33"/>
        <v>40-50</v>
      </c>
    </row>
    <row r="2126" spans="1:7" ht="20" customHeight="1" x14ac:dyDescent="0.35">
      <c r="A2126" s="17">
        <v>2125</v>
      </c>
      <c r="B2126" s="23" t="s">
        <v>99</v>
      </c>
      <c r="C2126" s="18" t="s">
        <v>126</v>
      </c>
      <c r="D2126" s="18">
        <v>69</v>
      </c>
      <c r="E2126" s="18" t="s">
        <v>132</v>
      </c>
      <c r="F2126" s="18" t="str">
        <f>IF(OR(D2126&gt;Answers!L2141,D2126&lt;Answers!L2142),"Outlier","Normal")</f>
        <v>Outlier</v>
      </c>
      <c r="G2126" s="19" t="str">
        <f t="shared" si="33"/>
        <v>40-50</v>
      </c>
    </row>
    <row r="2127" spans="1:7" ht="20" customHeight="1" x14ac:dyDescent="0.35">
      <c r="A2127" s="17">
        <v>2126</v>
      </c>
      <c r="B2127" s="23" t="s">
        <v>99</v>
      </c>
      <c r="C2127" s="18" t="s">
        <v>126</v>
      </c>
      <c r="D2127" s="18">
        <v>76</v>
      </c>
      <c r="E2127" s="18" t="s">
        <v>132</v>
      </c>
      <c r="F2127" s="18" t="str">
        <f>IF(OR(D2127&gt;Answers!L2142,D2127&lt;Answers!L2143),"Outlier","Normal")</f>
        <v>Outlier</v>
      </c>
      <c r="G2127" s="19" t="str">
        <f t="shared" si="33"/>
        <v>40-50</v>
      </c>
    </row>
    <row r="2128" spans="1:7" ht="20" customHeight="1" x14ac:dyDescent="0.35">
      <c r="A2128" s="17">
        <v>2127</v>
      </c>
      <c r="B2128" s="23" t="s">
        <v>99</v>
      </c>
      <c r="C2128" s="18" t="s">
        <v>126</v>
      </c>
      <c r="D2128" s="18">
        <v>37</v>
      </c>
      <c r="E2128" s="18" t="s">
        <v>132</v>
      </c>
      <c r="F2128" s="18" t="str">
        <f>IF(OR(D2128&gt;Answers!L2143,D2128&lt;Answers!L2144),"Outlier","Normal")</f>
        <v>Outlier</v>
      </c>
      <c r="G2128" s="19" t="str">
        <f t="shared" si="33"/>
        <v>30-40</v>
      </c>
    </row>
    <row r="2129" spans="1:7" ht="20" customHeight="1" x14ac:dyDescent="0.35">
      <c r="A2129" s="17">
        <v>2128</v>
      </c>
      <c r="B2129" s="23" t="s">
        <v>100</v>
      </c>
      <c r="C2129" s="18" t="s">
        <v>126</v>
      </c>
      <c r="D2129" s="18">
        <v>56</v>
      </c>
      <c r="E2129" s="18" t="s">
        <v>132</v>
      </c>
      <c r="F2129" s="18" t="str">
        <f>IF(OR(D2129&gt;Answers!L2144,D2129&lt;Answers!L2145),"Outlier","Normal")</f>
        <v>Outlier</v>
      </c>
      <c r="G2129" s="19" t="str">
        <f t="shared" si="33"/>
        <v>40-50</v>
      </c>
    </row>
    <row r="2130" spans="1:7" ht="20" customHeight="1" x14ac:dyDescent="0.35">
      <c r="A2130" s="17">
        <v>2129</v>
      </c>
      <c r="B2130" s="23" t="s">
        <v>109</v>
      </c>
      <c r="C2130" s="18" t="s">
        <v>126</v>
      </c>
      <c r="D2130" s="18">
        <v>67</v>
      </c>
      <c r="E2130" s="18" t="s">
        <v>132</v>
      </c>
      <c r="F2130" s="18" t="str">
        <f>IF(OR(D2130&gt;Answers!L2145,D2130&lt;Answers!L2146),"Outlier","Normal")</f>
        <v>Outlier</v>
      </c>
      <c r="G2130" s="19" t="str">
        <f t="shared" si="33"/>
        <v>40-50</v>
      </c>
    </row>
    <row r="2131" spans="1:7" ht="20" customHeight="1" x14ac:dyDescent="0.35">
      <c r="A2131" s="17">
        <v>2130</v>
      </c>
      <c r="B2131" s="23" t="s">
        <v>109</v>
      </c>
      <c r="C2131" s="18" t="s">
        <v>126</v>
      </c>
      <c r="D2131" s="18">
        <v>20</v>
      </c>
      <c r="E2131" s="18" t="s">
        <v>132</v>
      </c>
      <c r="F2131" s="18" t="str">
        <f>IF(OR(D2131&gt;Answers!L2146,D2131&lt;Answers!L2147),"Outlier","Normal")</f>
        <v>Outlier</v>
      </c>
      <c r="G2131" s="19" t="str">
        <f t="shared" si="33"/>
        <v>20-30</v>
      </c>
    </row>
    <row r="2132" spans="1:7" ht="20" customHeight="1" x14ac:dyDescent="0.35">
      <c r="A2132" s="17">
        <v>2131</v>
      </c>
      <c r="B2132" s="23" t="s">
        <v>100</v>
      </c>
      <c r="C2132" s="18" t="s">
        <v>126</v>
      </c>
      <c r="D2132" s="18">
        <v>89</v>
      </c>
      <c r="E2132" s="18" t="s">
        <v>132</v>
      </c>
      <c r="F2132" s="18" t="str">
        <f>IF(OR(D2132&gt;Answers!L2147,D2132&lt;Answers!L2148),"Outlier","Normal")</f>
        <v>Outlier</v>
      </c>
      <c r="G2132" s="19" t="str">
        <f t="shared" si="33"/>
        <v>40-50</v>
      </c>
    </row>
    <row r="2133" spans="1:7" ht="20" customHeight="1" x14ac:dyDescent="0.35">
      <c r="A2133" s="17">
        <v>2132</v>
      </c>
      <c r="B2133" s="23" t="s">
        <v>105</v>
      </c>
      <c r="C2133" s="18" t="s">
        <v>126</v>
      </c>
      <c r="D2133" s="18">
        <v>55</v>
      </c>
      <c r="E2133" s="18" t="s">
        <v>132</v>
      </c>
      <c r="F2133" s="18" t="str">
        <f>IF(OR(D2133&gt;Answers!L2148,D2133&lt;Answers!L2149),"Outlier","Normal")</f>
        <v>Outlier</v>
      </c>
      <c r="G2133" s="19" t="str">
        <f t="shared" si="33"/>
        <v>40-50</v>
      </c>
    </row>
    <row r="2134" spans="1:7" ht="20" customHeight="1" x14ac:dyDescent="0.35">
      <c r="A2134" s="17">
        <v>2133</v>
      </c>
      <c r="B2134" s="23" t="s">
        <v>104</v>
      </c>
      <c r="C2134" s="18" t="s">
        <v>125</v>
      </c>
      <c r="D2134" s="18">
        <v>69</v>
      </c>
      <c r="E2134" s="18" t="s">
        <v>132</v>
      </c>
      <c r="F2134" s="18" t="str">
        <f>IF(OR(D2134&gt;Answers!L2149,D2134&lt;Answers!L2150),"Outlier","Normal")</f>
        <v>Outlier</v>
      </c>
      <c r="G2134" s="19" t="str">
        <f t="shared" si="33"/>
        <v>40-50</v>
      </c>
    </row>
    <row r="2135" spans="1:7" ht="20" customHeight="1" x14ac:dyDescent="0.35">
      <c r="A2135" s="17">
        <v>2134</v>
      </c>
      <c r="B2135" s="23" t="s">
        <v>106</v>
      </c>
      <c r="C2135" s="18" t="s">
        <v>126</v>
      </c>
      <c r="D2135" s="18">
        <v>69</v>
      </c>
      <c r="E2135" s="18" t="s">
        <v>132</v>
      </c>
      <c r="F2135" s="18" t="str">
        <f>IF(OR(D2135&gt;Answers!L2150,D2135&lt;Answers!L2151),"Outlier","Normal")</f>
        <v>Outlier</v>
      </c>
      <c r="G2135" s="19" t="str">
        <f t="shared" si="33"/>
        <v>40-50</v>
      </c>
    </row>
    <row r="2136" spans="1:7" ht="20" customHeight="1" x14ac:dyDescent="0.35">
      <c r="A2136" s="17">
        <v>2135</v>
      </c>
      <c r="B2136" s="23" t="s">
        <v>100</v>
      </c>
      <c r="C2136" s="18" t="s">
        <v>125</v>
      </c>
      <c r="D2136" s="18">
        <v>61</v>
      </c>
      <c r="E2136" s="18" t="s">
        <v>132</v>
      </c>
      <c r="F2136" s="18" t="str">
        <f>IF(OR(D2136&gt;Answers!L2151,D2136&lt;Answers!L2152),"Outlier","Normal")</f>
        <v>Outlier</v>
      </c>
      <c r="G2136" s="19" t="str">
        <f t="shared" si="33"/>
        <v>40-50</v>
      </c>
    </row>
    <row r="2137" spans="1:7" ht="20" customHeight="1" x14ac:dyDescent="0.35">
      <c r="A2137" s="17">
        <v>2136</v>
      </c>
      <c r="B2137" s="23" t="s">
        <v>99</v>
      </c>
      <c r="C2137" s="18" t="s">
        <v>125</v>
      </c>
      <c r="D2137" s="18">
        <v>83</v>
      </c>
      <c r="E2137" s="18" t="s">
        <v>132</v>
      </c>
      <c r="F2137" s="18" t="str">
        <f>IF(OR(D2137&gt;Answers!L2152,D2137&lt;Answers!L2153),"Outlier","Normal")</f>
        <v>Outlier</v>
      </c>
      <c r="G2137" s="19" t="str">
        <f t="shared" si="33"/>
        <v>40-50</v>
      </c>
    </row>
    <row r="2138" spans="1:7" ht="20" customHeight="1" x14ac:dyDescent="0.35">
      <c r="A2138" s="17">
        <v>2137</v>
      </c>
      <c r="B2138" s="23" t="s">
        <v>107</v>
      </c>
      <c r="C2138" s="18" t="s">
        <v>125</v>
      </c>
      <c r="D2138" s="18">
        <v>62</v>
      </c>
      <c r="E2138" s="18" t="s">
        <v>132</v>
      </c>
      <c r="F2138" s="18" t="str">
        <f>IF(OR(D2138&gt;Answers!L2153,D2138&lt;Answers!L2154),"Outlier","Normal")</f>
        <v>Outlier</v>
      </c>
      <c r="G2138" s="19" t="str">
        <f t="shared" si="33"/>
        <v>40-50</v>
      </c>
    </row>
    <row r="2139" spans="1:7" ht="20" customHeight="1" x14ac:dyDescent="0.35">
      <c r="A2139" s="17">
        <v>2138</v>
      </c>
      <c r="B2139" s="23" t="s">
        <v>99</v>
      </c>
      <c r="C2139" s="18" t="s">
        <v>125</v>
      </c>
      <c r="D2139" s="18">
        <v>87</v>
      </c>
      <c r="E2139" s="18" t="s">
        <v>132</v>
      </c>
      <c r="F2139" s="18" t="str">
        <f>IF(OR(D2139&gt;Answers!L2154,D2139&lt;Answers!L2155),"Outlier","Normal")</f>
        <v>Outlier</v>
      </c>
      <c r="G2139" s="19" t="str">
        <f t="shared" si="33"/>
        <v>40-50</v>
      </c>
    </row>
    <row r="2140" spans="1:7" ht="20" customHeight="1" x14ac:dyDescent="0.35">
      <c r="A2140" s="17">
        <v>2139</v>
      </c>
      <c r="B2140" s="23" t="s">
        <v>101</v>
      </c>
      <c r="C2140" s="18" t="s">
        <v>126</v>
      </c>
      <c r="D2140" s="18">
        <v>24</v>
      </c>
      <c r="E2140" s="18" t="s">
        <v>132</v>
      </c>
      <c r="F2140" s="18" t="str">
        <f>IF(OR(D2140&gt;Answers!L2155,D2140&lt;Answers!L2156),"Outlier","Normal")</f>
        <v>Outlier</v>
      </c>
      <c r="G2140" s="19" t="str">
        <f t="shared" si="33"/>
        <v>20-30</v>
      </c>
    </row>
    <row r="2141" spans="1:7" ht="20" customHeight="1" x14ac:dyDescent="0.35">
      <c r="A2141" s="17">
        <v>2140</v>
      </c>
      <c r="B2141" s="23" t="s">
        <v>99</v>
      </c>
      <c r="C2141" s="18" t="s">
        <v>125</v>
      </c>
      <c r="D2141" s="18">
        <v>53</v>
      </c>
      <c r="E2141" s="18" t="s">
        <v>132</v>
      </c>
      <c r="F2141" s="18" t="str">
        <f>IF(OR(D2141&gt;Answers!L2156,D2141&lt;Answers!L2157),"Outlier","Normal")</f>
        <v>Outlier</v>
      </c>
      <c r="G2141" s="19" t="str">
        <f t="shared" si="33"/>
        <v>40-50</v>
      </c>
    </row>
    <row r="2142" spans="1:7" ht="20" customHeight="1" x14ac:dyDescent="0.35">
      <c r="A2142" s="17">
        <v>2141</v>
      </c>
      <c r="B2142" s="23" t="s">
        <v>99</v>
      </c>
      <c r="C2142" s="18" t="s">
        <v>125</v>
      </c>
      <c r="D2142" s="18">
        <v>53</v>
      </c>
      <c r="E2142" s="18" t="s">
        <v>132</v>
      </c>
      <c r="F2142" s="18" t="str">
        <f>IF(OR(D2142&gt;Answers!L2157,D2142&lt;Answers!L2158),"Outlier","Normal")</f>
        <v>Outlier</v>
      </c>
      <c r="G2142" s="19" t="str">
        <f t="shared" si="33"/>
        <v>40-50</v>
      </c>
    </row>
    <row r="2143" spans="1:7" ht="20" customHeight="1" x14ac:dyDescent="0.35">
      <c r="A2143" s="17">
        <v>2142</v>
      </c>
      <c r="B2143" s="23" t="s">
        <v>100</v>
      </c>
      <c r="C2143" s="18" t="s">
        <v>125</v>
      </c>
      <c r="D2143" s="18">
        <v>37</v>
      </c>
      <c r="E2143" s="18" t="s">
        <v>132</v>
      </c>
      <c r="F2143" s="18" t="str">
        <f>IF(OR(D2143&gt;Answers!L2158,D2143&lt;Answers!L2159),"Outlier","Normal")</f>
        <v>Outlier</v>
      </c>
      <c r="G2143" s="19" t="str">
        <f t="shared" si="33"/>
        <v>30-40</v>
      </c>
    </row>
    <row r="2144" spans="1:7" ht="20" customHeight="1" x14ac:dyDescent="0.35">
      <c r="A2144" s="17">
        <v>2143</v>
      </c>
      <c r="B2144" s="23" t="s">
        <v>99</v>
      </c>
      <c r="C2144" s="18" t="s">
        <v>126</v>
      </c>
      <c r="D2144" s="18">
        <v>59</v>
      </c>
      <c r="E2144" s="18" t="s">
        <v>132</v>
      </c>
      <c r="F2144" s="18" t="str">
        <f>IF(OR(D2144&gt;Answers!L2159,D2144&lt;Answers!L2160),"Outlier","Normal")</f>
        <v>Outlier</v>
      </c>
      <c r="G2144" s="19" t="str">
        <f t="shared" si="33"/>
        <v>40-50</v>
      </c>
    </row>
    <row r="2145" spans="1:7" ht="20" customHeight="1" x14ac:dyDescent="0.35">
      <c r="A2145" s="17">
        <v>2144</v>
      </c>
      <c r="B2145" s="23" t="s">
        <v>105</v>
      </c>
      <c r="C2145" s="18" t="s">
        <v>125</v>
      </c>
      <c r="D2145" s="18">
        <v>59</v>
      </c>
      <c r="E2145" s="18" t="s">
        <v>132</v>
      </c>
      <c r="F2145" s="18" t="str">
        <f>IF(OR(D2145&gt;Answers!L2160,D2145&lt;Answers!L2161),"Outlier","Normal")</f>
        <v>Outlier</v>
      </c>
      <c r="G2145" s="19" t="str">
        <f t="shared" si="33"/>
        <v>40-50</v>
      </c>
    </row>
    <row r="2146" spans="1:7" ht="20" customHeight="1" x14ac:dyDescent="0.35">
      <c r="A2146" s="17">
        <v>2145</v>
      </c>
      <c r="B2146" s="23" t="s">
        <v>99</v>
      </c>
      <c r="C2146" s="18" t="s">
        <v>126</v>
      </c>
      <c r="D2146" s="18">
        <v>60</v>
      </c>
      <c r="E2146" s="18" t="s">
        <v>132</v>
      </c>
      <c r="F2146" s="18" t="str">
        <f>IF(OR(D2146&gt;Answers!L2161,D2146&lt;Answers!L2162),"Outlier","Normal")</f>
        <v>Outlier</v>
      </c>
      <c r="G2146" s="19" t="str">
        <f t="shared" si="33"/>
        <v>40-50</v>
      </c>
    </row>
    <row r="2147" spans="1:7" ht="20" customHeight="1" x14ac:dyDescent="0.35">
      <c r="A2147" s="17">
        <v>2146</v>
      </c>
      <c r="B2147" s="23" t="s">
        <v>99</v>
      </c>
      <c r="C2147" s="18" t="s">
        <v>126</v>
      </c>
      <c r="D2147" s="18">
        <v>28</v>
      </c>
      <c r="E2147" s="18" t="s">
        <v>132</v>
      </c>
      <c r="F2147" s="18" t="str">
        <f>IF(OR(D2147&gt;Answers!L2162,D2147&lt;Answers!L2163),"Outlier","Normal")</f>
        <v>Outlier</v>
      </c>
      <c r="G2147" s="19" t="str">
        <f t="shared" si="33"/>
        <v>20-30</v>
      </c>
    </row>
    <row r="2148" spans="1:7" ht="20" customHeight="1" x14ac:dyDescent="0.35">
      <c r="A2148" s="17">
        <v>2147</v>
      </c>
      <c r="B2148" s="23" t="s">
        <v>106</v>
      </c>
      <c r="C2148" s="18" t="s">
        <v>125</v>
      </c>
      <c r="D2148" s="18">
        <v>52</v>
      </c>
      <c r="E2148" s="18" t="s">
        <v>132</v>
      </c>
      <c r="F2148" s="18" t="str">
        <f>IF(OR(D2148&gt;Answers!L2163,D2148&lt;Answers!L2164),"Outlier","Normal")</f>
        <v>Outlier</v>
      </c>
      <c r="G2148" s="19" t="str">
        <f t="shared" si="33"/>
        <v>40-50</v>
      </c>
    </row>
    <row r="2149" spans="1:7" ht="20" customHeight="1" x14ac:dyDescent="0.35">
      <c r="A2149" s="17">
        <v>2148</v>
      </c>
      <c r="B2149" s="23" t="s">
        <v>99</v>
      </c>
      <c r="C2149" s="18" t="s">
        <v>126</v>
      </c>
      <c r="D2149" s="18">
        <v>44</v>
      </c>
      <c r="E2149" s="18" t="s">
        <v>132</v>
      </c>
      <c r="F2149" s="18" t="str">
        <f>IF(OR(D2149&gt;Answers!L2164,D2149&lt;Answers!L2165),"Outlier","Normal")</f>
        <v>Outlier</v>
      </c>
      <c r="G2149" s="19" t="str">
        <f t="shared" si="33"/>
        <v>40-50</v>
      </c>
    </row>
    <row r="2150" spans="1:7" ht="20" customHeight="1" x14ac:dyDescent="0.35">
      <c r="A2150" s="17">
        <v>2149</v>
      </c>
      <c r="B2150" s="23" t="s">
        <v>100</v>
      </c>
      <c r="C2150" s="18" t="s">
        <v>126</v>
      </c>
      <c r="D2150" s="18">
        <v>72</v>
      </c>
      <c r="E2150" s="18" t="s">
        <v>132</v>
      </c>
      <c r="F2150" s="18" t="str">
        <f>IF(OR(D2150&gt;Answers!L2165,D2150&lt;Answers!L2166),"Outlier","Normal")</f>
        <v>Outlier</v>
      </c>
      <c r="G2150" s="19" t="str">
        <f t="shared" si="33"/>
        <v>40-50</v>
      </c>
    </row>
    <row r="2151" spans="1:7" ht="20" customHeight="1" x14ac:dyDescent="0.35">
      <c r="A2151" s="17">
        <v>2150</v>
      </c>
      <c r="B2151" s="23" t="s">
        <v>99</v>
      </c>
      <c r="C2151" s="18" t="s">
        <v>126</v>
      </c>
      <c r="D2151" s="18">
        <v>18</v>
      </c>
      <c r="E2151" s="18" t="s">
        <v>132</v>
      </c>
      <c r="F2151" s="18" t="str">
        <f>IF(OR(D2151&gt;Answers!L2166,D2151&lt;Answers!L2167),"Outlier","Normal")</f>
        <v>Outlier</v>
      </c>
      <c r="G2151" s="19" t="str">
        <f t="shared" si="33"/>
        <v>&lt;20</v>
      </c>
    </row>
    <row r="2152" spans="1:7" ht="20" customHeight="1" x14ac:dyDescent="0.35">
      <c r="A2152" s="17">
        <v>2151</v>
      </c>
      <c r="B2152" s="23" t="s">
        <v>110</v>
      </c>
      <c r="C2152" s="18" t="s">
        <v>125</v>
      </c>
      <c r="D2152" s="18">
        <v>41</v>
      </c>
      <c r="E2152" s="18" t="s">
        <v>132</v>
      </c>
      <c r="F2152" s="18" t="str">
        <f>IF(OR(D2152&gt;Answers!L2167,D2152&lt;Answers!L2168),"Outlier","Normal")</f>
        <v>Outlier</v>
      </c>
      <c r="G2152" s="19" t="str">
        <f t="shared" si="33"/>
        <v>40-50</v>
      </c>
    </row>
    <row r="2153" spans="1:7" ht="20" customHeight="1" x14ac:dyDescent="0.35">
      <c r="A2153" s="17">
        <v>2152</v>
      </c>
      <c r="B2153" s="23" t="s">
        <v>99</v>
      </c>
      <c r="C2153" s="18" t="s">
        <v>126</v>
      </c>
      <c r="D2153" s="18">
        <v>77</v>
      </c>
      <c r="E2153" s="18" t="s">
        <v>132</v>
      </c>
      <c r="F2153" s="18" t="str">
        <f>IF(OR(D2153&gt;Answers!L2168,D2153&lt;Answers!L2169),"Outlier","Normal")</f>
        <v>Outlier</v>
      </c>
      <c r="G2153" s="19" t="str">
        <f t="shared" si="33"/>
        <v>40-50</v>
      </c>
    </row>
    <row r="2154" spans="1:7" ht="20" customHeight="1" x14ac:dyDescent="0.35">
      <c r="A2154" s="17">
        <v>2153</v>
      </c>
      <c r="B2154" s="23" t="s">
        <v>105</v>
      </c>
      <c r="C2154" s="18" t="s">
        <v>125</v>
      </c>
      <c r="D2154" s="18">
        <v>87</v>
      </c>
      <c r="E2154" s="18" t="s">
        <v>132</v>
      </c>
      <c r="F2154" s="18" t="str">
        <f>IF(OR(D2154&gt;Answers!L2169,D2154&lt;Answers!L2170),"Outlier","Normal")</f>
        <v>Outlier</v>
      </c>
      <c r="G2154" s="19" t="str">
        <f t="shared" si="33"/>
        <v>40-50</v>
      </c>
    </row>
    <row r="2155" spans="1:7" ht="20" customHeight="1" x14ac:dyDescent="0.35">
      <c r="A2155" s="17">
        <v>2154</v>
      </c>
      <c r="B2155" s="23" t="s">
        <v>105</v>
      </c>
      <c r="C2155" s="18" t="s">
        <v>125</v>
      </c>
      <c r="D2155" s="18">
        <v>38</v>
      </c>
      <c r="E2155" s="18" t="s">
        <v>132</v>
      </c>
      <c r="F2155" s="18" t="str">
        <f>IF(OR(D2155&gt;Answers!L2170,D2155&lt;Answers!L2171),"Outlier","Normal")</f>
        <v>Outlier</v>
      </c>
      <c r="G2155" s="19" t="str">
        <f t="shared" si="33"/>
        <v>30-40</v>
      </c>
    </row>
    <row r="2156" spans="1:7" ht="20" customHeight="1" x14ac:dyDescent="0.35">
      <c r="A2156" s="17">
        <v>2155</v>
      </c>
      <c r="B2156" s="23" t="s">
        <v>100</v>
      </c>
      <c r="C2156" s="18" t="s">
        <v>125</v>
      </c>
      <c r="D2156" s="18">
        <v>62</v>
      </c>
      <c r="E2156" s="18" t="s">
        <v>132</v>
      </c>
      <c r="F2156" s="18" t="str">
        <f>IF(OR(D2156&gt;Answers!L2171,D2156&lt;Answers!L2172),"Outlier","Normal")</f>
        <v>Outlier</v>
      </c>
      <c r="G2156" s="19" t="str">
        <f t="shared" si="33"/>
        <v>40-50</v>
      </c>
    </row>
    <row r="2157" spans="1:7" ht="20" customHeight="1" x14ac:dyDescent="0.35">
      <c r="A2157" s="17">
        <v>2156</v>
      </c>
      <c r="B2157" s="23" t="s">
        <v>99</v>
      </c>
      <c r="C2157" s="18" t="s">
        <v>126</v>
      </c>
      <c r="D2157" s="18">
        <v>74</v>
      </c>
      <c r="E2157" s="18" t="s">
        <v>132</v>
      </c>
      <c r="F2157" s="18" t="str">
        <f>IF(OR(D2157&gt;Answers!L2172,D2157&lt;Answers!L2173),"Outlier","Normal")</f>
        <v>Outlier</v>
      </c>
      <c r="G2157" s="19" t="str">
        <f t="shared" si="33"/>
        <v>40-50</v>
      </c>
    </row>
    <row r="2158" spans="1:7" ht="20" customHeight="1" x14ac:dyDescent="0.35">
      <c r="A2158" s="17">
        <v>2157</v>
      </c>
      <c r="B2158" s="23" t="s">
        <v>99</v>
      </c>
      <c r="C2158" s="18" t="s">
        <v>125</v>
      </c>
      <c r="D2158" s="18">
        <v>58</v>
      </c>
      <c r="E2158" s="18" t="s">
        <v>132</v>
      </c>
      <c r="F2158" s="18" t="str">
        <f>IF(OR(D2158&gt;Answers!L2173,D2158&lt;Answers!L2174),"Outlier","Normal")</f>
        <v>Outlier</v>
      </c>
      <c r="G2158" s="19" t="str">
        <f t="shared" si="33"/>
        <v>40-50</v>
      </c>
    </row>
    <row r="2159" spans="1:7" ht="20" customHeight="1" x14ac:dyDescent="0.35">
      <c r="A2159" s="17">
        <v>2158</v>
      </c>
      <c r="B2159" s="23" t="s">
        <v>99</v>
      </c>
      <c r="C2159" s="18" t="s">
        <v>125</v>
      </c>
      <c r="D2159" s="18">
        <v>57</v>
      </c>
      <c r="E2159" s="18" t="s">
        <v>132</v>
      </c>
      <c r="F2159" s="18" t="str">
        <f>IF(OR(D2159&gt;Answers!L2174,D2159&lt;Answers!L2175),"Outlier","Normal")</f>
        <v>Outlier</v>
      </c>
      <c r="G2159" s="19" t="str">
        <f t="shared" si="33"/>
        <v>40-50</v>
      </c>
    </row>
    <row r="2160" spans="1:7" ht="20" customHeight="1" x14ac:dyDescent="0.35">
      <c r="A2160" s="17">
        <v>2159</v>
      </c>
      <c r="B2160" s="23" t="s">
        <v>101</v>
      </c>
      <c r="C2160" s="18" t="s">
        <v>126</v>
      </c>
      <c r="D2160" s="18">
        <v>58</v>
      </c>
      <c r="E2160" s="18" t="s">
        <v>132</v>
      </c>
      <c r="F2160" s="18" t="str">
        <f>IF(OR(D2160&gt;Answers!L2175,D2160&lt;Answers!L2176),"Outlier","Normal")</f>
        <v>Outlier</v>
      </c>
      <c r="G2160" s="19" t="str">
        <f t="shared" si="33"/>
        <v>40-50</v>
      </c>
    </row>
    <row r="2161" spans="1:7" ht="20" customHeight="1" x14ac:dyDescent="0.35">
      <c r="A2161" s="17">
        <v>2160</v>
      </c>
      <c r="B2161" s="23" t="s">
        <v>105</v>
      </c>
      <c r="C2161" s="18" t="s">
        <v>126</v>
      </c>
      <c r="D2161" s="18">
        <v>58</v>
      </c>
      <c r="E2161" s="18" t="s">
        <v>132</v>
      </c>
      <c r="F2161" s="18" t="str">
        <f>IF(OR(D2161&gt;Answers!L2176,D2161&lt;Answers!L2177),"Outlier","Normal")</f>
        <v>Outlier</v>
      </c>
      <c r="G2161" s="19" t="str">
        <f t="shared" si="33"/>
        <v>40-50</v>
      </c>
    </row>
    <row r="2162" spans="1:7" ht="20" customHeight="1" x14ac:dyDescent="0.35">
      <c r="A2162" s="17">
        <v>2161</v>
      </c>
      <c r="B2162" s="23" t="s">
        <v>105</v>
      </c>
      <c r="C2162" s="18" t="s">
        <v>126</v>
      </c>
      <c r="D2162" s="18">
        <v>20</v>
      </c>
      <c r="E2162" s="18" t="s">
        <v>132</v>
      </c>
      <c r="F2162" s="18" t="str">
        <f>IF(OR(D2162&gt;Answers!L2177,D2162&lt;Answers!L2178),"Outlier","Normal")</f>
        <v>Outlier</v>
      </c>
      <c r="G2162" s="19" t="str">
        <f t="shared" si="33"/>
        <v>20-30</v>
      </c>
    </row>
    <row r="2163" spans="1:7" ht="20" customHeight="1" x14ac:dyDescent="0.35">
      <c r="A2163" s="17">
        <v>2162</v>
      </c>
      <c r="B2163" s="23" t="s">
        <v>99</v>
      </c>
      <c r="C2163" s="18" t="s">
        <v>125</v>
      </c>
      <c r="D2163" s="18">
        <v>42</v>
      </c>
      <c r="E2163" s="18" t="s">
        <v>132</v>
      </c>
      <c r="F2163" s="18" t="str">
        <f>IF(OR(D2163&gt;Answers!L2178,D2163&lt;Answers!L2179),"Outlier","Normal")</f>
        <v>Outlier</v>
      </c>
      <c r="G2163" s="19" t="str">
        <f t="shared" si="33"/>
        <v>40-50</v>
      </c>
    </row>
    <row r="2164" spans="1:7" ht="20" customHeight="1" x14ac:dyDescent="0.35">
      <c r="A2164" s="17">
        <v>2163</v>
      </c>
      <c r="B2164" s="23" t="s">
        <v>104</v>
      </c>
      <c r="C2164" s="18" t="s">
        <v>125</v>
      </c>
      <c r="D2164" s="18">
        <v>68</v>
      </c>
      <c r="E2164" s="18" t="s">
        <v>132</v>
      </c>
      <c r="F2164" s="18" t="str">
        <f>IF(OR(D2164&gt;Answers!L2179,D2164&lt;Answers!L2180),"Outlier","Normal")</f>
        <v>Outlier</v>
      </c>
      <c r="G2164" s="19" t="str">
        <f t="shared" si="33"/>
        <v>40-50</v>
      </c>
    </row>
    <row r="2165" spans="1:7" ht="20" customHeight="1" x14ac:dyDescent="0.35">
      <c r="A2165" s="17">
        <v>2164</v>
      </c>
      <c r="B2165" s="23" t="s">
        <v>100</v>
      </c>
      <c r="C2165" s="18" t="s">
        <v>125</v>
      </c>
      <c r="D2165" s="18">
        <v>47</v>
      </c>
      <c r="E2165" s="18" t="s">
        <v>132</v>
      </c>
      <c r="F2165" s="18" t="str">
        <f>IF(OR(D2165&gt;Answers!L2180,D2165&lt;Answers!L2181),"Outlier","Normal")</f>
        <v>Outlier</v>
      </c>
      <c r="G2165" s="19" t="str">
        <f t="shared" si="33"/>
        <v>40-50</v>
      </c>
    </row>
    <row r="2166" spans="1:7" ht="20" customHeight="1" x14ac:dyDescent="0.35">
      <c r="A2166" s="17">
        <v>2165</v>
      </c>
      <c r="B2166" s="23" t="s">
        <v>101</v>
      </c>
      <c r="C2166" s="18" t="s">
        <v>125</v>
      </c>
      <c r="D2166" s="18">
        <v>23</v>
      </c>
      <c r="E2166" s="18" t="s">
        <v>132</v>
      </c>
      <c r="F2166" s="18" t="str">
        <f>IF(OR(D2166&gt;Answers!L2181,D2166&lt;Answers!L2182),"Outlier","Normal")</f>
        <v>Outlier</v>
      </c>
      <c r="G2166" s="19" t="str">
        <f t="shared" si="33"/>
        <v>20-30</v>
      </c>
    </row>
    <row r="2167" spans="1:7" ht="20" customHeight="1" x14ac:dyDescent="0.35">
      <c r="A2167" s="17">
        <v>2166</v>
      </c>
      <c r="B2167" s="23" t="s">
        <v>102</v>
      </c>
      <c r="C2167" s="18" t="s">
        <v>126</v>
      </c>
      <c r="D2167" s="18">
        <v>18</v>
      </c>
      <c r="E2167" s="18" t="s">
        <v>132</v>
      </c>
      <c r="F2167" s="18" t="str">
        <f>IF(OR(D2167&gt;Answers!L2182,D2167&lt;Answers!L2183),"Outlier","Normal")</f>
        <v>Outlier</v>
      </c>
      <c r="G2167" s="19" t="str">
        <f t="shared" si="33"/>
        <v>&lt;20</v>
      </c>
    </row>
    <row r="2168" spans="1:7" ht="20" customHeight="1" x14ac:dyDescent="0.35">
      <c r="A2168" s="17">
        <v>2167</v>
      </c>
      <c r="B2168" s="23" t="s">
        <v>99</v>
      </c>
      <c r="C2168" s="18" t="s">
        <v>126</v>
      </c>
      <c r="D2168" s="18">
        <v>55</v>
      </c>
      <c r="E2168" s="18" t="s">
        <v>132</v>
      </c>
      <c r="F2168" s="18" t="str">
        <f>IF(OR(D2168&gt;Answers!L2183,D2168&lt;Answers!L2184),"Outlier","Normal")</f>
        <v>Outlier</v>
      </c>
      <c r="G2168" s="19" t="str">
        <f t="shared" si="33"/>
        <v>40-50</v>
      </c>
    </row>
    <row r="2169" spans="1:7" ht="20" customHeight="1" x14ac:dyDescent="0.35">
      <c r="A2169" s="17">
        <v>2168</v>
      </c>
      <c r="B2169" s="23" t="s">
        <v>111</v>
      </c>
      <c r="C2169" s="18" t="s">
        <v>125</v>
      </c>
      <c r="D2169" s="18">
        <v>73</v>
      </c>
      <c r="E2169" s="18" t="s">
        <v>132</v>
      </c>
      <c r="F2169" s="18" t="str">
        <f>IF(OR(D2169&gt;Answers!L2184,D2169&lt;Answers!L2185),"Outlier","Normal")</f>
        <v>Outlier</v>
      </c>
      <c r="G2169" s="19" t="str">
        <f t="shared" si="33"/>
        <v>40-50</v>
      </c>
    </row>
    <row r="2170" spans="1:7" ht="20" customHeight="1" x14ac:dyDescent="0.35">
      <c r="A2170" s="17">
        <v>2169</v>
      </c>
      <c r="B2170" s="23" t="s">
        <v>99</v>
      </c>
      <c r="C2170" s="18" t="s">
        <v>125</v>
      </c>
      <c r="D2170" s="18">
        <v>44</v>
      </c>
      <c r="E2170" s="18" t="s">
        <v>132</v>
      </c>
      <c r="F2170" s="18" t="str">
        <f>IF(OR(D2170&gt;Answers!L2185,D2170&lt;Answers!L2186),"Outlier","Normal")</f>
        <v>Outlier</v>
      </c>
      <c r="G2170" s="19" t="str">
        <f t="shared" si="33"/>
        <v>40-50</v>
      </c>
    </row>
    <row r="2171" spans="1:7" ht="20" customHeight="1" x14ac:dyDescent="0.35">
      <c r="A2171" s="17">
        <v>2170</v>
      </c>
      <c r="B2171" s="23" t="s">
        <v>99</v>
      </c>
      <c r="C2171" s="18" t="s">
        <v>126</v>
      </c>
      <c r="D2171" s="18">
        <v>46</v>
      </c>
      <c r="E2171" s="18" t="s">
        <v>132</v>
      </c>
      <c r="F2171" s="18" t="str">
        <f>IF(OR(D2171&gt;Answers!L2186,D2171&lt;Answers!L2187),"Outlier","Normal")</f>
        <v>Outlier</v>
      </c>
      <c r="G2171" s="19" t="str">
        <f t="shared" si="33"/>
        <v>40-50</v>
      </c>
    </row>
    <row r="2172" spans="1:7" ht="20" customHeight="1" x14ac:dyDescent="0.35">
      <c r="A2172" s="17">
        <v>2171</v>
      </c>
      <c r="B2172" s="23" t="s">
        <v>100</v>
      </c>
      <c r="C2172" s="18" t="s">
        <v>125</v>
      </c>
      <c r="D2172" s="18">
        <v>57</v>
      </c>
      <c r="E2172" s="18" t="s">
        <v>132</v>
      </c>
      <c r="F2172" s="18" t="str">
        <f>IF(OR(D2172&gt;Answers!L2187,D2172&lt;Answers!L2188),"Outlier","Normal")</f>
        <v>Outlier</v>
      </c>
      <c r="G2172" s="19" t="str">
        <f t="shared" si="33"/>
        <v>40-50</v>
      </c>
    </row>
    <row r="2173" spans="1:7" ht="20" customHeight="1" x14ac:dyDescent="0.35">
      <c r="A2173" s="17">
        <v>2172</v>
      </c>
      <c r="B2173" s="23" t="s">
        <v>101</v>
      </c>
      <c r="C2173" s="18" t="s">
        <v>125</v>
      </c>
      <c r="D2173" s="18">
        <v>64</v>
      </c>
      <c r="E2173" s="18" t="s">
        <v>132</v>
      </c>
      <c r="F2173" s="18" t="str">
        <f>IF(OR(D2173&gt;Answers!L2188,D2173&lt;Answers!L2189),"Outlier","Normal")</f>
        <v>Outlier</v>
      </c>
      <c r="G2173" s="19" t="str">
        <f t="shared" si="33"/>
        <v>40-50</v>
      </c>
    </row>
    <row r="2174" spans="1:7" ht="20" customHeight="1" x14ac:dyDescent="0.35">
      <c r="A2174" s="17">
        <v>2173</v>
      </c>
      <c r="B2174" s="23" t="s">
        <v>99</v>
      </c>
      <c r="C2174" s="18" t="s">
        <v>125</v>
      </c>
      <c r="D2174" s="18">
        <v>49</v>
      </c>
      <c r="E2174" s="18" t="s">
        <v>132</v>
      </c>
      <c r="F2174" s="18" t="str">
        <f>IF(OR(D2174&gt;Answers!L2189,D2174&lt;Answers!L2190),"Outlier","Normal")</f>
        <v>Outlier</v>
      </c>
      <c r="G2174" s="19" t="str">
        <f t="shared" si="33"/>
        <v>40-50</v>
      </c>
    </row>
    <row r="2175" spans="1:7" ht="20" customHeight="1" x14ac:dyDescent="0.35">
      <c r="A2175" s="17">
        <v>2174</v>
      </c>
      <c r="B2175" s="23" t="s">
        <v>99</v>
      </c>
      <c r="C2175" s="18" t="s">
        <v>126</v>
      </c>
      <c r="D2175" s="18">
        <v>38</v>
      </c>
      <c r="E2175" s="18" t="s">
        <v>132</v>
      </c>
      <c r="F2175" s="18" t="str">
        <f>IF(OR(D2175&gt;Answers!L2190,D2175&lt;Answers!L2191),"Outlier","Normal")</f>
        <v>Outlier</v>
      </c>
      <c r="G2175" s="19" t="str">
        <f t="shared" si="33"/>
        <v>30-40</v>
      </c>
    </row>
    <row r="2176" spans="1:7" ht="20" customHeight="1" x14ac:dyDescent="0.35">
      <c r="A2176" s="17">
        <v>2175</v>
      </c>
      <c r="B2176" s="23" t="s">
        <v>99</v>
      </c>
      <c r="C2176" s="18" t="s">
        <v>125</v>
      </c>
      <c r="D2176" s="18">
        <v>41</v>
      </c>
      <c r="E2176" s="18" t="s">
        <v>132</v>
      </c>
      <c r="F2176" s="18" t="str">
        <f>IF(OR(D2176&gt;Answers!L2191,D2176&lt;Answers!L2192),"Outlier","Normal")</f>
        <v>Outlier</v>
      </c>
      <c r="G2176" s="19" t="str">
        <f t="shared" si="33"/>
        <v>40-50</v>
      </c>
    </row>
    <row r="2177" spans="1:7" ht="20" customHeight="1" x14ac:dyDescent="0.35">
      <c r="A2177" s="17">
        <v>2176</v>
      </c>
      <c r="B2177" s="23" t="s">
        <v>99</v>
      </c>
      <c r="C2177" s="18" t="s">
        <v>125</v>
      </c>
      <c r="D2177" s="18">
        <v>36</v>
      </c>
      <c r="E2177" s="18" t="s">
        <v>132</v>
      </c>
      <c r="F2177" s="18" t="str">
        <f>IF(OR(D2177&gt;Answers!L2192,D2177&lt;Answers!L2193),"Outlier","Normal")</f>
        <v>Outlier</v>
      </c>
      <c r="G2177" s="19" t="str">
        <f t="shared" si="33"/>
        <v>30-40</v>
      </c>
    </row>
    <row r="2178" spans="1:7" ht="20" customHeight="1" x14ac:dyDescent="0.35">
      <c r="A2178" s="17">
        <v>2177</v>
      </c>
      <c r="B2178" s="23" t="s">
        <v>105</v>
      </c>
      <c r="C2178" s="18" t="s">
        <v>126</v>
      </c>
      <c r="D2178" s="18">
        <v>68</v>
      </c>
      <c r="E2178" s="18" t="s">
        <v>132</v>
      </c>
      <c r="F2178" s="18" t="str">
        <f>IF(OR(D2178&gt;Answers!L2193,D2178&lt;Answers!L2194),"Outlier","Normal")</f>
        <v>Outlier</v>
      </c>
      <c r="G2178" s="19" t="str">
        <f t="shared" si="33"/>
        <v>40-50</v>
      </c>
    </row>
    <row r="2179" spans="1:7" ht="20" customHeight="1" x14ac:dyDescent="0.35">
      <c r="A2179" s="17">
        <v>2178</v>
      </c>
      <c r="B2179" s="23" t="s">
        <v>100</v>
      </c>
      <c r="C2179" s="18" t="s">
        <v>125</v>
      </c>
      <c r="D2179" s="18">
        <v>73</v>
      </c>
      <c r="E2179" s="18" t="s">
        <v>132</v>
      </c>
      <c r="F2179" s="18" t="str">
        <f>IF(OR(D2179&gt;Answers!L2194,D2179&lt;Answers!L2195),"Outlier","Normal")</f>
        <v>Outlier</v>
      </c>
      <c r="G2179" s="19" t="str">
        <f t="shared" ref="G2179:G2242" si="34">IF(D2179&lt;20,"&lt;20",
IF(D2179&lt;=30,"20-30",
IF(D2179&lt;=40,"30-40","40-50")))</f>
        <v>40-50</v>
      </c>
    </row>
    <row r="2180" spans="1:7" ht="20" customHeight="1" x14ac:dyDescent="0.35">
      <c r="A2180" s="17">
        <v>2179</v>
      </c>
      <c r="B2180" s="23" t="s">
        <v>109</v>
      </c>
      <c r="C2180" s="18" t="s">
        <v>125</v>
      </c>
      <c r="D2180" s="18">
        <v>69</v>
      </c>
      <c r="E2180" s="18" t="s">
        <v>132</v>
      </c>
      <c r="F2180" s="18" t="str">
        <f>IF(OR(D2180&gt;Answers!L2195,D2180&lt;Answers!L2196),"Outlier","Normal")</f>
        <v>Outlier</v>
      </c>
      <c r="G2180" s="19" t="str">
        <f t="shared" si="34"/>
        <v>40-50</v>
      </c>
    </row>
    <row r="2181" spans="1:7" ht="20" customHeight="1" x14ac:dyDescent="0.35">
      <c r="A2181" s="17">
        <v>2180</v>
      </c>
      <c r="B2181" s="23" t="s">
        <v>99</v>
      </c>
      <c r="C2181" s="18" t="s">
        <v>126</v>
      </c>
      <c r="D2181" s="18">
        <v>28</v>
      </c>
      <c r="E2181" s="18" t="s">
        <v>132</v>
      </c>
      <c r="F2181" s="18" t="str">
        <f>IF(OR(D2181&gt;Answers!L2196,D2181&lt;Answers!L2197),"Outlier","Normal")</f>
        <v>Outlier</v>
      </c>
      <c r="G2181" s="19" t="str">
        <f t="shared" si="34"/>
        <v>20-30</v>
      </c>
    </row>
    <row r="2182" spans="1:7" ht="20" customHeight="1" x14ac:dyDescent="0.35">
      <c r="A2182" s="17">
        <v>2181</v>
      </c>
      <c r="B2182" s="23" t="s">
        <v>99</v>
      </c>
      <c r="C2182" s="18" t="s">
        <v>126</v>
      </c>
      <c r="D2182" s="18">
        <v>26</v>
      </c>
      <c r="E2182" s="18" t="s">
        <v>132</v>
      </c>
      <c r="F2182" s="18" t="str">
        <f>IF(OR(D2182&gt;Answers!L2197,D2182&lt;Answers!L2198),"Outlier","Normal")</f>
        <v>Outlier</v>
      </c>
      <c r="G2182" s="19" t="str">
        <f t="shared" si="34"/>
        <v>20-30</v>
      </c>
    </row>
    <row r="2183" spans="1:7" ht="20" customHeight="1" x14ac:dyDescent="0.35">
      <c r="A2183" s="17">
        <v>2182</v>
      </c>
      <c r="B2183" s="23" t="s">
        <v>99</v>
      </c>
      <c r="C2183" s="18" t="s">
        <v>126</v>
      </c>
      <c r="D2183" s="18">
        <v>64</v>
      </c>
      <c r="E2183" s="18" t="s">
        <v>132</v>
      </c>
      <c r="F2183" s="18" t="str">
        <f>IF(OR(D2183&gt;Answers!L2198,D2183&lt;Answers!L2199),"Outlier","Normal")</f>
        <v>Outlier</v>
      </c>
      <c r="G2183" s="19" t="str">
        <f t="shared" si="34"/>
        <v>40-50</v>
      </c>
    </row>
    <row r="2184" spans="1:7" ht="20" customHeight="1" x14ac:dyDescent="0.35">
      <c r="A2184" s="17">
        <v>2183</v>
      </c>
      <c r="B2184" s="23" t="s">
        <v>99</v>
      </c>
      <c r="C2184" s="18" t="s">
        <v>126</v>
      </c>
      <c r="D2184" s="18">
        <v>53</v>
      </c>
      <c r="E2184" s="18" t="s">
        <v>132</v>
      </c>
      <c r="F2184" s="18" t="str">
        <f>IF(OR(D2184&gt;Answers!L2199,D2184&lt;Answers!L2200),"Outlier","Normal")</f>
        <v>Outlier</v>
      </c>
      <c r="G2184" s="19" t="str">
        <f t="shared" si="34"/>
        <v>40-50</v>
      </c>
    </row>
    <row r="2185" spans="1:7" ht="20" customHeight="1" x14ac:dyDescent="0.35">
      <c r="A2185" s="17">
        <v>2184</v>
      </c>
      <c r="B2185" s="23" t="s">
        <v>107</v>
      </c>
      <c r="C2185" s="18" t="s">
        <v>125</v>
      </c>
      <c r="D2185" s="18">
        <v>28</v>
      </c>
      <c r="E2185" s="18" t="s">
        <v>132</v>
      </c>
      <c r="F2185" s="18" t="str">
        <f>IF(OR(D2185&gt;Answers!L2200,D2185&lt;Answers!L2201),"Outlier","Normal")</f>
        <v>Outlier</v>
      </c>
      <c r="G2185" s="19" t="str">
        <f t="shared" si="34"/>
        <v>20-30</v>
      </c>
    </row>
    <row r="2186" spans="1:7" ht="20" customHeight="1" x14ac:dyDescent="0.35">
      <c r="A2186" s="17">
        <v>2185</v>
      </c>
      <c r="B2186" s="23" t="s">
        <v>101</v>
      </c>
      <c r="C2186" s="18" t="s">
        <v>125</v>
      </c>
      <c r="D2186" s="18">
        <v>45</v>
      </c>
      <c r="E2186" s="18" t="s">
        <v>132</v>
      </c>
      <c r="F2186" s="18" t="str">
        <f>IF(OR(D2186&gt;Answers!L2201,D2186&lt;Answers!L2202),"Outlier","Normal")</f>
        <v>Outlier</v>
      </c>
      <c r="G2186" s="19" t="str">
        <f t="shared" si="34"/>
        <v>40-50</v>
      </c>
    </row>
    <row r="2187" spans="1:7" ht="20" customHeight="1" x14ac:dyDescent="0.35">
      <c r="A2187" s="17">
        <v>2186</v>
      </c>
      <c r="B2187" s="23" t="s">
        <v>99</v>
      </c>
      <c r="C2187" s="18" t="s">
        <v>125</v>
      </c>
      <c r="D2187" s="18">
        <v>39</v>
      </c>
      <c r="E2187" s="18" t="s">
        <v>132</v>
      </c>
      <c r="F2187" s="18" t="str">
        <f>IF(OR(D2187&gt;Answers!L2202,D2187&lt;Answers!L2203),"Outlier","Normal")</f>
        <v>Outlier</v>
      </c>
      <c r="G2187" s="19" t="str">
        <f t="shared" si="34"/>
        <v>30-40</v>
      </c>
    </row>
    <row r="2188" spans="1:7" ht="20" customHeight="1" x14ac:dyDescent="0.35">
      <c r="A2188" s="17">
        <v>2187</v>
      </c>
      <c r="B2188" s="23" t="s">
        <v>100</v>
      </c>
      <c r="C2188" s="18" t="s">
        <v>125</v>
      </c>
      <c r="D2188" s="18">
        <v>83</v>
      </c>
      <c r="E2188" s="18" t="s">
        <v>132</v>
      </c>
      <c r="F2188" s="18" t="str">
        <f>IF(OR(D2188&gt;Answers!L2203,D2188&lt;Answers!L2204),"Outlier","Normal")</f>
        <v>Outlier</v>
      </c>
      <c r="G2188" s="19" t="str">
        <f t="shared" si="34"/>
        <v>40-50</v>
      </c>
    </row>
    <row r="2189" spans="1:7" ht="20" customHeight="1" x14ac:dyDescent="0.35">
      <c r="A2189" s="17">
        <v>2188</v>
      </c>
      <c r="B2189" s="23" t="s">
        <v>105</v>
      </c>
      <c r="C2189" s="18" t="s">
        <v>125</v>
      </c>
      <c r="D2189" s="18">
        <v>39</v>
      </c>
      <c r="E2189" s="18" t="s">
        <v>132</v>
      </c>
      <c r="F2189" s="18" t="str">
        <f>IF(OR(D2189&gt;Answers!L2204,D2189&lt;Answers!L2205),"Outlier","Normal")</f>
        <v>Outlier</v>
      </c>
      <c r="G2189" s="19" t="str">
        <f t="shared" si="34"/>
        <v>30-40</v>
      </c>
    </row>
    <row r="2190" spans="1:7" ht="20" customHeight="1" x14ac:dyDescent="0.35">
      <c r="A2190" s="17">
        <v>2189</v>
      </c>
      <c r="B2190" s="23" t="s">
        <v>99</v>
      </c>
      <c r="C2190" s="18" t="s">
        <v>125</v>
      </c>
      <c r="D2190" s="18">
        <v>62</v>
      </c>
      <c r="E2190" s="18" t="s">
        <v>132</v>
      </c>
      <c r="F2190" s="18" t="str">
        <f>IF(OR(D2190&gt;Answers!L2205,D2190&lt;Answers!L2206),"Outlier","Normal")</f>
        <v>Outlier</v>
      </c>
      <c r="G2190" s="19" t="str">
        <f t="shared" si="34"/>
        <v>40-50</v>
      </c>
    </row>
    <row r="2191" spans="1:7" ht="20" customHeight="1" x14ac:dyDescent="0.35">
      <c r="A2191" s="17">
        <v>2190</v>
      </c>
      <c r="B2191" s="23" t="s">
        <v>100</v>
      </c>
      <c r="C2191" s="18" t="s">
        <v>126</v>
      </c>
      <c r="D2191" s="18">
        <v>70</v>
      </c>
      <c r="E2191" s="18" t="s">
        <v>132</v>
      </c>
      <c r="F2191" s="18" t="str">
        <f>IF(OR(D2191&gt;Answers!L2206,D2191&lt;Answers!L2207),"Outlier","Normal")</f>
        <v>Outlier</v>
      </c>
      <c r="G2191" s="19" t="str">
        <f t="shared" si="34"/>
        <v>40-50</v>
      </c>
    </row>
    <row r="2192" spans="1:7" ht="20" customHeight="1" x14ac:dyDescent="0.35">
      <c r="A2192" s="17">
        <v>2191</v>
      </c>
      <c r="B2192" s="23" t="s">
        <v>110</v>
      </c>
      <c r="C2192" s="18" t="s">
        <v>125</v>
      </c>
      <c r="D2192" s="18">
        <v>26</v>
      </c>
      <c r="E2192" s="18" t="s">
        <v>132</v>
      </c>
      <c r="F2192" s="18" t="str">
        <f>IF(OR(D2192&gt;Answers!L2207,D2192&lt;Answers!L2208),"Outlier","Normal")</f>
        <v>Outlier</v>
      </c>
      <c r="G2192" s="19" t="str">
        <f t="shared" si="34"/>
        <v>20-30</v>
      </c>
    </row>
    <row r="2193" spans="1:7" ht="20" customHeight="1" x14ac:dyDescent="0.35">
      <c r="A2193" s="17">
        <v>2192</v>
      </c>
      <c r="B2193" s="23" t="s">
        <v>99</v>
      </c>
      <c r="C2193" s="18" t="s">
        <v>125</v>
      </c>
      <c r="D2193" s="18">
        <v>28</v>
      </c>
      <c r="E2193" s="18" t="s">
        <v>132</v>
      </c>
      <c r="F2193" s="18" t="str">
        <f>IF(OR(D2193&gt;Answers!L2208,D2193&lt;Answers!L2209),"Outlier","Normal")</f>
        <v>Outlier</v>
      </c>
      <c r="G2193" s="19" t="str">
        <f t="shared" si="34"/>
        <v>20-30</v>
      </c>
    </row>
    <row r="2194" spans="1:7" ht="20" customHeight="1" x14ac:dyDescent="0.35">
      <c r="A2194" s="17">
        <v>2193</v>
      </c>
      <c r="B2194" s="23" t="s">
        <v>99</v>
      </c>
      <c r="C2194" s="18" t="s">
        <v>125</v>
      </c>
      <c r="D2194" s="18">
        <v>24</v>
      </c>
      <c r="E2194" s="18" t="s">
        <v>132</v>
      </c>
      <c r="F2194" s="18" t="str">
        <f>IF(OR(D2194&gt;Answers!L2209,D2194&lt;Answers!L2210),"Outlier","Normal")</f>
        <v>Outlier</v>
      </c>
      <c r="G2194" s="19" t="str">
        <f t="shared" si="34"/>
        <v>20-30</v>
      </c>
    </row>
    <row r="2195" spans="1:7" ht="20" customHeight="1" x14ac:dyDescent="0.35">
      <c r="A2195" s="17">
        <v>2194</v>
      </c>
      <c r="B2195" s="23" t="s">
        <v>99</v>
      </c>
      <c r="C2195" s="18" t="s">
        <v>126</v>
      </c>
      <c r="D2195" s="18">
        <v>81</v>
      </c>
      <c r="E2195" s="18" t="s">
        <v>132</v>
      </c>
      <c r="F2195" s="18" t="str">
        <f>IF(OR(D2195&gt;Answers!L2210,D2195&lt;Answers!L2211),"Outlier","Normal")</f>
        <v>Outlier</v>
      </c>
      <c r="G2195" s="19" t="str">
        <f t="shared" si="34"/>
        <v>40-50</v>
      </c>
    </row>
    <row r="2196" spans="1:7" ht="20" customHeight="1" x14ac:dyDescent="0.35">
      <c r="A2196" s="17">
        <v>2195</v>
      </c>
      <c r="B2196" s="23" t="s">
        <v>99</v>
      </c>
      <c r="C2196" s="18" t="s">
        <v>126</v>
      </c>
      <c r="D2196" s="18">
        <v>49</v>
      </c>
      <c r="E2196" s="18" t="s">
        <v>132</v>
      </c>
      <c r="F2196" s="18" t="str">
        <f>IF(OR(D2196&gt;Answers!L2211,D2196&lt;Answers!L2212),"Outlier","Normal")</f>
        <v>Outlier</v>
      </c>
      <c r="G2196" s="19" t="str">
        <f t="shared" si="34"/>
        <v>40-50</v>
      </c>
    </row>
    <row r="2197" spans="1:7" ht="20" customHeight="1" x14ac:dyDescent="0.35">
      <c r="A2197" s="17">
        <v>2196</v>
      </c>
      <c r="B2197" s="23" t="s">
        <v>105</v>
      </c>
      <c r="C2197" s="18" t="s">
        <v>126</v>
      </c>
      <c r="D2197" s="18">
        <v>79</v>
      </c>
      <c r="E2197" s="18" t="s">
        <v>132</v>
      </c>
      <c r="F2197" s="18" t="str">
        <f>IF(OR(D2197&gt;Answers!L2212,D2197&lt;Answers!L2213),"Outlier","Normal")</f>
        <v>Outlier</v>
      </c>
      <c r="G2197" s="19" t="str">
        <f t="shared" si="34"/>
        <v>40-50</v>
      </c>
    </row>
    <row r="2198" spans="1:7" ht="20" customHeight="1" x14ac:dyDescent="0.35">
      <c r="A2198" s="17">
        <v>2197</v>
      </c>
      <c r="B2198" s="23" t="s">
        <v>100</v>
      </c>
      <c r="C2198" s="18" t="s">
        <v>125</v>
      </c>
      <c r="D2198" s="18">
        <v>85</v>
      </c>
      <c r="E2198" s="18" t="s">
        <v>132</v>
      </c>
      <c r="F2198" s="18" t="str">
        <f>IF(OR(D2198&gt;Answers!L2213,D2198&lt;Answers!L2214),"Outlier","Normal")</f>
        <v>Outlier</v>
      </c>
      <c r="G2198" s="19" t="str">
        <f t="shared" si="34"/>
        <v>40-50</v>
      </c>
    </row>
    <row r="2199" spans="1:7" ht="20" customHeight="1" x14ac:dyDescent="0.35">
      <c r="A2199" s="17">
        <v>2198</v>
      </c>
      <c r="B2199" s="23" t="s">
        <v>105</v>
      </c>
      <c r="C2199" s="18" t="s">
        <v>126</v>
      </c>
      <c r="D2199" s="18">
        <v>30</v>
      </c>
      <c r="E2199" s="18" t="s">
        <v>132</v>
      </c>
      <c r="F2199" s="18" t="str">
        <f>IF(OR(D2199&gt;Answers!L2214,D2199&lt;Answers!L2215),"Outlier","Normal")</f>
        <v>Outlier</v>
      </c>
      <c r="G2199" s="19" t="str">
        <f t="shared" si="34"/>
        <v>20-30</v>
      </c>
    </row>
    <row r="2200" spans="1:7" ht="20" customHeight="1" x14ac:dyDescent="0.35">
      <c r="A2200" s="17">
        <v>2199</v>
      </c>
      <c r="B2200" s="23" t="s">
        <v>109</v>
      </c>
      <c r="C2200" s="18" t="s">
        <v>125</v>
      </c>
      <c r="D2200" s="18">
        <v>50</v>
      </c>
      <c r="E2200" s="18" t="s">
        <v>132</v>
      </c>
      <c r="F2200" s="18" t="str">
        <f>IF(OR(D2200&gt;Answers!L2215,D2200&lt;Answers!L2216),"Outlier","Normal")</f>
        <v>Outlier</v>
      </c>
      <c r="G2200" s="19" t="str">
        <f t="shared" si="34"/>
        <v>40-50</v>
      </c>
    </row>
    <row r="2201" spans="1:7" ht="20" customHeight="1" x14ac:dyDescent="0.35">
      <c r="A2201" s="17">
        <v>2200</v>
      </c>
      <c r="B2201" s="23" t="s">
        <v>100</v>
      </c>
      <c r="C2201" s="18" t="s">
        <v>126</v>
      </c>
      <c r="D2201" s="18">
        <v>52</v>
      </c>
      <c r="E2201" s="18" t="s">
        <v>132</v>
      </c>
      <c r="F2201" s="18" t="str">
        <f>IF(OR(D2201&gt;Answers!L2216,D2201&lt;Answers!L2217),"Outlier","Normal")</f>
        <v>Outlier</v>
      </c>
      <c r="G2201" s="19" t="str">
        <f t="shared" si="34"/>
        <v>40-50</v>
      </c>
    </row>
    <row r="2202" spans="1:7" ht="20" customHeight="1" x14ac:dyDescent="0.35">
      <c r="A2202" s="17">
        <v>2201</v>
      </c>
      <c r="B2202" s="23" t="s">
        <v>102</v>
      </c>
      <c r="C2202" s="18" t="s">
        <v>126</v>
      </c>
      <c r="D2202" s="18">
        <v>80</v>
      </c>
      <c r="E2202" s="18" t="s">
        <v>132</v>
      </c>
      <c r="F2202" s="18" t="str">
        <f>IF(OR(D2202&gt;Answers!L2217,D2202&lt;Answers!L2218),"Outlier","Normal")</f>
        <v>Outlier</v>
      </c>
      <c r="G2202" s="19" t="str">
        <f t="shared" si="34"/>
        <v>40-50</v>
      </c>
    </row>
    <row r="2203" spans="1:7" ht="20" customHeight="1" x14ac:dyDescent="0.35">
      <c r="A2203" s="17">
        <v>2202</v>
      </c>
      <c r="B2203" s="23" t="s">
        <v>106</v>
      </c>
      <c r="C2203" s="18" t="s">
        <v>125</v>
      </c>
      <c r="D2203" s="18">
        <v>40</v>
      </c>
      <c r="E2203" s="18" t="s">
        <v>132</v>
      </c>
      <c r="F2203" s="18" t="str">
        <f>IF(OR(D2203&gt;Answers!L2218,D2203&lt;Answers!L2219),"Outlier","Normal")</f>
        <v>Outlier</v>
      </c>
      <c r="G2203" s="19" t="str">
        <f t="shared" si="34"/>
        <v>30-40</v>
      </c>
    </row>
    <row r="2204" spans="1:7" ht="20" customHeight="1" x14ac:dyDescent="0.35">
      <c r="A2204" s="17">
        <v>2203</v>
      </c>
      <c r="B2204" s="23" t="s">
        <v>100</v>
      </c>
      <c r="C2204" s="18" t="s">
        <v>125</v>
      </c>
      <c r="D2204" s="18">
        <v>43</v>
      </c>
      <c r="E2204" s="18" t="s">
        <v>132</v>
      </c>
      <c r="F2204" s="18" t="str">
        <f>IF(OR(D2204&gt;Answers!L2219,D2204&lt;Answers!L2220),"Outlier","Normal")</f>
        <v>Outlier</v>
      </c>
      <c r="G2204" s="19" t="str">
        <f t="shared" si="34"/>
        <v>40-50</v>
      </c>
    </row>
    <row r="2205" spans="1:7" ht="20" customHeight="1" x14ac:dyDescent="0.35">
      <c r="A2205" s="17">
        <v>2204</v>
      </c>
      <c r="B2205" s="23" t="s">
        <v>99</v>
      </c>
      <c r="C2205" s="18" t="s">
        <v>126</v>
      </c>
      <c r="D2205" s="18">
        <v>67</v>
      </c>
      <c r="E2205" s="18" t="s">
        <v>132</v>
      </c>
      <c r="F2205" s="18" t="str">
        <f>IF(OR(D2205&gt;Answers!L2220,D2205&lt;Answers!L2221),"Outlier","Normal")</f>
        <v>Outlier</v>
      </c>
      <c r="G2205" s="19" t="str">
        <f t="shared" si="34"/>
        <v>40-50</v>
      </c>
    </row>
    <row r="2206" spans="1:7" ht="20" customHeight="1" x14ac:dyDescent="0.35">
      <c r="A2206" s="17">
        <v>2205</v>
      </c>
      <c r="B2206" s="23" t="s">
        <v>105</v>
      </c>
      <c r="C2206" s="18" t="s">
        <v>126</v>
      </c>
      <c r="D2206" s="18">
        <v>67</v>
      </c>
      <c r="E2206" s="18" t="s">
        <v>132</v>
      </c>
      <c r="F2206" s="18" t="str">
        <f>IF(OR(D2206&gt;Answers!L2221,D2206&lt;Answers!L2222),"Outlier","Normal")</f>
        <v>Outlier</v>
      </c>
      <c r="G2206" s="19" t="str">
        <f t="shared" si="34"/>
        <v>40-50</v>
      </c>
    </row>
    <row r="2207" spans="1:7" ht="20" customHeight="1" x14ac:dyDescent="0.35">
      <c r="A2207" s="17">
        <v>2206</v>
      </c>
      <c r="B2207" s="23" t="s">
        <v>107</v>
      </c>
      <c r="C2207" s="18" t="s">
        <v>126</v>
      </c>
      <c r="D2207" s="18">
        <v>37</v>
      </c>
      <c r="E2207" s="18" t="s">
        <v>132</v>
      </c>
      <c r="F2207" s="18" t="str">
        <f>IF(OR(D2207&gt;Answers!L2222,D2207&lt;Answers!L2223),"Outlier","Normal")</f>
        <v>Outlier</v>
      </c>
      <c r="G2207" s="19" t="str">
        <f t="shared" si="34"/>
        <v>30-40</v>
      </c>
    </row>
    <row r="2208" spans="1:7" ht="20" customHeight="1" x14ac:dyDescent="0.35">
      <c r="A2208" s="17">
        <v>2207</v>
      </c>
      <c r="B2208" s="23" t="s">
        <v>105</v>
      </c>
      <c r="C2208" s="18" t="s">
        <v>126</v>
      </c>
      <c r="D2208" s="18">
        <v>57</v>
      </c>
      <c r="E2208" s="18" t="s">
        <v>132</v>
      </c>
      <c r="F2208" s="18" t="str">
        <f>IF(OR(D2208&gt;Answers!L2223,D2208&lt;Answers!L2224),"Outlier","Normal")</f>
        <v>Outlier</v>
      </c>
      <c r="G2208" s="19" t="str">
        <f t="shared" si="34"/>
        <v>40-50</v>
      </c>
    </row>
    <row r="2209" spans="1:7" ht="20" customHeight="1" x14ac:dyDescent="0.35">
      <c r="A2209" s="17">
        <v>2208</v>
      </c>
      <c r="B2209" s="23" t="s">
        <v>99</v>
      </c>
      <c r="C2209" s="18" t="s">
        <v>126</v>
      </c>
      <c r="D2209" s="18">
        <v>61</v>
      </c>
      <c r="E2209" s="18" t="s">
        <v>132</v>
      </c>
      <c r="F2209" s="18" t="str">
        <f>IF(OR(D2209&gt;Answers!L2224,D2209&lt;Answers!L2225),"Outlier","Normal")</f>
        <v>Outlier</v>
      </c>
      <c r="G2209" s="19" t="str">
        <f t="shared" si="34"/>
        <v>40-50</v>
      </c>
    </row>
    <row r="2210" spans="1:7" ht="20" customHeight="1" x14ac:dyDescent="0.35">
      <c r="A2210" s="17">
        <v>2209</v>
      </c>
      <c r="B2210" s="23" t="s">
        <v>108</v>
      </c>
      <c r="C2210" s="18" t="s">
        <v>126</v>
      </c>
      <c r="D2210" s="18">
        <v>86</v>
      </c>
      <c r="E2210" s="18" t="s">
        <v>132</v>
      </c>
      <c r="F2210" s="18" t="str">
        <f>IF(OR(D2210&gt;Answers!L2225,D2210&lt;Answers!L2226),"Outlier","Normal")</f>
        <v>Outlier</v>
      </c>
      <c r="G2210" s="19" t="str">
        <f t="shared" si="34"/>
        <v>40-50</v>
      </c>
    </row>
    <row r="2211" spans="1:7" ht="20" customHeight="1" x14ac:dyDescent="0.35">
      <c r="A2211" s="17">
        <v>2210</v>
      </c>
      <c r="B2211" s="23" t="s">
        <v>101</v>
      </c>
      <c r="C2211" s="18" t="s">
        <v>125</v>
      </c>
      <c r="D2211" s="18">
        <v>67</v>
      </c>
      <c r="E2211" s="18" t="s">
        <v>132</v>
      </c>
      <c r="F2211" s="18" t="str">
        <f>IF(OR(D2211&gt;Answers!L2226,D2211&lt;Answers!L2227),"Outlier","Normal")</f>
        <v>Outlier</v>
      </c>
      <c r="G2211" s="19" t="str">
        <f t="shared" si="34"/>
        <v>40-50</v>
      </c>
    </row>
    <row r="2212" spans="1:7" ht="20" customHeight="1" x14ac:dyDescent="0.35">
      <c r="A2212" s="17">
        <v>2211</v>
      </c>
      <c r="B2212" s="23" t="s">
        <v>107</v>
      </c>
      <c r="C2212" s="18" t="s">
        <v>125</v>
      </c>
      <c r="D2212" s="18">
        <v>53</v>
      </c>
      <c r="E2212" s="18" t="s">
        <v>132</v>
      </c>
      <c r="F2212" s="18" t="str">
        <f>IF(OR(D2212&gt;Answers!L2227,D2212&lt;Answers!L2228),"Outlier","Normal")</f>
        <v>Outlier</v>
      </c>
      <c r="G2212" s="19" t="str">
        <f t="shared" si="34"/>
        <v>40-50</v>
      </c>
    </row>
    <row r="2213" spans="1:7" ht="20" customHeight="1" x14ac:dyDescent="0.35">
      <c r="A2213" s="17">
        <v>2212</v>
      </c>
      <c r="B2213" s="23" t="s">
        <v>100</v>
      </c>
      <c r="C2213" s="18" t="s">
        <v>125</v>
      </c>
      <c r="D2213" s="18">
        <v>80</v>
      </c>
      <c r="E2213" s="18" t="s">
        <v>132</v>
      </c>
      <c r="F2213" s="18" t="str">
        <f>IF(OR(D2213&gt;Answers!L2228,D2213&lt;Answers!L2229),"Outlier","Normal")</f>
        <v>Outlier</v>
      </c>
      <c r="G2213" s="19" t="str">
        <f t="shared" si="34"/>
        <v>40-50</v>
      </c>
    </row>
    <row r="2214" spans="1:7" ht="20" customHeight="1" x14ac:dyDescent="0.35">
      <c r="A2214" s="17">
        <v>2213</v>
      </c>
      <c r="B2214" s="23" t="s">
        <v>101</v>
      </c>
      <c r="C2214" s="18" t="s">
        <v>126</v>
      </c>
      <c r="D2214" s="18">
        <v>79</v>
      </c>
      <c r="E2214" s="18" t="s">
        <v>132</v>
      </c>
      <c r="F2214" s="18" t="str">
        <f>IF(OR(D2214&gt;Answers!L2229,D2214&lt;Answers!L2230),"Outlier","Normal")</f>
        <v>Outlier</v>
      </c>
      <c r="G2214" s="19" t="str">
        <f t="shared" si="34"/>
        <v>40-50</v>
      </c>
    </row>
    <row r="2215" spans="1:7" ht="20" customHeight="1" x14ac:dyDescent="0.35">
      <c r="A2215" s="17">
        <v>2214</v>
      </c>
      <c r="B2215" s="23" t="s">
        <v>99</v>
      </c>
      <c r="C2215" s="18" t="s">
        <v>125</v>
      </c>
      <c r="D2215" s="18">
        <v>32</v>
      </c>
      <c r="E2215" s="18" t="s">
        <v>132</v>
      </c>
      <c r="F2215" s="18" t="str">
        <f>IF(OR(D2215&gt;Answers!L2230,D2215&lt;Answers!L2231),"Outlier","Normal")</f>
        <v>Outlier</v>
      </c>
      <c r="G2215" s="19" t="str">
        <f t="shared" si="34"/>
        <v>30-40</v>
      </c>
    </row>
    <row r="2216" spans="1:7" ht="20" customHeight="1" x14ac:dyDescent="0.35">
      <c r="A2216" s="17">
        <v>2215</v>
      </c>
      <c r="B2216" s="23" t="s">
        <v>105</v>
      </c>
      <c r="C2216" s="18" t="s">
        <v>125</v>
      </c>
      <c r="D2216" s="18">
        <v>73</v>
      </c>
      <c r="E2216" s="18" t="s">
        <v>132</v>
      </c>
      <c r="F2216" s="18" t="str">
        <f>IF(OR(D2216&gt;Answers!L2231,D2216&lt;Answers!L2232),"Outlier","Normal")</f>
        <v>Outlier</v>
      </c>
      <c r="G2216" s="19" t="str">
        <f t="shared" si="34"/>
        <v>40-50</v>
      </c>
    </row>
    <row r="2217" spans="1:7" ht="20" customHeight="1" x14ac:dyDescent="0.35">
      <c r="A2217" s="17">
        <v>2216</v>
      </c>
      <c r="B2217" s="23" t="s">
        <v>99</v>
      </c>
      <c r="C2217" s="18" t="s">
        <v>126</v>
      </c>
      <c r="D2217" s="18">
        <v>36</v>
      </c>
      <c r="E2217" s="18" t="s">
        <v>132</v>
      </c>
      <c r="F2217" s="18" t="str">
        <f>IF(OR(D2217&gt;Answers!L2232,D2217&lt;Answers!L2233),"Outlier","Normal")</f>
        <v>Outlier</v>
      </c>
      <c r="G2217" s="19" t="str">
        <f t="shared" si="34"/>
        <v>30-40</v>
      </c>
    </row>
    <row r="2218" spans="1:7" ht="20" customHeight="1" x14ac:dyDescent="0.35">
      <c r="A2218" s="17">
        <v>2217</v>
      </c>
      <c r="B2218" s="23" t="s">
        <v>105</v>
      </c>
      <c r="C2218" s="18" t="s">
        <v>126</v>
      </c>
      <c r="D2218" s="18">
        <v>18</v>
      </c>
      <c r="E2218" s="18" t="s">
        <v>132</v>
      </c>
      <c r="F2218" s="18" t="str">
        <f>IF(OR(D2218&gt;Answers!L2233,D2218&lt;Answers!L2234),"Outlier","Normal")</f>
        <v>Outlier</v>
      </c>
      <c r="G2218" s="19" t="str">
        <f t="shared" si="34"/>
        <v>&lt;20</v>
      </c>
    </row>
    <row r="2219" spans="1:7" ht="20" customHeight="1" x14ac:dyDescent="0.35">
      <c r="A2219" s="17">
        <v>2218</v>
      </c>
      <c r="B2219" s="23" t="s">
        <v>99</v>
      </c>
      <c r="C2219" s="18" t="s">
        <v>125</v>
      </c>
      <c r="D2219" s="18">
        <v>37</v>
      </c>
      <c r="E2219" s="18" t="s">
        <v>132</v>
      </c>
      <c r="F2219" s="18" t="str">
        <f>IF(OR(D2219&gt;Answers!L2234,D2219&lt;Answers!L2235),"Outlier","Normal")</f>
        <v>Outlier</v>
      </c>
      <c r="G2219" s="19" t="str">
        <f t="shared" si="34"/>
        <v>30-40</v>
      </c>
    </row>
    <row r="2220" spans="1:7" ht="20" customHeight="1" x14ac:dyDescent="0.35">
      <c r="A2220" s="17">
        <v>2219</v>
      </c>
      <c r="B2220" s="23" t="s">
        <v>104</v>
      </c>
      <c r="C2220" s="18" t="s">
        <v>125</v>
      </c>
      <c r="D2220" s="18">
        <v>19</v>
      </c>
      <c r="E2220" s="18" t="s">
        <v>132</v>
      </c>
      <c r="F2220" s="18" t="str">
        <f>IF(OR(D2220&gt;Answers!L2235,D2220&lt;Answers!L2236),"Outlier","Normal")</f>
        <v>Outlier</v>
      </c>
      <c r="G2220" s="19" t="str">
        <f t="shared" si="34"/>
        <v>&lt;20</v>
      </c>
    </row>
    <row r="2221" spans="1:7" ht="20" customHeight="1" x14ac:dyDescent="0.35">
      <c r="A2221" s="17">
        <v>2220</v>
      </c>
      <c r="B2221" s="23" t="s">
        <v>101</v>
      </c>
      <c r="C2221" s="18" t="s">
        <v>126</v>
      </c>
      <c r="D2221" s="18">
        <f>ROUND(AVERAGE(D2218:D2220),0)</f>
        <v>25</v>
      </c>
      <c r="E2221" s="18" t="s">
        <v>132</v>
      </c>
      <c r="F2221" s="18" t="str">
        <f>IF(OR(D2221&gt;Answers!L2236,D2221&lt;Answers!L2237),"Outlier","Normal")</f>
        <v>Outlier</v>
      </c>
      <c r="G2221" s="19" t="str">
        <f t="shared" si="34"/>
        <v>20-30</v>
      </c>
    </row>
    <row r="2222" spans="1:7" ht="20" customHeight="1" x14ac:dyDescent="0.35">
      <c r="A2222" s="17">
        <v>2221</v>
      </c>
      <c r="B2222" s="23" t="s">
        <v>101</v>
      </c>
      <c r="C2222" s="18" t="s">
        <v>126</v>
      </c>
      <c r="D2222" s="18">
        <v>69</v>
      </c>
      <c r="E2222" s="18" t="s">
        <v>132</v>
      </c>
      <c r="F2222" s="18" t="str">
        <f>IF(OR(D2222&gt;Answers!L2237,D2222&lt;Answers!L2238),"Outlier","Normal")</f>
        <v>Outlier</v>
      </c>
      <c r="G2222" s="19" t="str">
        <f t="shared" si="34"/>
        <v>40-50</v>
      </c>
    </row>
    <row r="2223" spans="1:7" ht="20" customHeight="1" x14ac:dyDescent="0.35">
      <c r="A2223" s="17">
        <v>2222</v>
      </c>
      <c r="B2223" s="23" t="s">
        <v>99</v>
      </c>
      <c r="C2223" s="18" t="s">
        <v>126</v>
      </c>
      <c r="D2223" s="18">
        <v>23</v>
      </c>
      <c r="E2223" s="18" t="s">
        <v>132</v>
      </c>
      <c r="F2223" s="18" t="str">
        <f>IF(OR(D2223&gt;Answers!L2238,D2223&lt;Answers!L2239),"Outlier","Normal")</f>
        <v>Outlier</v>
      </c>
      <c r="G2223" s="19" t="str">
        <f t="shared" si="34"/>
        <v>20-30</v>
      </c>
    </row>
    <row r="2224" spans="1:7" ht="20" customHeight="1" x14ac:dyDescent="0.35">
      <c r="A2224" s="17">
        <v>2223</v>
      </c>
      <c r="B2224" s="23" t="s">
        <v>99</v>
      </c>
      <c r="C2224" s="18" t="s">
        <v>125</v>
      </c>
      <c r="D2224" s="18">
        <v>85</v>
      </c>
      <c r="E2224" s="18" t="s">
        <v>132</v>
      </c>
      <c r="F2224" s="18" t="str">
        <f>IF(OR(D2224&gt;Answers!L2239,D2224&lt;Answers!L2240),"Outlier","Normal")</f>
        <v>Outlier</v>
      </c>
      <c r="G2224" s="19" t="str">
        <f t="shared" si="34"/>
        <v>40-50</v>
      </c>
    </row>
    <row r="2225" spans="1:7" ht="20" customHeight="1" x14ac:dyDescent="0.35">
      <c r="A2225" s="17">
        <v>2224</v>
      </c>
      <c r="B2225" s="23" t="s">
        <v>99</v>
      </c>
      <c r="C2225" s="18" t="s">
        <v>125</v>
      </c>
      <c r="D2225" s="18">
        <v>82</v>
      </c>
      <c r="E2225" s="18" t="s">
        <v>132</v>
      </c>
      <c r="F2225" s="18" t="str">
        <f>IF(OR(D2225&gt;Answers!L2240,D2225&lt;Answers!L2241),"Outlier","Normal")</f>
        <v>Outlier</v>
      </c>
      <c r="G2225" s="19" t="str">
        <f t="shared" si="34"/>
        <v>40-50</v>
      </c>
    </row>
    <row r="2226" spans="1:7" ht="20" customHeight="1" x14ac:dyDescent="0.35">
      <c r="A2226" s="17">
        <v>2225</v>
      </c>
      <c r="B2226" s="23" t="s">
        <v>99</v>
      </c>
      <c r="C2226" s="18" t="s">
        <v>126</v>
      </c>
      <c r="D2226" s="18">
        <v>89</v>
      </c>
      <c r="E2226" s="18" t="s">
        <v>132</v>
      </c>
      <c r="F2226" s="18" t="str">
        <f>IF(OR(D2226&gt;Answers!L2241,D2226&lt;Answers!L2242),"Outlier","Normal")</f>
        <v>Outlier</v>
      </c>
      <c r="G2226" s="19" t="str">
        <f t="shared" si="34"/>
        <v>40-50</v>
      </c>
    </row>
    <row r="2227" spans="1:7" ht="20" customHeight="1" x14ac:dyDescent="0.35">
      <c r="A2227" s="17">
        <v>2226</v>
      </c>
      <c r="B2227" s="23" t="s">
        <v>100</v>
      </c>
      <c r="C2227" s="18" t="s">
        <v>126</v>
      </c>
      <c r="D2227" s="18">
        <v>66</v>
      </c>
      <c r="E2227" s="18" t="s">
        <v>132</v>
      </c>
      <c r="F2227" s="18" t="str">
        <f>IF(OR(D2227&gt;Answers!L2242,D2227&lt;Answers!L2243),"Outlier","Normal")</f>
        <v>Outlier</v>
      </c>
      <c r="G2227" s="19" t="str">
        <f t="shared" si="34"/>
        <v>40-50</v>
      </c>
    </row>
    <row r="2228" spans="1:7" ht="20" customHeight="1" x14ac:dyDescent="0.35">
      <c r="A2228" s="17">
        <v>2227</v>
      </c>
      <c r="B2228" s="23" t="s">
        <v>99</v>
      </c>
      <c r="C2228" s="18" t="s">
        <v>126</v>
      </c>
      <c r="D2228" s="18">
        <v>70</v>
      </c>
      <c r="E2228" s="18" t="s">
        <v>132</v>
      </c>
      <c r="F2228" s="18" t="str">
        <f>IF(OR(D2228&gt;Answers!L2243,D2228&lt;Answers!L2244),"Outlier","Normal")</f>
        <v>Outlier</v>
      </c>
      <c r="G2228" s="19" t="str">
        <f t="shared" si="34"/>
        <v>40-50</v>
      </c>
    </row>
    <row r="2229" spans="1:7" ht="20" customHeight="1" x14ac:dyDescent="0.35">
      <c r="A2229" s="17">
        <v>2228</v>
      </c>
      <c r="B2229" s="23" t="s">
        <v>107</v>
      </c>
      <c r="C2229" s="18" t="s">
        <v>126</v>
      </c>
      <c r="D2229" s="18">
        <v>46</v>
      </c>
      <c r="E2229" s="18" t="s">
        <v>132</v>
      </c>
      <c r="F2229" s="18" t="str">
        <f>IF(OR(D2229&gt;Answers!L2244,D2229&lt;Answers!L2245),"Outlier","Normal")</f>
        <v>Outlier</v>
      </c>
      <c r="G2229" s="19" t="str">
        <f t="shared" si="34"/>
        <v>40-50</v>
      </c>
    </row>
    <row r="2230" spans="1:7" ht="20" customHeight="1" x14ac:dyDescent="0.35">
      <c r="A2230" s="17">
        <v>2229</v>
      </c>
      <c r="B2230" s="23" t="s">
        <v>108</v>
      </c>
      <c r="C2230" s="18" t="s">
        <v>126</v>
      </c>
      <c r="D2230" s="18">
        <v>38</v>
      </c>
      <c r="E2230" s="18" t="s">
        <v>132</v>
      </c>
      <c r="F2230" s="18" t="str">
        <f>IF(OR(D2230&gt;Answers!L2245,D2230&lt;Answers!L2246),"Outlier","Normal")</f>
        <v>Outlier</v>
      </c>
      <c r="G2230" s="19" t="str">
        <f t="shared" si="34"/>
        <v>30-40</v>
      </c>
    </row>
    <row r="2231" spans="1:7" ht="20" customHeight="1" x14ac:dyDescent="0.35">
      <c r="A2231" s="17">
        <v>2230</v>
      </c>
      <c r="B2231" s="23" t="s">
        <v>101</v>
      </c>
      <c r="C2231" s="18" t="s">
        <v>126</v>
      </c>
      <c r="D2231" s="18">
        <v>65</v>
      </c>
      <c r="E2231" s="18" t="s">
        <v>132</v>
      </c>
      <c r="F2231" s="18" t="str">
        <f>IF(OR(D2231&gt;Answers!L2246,D2231&lt;Answers!L2247),"Outlier","Normal")</f>
        <v>Outlier</v>
      </c>
      <c r="G2231" s="19" t="str">
        <f t="shared" si="34"/>
        <v>40-50</v>
      </c>
    </row>
    <row r="2232" spans="1:7" ht="20" customHeight="1" x14ac:dyDescent="0.35">
      <c r="A2232" s="17">
        <v>2231</v>
      </c>
      <c r="B2232" s="23" t="s">
        <v>100</v>
      </c>
      <c r="C2232" s="18" t="s">
        <v>125</v>
      </c>
      <c r="D2232" s="18">
        <v>76</v>
      </c>
      <c r="E2232" s="18" t="s">
        <v>132</v>
      </c>
      <c r="F2232" s="18" t="str">
        <f>IF(OR(D2232&gt;Answers!L2247,D2232&lt;Answers!L2248),"Outlier","Normal")</f>
        <v>Outlier</v>
      </c>
      <c r="G2232" s="19" t="str">
        <f t="shared" si="34"/>
        <v>40-50</v>
      </c>
    </row>
    <row r="2233" spans="1:7" ht="20" customHeight="1" x14ac:dyDescent="0.35">
      <c r="A2233" s="17">
        <v>2232</v>
      </c>
      <c r="B2233" s="23" t="s">
        <v>99</v>
      </c>
      <c r="C2233" s="18" t="s">
        <v>125</v>
      </c>
      <c r="D2233" s="18">
        <v>57</v>
      </c>
      <c r="E2233" s="18" t="s">
        <v>132</v>
      </c>
      <c r="F2233" s="18" t="str">
        <f>IF(OR(D2233&gt;Answers!L2248,D2233&lt;Answers!L2249),"Outlier","Normal")</f>
        <v>Outlier</v>
      </c>
      <c r="G2233" s="19" t="str">
        <f t="shared" si="34"/>
        <v>40-50</v>
      </c>
    </row>
    <row r="2234" spans="1:7" ht="20" customHeight="1" x14ac:dyDescent="0.35">
      <c r="A2234" s="17">
        <v>2233</v>
      </c>
      <c r="B2234" s="23" t="s">
        <v>109</v>
      </c>
      <c r="C2234" s="18" t="s">
        <v>126</v>
      </c>
      <c r="D2234" s="18">
        <v>52</v>
      </c>
      <c r="E2234" s="18" t="s">
        <v>132</v>
      </c>
      <c r="F2234" s="18" t="str">
        <f>IF(OR(D2234&gt;Answers!L2249,D2234&lt;Answers!L2250),"Outlier","Normal")</f>
        <v>Outlier</v>
      </c>
      <c r="G2234" s="19" t="str">
        <f t="shared" si="34"/>
        <v>40-50</v>
      </c>
    </row>
    <row r="2235" spans="1:7" ht="20" customHeight="1" x14ac:dyDescent="0.35">
      <c r="A2235" s="17">
        <v>2234</v>
      </c>
      <c r="B2235" s="23" t="s">
        <v>110</v>
      </c>
      <c r="C2235" s="18" t="s">
        <v>125</v>
      </c>
      <c r="D2235" s="18">
        <v>47</v>
      </c>
      <c r="E2235" s="18" t="s">
        <v>132</v>
      </c>
      <c r="F2235" s="18" t="str">
        <f>IF(OR(D2235&gt;Answers!L2250,D2235&lt;Answers!L2251),"Outlier","Normal")</f>
        <v>Outlier</v>
      </c>
      <c r="G2235" s="19" t="str">
        <f t="shared" si="34"/>
        <v>40-50</v>
      </c>
    </row>
    <row r="2236" spans="1:7" ht="20" customHeight="1" x14ac:dyDescent="0.35">
      <c r="A2236" s="17">
        <v>2235</v>
      </c>
      <c r="B2236" s="23" t="s">
        <v>105</v>
      </c>
      <c r="C2236" s="18" t="s">
        <v>125</v>
      </c>
      <c r="D2236" s="18">
        <v>65</v>
      </c>
      <c r="E2236" s="18" t="s">
        <v>132</v>
      </c>
      <c r="F2236" s="18" t="str">
        <f>IF(OR(D2236&gt;Answers!L2251,D2236&lt;Answers!L2252),"Outlier","Normal")</f>
        <v>Outlier</v>
      </c>
      <c r="G2236" s="19" t="str">
        <f t="shared" si="34"/>
        <v>40-50</v>
      </c>
    </row>
    <row r="2237" spans="1:7" ht="20" customHeight="1" x14ac:dyDescent="0.35">
      <c r="A2237" s="17">
        <v>2236</v>
      </c>
      <c r="B2237" s="23" t="s">
        <v>99</v>
      </c>
      <c r="C2237" s="18" t="s">
        <v>126</v>
      </c>
      <c r="D2237" s="18">
        <v>80</v>
      </c>
      <c r="E2237" s="18" t="s">
        <v>132</v>
      </c>
      <c r="F2237" s="18" t="str">
        <f>IF(OR(D2237&gt;Answers!L2252,D2237&lt;Answers!L2253),"Outlier","Normal")</f>
        <v>Outlier</v>
      </c>
      <c r="G2237" s="19" t="str">
        <f t="shared" si="34"/>
        <v>40-50</v>
      </c>
    </row>
    <row r="2238" spans="1:7" ht="20" customHeight="1" x14ac:dyDescent="0.35">
      <c r="A2238" s="17">
        <v>2237</v>
      </c>
      <c r="B2238" s="23" t="s">
        <v>105</v>
      </c>
      <c r="C2238" s="18" t="s">
        <v>126</v>
      </c>
      <c r="D2238" s="18">
        <v>65</v>
      </c>
      <c r="E2238" s="18" t="s">
        <v>132</v>
      </c>
      <c r="F2238" s="18" t="str">
        <f>IF(OR(D2238&gt;Answers!L2253,D2238&lt;Answers!L2254),"Outlier","Normal")</f>
        <v>Outlier</v>
      </c>
      <c r="G2238" s="19" t="str">
        <f t="shared" si="34"/>
        <v>40-50</v>
      </c>
    </row>
    <row r="2239" spans="1:7" ht="20" customHeight="1" x14ac:dyDescent="0.35">
      <c r="A2239" s="17">
        <v>2238</v>
      </c>
      <c r="B2239" s="23" t="s">
        <v>106</v>
      </c>
      <c r="C2239" s="18" t="s">
        <v>125</v>
      </c>
      <c r="D2239" s="18">
        <v>43</v>
      </c>
      <c r="E2239" s="18" t="s">
        <v>132</v>
      </c>
      <c r="F2239" s="18" t="str">
        <f>IF(OR(D2239&gt;Answers!L2254,D2239&lt;Answers!L2255),"Outlier","Normal")</f>
        <v>Outlier</v>
      </c>
      <c r="G2239" s="19" t="str">
        <f t="shared" si="34"/>
        <v>40-50</v>
      </c>
    </row>
    <row r="2240" spans="1:7" ht="20" customHeight="1" x14ac:dyDescent="0.35">
      <c r="A2240" s="17">
        <v>2239</v>
      </c>
      <c r="B2240" s="23" t="s">
        <v>99</v>
      </c>
      <c r="C2240" s="18" t="s">
        <v>126</v>
      </c>
      <c r="D2240" s="18">
        <v>36</v>
      </c>
      <c r="E2240" s="18" t="s">
        <v>132</v>
      </c>
      <c r="F2240" s="18" t="str">
        <f>IF(OR(D2240&gt;Answers!L2255,D2240&lt;Answers!L2256),"Outlier","Normal")</f>
        <v>Outlier</v>
      </c>
      <c r="G2240" s="19" t="str">
        <f t="shared" si="34"/>
        <v>30-40</v>
      </c>
    </row>
    <row r="2241" spans="1:7" ht="20" customHeight="1" x14ac:dyDescent="0.35">
      <c r="A2241" s="17">
        <v>2240</v>
      </c>
      <c r="B2241" s="23" t="s">
        <v>100</v>
      </c>
      <c r="C2241" s="18" t="s">
        <v>126</v>
      </c>
      <c r="D2241" s="18">
        <v>83</v>
      </c>
      <c r="E2241" s="18" t="s">
        <v>132</v>
      </c>
      <c r="F2241" s="18" t="str">
        <f>IF(OR(D2241&gt;Answers!L2256,D2241&lt;Answers!L2257),"Outlier","Normal")</f>
        <v>Outlier</v>
      </c>
      <c r="G2241" s="19" t="str">
        <f t="shared" si="34"/>
        <v>40-50</v>
      </c>
    </row>
    <row r="2242" spans="1:7" ht="20" customHeight="1" x14ac:dyDescent="0.35">
      <c r="A2242" s="17">
        <v>2241</v>
      </c>
      <c r="B2242" s="23" t="s">
        <v>105</v>
      </c>
      <c r="C2242" s="18" t="s">
        <v>125</v>
      </c>
      <c r="D2242" s="18">
        <v>67</v>
      </c>
      <c r="E2242" s="18" t="s">
        <v>132</v>
      </c>
      <c r="F2242" s="18" t="str">
        <f>IF(OR(D2242&gt;Answers!L2257,D2242&lt;Answers!L2258),"Outlier","Normal")</f>
        <v>Outlier</v>
      </c>
      <c r="G2242" s="19" t="str">
        <f t="shared" si="34"/>
        <v>40-50</v>
      </c>
    </row>
    <row r="2243" spans="1:7" ht="20" customHeight="1" x14ac:dyDescent="0.35">
      <c r="A2243" s="17">
        <v>2242</v>
      </c>
      <c r="B2243" s="23" t="s">
        <v>100</v>
      </c>
      <c r="C2243" s="18" t="s">
        <v>126</v>
      </c>
      <c r="D2243" s="18">
        <v>77</v>
      </c>
      <c r="E2243" s="18" t="s">
        <v>132</v>
      </c>
      <c r="F2243" s="18" t="str">
        <f>IF(OR(D2243&gt;Answers!L2258,D2243&lt;Answers!L2259),"Outlier","Normal")</f>
        <v>Outlier</v>
      </c>
      <c r="G2243" s="19" t="str">
        <f t="shared" ref="G2243:G2306" si="35">IF(D2243&lt;20,"&lt;20",
IF(D2243&lt;=30,"20-30",
IF(D2243&lt;=40,"30-40","40-50")))</f>
        <v>40-50</v>
      </c>
    </row>
    <row r="2244" spans="1:7" ht="20" customHeight="1" x14ac:dyDescent="0.35">
      <c r="A2244" s="17">
        <v>2243</v>
      </c>
      <c r="B2244" s="23" t="s">
        <v>105</v>
      </c>
      <c r="C2244" s="18" t="s">
        <v>125</v>
      </c>
      <c r="D2244" s="18">
        <v>79</v>
      </c>
      <c r="E2244" s="18" t="s">
        <v>132</v>
      </c>
      <c r="F2244" s="18" t="str">
        <f>IF(OR(D2244&gt;Answers!L2259,D2244&lt;Answers!L2260),"Outlier","Normal")</f>
        <v>Outlier</v>
      </c>
      <c r="G2244" s="19" t="str">
        <f t="shared" si="35"/>
        <v>40-50</v>
      </c>
    </row>
    <row r="2245" spans="1:7" ht="20" customHeight="1" x14ac:dyDescent="0.35">
      <c r="A2245" s="17">
        <v>2244</v>
      </c>
      <c r="B2245" s="23" t="s">
        <v>99</v>
      </c>
      <c r="C2245" s="18" t="s">
        <v>126</v>
      </c>
      <c r="D2245" s="18">
        <v>51</v>
      </c>
      <c r="E2245" s="18" t="s">
        <v>132</v>
      </c>
      <c r="F2245" s="18" t="str">
        <f>IF(OR(D2245&gt;Answers!L2260,D2245&lt;Answers!L2261),"Outlier","Normal")</f>
        <v>Outlier</v>
      </c>
      <c r="G2245" s="19" t="str">
        <f t="shared" si="35"/>
        <v>40-50</v>
      </c>
    </row>
    <row r="2246" spans="1:7" ht="20" customHeight="1" x14ac:dyDescent="0.35">
      <c r="A2246" s="17">
        <v>2245</v>
      </c>
      <c r="B2246" s="23" t="s">
        <v>105</v>
      </c>
      <c r="C2246" s="18" t="s">
        <v>125</v>
      </c>
      <c r="D2246" s="18">
        <v>61</v>
      </c>
      <c r="E2246" s="18" t="s">
        <v>132</v>
      </c>
      <c r="F2246" s="18" t="str">
        <f>IF(OR(D2246&gt;Answers!L2261,D2246&lt;Answers!L2262),"Outlier","Normal")</f>
        <v>Outlier</v>
      </c>
      <c r="G2246" s="19" t="str">
        <f t="shared" si="35"/>
        <v>40-50</v>
      </c>
    </row>
    <row r="2247" spans="1:7" ht="20" customHeight="1" x14ac:dyDescent="0.35">
      <c r="A2247" s="17">
        <v>2246</v>
      </c>
      <c r="B2247" s="23" t="s">
        <v>101</v>
      </c>
      <c r="C2247" s="18" t="s">
        <v>125</v>
      </c>
      <c r="D2247" s="18">
        <v>76</v>
      </c>
      <c r="E2247" s="18" t="s">
        <v>132</v>
      </c>
      <c r="F2247" s="18" t="str">
        <f>IF(OR(D2247&gt;Answers!L2262,D2247&lt;Answers!L2263),"Outlier","Normal")</f>
        <v>Outlier</v>
      </c>
      <c r="G2247" s="19" t="str">
        <f t="shared" si="35"/>
        <v>40-50</v>
      </c>
    </row>
    <row r="2248" spans="1:7" ht="20" customHeight="1" x14ac:dyDescent="0.35">
      <c r="A2248" s="17">
        <v>2247</v>
      </c>
      <c r="B2248" s="23" t="s">
        <v>108</v>
      </c>
      <c r="C2248" s="18" t="s">
        <v>126</v>
      </c>
      <c r="D2248" s="18">
        <v>71</v>
      </c>
      <c r="E2248" s="18" t="s">
        <v>132</v>
      </c>
      <c r="F2248" s="18" t="str">
        <f>IF(OR(D2248&gt;Answers!L2263,D2248&lt;Answers!L2264),"Outlier","Normal")</f>
        <v>Outlier</v>
      </c>
      <c r="G2248" s="19" t="str">
        <f t="shared" si="35"/>
        <v>40-50</v>
      </c>
    </row>
    <row r="2249" spans="1:7" ht="20" customHeight="1" x14ac:dyDescent="0.35">
      <c r="A2249" s="17">
        <v>2248</v>
      </c>
      <c r="B2249" s="23" t="s">
        <v>99</v>
      </c>
      <c r="C2249" s="18" t="s">
        <v>126</v>
      </c>
      <c r="D2249" s="18">
        <v>68</v>
      </c>
      <c r="E2249" s="18" t="s">
        <v>132</v>
      </c>
      <c r="F2249" s="18" t="str">
        <f>IF(OR(D2249&gt;Answers!L2264,D2249&lt;Answers!L2265),"Outlier","Normal")</f>
        <v>Outlier</v>
      </c>
      <c r="G2249" s="19" t="str">
        <f t="shared" si="35"/>
        <v>40-50</v>
      </c>
    </row>
    <row r="2250" spans="1:7" ht="20" customHeight="1" x14ac:dyDescent="0.35">
      <c r="A2250" s="17">
        <v>2249</v>
      </c>
      <c r="B2250" s="23" t="s">
        <v>109</v>
      </c>
      <c r="C2250" s="18" t="s">
        <v>125</v>
      </c>
      <c r="D2250" s="18">
        <v>35</v>
      </c>
      <c r="E2250" s="18" t="s">
        <v>132</v>
      </c>
      <c r="F2250" s="18" t="str">
        <f>IF(OR(D2250&gt;Answers!L2265,D2250&lt;Answers!L2266),"Outlier","Normal")</f>
        <v>Outlier</v>
      </c>
      <c r="G2250" s="19" t="str">
        <f t="shared" si="35"/>
        <v>30-40</v>
      </c>
    </row>
    <row r="2251" spans="1:7" ht="20" customHeight="1" x14ac:dyDescent="0.35">
      <c r="A2251" s="17">
        <v>2250</v>
      </c>
      <c r="B2251" s="23" t="s">
        <v>99</v>
      </c>
      <c r="C2251" s="18" t="s">
        <v>125</v>
      </c>
      <c r="D2251" s="18">
        <v>79</v>
      </c>
      <c r="E2251" s="18" t="s">
        <v>132</v>
      </c>
      <c r="F2251" s="18" t="str">
        <f>IF(OR(D2251&gt;Answers!L2266,D2251&lt;Answers!L2267),"Outlier","Normal")</f>
        <v>Outlier</v>
      </c>
      <c r="G2251" s="19" t="str">
        <f t="shared" si="35"/>
        <v>40-50</v>
      </c>
    </row>
    <row r="2252" spans="1:7" ht="20" customHeight="1" x14ac:dyDescent="0.35">
      <c r="A2252" s="17">
        <v>2251</v>
      </c>
      <c r="B2252" s="23" t="s">
        <v>100</v>
      </c>
      <c r="C2252" s="18" t="s">
        <v>125</v>
      </c>
      <c r="D2252" s="18">
        <v>75</v>
      </c>
      <c r="E2252" s="18" t="s">
        <v>132</v>
      </c>
      <c r="F2252" s="18" t="str">
        <f>IF(OR(D2252&gt;Answers!L2267,D2252&lt;Answers!L2268),"Outlier","Normal")</f>
        <v>Outlier</v>
      </c>
      <c r="G2252" s="19" t="str">
        <f t="shared" si="35"/>
        <v>40-50</v>
      </c>
    </row>
    <row r="2253" spans="1:7" ht="20" customHeight="1" x14ac:dyDescent="0.35">
      <c r="A2253" s="17">
        <v>2252</v>
      </c>
      <c r="B2253" s="23" t="s">
        <v>104</v>
      </c>
      <c r="C2253" s="18" t="s">
        <v>125</v>
      </c>
      <c r="D2253" s="18">
        <v>21</v>
      </c>
      <c r="E2253" s="18" t="s">
        <v>132</v>
      </c>
      <c r="F2253" s="18" t="str">
        <f>IF(OR(D2253&gt;Answers!L2268,D2253&lt;Answers!L2269),"Outlier","Normal")</f>
        <v>Outlier</v>
      </c>
      <c r="G2253" s="19" t="str">
        <f t="shared" si="35"/>
        <v>20-30</v>
      </c>
    </row>
    <row r="2254" spans="1:7" ht="20" customHeight="1" x14ac:dyDescent="0.35">
      <c r="A2254" s="17">
        <v>2253</v>
      </c>
      <c r="B2254" s="23" t="s">
        <v>99</v>
      </c>
      <c r="C2254" s="18" t="s">
        <v>125</v>
      </c>
      <c r="D2254" s="18">
        <v>26</v>
      </c>
      <c r="E2254" s="18" t="s">
        <v>132</v>
      </c>
      <c r="F2254" s="18" t="str">
        <f>IF(OR(D2254&gt;Answers!L2269,D2254&lt;Answers!L2270),"Outlier","Normal")</f>
        <v>Outlier</v>
      </c>
      <c r="G2254" s="19" t="str">
        <f t="shared" si="35"/>
        <v>20-30</v>
      </c>
    </row>
    <row r="2255" spans="1:7" ht="20" customHeight="1" x14ac:dyDescent="0.35">
      <c r="A2255" s="17">
        <v>2254</v>
      </c>
      <c r="B2255" s="23" t="s">
        <v>99</v>
      </c>
      <c r="C2255" s="18" t="s">
        <v>126</v>
      </c>
      <c r="D2255" s="18">
        <v>38</v>
      </c>
      <c r="E2255" s="18" t="s">
        <v>132</v>
      </c>
      <c r="F2255" s="18" t="str">
        <f>IF(OR(D2255&gt;Answers!L2270,D2255&lt;Answers!L2271),"Outlier","Normal")</f>
        <v>Outlier</v>
      </c>
      <c r="G2255" s="19" t="str">
        <f t="shared" si="35"/>
        <v>30-40</v>
      </c>
    </row>
    <row r="2256" spans="1:7" ht="20" customHeight="1" x14ac:dyDescent="0.35">
      <c r="A2256" s="17">
        <v>2255</v>
      </c>
      <c r="B2256" s="23" t="s">
        <v>107</v>
      </c>
      <c r="C2256" s="18" t="s">
        <v>126</v>
      </c>
      <c r="D2256" s="18">
        <v>45</v>
      </c>
      <c r="E2256" s="18" t="s">
        <v>132</v>
      </c>
      <c r="F2256" s="18" t="str">
        <f>IF(OR(D2256&gt;Answers!L2271,D2256&lt;Answers!L2272),"Outlier","Normal")</f>
        <v>Outlier</v>
      </c>
      <c r="G2256" s="19" t="str">
        <f t="shared" si="35"/>
        <v>40-50</v>
      </c>
    </row>
    <row r="2257" spans="1:7" ht="20" customHeight="1" x14ac:dyDescent="0.35">
      <c r="A2257" s="17">
        <v>2256</v>
      </c>
      <c r="B2257" s="23" t="s">
        <v>99</v>
      </c>
      <c r="C2257" s="18" t="s">
        <v>125</v>
      </c>
      <c r="D2257" s="18">
        <v>43</v>
      </c>
      <c r="E2257" s="18" t="s">
        <v>132</v>
      </c>
      <c r="F2257" s="18" t="str">
        <f>IF(OR(D2257&gt;Answers!L2272,D2257&lt;Answers!L2273),"Outlier","Normal")</f>
        <v>Outlier</v>
      </c>
      <c r="G2257" s="19" t="str">
        <f t="shared" si="35"/>
        <v>40-50</v>
      </c>
    </row>
    <row r="2258" spans="1:7" ht="20" customHeight="1" x14ac:dyDescent="0.35">
      <c r="A2258" s="17">
        <v>2257</v>
      </c>
      <c r="B2258" s="23" t="s">
        <v>99</v>
      </c>
      <c r="C2258" s="18" t="s">
        <v>126</v>
      </c>
      <c r="D2258" s="18">
        <v>59</v>
      </c>
      <c r="E2258" s="18" t="s">
        <v>132</v>
      </c>
      <c r="F2258" s="18" t="str">
        <f>IF(OR(D2258&gt;Answers!L2273,D2258&lt;Answers!L2274),"Outlier","Normal")</f>
        <v>Outlier</v>
      </c>
      <c r="G2258" s="19" t="str">
        <f t="shared" si="35"/>
        <v>40-50</v>
      </c>
    </row>
    <row r="2259" spans="1:7" ht="20" customHeight="1" x14ac:dyDescent="0.35">
      <c r="A2259" s="17">
        <v>2258</v>
      </c>
      <c r="B2259" s="23" t="s">
        <v>106</v>
      </c>
      <c r="C2259" s="18" t="s">
        <v>125</v>
      </c>
      <c r="D2259" s="18">
        <v>77</v>
      </c>
      <c r="E2259" s="18" t="s">
        <v>132</v>
      </c>
      <c r="F2259" s="18" t="str">
        <f>IF(OR(D2259&gt;Answers!L2274,D2259&lt;Answers!L2275),"Outlier","Normal")</f>
        <v>Outlier</v>
      </c>
      <c r="G2259" s="19" t="str">
        <f t="shared" si="35"/>
        <v>40-50</v>
      </c>
    </row>
    <row r="2260" spans="1:7" ht="20" customHeight="1" x14ac:dyDescent="0.35">
      <c r="A2260" s="17">
        <v>2259</v>
      </c>
      <c r="B2260" s="23" t="s">
        <v>101</v>
      </c>
      <c r="C2260" s="18" t="s">
        <v>126</v>
      </c>
      <c r="D2260" s="18">
        <v>41</v>
      </c>
      <c r="E2260" s="18" t="s">
        <v>132</v>
      </c>
      <c r="F2260" s="18" t="str">
        <f>IF(OR(D2260&gt;Answers!L2275,D2260&lt;Answers!L2276),"Outlier","Normal")</f>
        <v>Outlier</v>
      </c>
      <c r="G2260" s="19" t="str">
        <f t="shared" si="35"/>
        <v>40-50</v>
      </c>
    </row>
    <row r="2261" spans="1:7" ht="20" customHeight="1" x14ac:dyDescent="0.35">
      <c r="A2261" s="17">
        <v>2260</v>
      </c>
      <c r="B2261" s="23" t="s">
        <v>99</v>
      </c>
      <c r="C2261" s="18" t="s">
        <v>125</v>
      </c>
      <c r="D2261" s="18">
        <v>60</v>
      </c>
      <c r="E2261" s="18" t="s">
        <v>132</v>
      </c>
      <c r="F2261" s="18" t="str">
        <f>IF(OR(D2261&gt;Answers!L2276,D2261&lt;Answers!L2277),"Outlier","Normal")</f>
        <v>Outlier</v>
      </c>
      <c r="G2261" s="19" t="str">
        <f t="shared" si="35"/>
        <v>40-50</v>
      </c>
    </row>
    <row r="2262" spans="1:7" ht="20" customHeight="1" x14ac:dyDescent="0.35">
      <c r="A2262" s="17">
        <v>2261</v>
      </c>
      <c r="B2262" s="23" t="s">
        <v>99</v>
      </c>
      <c r="C2262" s="18" t="s">
        <v>125</v>
      </c>
      <c r="D2262" s="18">
        <v>90</v>
      </c>
      <c r="E2262" s="18" t="s">
        <v>132</v>
      </c>
      <c r="F2262" s="18" t="str">
        <f>IF(OR(D2262&gt;Answers!L2277,D2262&lt;Answers!L2278),"Outlier","Normal")</f>
        <v>Outlier</v>
      </c>
      <c r="G2262" s="19" t="str">
        <f t="shared" si="35"/>
        <v>40-50</v>
      </c>
    </row>
    <row r="2263" spans="1:7" ht="20" customHeight="1" x14ac:dyDescent="0.35">
      <c r="A2263" s="17">
        <v>2262</v>
      </c>
      <c r="B2263" s="23" t="s">
        <v>99</v>
      </c>
      <c r="C2263" s="18" t="s">
        <v>126</v>
      </c>
      <c r="D2263" s="18">
        <v>27</v>
      </c>
      <c r="E2263" s="18" t="s">
        <v>132</v>
      </c>
      <c r="F2263" s="18" t="str">
        <f>IF(OR(D2263&gt;Answers!L2278,D2263&lt;Answers!L2279),"Outlier","Normal")</f>
        <v>Outlier</v>
      </c>
      <c r="G2263" s="19" t="str">
        <f t="shared" si="35"/>
        <v>20-30</v>
      </c>
    </row>
    <row r="2264" spans="1:7" ht="20" customHeight="1" x14ac:dyDescent="0.35">
      <c r="A2264" s="17">
        <v>2263</v>
      </c>
      <c r="B2264" s="23" t="s">
        <v>105</v>
      </c>
      <c r="C2264" s="18" t="s">
        <v>126</v>
      </c>
      <c r="D2264" s="18">
        <v>48</v>
      </c>
      <c r="E2264" s="18" t="s">
        <v>132</v>
      </c>
      <c r="F2264" s="18" t="str">
        <f>IF(OR(D2264&gt;Answers!L2279,D2264&lt;Answers!L2280),"Outlier","Normal")</f>
        <v>Outlier</v>
      </c>
      <c r="G2264" s="19" t="str">
        <f t="shared" si="35"/>
        <v>40-50</v>
      </c>
    </row>
    <row r="2265" spans="1:7" ht="20" customHeight="1" x14ac:dyDescent="0.35">
      <c r="A2265" s="17">
        <v>2264</v>
      </c>
      <c r="B2265" s="23" t="s">
        <v>99</v>
      </c>
      <c r="C2265" s="18" t="s">
        <v>126</v>
      </c>
      <c r="D2265" s="18">
        <v>31</v>
      </c>
      <c r="E2265" s="18" t="s">
        <v>132</v>
      </c>
      <c r="F2265" s="18" t="str">
        <f>IF(OR(D2265&gt;Answers!L2280,D2265&lt;Answers!L2281),"Outlier","Normal")</f>
        <v>Outlier</v>
      </c>
      <c r="G2265" s="19" t="str">
        <f t="shared" si="35"/>
        <v>30-40</v>
      </c>
    </row>
    <row r="2266" spans="1:7" ht="20" customHeight="1" x14ac:dyDescent="0.35">
      <c r="A2266" s="17">
        <v>2265</v>
      </c>
      <c r="B2266" s="23" t="s">
        <v>100</v>
      </c>
      <c r="C2266" s="18" t="s">
        <v>126</v>
      </c>
      <c r="D2266" s="18">
        <v>65</v>
      </c>
      <c r="E2266" s="18" t="s">
        <v>132</v>
      </c>
      <c r="F2266" s="18" t="str">
        <f>IF(OR(D2266&gt;Answers!L2281,D2266&lt;Answers!L2282),"Outlier","Normal")</f>
        <v>Outlier</v>
      </c>
      <c r="G2266" s="19" t="str">
        <f t="shared" si="35"/>
        <v>40-50</v>
      </c>
    </row>
    <row r="2267" spans="1:7" ht="20" customHeight="1" x14ac:dyDescent="0.35">
      <c r="A2267" s="17">
        <v>2266</v>
      </c>
      <c r="B2267" s="23" t="s">
        <v>100</v>
      </c>
      <c r="C2267" s="18" t="s">
        <v>125</v>
      </c>
      <c r="D2267" s="18">
        <v>90</v>
      </c>
      <c r="E2267" s="18" t="s">
        <v>132</v>
      </c>
      <c r="F2267" s="18" t="str">
        <f>IF(OR(D2267&gt;Answers!L2282,D2267&lt;Answers!L2283),"Outlier","Normal")</f>
        <v>Outlier</v>
      </c>
      <c r="G2267" s="19" t="str">
        <f t="shared" si="35"/>
        <v>40-50</v>
      </c>
    </row>
    <row r="2268" spans="1:7" ht="20" customHeight="1" x14ac:dyDescent="0.35">
      <c r="A2268" s="17">
        <v>2267</v>
      </c>
      <c r="B2268" s="23" t="s">
        <v>101</v>
      </c>
      <c r="C2268" s="18" t="s">
        <v>125</v>
      </c>
      <c r="D2268" s="18">
        <v>20</v>
      </c>
      <c r="E2268" s="18" t="s">
        <v>132</v>
      </c>
      <c r="F2268" s="18" t="str">
        <f>IF(OR(D2268&gt;Answers!L2283,D2268&lt;Answers!L2284),"Outlier","Normal")</f>
        <v>Outlier</v>
      </c>
      <c r="G2268" s="19" t="str">
        <f t="shared" si="35"/>
        <v>20-30</v>
      </c>
    </row>
    <row r="2269" spans="1:7" ht="20" customHeight="1" x14ac:dyDescent="0.35">
      <c r="A2269" s="17">
        <v>2268</v>
      </c>
      <c r="B2269" s="23" t="s">
        <v>104</v>
      </c>
      <c r="C2269" s="18" t="s">
        <v>125</v>
      </c>
      <c r="D2269" s="18">
        <v>60</v>
      </c>
      <c r="E2269" s="18" t="s">
        <v>132</v>
      </c>
      <c r="F2269" s="18" t="str">
        <f>IF(OR(D2269&gt;Answers!L2284,D2269&lt;Answers!L2285),"Outlier","Normal")</f>
        <v>Outlier</v>
      </c>
      <c r="G2269" s="19" t="str">
        <f t="shared" si="35"/>
        <v>40-50</v>
      </c>
    </row>
    <row r="2270" spans="1:7" ht="20" customHeight="1" x14ac:dyDescent="0.35">
      <c r="A2270" s="17">
        <v>2269</v>
      </c>
      <c r="B2270" s="23" t="s">
        <v>99</v>
      </c>
      <c r="C2270" s="18" t="s">
        <v>126</v>
      </c>
      <c r="D2270" s="18">
        <v>48</v>
      </c>
      <c r="E2270" s="18" t="s">
        <v>132</v>
      </c>
      <c r="F2270" s="18" t="str">
        <f>IF(OR(D2270&gt;Answers!L2285,D2270&lt;Answers!L2286),"Outlier","Normal")</f>
        <v>Outlier</v>
      </c>
      <c r="G2270" s="19" t="str">
        <f t="shared" si="35"/>
        <v>40-50</v>
      </c>
    </row>
    <row r="2271" spans="1:7" ht="20" customHeight="1" x14ac:dyDescent="0.35">
      <c r="A2271" s="17">
        <v>2270</v>
      </c>
      <c r="B2271" s="23" t="s">
        <v>100</v>
      </c>
      <c r="C2271" s="18" t="s">
        <v>125</v>
      </c>
      <c r="D2271" s="18">
        <v>64</v>
      </c>
      <c r="E2271" s="18" t="s">
        <v>132</v>
      </c>
      <c r="F2271" s="18" t="str">
        <f>IF(OR(D2271&gt;Answers!L2286,D2271&lt;Answers!L2287),"Outlier","Normal")</f>
        <v>Outlier</v>
      </c>
      <c r="G2271" s="19" t="str">
        <f t="shared" si="35"/>
        <v>40-50</v>
      </c>
    </row>
    <row r="2272" spans="1:7" ht="20" customHeight="1" x14ac:dyDescent="0.35">
      <c r="A2272" s="17">
        <v>2271</v>
      </c>
      <c r="B2272" s="23" t="s">
        <v>99</v>
      </c>
      <c r="C2272" s="18" t="s">
        <v>126</v>
      </c>
      <c r="D2272" s="18">
        <v>57</v>
      </c>
      <c r="E2272" s="18" t="s">
        <v>132</v>
      </c>
      <c r="F2272" s="18" t="str">
        <f>IF(OR(D2272&gt;Answers!L2287,D2272&lt;Answers!L2288),"Outlier","Normal")</f>
        <v>Outlier</v>
      </c>
      <c r="G2272" s="19" t="str">
        <f t="shared" si="35"/>
        <v>40-50</v>
      </c>
    </row>
    <row r="2273" spans="1:7" ht="20" customHeight="1" x14ac:dyDescent="0.35">
      <c r="A2273" s="17">
        <v>2272</v>
      </c>
      <c r="B2273" s="23" t="s">
        <v>105</v>
      </c>
      <c r="C2273" s="18" t="s">
        <v>126</v>
      </c>
      <c r="D2273" s="18">
        <v>40</v>
      </c>
      <c r="E2273" s="18" t="s">
        <v>132</v>
      </c>
      <c r="F2273" s="18" t="str">
        <f>IF(OR(D2273&gt;Answers!L2288,D2273&lt;Answers!L2289),"Outlier","Normal")</f>
        <v>Outlier</v>
      </c>
      <c r="G2273" s="19" t="str">
        <f t="shared" si="35"/>
        <v>30-40</v>
      </c>
    </row>
    <row r="2274" spans="1:7" ht="20" customHeight="1" x14ac:dyDescent="0.35">
      <c r="A2274" s="17">
        <v>2273</v>
      </c>
      <c r="B2274" s="23" t="s">
        <v>110</v>
      </c>
      <c r="C2274" s="18" t="s">
        <v>125</v>
      </c>
      <c r="D2274" s="18">
        <v>52</v>
      </c>
      <c r="E2274" s="18" t="s">
        <v>132</v>
      </c>
      <c r="F2274" s="18" t="str">
        <f>IF(OR(D2274&gt;Answers!L2289,D2274&lt;Answers!L2290),"Outlier","Normal")</f>
        <v>Outlier</v>
      </c>
      <c r="G2274" s="19" t="str">
        <f t="shared" si="35"/>
        <v>40-50</v>
      </c>
    </row>
    <row r="2275" spans="1:7" ht="20" customHeight="1" x14ac:dyDescent="0.35">
      <c r="A2275" s="17">
        <v>2274</v>
      </c>
      <c r="B2275" s="23" t="s">
        <v>99</v>
      </c>
      <c r="C2275" s="18" t="s">
        <v>125</v>
      </c>
      <c r="D2275" s="18">
        <v>64</v>
      </c>
      <c r="E2275" s="18" t="s">
        <v>132</v>
      </c>
      <c r="F2275" s="18" t="str">
        <f>IF(OR(D2275&gt;Answers!L2290,D2275&lt;Answers!L2291),"Outlier","Normal")</f>
        <v>Outlier</v>
      </c>
      <c r="G2275" s="19" t="str">
        <f t="shared" si="35"/>
        <v>40-50</v>
      </c>
    </row>
    <row r="2276" spans="1:7" ht="20" customHeight="1" x14ac:dyDescent="0.35">
      <c r="A2276" s="17">
        <v>2275</v>
      </c>
      <c r="B2276" s="23" t="s">
        <v>99</v>
      </c>
      <c r="C2276" s="18" t="s">
        <v>126</v>
      </c>
      <c r="D2276" s="18">
        <v>74</v>
      </c>
      <c r="E2276" s="18" t="s">
        <v>132</v>
      </c>
      <c r="F2276" s="18" t="str">
        <f>IF(OR(D2276&gt;Answers!L2291,D2276&lt;Answers!L2292),"Outlier","Normal")</f>
        <v>Outlier</v>
      </c>
      <c r="G2276" s="19" t="str">
        <f t="shared" si="35"/>
        <v>40-50</v>
      </c>
    </row>
    <row r="2277" spans="1:7" ht="20" customHeight="1" x14ac:dyDescent="0.35">
      <c r="A2277" s="17">
        <v>2276</v>
      </c>
      <c r="B2277" s="23" t="s">
        <v>105</v>
      </c>
      <c r="C2277" s="18" t="s">
        <v>126</v>
      </c>
      <c r="D2277" s="18">
        <v>18</v>
      </c>
      <c r="E2277" s="18" t="s">
        <v>132</v>
      </c>
      <c r="F2277" s="18" t="str">
        <f>IF(OR(D2277&gt;Answers!L2292,D2277&lt;Answers!L2293),"Outlier","Normal")</f>
        <v>Outlier</v>
      </c>
      <c r="G2277" s="19" t="str">
        <f t="shared" si="35"/>
        <v>&lt;20</v>
      </c>
    </row>
    <row r="2278" spans="1:7" ht="20" customHeight="1" x14ac:dyDescent="0.35">
      <c r="A2278" s="17">
        <v>2277</v>
      </c>
      <c r="B2278" s="23" t="s">
        <v>105</v>
      </c>
      <c r="C2278" s="18" t="s">
        <v>125</v>
      </c>
      <c r="D2278" s="18">
        <v>65</v>
      </c>
      <c r="E2278" s="18" t="s">
        <v>132</v>
      </c>
      <c r="F2278" s="18" t="str">
        <f>IF(OR(D2278&gt;Answers!L2293,D2278&lt;Answers!L2294),"Outlier","Normal")</f>
        <v>Outlier</v>
      </c>
      <c r="G2278" s="19" t="str">
        <f t="shared" si="35"/>
        <v>40-50</v>
      </c>
    </row>
    <row r="2279" spans="1:7" ht="20" customHeight="1" x14ac:dyDescent="0.35">
      <c r="A2279" s="17">
        <v>2278</v>
      </c>
      <c r="B2279" s="23" t="s">
        <v>101</v>
      </c>
      <c r="C2279" s="18" t="s">
        <v>125</v>
      </c>
      <c r="D2279" s="18">
        <v>78</v>
      </c>
      <c r="E2279" s="18" t="s">
        <v>132</v>
      </c>
      <c r="F2279" s="18" t="str">
        <f>IF(OR(D2279&gt;Answers!L2294,D2279&lt;Answers!L2295),"Outlier","Normal")</f>
        <v>Outlier</v>
      </c>
      <c r="G2279" s="19" t="str">
        <f t="shared" si="35"/>
        <v>40-50</v>
      </c>
    </row>
    <row r="2280" spans="1:7" ht="20" customHeight="1" x14ac:dyDescent="0.35">
      <c r="A2280" s="17">
        <v>2279</v>
      </c>
      <c r="B2280" s="23" t="s">
        <v>106</v>
      </c>
      <c r="C2280" s="18" t="s">
        <v>125</v>
      </c>
      <c r="D2280" s="18">
        <v>33</v>
      </c>
      <c r="E2280" s="18" t="s">
        <v>132</v>
      </c>
      <c r="F2280" s="18" t="str">
        <f>IF(OR(D2280&gt;Answers!L2295,D2280&lt;Answers!L2296),"Outlier","Normal")</f>
        <v>Outlier</v>
      </c>
      <c r="G2280" s="19" t="str">
        <f t="shared" si="35"/>
        <v>30-40</v>
      </c>
    </row>
    <row r="2281" spans="1:7" ht="20" customHeight="1" x14ac:dyDescent="0.35">
      <c r="A2281" s="17">
        <v>2280</v>
      </c>
      <c r="B2281" s="23" t="s">
        <v>99</v>
      </c>
      <c r="C2281" s="18" t="s">
        <v>125</v>
      </c>
      <c r="D2281" s="18">
        <v>53</v>
      </c>
      <c r="E2281" s="18" t="s">
        <v>132</v>
      </c>
      <c r="F2281" s="18" t="str">
        <f>IF(OR(D2281&gt;Answers!L2296,D2281&lt;Answers!L2297),"Outlier","Normal")</f>
        <v>Outlier</v>
      </c>
      <c r="G2281" s="19" t="str">
        <f t="shared" si="35"/>
        <v>40-50</v>
      </c>
    </row>
    <row r="2282" spans="1:7" ht="20" customHeight="1" x14ac:dyDescent="0.35">
      <c r="A2282" s="17">
        <v>2281</v>
      </c>
      <c r="B2282" s="23" t="s">
        <v>99</v>
      </c>
      <c r="C2282" s="18" t="s">
        <v>126</v>
      </c>
      <c r="D2282" s="18">
        <v>31</v>
      </c>
      <c r="E2282" s="18" t="s">
        <v>132</v>
      </c>
      <c r="F2282" s="18" t="str">
        <f>IF(OR(D2282&gt;Answers!L2297,D2282&lt;Answers!L2298),"Outlier","Normal")</f>
        <v>Outlier</v>
      </c>
      <c r="G2282" s="19" t="str">
        <f t="shared" si="35"/>
        <v>30-40</v>
      </c>
    </row>
    <row r="2283" spans="1:7" ht="20" customHeight="1" x14ac:dyDescent="0.35">
      <c r="A2283" s="17">
        <v>2282</v>
      </c>
      <c r="B2283" s="23" t="s">
        <v>99</v>
      </c>
      <c r="C2283" s="18" t="s">
        <v>126</v>
      </c>
      <c r="D2283" s="18">
        <v>22</v>
      </c>
      <c r="E2283" s="18" t="s">
        <v>132</v>
      </c>
      <c r="F2283" s="18" t="str">
        <f>IF(OR(D2283&gt;Answers!L2298,D2283&lt;Answers!L2299),"Outlier","Normal")</f>
        <v>Outlier</v>
      </c>
      <c r="G2283" s="19" t="str">
        <f t="shared" si="35"/>
        <v>20-30</v>
      </c>
    </row>
    <row r="2284" spans="1:7" ht="20" customHeight="1" x14ac:dyDescent="0.35">
      <c r="A2284" s="17">
        <v>2283</v>
      </c>
      <c r="B2284" s="23" t="s">
        <v>99</v>
      </c>
      <c r="C2284" s="18" t="s">
        <v>126</v>
      </c>
      <c r="D2284" s="18">
        <v>24</v>
      </c>
      <c r="E2284" s="18" t="s">
        <v>132</v>
      </c>
      <c r="F2284" s="18" t="str">
        <f>IF(OR(D2284&gt;Answers!L2299,D2284&lt;Answers!L2300),"Outlier","Normal")</f>
        <v>Outlier</v>
      </c>
      <c r="G2284" s="19" t="str">
        <f t="shared" si="35"/>
        <v>20-30</v>
      </c>
    </row>
    <row r="2285" spans="1:7" ht="20" customHeight="1" x14ac:dyDescent="0.35">
      <c r="A2285" s="17">
        <v>2284</v>
      </c>
      <c r="B2285" s="23" t="s">
        <v>100</v>
      </c>
      <c r="C2285" s="18" t="s">
        <v>125</v>
      </c>
      <c r="D2285" s="18">
        <v>61</v>
      </c>
      <c r="E2285" s="18" t="s">
        <v>132</v>
      </c>
      <c r="F2285" s="18" t="str">
        <f>IF(OR(D2285&gt;Answers!L2300,D2285&lt;Answers!L2301),"Outlier","Normal")</f>
        <v>Outlier</v>
      </c>
      <c r="G2285" s="19" t="str">
        <f t="shared" si="35"/>
        <v>40-50</v>
      </c>
    </row>
    <row r="2286" spans="1:7" ht="20" customHeight="1" x14ac:dyDescent="0.35">
      <c r="A2286" s="17">
        <v>2285</v>
      </c>
      <c r="B2286" s="23" t="s">
        <v>110</v>
      </c>
      <c r="C2286" s="18" t="s">
        <v>125</v>
      </c>
      <c r="D2286" s="18">
        <v>90</v>
      </c>
      <c r="E2286" s="18" t="s">
        <v>132</v>
      </c>
      <c r="F2286" s="18" t="str">
        <f>IF(OR(D2286&gt;Answers!L2301,D2286&lt;Answers!L2302),"Outlier","Normal")</f>
        <v>Outlier</v>
      </c>
      <c r="G2286" s="19" t="str">
        <f t="shared" si="35"/>
        <v>40-50</v>
      </c>
    </row>
    <row r="2287" spans="1:7" ht="20" customHeight="1" x14ac:dyDescent="0.35">
      <c r="A2287" s="17">
        <v>2286</v>
      </c>
      <c r="B2287" s="23" t="s">
        <v>100</v>
      </c>
      <c r="C2287" s="18" t="s">
        <v>125</v>
      </c>
      <c r="D2287" s="18">
        <v>75</v>
      </c>
      <c r="E2287" s="18" t="s">
        <v>132</v>
      </c>
      <c r="F2287" s="18" t="str">
        <f>IF(OR(D2287&gt;Answers!L2302,D2287&lt;Answers!L2303),"Outlier","Normal")</f>
        <v>Outlier</v>
      </c>
      <c r="G2287" s="19" t="str">
        <f t="shared" si="35"/>
        <v>40-50</v>
      </c>
    </row>
    <row r="2288" spans="1:7" ht="20" customHeight="1" x14ac:dyDescent="0.35">
      <c r="A2288" s="17">
        <v>2287</v>
      </c>
      <c r="B2288" s="23" t="s">
        <v>107</v>
      </c>
      <c r="C2288" s="18" t="s">
        <v>125</v>
      </c>
      <c r="D2288" s="18">
        <v>72</v>
      </c>
      <c r="E2288" s="18" t="s">
        <v>132</v>
      </c>
      <c r="F2288" s="18" t="str">
        <f>IF(OR(D2288&gt;Answers!L2303,D2288&lt;Answers!L2304),"Outlier","Normal")</f>
        <v>Outlier</v>
      </c>
      <c r="G2288" s="19" t="str">
        <f t="shared" si="35"/>
        <v>40-50</v>
      </c>
    </row>
    <row r="2289" spans="1:7" ht="20" customHeight="1" x14ac:dyDescent="0.35">
      <c r="A2289" s="17">
        <v>2288</v>
      </c>
      <c r="B2289" s="23" t="s">
        <v>99</v>
      </c>
      <c r="C2289" s="18" t="s">
        <v>125</v>
      </c>
      <c r="D2289" s="18">
        <v>40</v>
      </c>
      <c r="E2289" s="18" t="s">
        <v>132</v>
      </c>
      <c r="F2289" s="18" t="str">
        <f>IF(OR(D2289&gt;Answers!L2304,D2289&lt;Answers!L2305),"Outlier","Normal")</f>
        <v>Outlier</v>
      </c>
      <c r="G2289" s="19" t="str">
        <f t="shared" si="35"/>
        <v>30-40</v>
      </c>
    </row>
    <row r="2290" spans="1:7" ht="20" customHeight="1" x14ac:dyDescent="0.35">
      <c r="A2290" s="17">
        <v>2289</v>
      </c>
      <c r="B2290" s="23" t="s">
        <v>100</v>
      </c>
      <c r="C2290" s="18" t="s">
        <v>126</v>
      </c>
      <c r="D2290" s="18">
        <v>44</v>
      </c>
      <c r="E2290" s="18" t="s">
        <v>132</v>
      </c>
      <c r="F2290" s="18" t="str">
        <f>IF(OR(D2290&gt;Answers!L2305,D2290&lt;Answers!L2306),"Outlier","Normal")</f>
        <v>Outlier</v>
      </c>
      <c r="G2290" s="19" t="str">
        <f t="shared" si="35"/>
        <v>40-50</v>
      </c>
    </row>
    <row r="2291" spans="1:7" ht="20" customHeight="1" x14ac:dyDescent="0.35">
      <c r="A2291" s="17">
        <v>2290</v>
      </c>
      <c r="B2291" s="23" t="s">
        <v>103</v>
      </c>
      <c r="C2291" s="18" t="s">
        <v>126</v>
      </c>
      <c r="D2291" s="18">
        <v>88</v>
      </c>
      <c r="E2291" s="18" t="s">
        <v>132</v>
      </c>
      <c r="F2291" s="18" t="str">
        <f>IF(OR(D2291&gt;Answers!L2306,D2291&lt;Answers!L2307),"Outlier","Normal")</f>
        <v>Outlier</v>
      </c>
      <c r="G2291" s="19" t="str">
        <f t="shared" si="35"/>
        <v>40-50</v>
      </c>
    </row>
    <row r="2292" spans="1:7" ht="20" customHeight="1" x14ac:dyDescent="0.35">
      <c r="A2292" s="17">
        <v>2291</v>
      </c>
      <c r="B2292" s="23" t="s">
        <v>101</v>
      </c>
      <c r="C2292" s="18" t="s">
        <v>126</v>
      </c>
      <c r="D2292" s="18">
        <v>84</v>
      </c>
      <c r="E2292" s="18" t="s">
        <v>132</v>
      </c>
      <c r="F2292" s="18" t="str">
        <f>IF(OR(D2292&gt;Answers!L2307,D2292&lt;Answers!L2308),"Outlier","Normal")</f>
        <v>Outlier</v>
      </c>
      <c r="G2292" s="19" t="str">
        <f t="shared" si="35"/>
        <v>40-50</v>
      </c>
    </row>
    <row r="2293" spans="1:7" ht="20" customHeight="1" x14ac:dyDescent="0.35">
      <c r="A2293" s="17">
        <v>2292</v>
      </c>
      <c r="B2293" s="23" t="s">
        <v>99</v>
      </c>
      <c r="C2293" s="18" t="s">
        <v>126</v>
      </c>
      <c r="D2293" s="18">
        <v>66</v>
      </c>
      <c r="E2293" s="18" t="s">
        <v>132</v>
      </c>
      <c r="F2293" s="18" t="str">
        <f>IF(OR(D2293&gt;Answers!L2308,D2293&lt;Answers!L2309),"Outlier","Normal")</f>
        <v>Outlier</v>
      </c>
      <c r="G2293" s="19" t="str">
        <f t="shared" si="35"/>
        <v>40-50</v>
      </c>
    </row>
    <row r="2294" spans="1:7" ht="20" customHeight="1" x14ac:dyDescent="0.35">
      <c r="A2294" s="17">
        <v>2293</v>
      </c>
      <c r="B2294" s="23" t="s">
        <v>106</v>
      </c>
      <c r="C2294" s="18" t="s">
        <v>126</v>
      </c>
      <c r="D2294" s="18">
        <v>70</v>
      </c>
      <c r="E2294" s="18" t="s">
        <v>132</v>
      </c>
      <c r="F2294" s="18" t="str">
        <f>IF(OR(D2294&gt;Answers!L2309,D2294&lt;Answers!L2310),"Outlier","Normal")</f>
        <v>Outlier</v>
      </c>
      <c r="G2294" s="19" t="str">
        <f t="shared" si="35"/>
        <v>40-50</v>
      </c>
    </row>
    <row r="2295" spans="1:7" ht="20" customHeight="1" x14ac:dyDescent="0.35">
      <c r="A2295" s="17">
        <v>2294</v>
      </c>
      <c r="B2295" s="23" t="s">
        <v>100</v>
      </c>
      <c r="C2295" s="18" t="s">
        <v>125</v>
      </c>
      <c r="D2295" s="18">
        <v>32</v>
      </c>
      <c r="E2295" s="18" t="s">
        <v>132</v>
      </c>
      <c r="F2295" s="18" t="str">
        <f>IF(OR(D2295&gt;Answers!L2310,D2295&lt;Answers!L2311),"Outlier","Normal")</f>
        <v>Outlier</v>
      </c>
      <c r="G2295" s="19" t="str">
        <f t="shared" si="35"/>
        <v>30-40</v>
      </c>
    </row>
    <row r="2296" spans="1:7" ht="20" customHeight="1" x14ac:dyDescent="0.35">
      <c r="A2296" s="17">
        <v>2295</v>
      </c>
      <c r="B2296" s="23" t="s">
        <v>99</v>
      </c>
      <c r="C2296" s="18" t="s">
        <v>126</v>
      </c>
      <c r="D2296" s="18">
        <v>33</v>
      </c>
      <c r="E2296" s="18" t="s">
        <v>132</v>
      </c>
      <c r="F2296" s="18" t="str">
        <f>IF(OR(D2296&gt;Answers!L2311,D2296&lt;Answers!L2312),"Outlier","Normal")</f>
        <v>Outlier</v>
      </c>
      <c r="G2296" s="19" t="str">
        <f t="shared" si="35"/>
        <v>30-40</v>
      </c>
    </row>
    <row r="2297" spans="1:7" ht="20" customHeight="1" x14ac:dyDescent="0.35">
      <c r="A2297" s="17">
        <v>2296</v>
      </c>
      <c r="B2297" s="23" t="s">
        <v>100</v>
      </c>
      <c r="C2297" s="18" t="s">
        <v>126</v>
      </c>
      <c r="D2297" s="18">
        <v>28</v>
      </c>
      <c r="E2297" s="18" t="s">
        <v>132</v>
      </c>
      <c r="F2297" s="18" t="str">
        <f>IF(OR(D2297&gt;Answers!L2312,D2297&lt;Answers!L2313),"Outlier","Normal")</f>
        <v>Outlier</v>
      </c>
      <c r="G2297" s="19" t="str">
        <f t="shared" si="35"/>
        <v>20-30</v>
      </c>
    </row>
    <row r="2298" spans="1:7" ht="20" customHeight="1" x14ac:dyDescent="0.35">
      <c r="A2298" s="17">
        <v>2297</v>
      </c>
      <c r="B2298" s="23" t="s">
        <v>106</v>
      </c>
      <c r="C2298" s="18" t="s">
        <v>125</v>
      </c>
      <c r="D2298" s="18">
        <v>50</v>
      </c>
      <c r="E2298" s="18" t="s">
        <v>132</v>
      </c>
      <c r="F2298" s="18" t="str">
        <f>IF(OR(D2298&gt;Answers!L2313,D2298&lt;Answers!L2314),"Outlier","Normal")</f>
        <v>Outlier</v>
      </c>
      <c r="G2298" s="19" t="str">
        <f t="shared" si="35"/>
        <v>40-50</v>
      </c>
    </row>
    <row r="2299" spans="1:7" ht="20" customHeight="1" x14ac:dyDescent="0.35">
      <c r="A2299" s="17">
        <v>2298</v>
      </c>
      <c r="B2299" s="23" t="s">
        <v>99</v>
      </c>
      <c r="C2299" s="18" t="s">
        <v>126</v>
      </c>
      <c r="D2299" s="18">
        <v>40</v>
      </c>
      <c r="E2299" s="18" t="s">
        <v>132</v>
      </c>
      <c r="F2299" s="18" t="str">
        <f>IF(OR(D2299&gt;Answers!L2314,D2299&lt;Answers!L2315),"Outlier","Normal")</f>
        <v>Outlier</v>
      </c>
      <c r="G2299" s="19" t="str">
        <f t="shared" si="35"/>
        <v>30-40</v>
      </c>
    </row>
    <row r="2300" spans="1:7" ht="20" customHeight="1" x14ac:dyDescent="0.35">
      <c r="A2300" s="17">
        <v>2299</v>
      </c>
      <c r="B2300" s="23" t="s">
        <v>99</v>
      </c>
      <c r="C2300" s="18" t="s">
        <v>126</v>
      </c>
      <c r="D2300" s="18">
        <v>58</v>
      </c>
      <c r="E2300" s="18" t="s">
        <v>132</v>
      </c>
      <c r="F2300" s="18" t="str">
        <f>IF(OR(D2300&gt;Answers!L2315,D2300&lt;Answers!L2316),"Outlier","Normal")</f>
        <v>Outlier</v>
      </c>
      <c r="G2300" s="19" t="str">
        <f t="shared" si="35"/>
        <v>40-50</v>
      </c>
    </row>
    <row r="2301" spans="1:7" ht="20" customHeight="1" x14ac:dyDescent="0.35">
      <c r="A2301" s="17">
        <v>2300</v>
      </c>
      <c r="B2301" s="23" t="s">
        <v>99</v>
      </c>
      <c r="C2301" s="18" t="s">
        <v>125</v>
      </c>
      <c r="D2301" s="18">
        <v>61</v>
      </c>
      <c r="E2301" s="18" t="s">
        <v>132</v>
      </c>
      <c r="F2301" s="18" t="str">
        <f>IF(OR(D2301&gt;Answers!L2316,D2301&lt;Answers!L2317),"Outlier","Normal")</f>
        <v>Outlier</v>
      </c>
      <c r="G2301" s="19" t="str">
        <f t="shared" si="35"/>
        <v>40-50</v>
      </c>
    </row>
    <row r="2302" spans="1:7" ht="20" customHeight="1" x14ac:dyDescent="0.35">
      <c r="A2302" s="17">
        <v>2301</v>
      </c>
      <c r="B2302" s="23" t="s">
        <v>108</v>
      </c>
      <c r="C2302" s="18" t="s">
        <v>126</v>
      </c>
      <c r="D2302" s="18">
        <v>38</v>
      </c>
      <c r="E2302" s="18" t="s">
        <v>132</v>
      </c>
      <c r="F2302" s="18" t="str">
        <f>IF(OR(D2302&gt;Answers!L2317,D2302&lt;Answers!L2318),"Outlier","Normal")</f>
        <v>Outlier</v>
      </c>
      <c r="G2302" s="19" t="str">
        <f t="shared" si="35"/>
        <v>30-40</v>
      </c>
    </row>
    <row r="2303" spans="1:7" ht="20" customHeight="1" x14ac:dyDescent="0.35">
      <c r="A2303" s="17">
        <v>2302</v>
      </c>
      <c r="B2303" s="23" t="s">
        <v>105</v>
      </c>
      <c r="C2303" s="18" t="s">
        <v>125</v>
      </c>
      <c r="D2303" s="18">
        <v>70</v>
      </c>
      <c r="E2303" s="18" t="s">
        <v>132</v>
      </c>
      <c r="F2303" s="18" t="str">
        <f>IF(OR(D2303&gt;Answers!L2318,D2303&lt;Answers!L2319),"Outlier","Normal")</f>
        <v>Outlier</v>
      </c>
      <c r="G2303" s="19" t="str">
        <f t="shared" si="35"/>
        <v>40-50</v>
      </c>
    </row>
    <row r="2304" spans="1:7" ht="20" customHeight="1" x14ac:dyDescent="0.35">
      <c r="A2304" s="17">
        <v>2303</v>
      </c>
      <c r="B2304" s="23" t="s">
        <v>104</v>
      </c>
      <c r="C2304" s="18" t="s">
        <v>126</v>
      </c>
      <c r="D2304" s="18">
        <v>55</v>
      </c>
      <c r="E2304" s="18" t="s">
        <v>132</v>
      </c>
      <c r="F2304" s="18" t="str">
        <f>IF(OR(D2304&gt;Answers!L2319,D2304&lt;Answers!L2320),"Outlier","Normal")</f>
        <v>Outlier</v>
      </c>
      <c r="G2304" s="19" t="str">
        <f t="shared" si="35"/>
        <v>40-50</v>
      </c>
    </row>
    <row r="2305" spans="1:7" ht="20" customHeight="1" x14ac:dyDescent="0.35">
      <c r="A2305" s="17">
        <v>2304</v>
      </c>
      <c r="B2305" s="23" t="s">
        <v>99</v>
      </c>
      <c r="C2305" s="18" t="s">
        <v>126</v>
      </c>
      <c r="D2305" s="18">
        <v>86</v>
      </c>
      <c r="E2305" s="18" t="s">
        <v>132</v>
      </c>
      <c r="F2305" s="18" t="str">
        <f>IF(OR(D2305&gt;Answers!L2320,D2305&lt;Answers!L2321),"Outlier","Normal")</f>
        <v>Outlier</v>
      </c>
      <c r="G2305" s="19" t="str">
        <f t="shared" si="35"/>
        <v>40-50</v>
      </c>
    </row>
    <row r="2306" spans="1:7" ht="20" customHeight="1" x14ac:dyDescent="0.35">
      <c r="A2306" s="17">
        <v>2305</v>
      </c>
      <c r="B2306" s="23" t="s">
        <v>99</v>
      </c>
      <c r="C2306" s="18" t="s">
        <v>125</v>
      </c>
      <c r="D2306" s="18">
        <v>18</v>
      </c>
      <c r="E2306" s="18" t="s">
        <v>132</v>
      </c>
      <c r="F2306" s="18" t="str">
        <f>IF(OR(D2306&gt;Answers!L2321,D2306&lt;Answers!L2322),"Outlier","Normal")</f>
        <v>Outlier</v>
      </c>
      <c r="G2306" s="19" t="str">
        <f t="shared" si="35"/>
        <v>&lt;20</v>
      </c>
    </row>
    <row r="2307" spans="1:7" ht="20" customHeight="1" x14ac:dyDescent="0.35">
      <c r="A2307" s="17">
        <v>2306</v>
      </c>
      <c r="B2307" s="23" t="s">
        <v>105</v>
      </c>
      <c r="C2307" s="18" t="s">
        <v>125</v>
      </c>
      <c r="D2307" s="18">
        <v>44</v>
      </c>
      <c r="E2307" s="18" t="s">
        <v>132</v>
      </c>
      <c r="F2307" s="18" t="str">
        <f>IF(OR(D2307&gt;Answers!L2322,D2307&lt;Answers!L2323),"Outlier","Normal")</f>
        <v>Outlier</v>
      </c>
      <c r="G2307" s="19" t="str">
        <f t="shared" ref="G2307:G2370" si="36">IF(D2307&lt;20,"&lt;20",
IF(D2307&lt;=30,"20-30",
IF(D2307&lt;=40,"30-40","40-50")))</f>
        <v>40-50</v>
      </c>
    </row>
    <row r="2308" spans="1:7" ht="20" customHeight="1" x14ac:dyDescent="0.35">
      <c r="A2308" s="17">
        <v>2307</v>
      </c>
      <c r="B2308" s="23" t="s">
        <v>99</v>
      </c>
      <c r="C2308" s="18" t="s">
        <v>125</v>
      </c>
      <c r="D2308" s="18">
        <v>66</v>
      </c>
      <c r="E2308" s="18" t="s">
        <v>132</v>
      </c>
      <c r="F2308" s="18" t="str">
        <f>IF(OR(D2308&gt;Answers!L2323,D2308&lt;Answers!L2324),"Outlier","Normal")</f>
        <v>Outlier</v>
      </c>
      <c r="G2308" s="19" t="str">
        <f t="shared" si="36"/>
        <v>40-50</v>
      </c>
    </row>
    <row r="2309" spans="1:7" ht="20" customHeight="1" x14ac:dyDescent="0.35">
      <c r="A2309" s="17">
        <v>2308</v>
      </c>
      <c r="B2309" s="23" t="s">
        <v>103</v>
      </c>
      <c r="C2309" s="18" t="s">
        <v>126</v>
      </c>
      <c r="D2309" s="18">
        <v>32</v>
      </c>
      <c r="E2309" s="18" t="s">
        <v>132</v>
      </c>
      <c r="F2309" s="18" t="str">
        <f>IF(OR(D2309&gt;Answers!L2324,D2309&lt;Answers!L2325),"Outlier","Normal")</f>
        <v>Outlier</v>
      </c>
      <c r="G2309" s="19" t="str">
        <f t="shared" si="36"/>
        <v>30-40</v>
      </c>
    </row>
    <row r="2310" spans="1:7" ht="20" customHeight="1" x14ac:dyDescent="0.35">
      <c r="A2310" s="17">
        <v>2309</v>
      </c>
      <c r="B2310" s="23" t="s">
        <v>107</v>
      </c>
      <c r="C2310" s="18" t="s">
        <v>126</v>
      </c>
      <c r="D2310" s="18">
        <v>25</v>
      </c>
      <c r="E2310" s="18" t="s">
        <v>132</v>
      </c>
      <c r="F2310" s="18" t="str">
        <f>IF(OR(D2310&gt;Answers!L2325,D2310&lt;Answers!L2326),"Outlier","Normal")</f>
        <v>Outlier</v>
      </c>
      <c r="G2310" s="19" t="str">
        <f t="shared" si="36"/>
        <v>20-30</v>
      </c>
    </row>
    <row r="2311" spans="1:7" ht="20" customHeight="1" x14ac:dyDescent="0.35">
      <c r="A2311" s="17">
        <v>2310</v>
      </c>
      <c r="B2311" s="23" t="s">
        <v>100</v>
      </c>
      <c r="C2311" s="18" t="s">
        <v>126</v>
      </c>
      <c r="D2311" s="18">
        <v>38</v>
      </c>
      <c r="E2311" s="18" t="s">
        <v>132</v>
      </c>
      <c r="F2311" s="18" t="str">
        <f>IF(OR(D2311&gt;Answers!L2326,D2311&lt;Answers!L2327),"Outlier","Normal")</f>
        <v>Outlier</v>
      </c>
      <c r="G2311" s="19" t="str">
        <f t="shared" si="36"/>
        <v>30-40</v>
      </c>
    </row>
    <row r="2312" spans="1:7" ht="20" customHeight="1" x14ac:dyDescent="0.35">
      <c r="A2312" s="17">
        <v>2311</v>
      </c>
      <c r="B2312" s="23" t="s">
        <v>105</v>
      </c>
      <c r="C2312" s="18" t="s">
        <v>125</v>
      </c>
      <c r="D2312" s="18">
        <v>36</v>
      </c>
      <c r="E2312" s="18" t="s">
        <v>132</v>
      </c>
      <c r="F2312" s="18" t="str">
        <f>IF(OR(D2312&gt;Answers!L2327,D2312&lt;Answers!L2328),"Outlier","Normal")</f>
        <v>Outlier</v>
      </c>
      <c r="G2312" s="19" t="str">
        <f t="shared" si="36"/>
        <v>30-40</v>
      </c>
    </row>
    <row r="2313" spans="1:7" ht="20" customHeight="1" x14ac:dyDescent="0.35">
      <c r="A2313" s="17">
        <v>2312</v>
      </c>
      <c r="B2313" s="23" t="s">
        <v>99</v>
      </c>
      <c r="C2313" s="18" t="s">
        <v>125</v>
      </c>
      <c r="D2313" s="18">
        <v>56</v>
      </c>
      <c r="E2313" s="18" t="s">
        <v>132</v>
      </c>
      <c r="F2313" s="18" t="str">
        <f>IF(OR(D2313&gt;Answers!L2328,D2313&lt;Answers!L2329),"Outlier","Normal")</f>
        <v>Outlier</v>
      </c>
      <c r="G2313" s="19" t="str">
        <f t="shared" si="36"/>
        <v>40-50</v>
      </c>
    </row>
    <row r="2314" spans="1:7" ht="20" customHeight="1" x14ac:dyDescent="0.35">
      <c r="A2314" s="17">
        <v>2313</v>
      </c>
      <c r="B2314" s="23" t="s">
        <v>104</v>
      </c>
      <c r="C2314" s="18" t="s">
        <v>126</v>
      </c>
      <c r="D2314" s="18">
        <v>31</v>
      </c>
      <c r="E2314" s="18" t="s">
        <v>132</v>
      </c>
      <c r="F2314" s="18" t="str">
        <f>IF(OR(D2314&gt;Answers!L2329,D2314&lt;Answers!L2330),"Outlier","Normal")</f>
        <v>Outlier</v>
      </c>
      <c r="G2314" s="19" t="str">
        <f t="shared" si="36"/>
        <v>30-40</v>
      </c>
    </row>
    <row r="2315" spans="1:7" ht="20" customHeight="1" x14ac:dyDescent="0.35">
      <c r="A2315" s="17">
        <v>2314</v>
      </c>
      <c r="B2315" s="23" t="s">
        <v>99</v>
      </c>
      <c r="C2315" s="18" t="s">
        <v>126</v>
      </c>
      <c r="D2315" s="18">
        <v>18</v>
      </c>
      <c r="E2315" s="18" t="s">
        <v>132</v>
      </c>
      <c r="F2315" s="18" t="str">
        <f>IF(OR(D2315&gt;Answers!L2330,D2315&lt;Answers!L2331),"Outlier","Normal")</f>
        <v>Outlier</v>
      </c>
      <c r="G2315" s="19" t="str">
        <f t="shared" si="36"/>
        <v>&lt;20</v>
      </c>
    </row>
    <row r="2316" spans="1:7" ht="20" customHeight="1" x14ac:dyDescent="0.35">
      <c r="A2316" s="17">
        <v>2315</v>
      </c>
      <c r="B2316" s="23" t="s">
        <v>99</v>
      </c>
      <c r="C2316" s="18" t="s">
        <v>126</v>
      </c>
      <c r="D2316" s="18">
        <v>60</v>
      </c>
      <c r="E2316" s="18" t="s">
        <v>132</v>
      </c>
      <c r="F2316" s="18" t="str">
        <f>IF(OR(D2316&gt;Answers!L2331,D2316&lt;Answers!L2332),"Outlier","Normal")</f>
        <v>Outlier</v>
      </c>
      <c r="G2316" s="19" t="str">
        <f t="shared" si="36"/>
        <v>40-50</v>
      </c>
    </row>
    <row r="2317" spans="1:7" ht="20" customHeight="1" x14ac:dyDescent="0.35">
      <c r="A2317" s="17">
        <v>2316</v>
      </c>
      <c r="B2317" s="23" t="s">
        <v>100</v>
      </c>
      <c r="C2317" s="18" t="s">
        <v>125</v>
      </c>
      <c r="D2317" s="18">
        <v>33</v>
      </c>
      <c r="E2317" s="18" t="s">
        <v>132</v>
      </c>
      <c r="F2317" s="18" t="str">
        <f>IF(OR(D2317&gt;Answers!L2332,D2317&lt;Answers!L2333),"Outlier","Normal")</f>
        <v>Outlier</v>
      </c>
      <c r="G2317" s="19" t="str">
        <f t="shared" si="36"/>
        <v>30-40</v>
      </c>
    </row>
    <row r="2318" spans="1:7" ht="20" customHeight="1" x14ac:dyDescent="0.35">
      <c r="A2318" s="17">
        <v>2317</v>
      </c>
      <c r="B2318" s="23" t="s">
        <v>99</v>
      </c>
      <c r="C2318" s="18" t="s">
        <v>125</v>
      </c>
      <c r="D2318" s="18">
        <v>86</v>
      </c>
      <c r="E2318" s="18" t="s">
        <v>132</v>
      </c>
      <c r="F2318" s="18" t="str">
        <f>IF(OR(D2318&gt;Answers!L2333,D2318&lt;Answers!L2334),"Outlier","Normal")</f>
        <v>Outlier</v>
      </c>
      <c r="G2318" s="19" t="str">
        <f t="shared" si="36"/>
        <v>40-50</v>
      </c>
    </row>
    <row r="2319" spans="1:7" ht="20" customHeight="1" x14ac:dyDescent="0.35">
      <c r="A2319" s="17">
        <v>2318</v>
      </c>
      <c r="B2319" s="23" t="s">
        <v>100</v>
      </c>
      <c r="C2319" s="18" t="s">
        <v>126</v>
      </c>
      <c r="D2319" s="18">
        <v>59</v>
      </c>
      <c r="E2319" s="18" t="s">
        <v>132</v>
      </c>
      <c r="F2319" s="18" t="str">
        <f>IF(OR(D2319&gt;Answers!L2334,D2319&lt;Answers!L2335),"Outlier","Normal")</f>
        <v>Outlier</v>
      </c>
      <c r="G2319" s="19" t="str">
        <f t="shared" si="36"/>
        <v>40-50</v>
      </c>
    </row>
    <row r="2320" spans="1:7" ht="20" customHeight="1" x14ac:dyDescent="0.35">
      <c r="A2320" s="17">
        <v>2319</v>
      </c>
      <c r="B2320" s="23" t="s">
        <v>100</v>
      </c>
      <c r="C2320" s="18" t="s">
        <v>125</v>
      </c>
      <c r="D2320" s="18">
        <v>72</v>
      </c>
      <c r="E2320" s="18" t="s">
        <v>132</v>
      </c>
      <c r="F2320" s="18" t="str">
        <f>IF(OR(D2320&gt;Answers!L2335,D2320&lt;Answers!L2336),"Outlier","Normal")</f>
        <v>Outlier</v>
      </c>
      <c r="G2320" s="19" t="str">
        <f t="shared" si="36"/>
        <v>40-50</v>
      </c>
    </row>
    <row r="2321" spans="1:7" ht="20" customHeight="1" x14ac:dyDescent="0.35">
      <c r="A2321" s="17">
        <v>2320</v>
      </c>
      <c r="B2321" s="23" t="s">
        <v>104</v>
      </c>
      <c r="C2321" s="18" t="s">
        <v>125</v>
      </c>
      <c r="D2321" s="18">
        <v>88</v>
      </c>
      <c r="E2321" s="18" t="s">
        <v>132</v>
      </c>
      <c r="F2321" s="18" t="str">
        <f>IF(OR(D2321&gt;Answers!L2336,D2321&lt;Answers!L2337),"Outlier","Normal")</f>
        <v>Outlier</v>
      </c>
      <c r="G2321" s="19" t="str">
        <f t="shared" si="36"/>
        <v>40-50</v>
      </c>
    </row>
    <row r="2322" spans="1:7" ht="20" customHeight="1" x14ac:dyDescent="0.35">
      <c r="A2322" s="17">
        <v>2321</v>
      </c>
      <c r="B2322" s="23" t="s">
        <v>109</v>
      </c>
      <c r="C2322" s="18" t="s">
        <v>126</v>
      </c>
      <c r="D2322" s="18">
        <v>39</v>
      </c>
      <c r="E2322" s="18" t="s">
        <v>132</v>
      </c>
      <c r="F2322" s="18" t="str">
        <f>IF(OR(D2322&gt;Answers!L2337,D2322&lt;Answers!L2338),"Outlier","Normal")</f>
        <v>Outlier</v>
      </c>
      <c r="G2322" s="19" t="str">
        <f t="shared" si="36"/>
        <v>30-40</v>
      </c>
    </row>
    <row r="2323" spans="1:7" ht="20" customHeight="1" x14ac:dyDescent="0.35">
      <c r="A2323" s="17">
        <v>2322</v>
      </c>
      <c r="B2323" s="23" t="s">
        <v>99</v>
      </c>
      <c r="C2323" s="18" t="s">
        <v>126</v>
      </c>
      <c r="D2323" s="18">
        <v>54</v>
      </c>
      <c r="E2323" s="18" t="s">
        <v>132</v>
      </c>
      <c r="F2323" s="18" t="str">
        <f>IF(OR(D2323&gt;Answers!L2338,D2323&lt;Answers!L2339),"Outlier","Normal")</f>
        <v>Outlier</v>
      </c>
      <c r="G2323" s="19" t="str">
        <f t="shared" si="36"/>
        <v>40-50</v>
      </c>
    </row>
    <row r="2324" spans="1:7" ht="20" customHeight="1" x14ac:dyDescent="0.35">
      <c r="A2324" s="17">
        <v>2323</v>
      </c>
      <c r="B2324" s="23" t="s">
        <v>107</v>
      </c>
      <c r="C2324" s="18" t="s">
        <v>126</v>
      </c>
      <c r="D2324" s="18">
        <v>58</v>
      </c>
      <c r="E2324" s="18" t="s">
        <v>132</v>
      </c>
      <c r="F2324" s="18" t="str">
        <f>IF(OR(D2324&gt;Answers!L2339,D2324&lt;Answers!L2340),"Outlier","Normal")</f>
        <v>Outlier</v>
      </c>
      <c r="G2324" s="19" t="str">
        <f t="shared" si="36"/>
        <v>40-50</v>
      </c>
    </row>
    <row r="2325" spans="1:7" ht="20" customHeight="1" x14ac:dyDescent="0.35">
      <c r="A2325" s="17">
        <v>2324</v>
      </c>
      <c r="B2325" s="23" t="s">
        <v>100</v>
      </c>
      <c r="C2325" s="18" t="s">
        <v>125</v>
      </c>
      <c r="D2325" s="18">
        <v>29</v>
      </c>
      <c r="E2325" s="18" t="s">
        <v>132</v>
      </c>
      <c r="F2325" s="18" t="str">
        <f>IF(OR(D2325&gt;Answers!L2340,D2325&lt;Answers!L2341),"Outlier","Normal")</f>
        <v>Outlier</v>
      </c>
      <c r="G2325" s="19" t="str">
        <f t="shared" si="36"/>
        <v>20-30</v>
      </c>
    </row>
    <row r="2326" spans="1:7" ht="20" customHeight="1" x14ac:dyDescent="0.35">
      <c r="A2326" s="17">
        <v>2325</v>
      </c>
      <c r="B2326" s="23" t="s">
        <v>101</v>
      </c>
      <c r="C2326" s="18" t="s">
        <v>125</v>
      </c>
      <c r="D2326" s="18">
        <v>36</v>
      </c>
      <c r="E2326" s="18" t="s">
        <v>132</v>
      </c>
      <c r="F2326" s="18" t="str">
        <f>IF(OR(D2326&gt;Answers!L2341,D2326&lt;Answers!L2342),"Outlier","Normal")</f>
        <v>Outlier</v>
      </c>
      <c r="G2326" s="19" t="str">
        <f t="shared" si="36"/>
        <v>30-40</v>
      </c>
    </row>
    <row r="2327" spans="1:7" ht="20" customHeight="1" x14ac:dyDescent="0.35">
      <c r="A2327" s="17">
        <v>2326</v>
      </c>
      <c r="B2327" s="23" t="s">
        <v>107</v>
      </c>
      <c r="C2327" s="18" t="s">
        <v>125</v>
      </c>
      <c r="D2327" s="18">
        <v>38</v>
      </c>
      <c r="E2327" s="18" t="s">
        <v>132</v>
      </c>
      <c r="F2327" s="18" t="str">
        <f>IF(OR(D2327&gt;Answers!L2342,D2327&lt;Answers!L2343),"Outlier","Normal")</f>
        <v>Outlier</v>
      </c>
      <c r="G2327" s="19" t="str">
        <f t="shared" si="36"/>
        <v>30-40</v>
      </c>
    </row>
    <row r="2328" spans="1:7" ht="20" customHeight="1" x14ac:dyDescent="0.35">
      <c r="A2328" s="17">
        <v>2327</v>
      </c>
      <c r="B2328" s="23" t="s">
        <v>99</v>
      </c>
      <c r="C2328" s="18" t="s">
        <v>125</v>
      </c>
      <c r="D2328" s="18">
        <v>53</v>
      </c>
      <c r="E2328" s="18" t="s">
        <v>132</v>
      </c>
      <c r="F2328" s="18" t="str">
        <f>IF(OR(D2328&gt;Answers!L2343,D2328&lt;Answers!L2344),"Outlier","Normal")</f>
        <v>Outlier</v>
      </c>
      <c r="G2328" s="19" t="str">
        <f t="shared" si="36"/>
        <v>40-50</v>
      </c>
    </row>
    <row r="2329" spans="1:7" ht="20" customHeight="1" x14ac:dyDescent="0.35">
      <c r="A2329" s="17">
        <v>2328</v>
      </c>
      <c r="B2329" s="23" t="s">
        <v>99</v>
      </c>
      <c r="C2329" s="18" t="s">
        <v>125</v>
      </c>
      <c r="D2329" s="18">
        <v>18</v>
      </c>
      <c r="E2329" s="18" t="s">
        <v>132</v>
      </c>
      <c r="F2329" s="18" t="str">
        <f>IF(OR(D2329&gt;Answers!L2344,D2329&lt;Answers!L2345),"Outlier","Normal")</f>
        <v>Outlier</v>
      </c>
      <c r="G2329" s="19" t="str">
        <f t="shared" si="36"/>
        <v>&lt;20</v>
      </c>
    </row>
    <row r="2330" spans="1:7" ht="20" customHeight="1" x14ac:dyDescent="0.35">
      <c r="A2330" s="17">
        <v>2329</v>
      </c>
      <c r="B2330" s="23" t="s">
        <v>100</v>
      </c>
      <c r="C2330" s="18" t="s">
        <v>125</v>
      </c>
      <c r="D2330" s="18">
        <v>39</v>
      </c>
      <c r="E2330" s="18" t="s">
        <v>132</v>
      </c>
      <c r="F2330" s="18" t="str">
        <f>IF(OR(D2330&gt;Answers!L2345,D2330&lt;Answers!L2346),"Outlier","Normal")</f>
        <v>Outlier</v>
      </c>
      <c r="G2330" s="19" t="str">
        <f t="shared" si="36"/>
        <v>30-40</v>
      </c>
    </row>
    <row r="2331" spans="1:7" ht="20" customHeight="1" x14ac:dyDescent="0.35">
      <c r="A2331" s="17">
        <v>2330</v>
      </c>
      <c r="B2331" s="23" t="s">
        <v>99</v>
      </c>
      <c r="C2331" s="18" t="s">
        <v>126</v>
      </c>
      <c r="D2331" s="18">
        <v>23</v>
      </c>
      <c r="E2331" s="18" t="s">
        <v>132</v>
      </c>
      <c r="F2331" s="18" t="str">
        <f>IF(OR(D2331&gt;Answers!L2346,D2331&lt;Answers!L2347),"Outlier","Normal")</f>
        <v>Outlier</v>
      </c>
      <c r="G2331" s="19" t="str">
        <f t="shared" si="36"/>
        <v>20-30</v>
      </c>
    </row>
    <row r="2332" spans="1:7" ht="20" customHeight="1" x14ac:dyDescent="0.35">
      <c r="A2332" s="17">
        <v>2331</v>
      </c>
      <c r="B2332" s="23" t="s">
        <v>99</v>
      </c>
      <c r="C2332" s="18" t="s">
        <v>125</v>
      </c>
      <c r="D2332" s="18">
        <v>73</v>
      </c>
      <c r="E2332" s="18" t="s">
        <v>132</v>
      </c>
      <c r="F2332" s="18" t="str">
        <f>IF(OR(D2332&gt;Answers!L2347,D2332&lt;Answers!L2348),"Outlier","Normal")</f>
        <v>Outlier</v>
      </c>
      <c r="G2332" s="19" t="str">
        <f t="shared" si="36"/>
        <v>40-50</v>
      </c>
    </row>
    <row r="2333" spans="1:7" ht="20" customHeight="1" x14ac:dyDescent="0.35">
      <c r="A2333" s="17">
        <v>2332</v>
      </c>
      <c r="B2333" s="23" t="s">
        <v>105</v>
      </c>
      <c r="C2333" s="18" t="s">
        <v>125</v>
      </c>
      <c r="D2333" s="18">
        <v>62</v>
      </c>
      <c r="E2333" s="18" t="s">
        <v>132</v>
      </c>
      <c r="F2333" s="18" t="str">
        <f>IF(OR(D2333&gt;Answers!L2348,D2333&lt;Answers!L2349),"Outlier","Normal")</f>
        <v>Outlier</v>
      </c>
      <c r="G2333" s="19" t="str">
        <f t="shared" si="36"/>
        <v>40-50</v>
      </c>
    </row>
    <row r="2334" spans="1:7" ht="20" customHeight="1" x14ac:dyDescent="0.35">
      <c r="A2334" s="17">
        <v>2333</v>
      </c>
      <c r="B2334" s="23" t="s">
        <v>100</v>
      </c>
      <c r="C2334" s="18" t="s">
        <v>125</v>
      </c>
      <c r="D2334" s="18">
        <v>34</v>
      </c>
      <c r="E2334" s="18" t="s">
        <v>132</v>
      </c>
      <c r="F2334" s="18" t="str">
        <f>IF(OR(D2334&gt;Answers!L2349,D2334&lt;Answers!L2350),"Outlier","Normal")</f>
        <v>Outlier</v>
      </c>
      <c r="G2334" s="19" t="str">
        <f t="shared" si="36"/>
        <v>30-40</v>
      </c>
    </row>
    <row r="2335" spans="1:7" ht="20" customHeight="1" x14ac:dyDescent="0.35">
      <c r="A2335" s="17">
        <v>2334</v>
      </c>
      <c r="B2335" s="23" t="s">
        <v>100</v>
      </c>
      <c r="C2335" s="18" t="s">
        <v>125</v>
      </c>
      <c r="D2335" s="18">
        <v>77</v>
      </c>
      <c r="E2335" s="18" t="s">
        <v>132</v>
      </c>
      <c r="F2335" s="18" t="str">
        <f>IF(OR(D2335&gt;Answers!L2350,D2335&lt;Answers!L2351),"Outlier","Normal")</f>
        <v>Outlier</v>
      </c>
      <c r="G2335" s="19" t="str">
        <f t="shared" si="36"/>
        <v>40-50</v>
      </c>
    </row>
    <row r="2336" spans="1:7" ht="20" customHeight="1" x14ac:dyDescent="0.35">
      <c r="A2336" s="17">
        <v>2335</v>
      </c>
      <c r="B2336" s="23" t="s">
        <v>102</v>
      </c>
      <c r="C2336" s="18" t="s">
        <v>126</v>
      </c>
      <c r="D2336" s="18">
        <v>65</v>
      </c>
      <c r="E2336" s="18" t="s">
        <v>132</v>
      </c>
      <c r="F2336" s="18" t="str">
        <f>IF(OR(D2336&gt;Answers!L2351,D2336&lt;Answers!L2352),"Outlier","Normal")</f>
        <v>Outlier</v>
      </c>
      <c r="G2336" s="19" t="str">
        <f t="shared" si="36"/>
        <v>40-50</v>
      </c>
    </row>
    <row r="2337" spans="1:7" ht="20" customHeight="1" x14ac:dyDescent="0.35">
      <c r="A2337" s="17">
        <v>2336</v>
      </c>
      <c r="B2337" s="23" t="s">
        <v>102</v>
      </c>
      <c r="C2337" s="18" t="s">
        <v>126</v>
      </c>
      <c r="D2337" s="18">
        <v>43</v>
      </c>
      <c r="E2337" s="18" t="s">
        <v>132</v>
      </c>
      <c r="F2337" s="18" t="str">
        <f>IF(OR(D2337&gt;Answers!L2352,D2337&lt;Answers!L2353),"Outlier","Normal")</f>
        <v>Outlier</v>
      </c>
      <c r="G2337" s="19" t="str">
        <f t="shared" si="36"/>
        <v>40-50</v>
      </c>
    </row>
    <row r="2338" spans="1:7" ht="20" customHeight="1" x14ac:dyDescent="0.35">
      <c r="A2338" s="17">
        <v>2337</v>
      </c>
      <c r="B2338" s="23" t="s">
        <v>105</v>
      </c>
      <c r="C2338" s="18" t="s">
        <v>125</v>
      </c>
      <c r="D2338" s="18">
        <v>85</v>
      </c>
      <c r="E2338" s="18" t="s">
        <v>132</v>
      </c>
      <c r="F2338" s="18" t="str">
        <f>IF(OR(D2338&gt;Answers!L2353,D2338&lt;Answers!L2354),"Outlier","Normal")</f>
        <v>Outlier</v>
      </c>
      <c r="G2338" s="19" t="str">
        <f t="shared" si="36"/>
        <v>40-50</v>
      </c>
    </row>
    <row r="2339" spans="1:7" ht="20" customHeight="1" x14ac:dyDescent="0.35">
      <c r="A2339" s="17">
        <v>2338</v>
      </c>
      <c r="B2339" s="23" t="s">
        <v>99</v>
      </c>
      <c r="C2339" s="18" t="s">
        <v>126</v>
      </c>
      <c r="D2339" s="18">
        <v>90</v>
      </c>
      <c r="E2339" s="18" t="s">
        <v>132</v>
      </c>
      <c r="F2339" s="18" t="str">
        <f>IF(OR(D2339&gt;Answers!L2354,D2339&lt;Answers!L2355),"Outlier","Normal")</f>
        <v>Outlier</v>
      </c>
      <c r="G2339" s="19" t="str">
        <f t="shared" si="36"/>
        <v>40-50</v>
      </c>
    </row>
    <row r="2340" spans="1:7" ht="20" customHeight="1" x14ac:dyDescent="0.35">
      <c r="A2340" s="17">
        <v>2339</v>
      </c>
      <c r="B2340" s="23" t="s">
        <v>105</v>
      </c>
      <c r="C2340" s="18" t="s">
        <v>126</v>
      </c>
      <c r="D2340" s="18">
        <v>32</v>
      </c>
      <c r="E2340" s="18" t="s">
        <v>132</v>
      </c>
      <c r="F2340" s="18" t="str">
        <f>IF(OR(D2340&gt;Answers!L2355,D2340&lt;Answers!L2356),"Outlier","Normal")</f>
        <v>Outlier</v>
      </c>
      <c r="G2340" s="19" t="str">
        <f t="shared" si="36"/>
        <v>30-40</v>
      </c>
    </row>
    <row r="2341" spans="1:7" ht="20" customHeight="1" x14ac:dyDescent="0.35">
      <c r="A2341" s="17">
        <v>2340</v>
      </c>
      <c r="B2341" s="23" t="s">
        <v>99</v>
      </c>
      <c r="C2341" s="18" t="s">
        <v>126</v>
      </c>
      <c r="D2341" s="18">
        <v>35</v>
      </c>
      <c r="E2341" s="18" t="s">
        <v>132</v>
      </c>
      <c r="F2341" s="18" t="str">
        <f>IF(OR(D2341&gt;Answers!L2356,D2341&lt;Answers!L2357),"Outlier","Normal")</f>
        <v>Outlier</v>
      </c>
      <c r="G2341" s="19" t="str">
        <f t="shared" si="36"/>
        <v>30-40</v>
      </c>
    </row>
    <row r="2342" spans="1:7" ht="20" customHeight="1" x14ac:dyDescent="0.35">
      <c r="A2342" s="17">
        <v>2341</v>
      </c>
      <c r="B2342" s="23" t="s">
        <v>104</v>
      </c>
      <c r="C2342" s="18" t="s">
        <v>125</v>
      </c>
      <c r="D2342" s="18">
        <v>48</v>
      </c>
      <c r="E2342" s="18" t="s">
        <v>132</v>
      </c>
      <c r="F2342" s="18" t="str">
        <f>IF(OR(D2342&gt;Answers!L2357,D2342&lt;Answers!L2358),"Outlier","Normal")</f>
        <v>Outlier</v>
      </c>
      <c r="G2342" s="19" t="str">
        <f t="shared" si="36"/>
        <v>40-50</v>
      </c>
    </row>
    <row r="2343" spans="1:7" ht="20" customHeight="1" x14ac:dyDescent="0.35">
      <c r="A2343" s="17">
        <v>2342</v>
      </c>
      <c r="B2343" s="23" t="s">
        <v>100</v>
      </c>
      <c r="C2343" s="18" t="s">
        <v>126</v>
      </c>
      <c r="D2343" s="18">
        <v>46</v>
      </c>
      <c r="E2343" s="18" t="s">
        <v>132</v>
      </c>
      <c r="F2343" s="18" t="str">
        <f>IF(OR(D2343&gt;Answers!L2358,D2343&lt;Answers!L2359),"Outlier","Normal")</f>
        <v>Outlier</v>
      </c>
      <c r="G2343" s="19" t="str">
        <f t="shared" si="36"/>
        <v>40-50</v>
      </c>
    </row>
    <row r="2344" spans="1:7" ht="20" customHeight="1" x14ac:dyDescent="0.35">
      <c r="A2344" s="17">
        <v>2343</v>
      </c>
      <c r="B2344" s="23" t="s">
        <v>105</v>
      </c>
      <c r="C2344" s="18" t="s">
        <v>126</v>
      </c>
      <c r="D2344" s="18">
        <v>33</v>
      </c>
      <c r="E2344" s="18" t="s">
        <v>132</v>
      </c>
      <c r="F2344" s="18" t="str">
        <f>IF(OR(D2344&gt;Answers!L2359,D2344&lt;Answers!L2360),"Outlier","Normal")</f>
        <v>Outlier</v>
      </c>
      <c r="G2344" s="19" t="str">
        <f t="shared" si="36"/>
        <v>30-40</v>
      </c>
    </row>
    <row r="2345" spans="1:7" ht="20" customHeight="1" x14ac:dyDescent="0.35">
      <c r="A2345" s="17">
        <v>2344</v>
      </c>
      <c r="B2345" s="23" t="s">
        <v>99</v>
      </c>
      <c r="C2345" s="18" t="s">
        <v>126</v>
      </c>
      <c r="D2345" s="18">
        <v>55</v>
      </c>
      <c r="E2345" s="18" t="s">
        <v>132</v>
      </c>
      <c r="F2345" s="18" t="str">
        <f>IF(OR(D2345&gt;Answers!L2360,D2345&lt;Answers!L2361),"Outlier","Normal")</f>
        <v>Outlier</v>
      </c>
      <c r="G2345" s="19" t="str">
        <f t="shared" si="36"/>
        <v>40-50</v>
      </c>
    </row>
    <row r="2346" spans="1:7" ht="20" customHeight="1" x14ac:dyDescent="0.35">
      <c r="A2346" s="17">
        <v>2345</v>
      </c>
      <c r="B2346" s="23" t="s">
        <v>106</v>
      </c>
      <c r="C2346" s="18" t="s">
        <v>125</v>
      </c>
      <c r="D2346" s="18">
        <v>59</v>
      </c>
      <c r="E2346" s="18" t="s">
        <v>132</v>
      </c>
      <c r="F2346" s="18" t="str">
        <f>IF(OR(D2346&gt;Answers!L2361,D2346&lt;Answers!L2362),"Outlier","Normal")</f>
        <v>Outlier</v>
      </c>
      <c r="G2346" s="19" t="str">
        <f t="shared" si="36"/>
        <v>40-50</v>
      </c>
    </row>
    <row r="2347" spans="1:7" ht="20" customHeight="1" x14ac:dyDescent="0.35">
      <c r="A2347" s="17">
        <v>2346</v>
      </c>
      <c r="B2347" s="23" t="s">
        <v>107</v>
      </c>
      <c r="C2347" s="18" t="s">
        <v>125</v>
      </c>
      <c r="D2347" s="18">
        <v>29</v>
      </c>
      <c r="E2347" s="18" t="s">
        <v>132</v>
      </c>
      <c r="F2347" s="18" t="str">
        <f>IF(OR(D2347&gt;Answers!L2362,D2347&lt;Answers!L2363),"Outlier","Normal")</f>
        <v>Outlier</v>
      </c>
      <c r="G2347" s="19" t="str">
        <f t="shared" si="36"/>
        <v>20-30</v>
      </c>
    </row>
    <row r="2348" spans="1:7" ht="20" customHeight="1" x14ac:dyDescent="0.35">
      <c r="A2348" s="17">
        <v>2347</v>
      </c>
      <c r="B2348" s="23" t="s">
        <v>100</v>
      </c>
      <c r="C2348" s="18" t="s">
        <v>126</v>
      </c>
      <c r="D2348" s="18">
        <v>61</v>
      </c>
      <c r="E2348" s="18" t="s">
        <v>132</v>
      </c>
      <c r="F2348" s="18" t="str">
        <f>IF(OR(D2348&gt;Answers!L2363,D2348&lt;Answers!L2364),"Outlier","Normal")</f>
        <v>Outlier</v>
      </c>
      <c r="G2348" s="19" t="str">
        <f t="shared" si="36"/>
        <v>40-50</v>
      </c>
    </row>
    <row r="2349" spans="1:7" ht="20" customHeight="1" x14ac:dyDescent="0.35">
      <c r="A2349" s="17">
        <v>2348</v>
      </c>
      <c r="B2349" s="23" t="s">
        <v>105</v>
      </c>
      <c r="C2349" s="18" t="s">
        <v>126</v>
      </c>
      <c r="D2349" s="18">
        <v>88</v>
      </c>
      <c r="E2349" s="18" t="s">
        <v>132</v>
      </c>
      <c r="F2349" s="18" t="str">
        <f>IF(OR(D2349&gt;Answers!L2364,D2349&lt;Answers!L2365),"Outlier","Normal")</f>
        <v>Outlier</v>
      </c>
      <c r="G2349" s="19" t="str">
        <f t="shared" si="36"/>
        <v>40-50</v>
      </c>
    </row>
    <row r="2350" spans="1:7" ht="20" customHeight="1" x14ac:dyDescent="0.35">
      <c r="A2350" s="17">
        <v>2349</v>
      </c>
      <c r="B2350" s="23" t="s">
        <v>101</v>
      </c>
      <c r="C2350" s="18" t="s">
        <v>125</v>
      </c>
      <c r="D2350" s="18">
        <v>37</v>
      </c>
      <c r="E2350" s="18" t="s">
        <v>132</v>
      </c>
      <c r="F2350" s="18" t="str">
        <f>IF(OR(D2350&gt;Answers!L2365,D2350&lt;Answers!L2366),"Outlier","Normal")</f>
        <v>Outlier</v>
      </c>
      <c r="G2350" s="19" t="str">
        <f t="shared" si="36"/>
        <v>30-40</v>
      </c>
    </row>
    <row r="2351" spans="1:7" ht="20" customHeight="1" x14ac:dyDescent="0.35">
      <c r="A2351" s="17">
        <v>2350</v>
      </c>
      <c r="B2351" s="23" t="s">
        <v>105</v>
      </c>
      <c r="C2351" s="18" t="s">
        <v>126</v>
      </c>
      <c r="D2351" s="18">
        <v>82</v>
      </c>
      <c r="E2351" s="18" t="s">
        <v>132</v>
      </c>
      <c r="F2351" s="18" t="str">
        <f>IF(OR(D2351&gt;Answers!L2366,D2351&lt;Answers!L2367),"Outlier","Normal")</f>
        <v>Outlier</v>
      </c>
      <c r="G2351" s="19" t="str">
        <f t="shared" si="36"/>
        <v>40-50</v>
      </c>
    </row>
    <row r="2352" spans="1:7" ht="20" customHeight="1" x14ac:dyDescent="0.35">
      <c r="A2352" s="17">
        <v>2351</v>
      </c>
      <c r="B2352" s="23" t="s">
        <v>99</v>
      </c>
      <c r="C2352" s="18" t="s">
        <v>125</v>
      </c>
      <c r="D2352" s="18">
        <v>43</v>
      </c>
      <c r="E2352" s="18" t="s">
        <v>132</v>
      </c>
      <c r="F2352" s="18" t="str">
        <f>IF(OR(D2352&gt;Answers!L2367,D2352&lt;Answers!L2368),"Outlier","Normal")</f>
        <v>Outlier</v>
      </c>
      <c r="G2352" s="19" t="str">
        <f t="shared" si="36"/>
        <v>40-50</v>
      </c>
    </row>
    <row r="2353" spans="1:7" ht="20" customHeight="1" x14ac:dyDescent="0.35">
      <c r="A2353" s="17">
        <v>2352</v>
      </c>
      <c r="B2353" s="23" t="s">
        <v>99</v>
      </c>
      <c r="C2353" s="18" t="s">
        <v>126</v>
      </c>
      <c r="D2353" s="18">
        <v>35</v>
      </c>
      <c r="E2353" s="18" t="s">
        <v>132</v>
      </c>
      <c r="F2353" s="18" t="str">
        <f>IF(OR(D2353&gt;Answers!L2368,D2353&lt;Answers!L2369),"Outlier","Normal")</f>
        <v>Outlier</v>
      </c>
      <c r="G2353" s="19" t="str">
        <f t="shared" si="36"/>
        <v>30-40</v>
      </c>
    </row>
    <row r="2354" spans="1:7" ht="20" customHeight="1" x14ac:dyDescent="0.35">
      <c r="A2354" s="17">
        <v>2353</v>
      </c>
      <c r="B2354" s="23" t="s">
        <v>99</v>
      </c>
      <c r="C2354" s="18" t="s">
        <v>125</v>
      </c>
      <c r="D2354" s="18">
        <v>27</v>
      </c>
      <c r="E2354" s="18" t="s">
        <v>132</v>
      </c>
      <c r="F2354" s="18" t="str">
        <f>IF(OR(D2354&gt;Answers!L2369,D2354&lt;Answers!L2370),"Outlier","Normal")</f>
        <v>Outlier</v>
      </c>
      <c r="G2354" s="19" t="str">
        <f t="shared" si="36"/>
        <v>20-30</v>
      </c>
    </row>
    <row r="2355" spans="1:7" ht="20" customHeight="1" x14ac:dyDescent="0.35">
      <c r="A2355" s="17">
        <v>2354</v>
      </c>
      <c r="B2355" s="23" t="s">
        <v>99</v>
      </c>
      <c r="C2355" s="18" t="s">
        <v>126</v>
      </c>
      <c r="D2355" s="18">
        <v>36</v>
      </c>
      <c r="E2355" s="18" t="s">
        <v>132</v>
      </c>
      <c r="F2355" s="18" t="str">
        <f>IF(OR(D2355&gt;Answers!L2370,D2355&lt;Answers!L2371),"Outlier","Normal")</f>
        <v>Outlier</v>
      </c>
      <c r="G2355" s="19" t="str">
        <f t="shared" si="36"/>
        <v>30-40</v>
      </c>
    </row>
    <row r="2356" spans="1:7" ht="20" customHeight="1" x14ac:dyDescent="0.35">
      <c r="A2356" s="17">
        <v>2355</v>
      </c>
      <c r="B2356" s="23" t="s">
        <v>99</v>
      </c>
      <c r="C2356" s="18" t="s">
        <v>126</v>
      </c>
      <c r="D2356" s="18">
        <v>24</v>
      </c>
      <c r="E2356" s="18" t="s">
        <v>132</v>
      </c>
      <c r="F2356" s="18" t="str">
        <f>IF(OR(D2356&gt;Answers!L2371,D2356&lt;Answers!L2372),"Outlier","Normal")</f>
        <v>Outlier</v>
      </c>
      <c r="G2356" s="19" t="str">
        <f t="shared" si="36"/>
        <v>20-30</v>
      </c>
    </row>
    <row r="2357" spans="1:7" ht="20" customHeight="1" x14ac:dyDescent="0.35">
      <c r="A2357" s="17">
        <v>2356</v>
      </c>
      <c r="B2357" s="23" t="s">
        <v>100</v>
      </c>
      <c r="C2357" s="18" t="s">
        <v>126</v>
      </c>
      <c r="D2357" s="18">
        <v>68</v>
      </c>
      <c r="E2357" s="18" t="s">
        <v>132</v>
      </c>
      <c r="F2357" s="18" t="str">
        <f>IF(OR(D2357&gt;Answers!L2372,D2357&lt;Answers!L2373),"Outlier","Normal")</f>
        <v>Outlier</v>
      </c>
      <c r="G2357" s="19" t="str">
        <f t="shared" si="36"/>
        <v>40-50</v>
      </c>
    </row>
    <row r="2358" spans="1:7" ht="20" customHeight="1" x14ac:dyDescent="0.35">
      <c r="A2358" s="17">
        <v>2357</v>
      </c>
      <c r="B2358" s="23" t="s">
        <v>105</v>
      </c>
      <c r="C2358" s="18" t="s">
        <v>125</v>
      </c>
      <c r="D2358" s="18">
        <v>89</v>
      </c>
      <c r="E2358" s="18" t="s">
        <v>132</v>
      </c>
      <c r="F2358" s="18" t="str">
        <f>IF(OR(D2358&gt;Answers!L2373,D2358&lt;Answers!L2374),"Outlier","Normal")</f>
        <v>Outlier</v>
      </c>
      <c r="G2358" s="19" t="str">
        <f t="shared" si="36"/>
        <v>40-50</v>
      </c>
    </row>
    <row r="2359" spans="1:7" ht="20" customHeight="1" x14ac:dyDescent="0.35">
      <c r="A2359" s="17">
        <v>2358</v>
      </c>
      <c r="B2359" s="23" t="s">
        <v>105</v>
      </c>
      <c r="C2359" s="18" t="s">
        <v>125</v>
      </c>
      <c r="D2359" s="18">
        <v>31</v>
      </c>
      <c r="E2359" s="18" t="s">
        <v>132</v>
      </c>
      <c r="F2359" s="18" t="str">
        <f>IF(OR(D2359&gt;Answers!L2374,D2359&lt;Answers!L2375),"Outlier","Normal")</f>
        <v>Outlier</v>
      </c>
      <c r="G2359" s="19" t="str">
        <f t="shared" si="36"/>
        <v>30-40</v>
      </c>
    </row>
    <row r="2360" spans="1:7" ht="20" customHeight="1" x14ac:dyDescent="0.35">
      <c r="A2360" s="17">
        <v>2359</v>
      </c>
      <c r="B2360" s="23" t="s">
        <v>99</v>
      </c>
      <c r="C2360" s="18" t="s">
        <v>125</v>
      </c>
      <c r="D2360" s="18">
        <v>37</v>
      </c>
      <c r="E2360" s="18" t="s">
        <v>132</v>
      </c>
      <c r="F2360" s="18" t="str">
        <f>IF(OR(D2360&gt;Answers!L2375,D2360&lt;Answers!L2376),"Outlier","Normal")</f>
        <v>Outlier</v>
      </c>
      <c r="G2360" s="19" t="str">
        <f t="shared" si="36"/>
        <v>30-40</v>
      </c>
    </row>
    <row r="2361" spans="1:7" ht="20" customHeight="1" x14ac:dyDescent="0.35">
      <c r="A2361" s="17">
        <v>2360</v>
      </c>
      <c r="B2361" s="23" t="s">
        <v>109</v>
      </c>
      <c r="C2361" s="18" t="s">
        <v>125</v>
      </c>
      <c r="D2361" s="18">
        <v>50</v>
      </c>
      <c r="E2361" s="18" t="s">
        <v>132</v>
      </c>
      <c r="F2361" s="18" t="str">
        <f>IF(OR(D2361&gt;Answers!L2376,D2361&lt;Answers!L2377),"Outlier","Normal")</f>
        <v>Outlier</v>
      </c>
      <c r="G2361" s="19" t="str">
        <f t="shared" si="36"/>
        <v>40-50</v>
      </c>
    </row>
    <row r="2362" spans="1:7" ht="20" customHeight="1" x14ac:dyDescent="0.35">
      <c r="A2362" s="17">
        <v>2361</v>
      </c>
      <c r="B2362" s="23" t="s">
        <v>105</v>
      </c>
      <c r="C2362" s="18" t="s">
        <v>126</v>
      </c>
      <c r="D2362" s="18">
        <v>86</v>
      </c>
      <c r="E2362" s="18" t="s">
        <v>132</v>
      </c>
      <c r="F2362" s="18" t="str">
        <f>IF(OR(D2362&gt;Answers!L2377,D2362&lt;Answers!L2378),"Outlier","Normal")</f>
        <v>Outlier</v>
      </c>
      <c r="G2362" s="19" t="str">
        <f t="shared" si="36"/>
        <v>40-50</v>
      </c>
    </row>
    <row r="2363" spans="1:7" ht="20" customHeight="1" x14ac:dyDescent="0.35">
      <c r="A2363" s="17">
        <v>2362</v>
      </c>
      <c r="B2363" s="23" t="s">
        <v>105</v>
      </c>
      <c r="C2363" s="18" t="s">
        <v>126</v>
      </c>
      <c r="D2363" s="18">
        <v>87</v>
      </c>
      <c r="E2363" s="18" t="s">
        <v>132</v>
      </c>
      <c r="F2363" s="18" t="str">
        <f>IF(OR(D2363&gt;Answers!L2378,D2363&lt;Answers!L2379),"Outlier","Normal")</f>
        <v>Outlier</v>
      </c>
      <c r="G2363" s="19" t="str">
        <f t="shared" si="36"/>
        <v>40-50</v>
      </c>
    </row>
    <row r="2364" spans="1:7" ht="20" customHeight="1" x14ac:dyDescent="0.35">
      <c r="A2364" s="17">
        <v>2363</v>
      </c>
      <c r="B2364" s="23" t="s">
        <v>107</v>
      </c>
      <c r="C2364" s="18" t="s">
        <v>126</v>
      </c>
      <c r="D2364" s="18">
        <v>87</v>
      </c>
      <c r="E2364" s="18" t="s">
        <v>132</v>
      </c>
      <c r="F2364" s="18" t="str">
        <f>IF(OR(D2364&gt;Answers!L2379,D2364&lt;Answers!L2380),"Outlier","Normal")</f>
        <v>Outlier</v>
      </c>
      <c r="G2364" s="19" t="str">
        <f t="shared" si="36"/>
        <v>40-50</v>
      </c>
    </row>
    <row r="2365" spans="1:7" ht="20" customHeight="1" x14ac:dyDescent="0.35">
      <c r="A2365" s="17">
        <v>2364</v>
      </c>
      <c r="B2365" s="23" t="s">
        <v>107</v>
      </c>
      <c r="C2365" s="18" t="s">
        <v>126</v>
      </c>
      <c r="D2365" s="18">
        <v>63</v>
      </c>
      <c r="E2365" s="18" t="s">
        <v>132</v>
      </c>
      <c r="F2365" s="18" t="str">
        <f>IF(OR(D2365&gt;Answers!L2380,D2365&lt;Answers!L2381),"Outlier","Normal")</f>
        <v>Outlier</v>
      </c>
      <c r="G2365" s="19" t="str">
        <f t="shared" si="36"/>
        <v>40-50</v>
      </c>
    </row>
    <row r="2366" spans="1:7" ht="20" customHeight="1" x14ac:dyDescent="0.35">
      <c r="A2366" s="17">
        <v>2365</v>
      </c>
      <c r="B2366" s="23" t="s">
        <v>108</v>
      </c>
      <c r="C2366" s="18" t="s">
        <v>125</v>
      </c>
      <c r="D2366" s="18">
        <v>33</v>
      </c>
      <c r="E2366" s="18" t="s">
        <v>132</v>
      </c>
      <c r="F2366" s="18" t="str">
        <f>IF(OR(D2366&gt;Answers!L2381,D2366&lt;Answers!L2382),"Outlier","Normal")</f>
        <v>Outlier</v>
      </c>
      <c r="G2366" s="19" t="str">
        <f t="shared" si="36"/>
        <v>30-40</v>
      </c>
    </row>
    <row r="2367" spans="1:7" ht="20" customHeight="1" x14ac:dyDescent="0.35">
      <c r="A2367" s="17">
        <v>2366</v>
      </c>
      <c r="B2367" s="23" t="s">
        <v>106</v>
      </c>
      <c r="C2367" s="18" t="s">
        <v>125</v>
      </c>
      <c r="D2367" s="18">
        <v>90</v>
      </c>
      <c r="E2367" s="18" t="s">
        <v>132</v>
      </c>
      <c r="F2367" s="18" t="str">
        <f>IF(OR(D2367&gt;Answers!L2382,D2367&lt;Answers!L2383),"Outlier","Normal")</f>
        <v>Outlier</v>
      </c>
      <c r="G2367" s="19" t="str">
        <f t="shared" si="36"/>
        <v>40-50</v>
      </c>
    </row>
    <row r="2368" spans="1:7" ht="20" customHeight="1" x14ac:dyDescent="0.35">
      <c r="A2368" s="17">
        <v>2367</v>
      </c>
      <c r="B2368" s="23" t="s">
        <v>99</v>
      </c>
      <c r="C2368" s="18" t="s">
        <v>126</v>
      </c>
      <c r="D2368" s="18">
        <v>68</v>
      </c>
      <c r="E2368" s="18" t="s">
        <v>132</v>
      </c>
      <c r="F2368" s="18" t="str">
        <f>IF(OR(D2368&gt;Answers!L2383,D2368&lt;Answers!L2384),"Outlier","Normal")</f>
        <v>Outlier</v>
      </c>
      <c r="G2368" s="19" t="str">
        <f t="shared" si="36"/>
        <v>40-50</v>
      </c>
    </row>
    <row r="2369" spans="1:7" ht="20" customHeight="1" x14ac:dyDescent="0.35">
      <c r="A2369" s="17">
        <v>2368</v>
      </c>
      <c r="B2369" s="23" t="s">
        <v>110</v>
      </c>
      <c r="C2369" s="18" t="s">
        <v>126</v>
      </c>
      <c r="D2369" s="18">
        <v>81</v>
      </c>
      <c r="E2369" s="18" t="s">
        <v>132</v>
      </c>
      <c r="F2369" s="18" t="str">
        <f>IF(OR(D2369&gt;Answers!L2384,D2369&lt;Answers!L2385),"Outlier","Normal")</f>
        <v>Outlier</v>
      </c>
      <c r="G2369" s="19" t="str">
        <f t="shared" si="36"/>
        <v>40-50</v>
      </c>
    </row>
    <row r="2370" spans="1:7" ht="20" customHeight="1" x14ac:dyDescent="0.35">
      <c r="A2370" s="17">
        <v>2369</v>
      </c>
      <c r="B2370" s="23" t="s">
        <v>107</v>
      </c>
      <c r="C2370" s="18" t="s">
        <v>126</v>
      </c>
      <c r="D2370" s="18">
        <v>90</v>
      </c>
      <c r="E2370" s="18" t="s">
        <v>132</v>
      </c>
      <c r="F2370" s="18" t="str">
        <f>IF(OR(D2370&gt;Answers!L2385,D2370&lt;Answers!L2386),"Outlier","Normal")</f>
        <v>Outlier</v>
      </c>
      <c r="G2370" s="19" t="str">
        <f t="shared" si="36"/>
        <v>40-50</v>
      </c>
    </row>
    <row r="2371" spans="1:7" ht="20" customHeight="1" x14ac:dyDescent="0.35">
      <c r="A2371" s="17">
        <v>2370</v>
      </c>
      <c r="B2371" s="23" t="s">
        <v>99</v>
      </c>
      <c r="C2371" s="18" t="s">
        <v>125</v>
      </c>
      <c r="D2371" s="18">
        <v>26</v>
      </c>
      <c r="E2371" s="18" t="s">
        <v>132</v>
      </c>
      <c r="F2371" s="18" t="str">
        <f>IF(OR(D2371&gt;Answers!L2386,D2371&lt;Answers!L2387),"Outlier","Normal")</f>
        <v>Outlier</v>
      </c>
      <c r="G2371" s="19" t="str">
        <f t="shared" ref="G2371:G2434" si="37">IF(D2371&lt;20,"&lt;20",
IF(D2371&lt;=30,"20-30",
IF(D2371&lt;=40,"30-40","40-50")))</f>
        <v>20-30</v>
      </c>
    </row>
    <row r="2372" spans="1:7" ht="20" customHeight="1" x14ac:dyDescent="0.35">
      <c r="A2372" s="17">
        <v>2371</v>
      </c>
      <c r="B2372" s="23" t="s">
        <v>104</v>
      </c>
      <c r="C2372" s="18" t="s">
        <v>126</v>
      </c>
      <c r="D2372" s="18">
        <v>88</v>
      </c>
      <c r="E2372" s="18" t="s">
        <v>132</v>
      </c>
      <c r="F2372" s="18" t="str">
        <f>IF(OR(D2372&gt;Answers!L2387,D2372&lt;Answers!L2388),"Outlier","Normal")</f>
        <v>Outlier</v>
      </c>
      <c r="G2372" s="19" t="str">
        <f t="shared" si="37"/>
        <v>40-50</v>
      </c>
    </row>
    <row r="2373" spans="1:7" ht="20" customHeight="1" x14ac:dyDescent="0.35">
      <c r="A2373" s="17">
        <v>2372</v>
      </c>
      <c r="B2373" s="23" t="s">
        <v>99</v>
      </c>
      <c r="C2373" s="18" t="s">
        <v>125</v>
      </c>
      <c r="D2373" s="18">
        <v>58</v>
      </c>
      <c r="E2373" s="18" t="s">
        <v>132</v>
      </c>
      <c r="F2373" s="18" t="str">
        <f>IF(OR(D2373&gt;Answers!L2388,D2373&lt;Answers!L2389),"Outlier","Normal")</f>
        <v>Outlier</v>
      </c>
      <c r="G2373" s="19" t="str">
        <f t="shared" si="37"/>
        <v>40-50</v>
      </c>
    </row>
    <row r="2374" spans="1:7" ht="20" customHeight="1" x14ac:dyDescent="0.35">
      <c r="A2374" s="17">
        <v>2373</v>
      </c>
      <c r="B2374" s="23" t="s">
        <v>102</v>
      </c>
      <c r="C2374" s="18" t="s">
        <v>125</v>
      </c>
      <c r="D2374" s="18">
        <v>61</v>
      </c>
      <c r="E2374" s="18" t="s">
        <v>132</v>
      </c>
      <c r="F2374" s="18" t="str">
        <f>IF(OR(D2374&gt;Answers!L2389,D2374&lt;Answers!L2390),"Outlier","Normal")</f>
        <v>Outlier</v>
      </c>
      <c r="G2374" s="19" t="str">
        <f t="shared" si="37"/>
        <v>40-50</v>
      </c>
    </row>
    <row r="2375" spans="1:7" ht="20" customHeight="1" x14ac:dyDescent="0.35">
      <c r="A2375" s="17">
        <v>2374</v>
      </c>
      <c r="B2375" s="23" t="s">
        <v>99</v>
      </c>
      <c r="C2375" s="18" t="s">
        <v>126</v>
      </c>
      <c r="D2375" s="18">
        <v>77</v>
      </c>
      <c r="E2375" s="18" t="s">
        <v>132</v>
      </c>
      <c r="F2375" s="18" t="str">
        <f>IF(OR(D2375&gt;Answers!L2390,D2375&lt;Answers!L2391),"Outlier","Normal")</f>
        <v>Outlier</v>
      </c>
      <c r="G2375" s="19" t="str">
        <f t="shared" si="37"/>
        <v>40-50</v>
      </c>
    </row>
    <row r="2376" spans="1:7" ht="20" customHeight="1" x14ac:dyDescent="0.35">
      <c r="A2376" s="17">
        <v>2375</v>
      </c>
      <c r="B2376" s="23" t="s">
        <v>100</v>
      </c>
      <c r="C2376" s="18" t="s">
        <v>126</v>
      </c>
      <c r="D2376" s="18">
        <v>72</v>
      </c>
      <c r="E2376" s="18" t="s">
        <v>132</v>
      </c>
      <c r="F2376" s="18" t="str">
        <f>IF(OR(D2376&gt;Answers!L2391,D2376&lt;Answers!L2392),"Outlier","Normal")</f>
        <v>Outlier</v>
      </c>
      <c r="G2376" s="19" t="str">
        <f t="shared" si="37"/>
        <v>40-50</v>
      </c>
    </row>
    <row r="2377" spans="1:7" ht="20" customHeight="1" x14ac:dyDescent="0.35">
      <c r="A2377" s="17">
        <v>2376</v>
      </c>
      <c r="B2377" s="23" t="s">
        <v>99</v>
      </c>
      <c r="C2377" s="18" t="s">
        <v>126</v>
      </c>
      <c r="D2377" s="18">
        <v>30</v>
      </c>
      <c r="E2377" s="18" t="s">
        <v>132</v>
      </c>
      <c r="F2377" s="18" t="str">
        <f>IF(OR(D2377&gt;Answers!L2392,D2377&lt;Answers!L2393),"Outlier","Normal")</f>
        <v>Outlier</v>
      </c>
      <c r="G2377" s="19" t="str">
        <f t="shared" si="37"/>
        <v>20-30</v>
      </c>
    </row>
    <row r="2378" spans="1:7" ht="20" customHeight="1" x14ac:dyDescent="0.35">
      <c r="A2378" s="17">
        <v>2377</v>
      </c>
      <c r="B2378" s="23" t="s">
        <v>105</v>
      </c>
      <c r="C2378" s="18" t="s">
        <v>126</v>
      </c>
      <c r="D2378" s="18">
        <v>78</v>
      </c>
      <c r="E2378" s="18" t="s">
        <v>132</v>
      </c>
      <c r="F2378" s="18" t="str">
        <f>IF(OR(D2378&gt;Answers!L2393,D2378&lt;Answers!L2394),"Outlier","Normal")</f>
        <v>Outlier</v>
      </c>
      <c r="G2378" s="19" t="str">
        <f t="shared" si="37"/>
        <v>40-50</v>
      </c>
    </row>
    <row r="2379" spans="1:7" ht="20" customHeight="1" x14ac:dyDescent="0.35">
      <c r="A2379" s="17">
        <v>2378</v>
      </c>
      <c r="B2379" s="23" t="s">
        <v>101</v>
      </c>
      <c r="C2379" s="18" t="s">
        <v>125</v>
      </c>
      <c r="D2379" s="18">
        <v>72</v>
      </c>
      <c r="E2379" s="18" t="s">
        <v>132</v>
      </c>
      <c r="F2379" s="18" t="str">
        <f>IF(OR(D2379&gt;Answers!L2394,D2379&lt;Answers!L2395),"Outlier","Normal")</f>
        <v>Outlier</v>
      </c>
      <c r="G2379" s="19" t="str">
        <f t="shared" si="37"/>
        <v>40-50</v>
      </c>
    </row>
    <row r="2380" spans="1:7" ht="20" customHeight="1" x14ac:dyDescent="0.35">
      <c r="A2380" s="17">
        <v>2379</v>
      </c>
      <c r="B2380" s="23" t="s">
        <v>99</v>
      </c>
      <c r="C2380" s="18" t="s">
        <v>125</v>
      </c>
      <c r="D2380" s="18">
        <v>78</v>
      </c>
      <c r="E2380" s="18" t="s">
        <v>132</v>
      </c>
      <c r="F2380" s="18" t="str">
        <f>IF(OR(D2380&gt;Answers!L2395,D2380&lt;Answers!L2396),"Outlier","Normal")</f>
        <v>Outlier</v>
      </c>
      <c r="G2380" s="19" t="str">
        <f t="shared" si="37"/>
        <v>40-50</v>
      </c>
    </row>
    <row r="2381" spans="1:7" ht="20" customHeight="1" x14ac:dyDescent="0.35">
      <c r="A2381" s="17">
        <v>2380</v>
      </c>
      <c r="B2381" s="23" t="s">
        <v>101</v>
      </c>
      <c r="C2381" s="18" t="s">
        <v>126</v>
      </c>
      <c r="D2381" s="18">
        <v>33</v>
      </c>
      <c r="E2381" s="18" t="s">
        <v>132</v>
      </c>
      <c r="F2381" s="18" t="str">
        <f>IF(OR(D2381&gt;Answers!L2396,D2381&lt;Answers!L2397),"Outlier","Normal")</f>
        <v>Outlier</v>
      </c>
      <c r="G2381" s="19" t="str">
        <f t="shared" si="37"/>
        <v>30-40</v>
      </c>
    </row>
    <row r="2382" spans="1:7" ht="20" customHeight="1" x14ac:dyDescent="0.35">
      <c r="A2382" s="17">
        <v>2381</v>
      </c>
      <c r="B2382" s="23" t="s">
        <v>99</v>
      </c>
      <c r="C2382" s="18" t="s">
        <v>126</v>
      </c>
      <c r="D2382" s="18">
        <v>59</v>
      </c>
      <c r="E2382" s="18" t="s">
        <v>132</v>
      </c>
      <c r="F2382" s="18" t="str">
        <f>IF(OR(D2382&gt;Answers!L2397,D2382&lt;Answers!L2398),"Outlier","Normal")</f>
        <v>Outlier</v>
      </c>
      <c r="G2382" s="19" t="str">
        <f t="shared" si="37"/>
        <v>40-50</v>
      </c>
    </row>
    <row r="2383" spans="1:7" ht="20" customHeight="1" x14ac:dyDescent="0.35">
      <c r="A2383" s="17">
        <v>2382</v>
      </c>
      <c r="B2383" s="23" t="s">
        <v>100</v>
      </c>
      <c r="C2383" s="18" t="s">
        <v>125</v>
      </c>
      <c r="D2383" s="18">
        <v>53</v>
      </c>
      <c r="E2383" s="18" t="s">
        <v>132</v>
      </c>
      <c r="F2383" s="18" t="str">
        <f>IF(OR(D2383&gt;Answers!L2398,D2383&lt;Answers!L2399),"Outlier","Normal")</f>
        <v>Outlier</v>
      </c>
      <c r="G2383" s="19" t="str">
        <f t="shared" si="37"/>
        <v>40-50</v>
      </c>
    </row>
    <row r="2384" spans="1:7" ht="20" customHeight="1" x14ac:dyDescent="0.35">
      <c r="A2384" s="17">
        <v>2383</v>
      </c>
      <c r="B2384" s="23" t="s">
        <v>99</v>
      </c>
      <c r="C2384" s="18" t="s">
        <v>126</v>
      </c>
      <c r="D2384" s="18">
        <v>37</v>
      </c>
      <c r="E2384" s="18" t="s">
        <v>132</v>
      </c>
      <c r="F2384" s="18" t="str">
        <f>IF(OR(D2384&gt;Answers!L2399,D2384&lt;Answers!L2400),"Outlier","Normal")</f>
        <v>Outlier</v>
      </c>
      <c r="G2384" s="19" t="str">
        <f t="shared" si="37"/>
        <v>30-40</v>
      </c>
    </row>
    <row r="2385" spans="1:7" ht="20" customHeight="1" x14ac:dyDescent="0.35">
      <c r="A2385" s="17">
        <v>2384</v>
      </c>
      <c r="B2385" s="23" t="s">
        <v>99</v>
      </c>
      <c r="C2385" s="18" t="s">
        <v>125</v>
      </c>
      <c r="D2385" s="18">
        <v>36</v>
      </c>
      <c r="E2385" s="18" t="s">
        <v>132</v>
      </c>
      <c r="F2385" s="18" t="str">
        <f>IF(OR(D2385&gt;Answers!L2400,D2385&lt;Answers!L2401),"Outlier","Normal")</f>
        <v>Outlier</v>
      </c>
      <c r="G2385" s="19" t="str">
        <f t="shared" si="37"/>
        <v>30-40</v>
      </c>
    </row>
    <row r="2386" spans="1:7" ht="20" customHeight="1" x14ac:dyDescent="0.35">
      <c r="A2386" s="17">
        <v>2385</v>
      </c>
      <c r="B2386" s="23" t="s">
        <v>99</v>
      </c>
      <c r="C2386" s="18" t="s">
        <v>125</v>
      </c>
      <c r="D2386" s="18">
        <v>53</v>
      </c>
      <c r="E2386" s="18" t="s">
        <v>132</v>
      </c>
      <c r="F2386" s="18" t="str">
        <f>IF(OR(D2386&gt;Answers!L2401,D2386&lt;Answers!L2402),"Outlier","Normal")</f>
        <v>Outlier</v>
      </c>
      <c r="G2386" s="19" t="str">
        <f t="shared" si="37"/>
        <v>40-50</v>
      </c>
    </row>
    <row r="2387" spans="1:7" ht="20" customHeight="1" x14ac:dyDescent="0.35">
      <c r="A2387" s="17">
        <v>2386</v>
      </c>
      <c r="B2387" s="23" t="s">
        <v>105</v>
      </c>
      <c r="C2387" s="18" t="s">
        <v>126</v>
      </c>
      <c r="D2387" s="18">
        <v>41</v>
      </c>
      <c r="E2387" s="18" t="s">
        <v>132</v>
      </c>
      <c r="F2387" s="18" t="str">
        <f>IF(OR(D2387&gt;Answers!L2402,D2387&lt;Answers!L2403),"Outlier","Normal")</f>
        <v>Outlier</v>
      </c>
      <c r="G2387" s="19" t="str">
        <f t="shared" si="37"/>
        <v>40-50</v>
      </c>
    </row>
    <row r="2388" spans="1:7" ht="20" customHeight="1" x14ac:dyDescent="0.35">
      <c r="A2388" s="17">
        <v>2387</v>
      </c>
      <c r="B2388" s="23" t="s">
        <v>105</v>
      </c>
      <c r="C2388" s="18" t="s">
        <v>126</v>
      </c>
      <c r="D2388" s="18">
        <v>30</v>
      </c>
      <c r="E2388" s="18" t="s">
        <v>132</v>
      </c>
      <c r="F2388" s="18" t="str">
        <f>IF(OR(D2388&gt;Answers!L2403,D2388&lt;Answers!L2404),"Outlier","Normal")</f>
        <v>Outlier</v>
      </c>
      <c r="G2388" s="19" t="str">
        <f t="shared" si="37"/>
        <v>20-30</v>
      </c>
    </row>
    <row r="2389" spans="1:7" ht="20" customHeight="1" x14ac:dyDescent="0.35">
      <c r="A2389" s="17">
        <v>2388</v>
      </c>
      <c r="B2389" s="23" t="s">
        <v>99</v>
      </c>
      <c r="C2389" s="18" t="s">
        <v>126</v>
      </c>
      <c r="D2389" s="18">
        <v>61</v>
      </c>
      <c r="E2389" s="18" t="s">
        <v>132</v>
      </c>
      <c r="F2389" s="18" t="str">
        <f>IF(OR(D2389&gt;Answers!L2404,D2389&lt;Answers!L2405),"Outlier","Normal")</f>
        <v>Outlier</v>
      </c>
      <c r="G2389" s="19" t="str">
        <f t="shared" si="37"/>
        <v>40-50</v>
      </c>
    </row>
    <row r="2390" spans="1:7" ht="20" customHeight="1" x14ac:dyDescent="0.35">
      <c r="A2390" s="17">
        <v>2389</v>
      </c>
      <c r="B2390" s="23" t="s">
        <v>99</v>
      </c>
      <c r="C2390" s="18" t="s">
        <v>125</v>
      </c>
      <c r="D2390" s="18">
        <v>69</v>
      </c>
      <c r="E2390" s="18" t="s">
        <v>132</v>
      </c>
      <c r="F2390" s="18" t="str">
        <f>IF(OR(D2390&gt;Answers!L2405,D2390&lt;Answers!L2406),"Outlier","Normal")</f>
        <v>Outlier</v>
      </c>
      <c r="G2390" s="19" t="str">
        <f t="shared" si="37"/>
        <v>40-50</v>
      </c>
    </row>
    <row r="2391" spans="1:7" ht="20" customHeight="1" x14ac:dyDescent="0.35">
      <c r="A2391" s="17">
        <v>2390</v>
      </c>
      <c r="B2391" s="23" t="s">
        <v>100</v>
      </c>
      <c r="C2391" s="18" t="s">
        <v>126</v>
      </c>
      <c r="D2391" s="18">
        <v>82</v>
      </c>
      <c r="E2391" s="18" t="s">
        <v>132</v>
      </c>
      <c r="F2391" s="18" t="str">
        <f>IF(OR(D2391&gt;Answers!L2406,D2391&lt;Answers!L2407),"Outlier","Normal")</f>
        <v>Outlier</v>
      </c>
      <c r="G2391" s="19" t="str">
        <f t="shared" si="37"/>
        <v>40-50</v>
      </c>
    </row>
    <row r="2392" spans="1:7" ht="20" customHeight="1" x14ac:dyDescent="0.35">
      <c r="A2392" s="17">
        <v>2391</v>
      </c>
      <c r="B2392" s="23" t="s">
        <v>99</v>
      </c>
      <c r="C2392" s="18" t="s">
        <v>126</v>
      </c>
      <c r="D2392" s="18">
        <v>19</v>
      </c>
      <c r="E2392" s="18" t="s">
        <v>132</v>
      </c>
      <c r="F2392" s="18" t="str">
        <f>IF(OR(D2392&gt;Answers!L2407,D2392&lt;Answers!L2408),"Outlier","Normal")</f>
        <v>Outlier</v>
      </c>
      <c r="G2392" s="19" t="str">
        <f t="shared" si="37"/>
        <v>&lt;20</v>
      </c>
    </row>
    <row r="2393" spans="1:7" ht="20" customHeight="1" x14ac:dyDescent="0.35">
      <c r="A2393" s="17">
        <v>2392</v>
      </c>
      <c r="B2393" s="23" t="s">
        <v>101</v>
      </c>
      <c r="C2393" s="18" t="s">
        <v>125</v>
      </c>
      <c r="D2393" s="18">
        <v>42</v>
      </c>
      <c r="E2393" s="18" t="s">
        <v>132</v>
      </c>
      <c r="F2393" s="18" t="str">
        <f>IF(OR(D2393&gt;Answers!L2408,D2393&lt;Answers!L2409),"Outlier","Normal")</f>
        <v>Outlier</v>
      </c>
      <c r="G2393" s="19" t="str">
        <f t="shared" si="37"/>
        <v>40-50</v>
      </c>
    </row>
    <row r="2394" spans="1:7" ht="20" customHeight="1" x14ac:dyDescent="0.35">
      <c r="A2394" s="17">
        <v>2393</v>
      </c>
      <c r="B2394" s="23" t="s">
        <v>107</v>
      </c>
      <c r="C2394" s="18" t="s">
        <v>125</v>
      </c>
      <c r="D2394" s="18">
        <v>43</v>
      </c>
      <c r="E2394" s="18" t="s">
        <v>132</v>
      </c>
      <c r="F2394" s="18" t="str">
        <f>IF(OR(D2394&gt;Answers!L2409,D2394&lt;Answers!L2410),"Outlier","Normal")</f>
        <v>Outlier</v>
      </c>
      <c r="G2394" s="19" t="str">
        <f t="shared" si="37"/>
        <v>40-50</v>
      </c>
    </row>
    <row r="2395" spans="1:7" ht="20" customHeight="1" x14ac:dyDescent="0.35">
      <c r="A2395" s="17">
        <v>2394</v>
      </c>
      <c r="B2395" s="23" t="s">
        <v>105</v>
      </c>
      <c r="C2395" s="18" t="s">
        <v>126</v>
      </c>
      <c r="D2395" s="18">
        <v>74</v>
      </c>
      <c r="E2395" s="18" t="s">
        <v>132</v>
      </c>
      <c r="F2395" s="18" t="str">
        <f>IF(OR(D2395&gt;Answers!L2410,D2395&lt;Answers!L2411),"Outlier","Normal")</f>
        <v>Outlier</v>
      </c>
      <c r="G2395" s="19" t="str">
        <f t="shared" si="37"/>
        <v>40-50</v>
      </c>
    </row>
    <row r="2396" spans="1:7" ht="20" customHeight="1" x14ac:dyDescent="0.35">
      <c r="A2396" s="17">
        <v>2395</v>
      </c>
      <c r="B2396" s="23" t="s">
        <v>99</v>
      </c>
      <c r="C2396" s="18" t="s">
        <v>126</v>
      </c>
      <c r="D2396" s="18">
        <v>35</v>
      </c>
      <c r="E2396" s="18" t="s">
        <v>132</v>
      </c>
      <c r="F2396" s="18" t="str">
        <f>IF(OR(D2396&gt;Answers!L2411,D2396&lt;Answers!L2412),"Outlier","Normal")</f>
        <v>Outlier</v>
      </c>
      <c r="G2396" s="19" t="str">
        <f t="shared" si="37"/>
        <v>30-40</v>
      </c>
    </row>
    <row r="2397" spans="1:7" ht="20" customHeight="1" x14ac:dyDescent="0.35">
      <c r="A2397" s="17">
        <v>2396</v>
      </c>
      <c r="B2397" s="23" t="s">
        <v>99</v>
      </c>
      <c r="C2397" s="18" t="s">
        <v>126</v>
      </c>
      <c r="D2397" s="18">
        <v>19</v>
      </c>
      <c r="E2397" s="18" t="s">
        <v>132</v>
      </c>
      <c r="F2397" s="18" t="str">
        <f>IF(OR(D2397&gt;Answers!L2412,D2397&lt;Answers!L2413),"Outlier","Normal")</f>
        <v>Outlier</v>
      </c>
      <c r="G2397" s="19" t="str">
        <f t="shared" si="37"/>
        <v>&lt;20</v>
      </c>
    </row>
    <row r="2398" spans="1:7" ht="20" customHeight="1" x14ac:dyDescent="0.35">
      <c r="A2398" s="17">
        <v>2397</v>
      </c>
      <c r="B2398" s="23" t="s">
        <v>99</v>
      </c>
      <c r="C2398" s="18" t="s">
        <v>126</v>
      </c>
      <c r="D2398" s="18">
        <v>77</v>
      </c>
      <c r="E2398" s="18" t="s">
        <v>132</v>
      </c>
      <c r="F2398" s="18" t="str">
        <f>IF(OR(D2398&gt;Answers!L2413,D2398&lt;Answers!L2414),"Outlier","Normal")</f>
        <v>Outlier</v>
      </c>
      <c r="G2398" s="19" t="str">
        <f t="shared" si="37"/>
        <v>40-50</v>
      </c>
    </row>
    <row r="2399" spans="1:7" ht="20" customHeight="1" x14ac:dyDescent="0.35">
      <c r="A2399" s="17">
        <v>2398</v>
      </c>
      <c r="B2399" s="23" t="s">
        <v>100</v>
      </c>
      <c r="C2399" s="18" t="s">
        <v>126</v>
      </c>
      <c r="D2399" s="18">
        <v>46</v>
      </c>
      <c r="E2399" s="18" t="s">
        <v>132</v>
      </c>
      <c r="F2399" s="18" t="str">
        <f>IF(OR(D2399&gt;Answers!L2414,D2399&lt;Answers!L2415),"Outlier","Normal")</f>
        <v>Outlier</v>
      </c>
      <c r="G2399" s="19" t="str">
        <f t="shared" si="37"/>
        <v>40-50</v>
      </c>
    </row>
    <row r="2400" spans="1:7" ht="20" customHeight="1" x14ac:dyDescent="0.35">
      <c r="A2400" s="17">
        <v>2399</v>
      </c>
      <c r="B2400" s="23" t="s">
        <v>99</v>
      </c>
      <c r="C2400" s="18" t="s">
        <v>125</v>
      </c>
      <c r="D2400" s="18">
        <v>32</v>
      </c>
      <c r="E2400" s="18" t="s">
        <v>132</v>
      </c>
      <c r="F2400" s="18" t="str">
        <f>IF(OR(D2400&gt;Answers!L2415,D2400&lt;Answers!L2416),"Outlier","Normal")</f>
        <v>Outlier</v>
      </c>
      <c r="G2400" s="19" t="str">
        <f t="shared" si="37"/>
        <v>30-40</v>
      </c>
    </row>
    <row r="2401" spans="1:7" ht="20" customHeight="1" x14ac:dyDescent="0.35">
      <c r="A2401" s="17">
        <v>2400</v>
      </c>
      <c r="B2401" s="23" t="s">
        <v>99</v>
      </c>
      <c r="C2401" s="18" t="s">
        <v>125</v>
      </c>
      <c r="D2401" s="18">
        <v>64</v>
      </c>
      <c r="E2401" s="18" t="s">
        <v>132</v>
      </c>
      <c r="F2401" s="18" t="str">
        <f>IF(OR(D2401&gt;Answers!L2416,D2401&lt;Answers!L2417),"Outlier","Normal")</f>
        <v>Outlier</v>
      </c>
      <c r="G2401" s="19" t="str">
        <f t="shared" si="37"/>
        <v>40-50</v>
      </c>
    </row>
    <row r="2402" spans="1:7" ht="20" customHeight="1" x14ac:dyDescent="0.35">
      <c r="A2402" s="17">
        <v>2401</v>
      </c>
      <c r="B2402" s="23" t="s">
        <v>99</v>
      </c>
      <c r="C2402" s="18" t="s">
        <v>125</v>
      </c>
      <c r="D2402" s="18">
        <v>34</v>
      </c>
      <c r="E2402" s="18" t="s">
        <v>132</v>
      </c>
      <c r="F2402" s="18" t="str">
        <f>IF(OR(D2402&gt;Answers!L2417,D2402&lt;Answers!L2418),"Outlier","Normal")</f>
        <v>Outlier</v>
      </c>
      <c r="G2402" s="19" t="str">
        <f t="shared" si="37"/>
        <v>30-40</v>
      </c>
    </row>
    <row r="2403" spans="1:7" ht="20" customHeight="1" x14ac:dyDescent="0.35">
      <c r="A2403" s="17">
        <v>2402</v>
      </c>
      <c r="B2403" s="23" t="s">
        <v>100</v>
      </c>
      <c r="C2403" s="18" t="s">
        <v>125</v>
      </c>
      <c r="D2403" s="18">
        <v>61</v>
      </c>
      <c r="E2403" s="18" t="s">
        <v>132</v>
      </c>
      <c r="F2403" s="18" t="str">
        <f>IF(OR(D2403&gt;Answers!L2418,D2403&lt;Answers!L2419),"Outlier","Normal")</f>
        <v>Outlier</v>
      </c>
      <c r="G2403" s="19" t="str">
        <f t="shared" si="37"/>
        <v>40-50</v>
      </c>
    </row>
    <row r="2404" spans="1:7" ht="20" customHeight="1" x14ac:dyDescent="0.35">
      <c r="A2404" s="17">
        <v>2403</v>
      </c>
      <c r="B2404" s="23" t="s">
        <v>106</v>
      </c>
      <c r="C2404" s="18" t="s">
        <v>126</v>
      </c>
      <c r="D2404" s="18">
        <v>87</v>
      </c>
      <c r="E2404" s="18" t="s">
        <v>132</v>
      </c>
      <c r="F2404" s="18" t="str">
        <f>IF(OR(D2404&gt;Answers!L2419,D2404&lt;Answers!L2420),"Outlier","Normal")</f>
        <v>Outlier</v>
      </c>
      <c r="G2404" s="19" t="str">
        <f t="shared" si="37"/>
        <v>40-50</v>
      </c>
    </row>
    <row r="2405" spans="1:7" ht="20" customHeight="1" x14ac:dyDescent="0.35">
      <c r="A2405" s="17">
        <v>2404</v>
      </c>
      <c r="B2405" s="23" t="s">
        <v>101</v>
      </c>
      <c r="C2405" s="18" t="s">
        <v>125</v>
      </c>
      <c r="D2405" s="18">
        <v>39</v>
      </c>
      <c r="E2405" s="18" t="s">
        <v>132</v>
      </c>
      <c r="F2405" s="18" t="str">
        <f>IF(OR(D2405&gt;Answers!L2420,D2405&lt;Answers!L2421),"Outlier","Normal")</f>
        <v>Outlier</v>
      </c>
      <c r="G2405" s="19" t="str">
        <f t="shared" si="37"/>
        <v>30-40</v>
      </c>
    </row>
    <row r="2406" spans="1:7" ht="20" customHeight="1" x14ac:dyDescent="0.35">
      <c r="A2406" s="17">
        <v>2405</v>
      </c>
      <c r="B2406" s="23" t="s">
        <v>99</v>
      </c>
      <c r="C2406" s="18" t="s">
        <v>126</v>
      </c>
      <c r="D2406" s="18">
        <v>63</v>
      </c>
      <c r="E2406" s="18" t="s">
        <v>132</v>
      </c>
      <c r="F2406" s="18" t="str">
        <f>IF(OR(D2406&gt;Answers!L2421,D2406&lt;Answers!L2422),"Outlier","Normal")</f>
        <v>Outlier</v>
      </c>
      <c r="G2406" s="19" t="str">
        <f t="shared" si="37"/>
        <v>40-50</v>
      </c>
    </row>
    <row r="2407" spans="1:7" ht="20" customHeight="1" x14ac:dyDescent="0.35">
      <c r="A2407" s="17">
        <v>2406</v>
      </c>
      <c r="B2407" s="23" t="s">
        <v>99</v>
      </c>
      <c r="C2407" s="18" t="s">
        <v>125</v>
      </c>
      <c r="D2407" s="18">
        <v>76</v>
      </c>
      <c r="E2407" s="18" t="s">
        <v>132</v>
      </c>
      <c r="F2407" s="18" t="str">
        <f>IF(OR(D2407&gt;Answers!L2422,D2407&lt;Answers!L2423),"Outlier","Normal")</f>
        <v>Outlier</v>
      </c>
      <c r="G2407" s="19" t="str">
        <f t="shared" si="37"/>
        <v>40-50</v>
      </c>
    </row>
    <row r="2408" spans="1:7" ht="20" customHeight="1" x14ac:dyDescent="0.35">
      <c r="A2408" s="17">
        <v>2407</v>
      </c>
      <c r="B2408" s="23" t="s">
        <v>99</v>
      </c>
      <c r="C2408" s="18" t="s">
        <v>125</v>
      </c>
      <c r="D2408" s="18">
        <v>78</v>
      </c>
      <c r="E2408" s="18" t="s">
        <v>132</v>
      </c>
      <c r="F2408" s="18" t="str">
        <f>IF(OR(D2408&gt;Answers!L2423,D2408&lt;Answers!L2424),"Outlier","Normal")</f>
        <v>Outlier</v>
      </c>
      <c r="G2408" s="19" t="str">
        <f t="shared" si="37"/>
        <v>40-50</v>
      </c>
    </row>
    <row r="2409" spans="1:7" ht="20" customHeight="1" x14ac:dyDescent="0.35">
      <c r="A2409" s="17">
        <v>2408</v>
      </c>
      <c r="B2409" s="23" t="s">
        <v>99</v>
      </c>
      <c r="C2409" s="18" t="s">
        <v>126</v>
      </c>
      <c r="D2409" s="18">
        <v>27</v>
      </c>
      <c r="E2409" s="18" t="s">
        <v>132</v>
      </c>
      <c r="F2409" s="18" t="str">
        <f>IF(OR(D2409&gt;Answers!L2424,D2409&lt;Answers!L2425),"Outlier","Normal")</f>
        <v>Outlier</v>
      </c>
      <c r="G2409" s="19" t="str">
        <f t="shared" si="37"/>
        <v>20-30</v>
      </c>
    </row>
    <row r="2410" spans="1:7" ht="20" customHeight="1" x14ac:dyDescent="0.35">
      <c r="A2410" s="17">
        <v>2409</v>
      </c>
      <c r="B2410" s="23" t="s">
        <v>101</v>
      </c>
      <c r="C2410" s="18" t="s">
        <v>126</v>
      </c>
      <c r="D2410" s="18">
        <v>30</v>
      </c>
      <c r="E2410" s="18" t="s">
        <v>132</v>
      </c>
      <c r="F2410" s="18" t="str">
        <f>IF(OR(D2410&gt;Answers!L2425,D2410&lt;Answers!L2426),"Outlier","Normal")</f>
        <v>Outlier</v>
      </c>
      <c r="G2410" s="19" t="str">
        <f t="shared" si="37"/>
        <v>20-30</v>
      </c>
    </row>
    <row r="2411" spans="1:7" ht="20" customHeight="1" x14ac:dyDescent="0.35">
      <c r="A2411" s="17">
        <v>2410</v>
      </c>
      <c r="B2411" s="23" t="s">
        <v>100</v>
      </c>
      <c r="C2411" s="18" t="s">
        <v>125</v>
      </c>
      <c r="D2411" s="18">
        <v>89</v>
      </c>
      <c r="E2411" s="18" t="s">
        <v>132</v>
      </c>
      <c r="F2411" s="18" t="str">
        <f>IF(OR(D2411&gt;Answers!L2426,D2411&lt;Answers!L2427),"Outlier","Normal")</f>
        <v>Outlier</v>
      </c>
      <c r="G2411" s="19" t="str">
        <f t="shared" si="37"/>
        <v>40-50</v>
      </c>
    </row>
    <row r="2412" spans="1:7" ht="20" customHeight="1" x14ac:dyDescent="0.35">
      <c r="A2412" s="17">
        <v>2411</v>
      </c>
      <c r="B2412" s="23" t="s">
        <v>104</v>
      </c>
      <c r="C2412" s="18" t="s">
        <v>125</v>
      </c>
      <c r="D2412" s="18">
        <v>88</v>
      </c>
      <c r="E2412" s="18" t="s">
        <v>132</v>
      </c>
      <c r="F2412" s="18" t="str">
        <f>IF(OR(D2412&gt;Answers!L2427,D2412&lt;Answers!L2428),"Outlier","Normal")</f>
        <v>Outlier</v>
      </c>
      <c r="G2412" s="19" t="str">
        <f t="shared" si="37"/>
        <v>40-50</v>
      </c>
    </row>
    <row r="2413" spans="1:7" ht="20" customHeight="1" x14ac:dyDescent="0.35">
      <c r="A2413" s="17">
        <v>2412</v>
      </c>
      <c r="B2413" s="23" t="s">
        <v>99</v>
      </c>
      <c r="C2413" s="18" t="s">
        <v>125</v>
      </c>
      <c r="D2413" s="18">
        <v>19</v>
      </c>
      <c r="E2413" s="18" t="s">
        <v>132</v>
      </c>
      <c r="F2413" s="18" t="str">
        <f>IF(OR(D2413&gt;Answers!L2428,D2413&lt;Answers!L2429),"Outlier","Normal")</f>
        <v>Outlier</v>
      </c>
      <c r="G2413" s="19" t="str">
        <f t="shared" si="37"/>
        <v>&lt;20</v>
      </c>
    </row>
    <row r="2414" spans="1:7" ht="20" customHeight="1" x14ac:dyDescent="0.35">
      <c r="A2414" s="17">
        <v>2413</v>
      </c>
      <c r="B2414" s="23" t="s">
        <v>106</v>
      </c>
      <c r="C2414" s="18" t="s">
        <v>125</v>
      </c>
      <c r="D2414" s="18">
        <v>31</v>
      </c>
      <c r="E2414" s="18" t="s">
        <v>132</v>
      </c>
      <c r="F2414" s="18" t="str">
        <f>IF(OR(D2414&gt;Answers!L2429,D2414&lt;Answers!L2430),"Outlier","Normal")</f>
        <v>Outlier</v>
      </c>
      <c r="G2414" s="19" t="str">
        <f t="shared" si="37"/>
        <v>30-40</v>
      </c>
    </row>
    <row r="2415" spans="1:7" ht="20" customHeight="1" x14ac:dyDescent="0.35">
      <c r="A2415" s="17">
        <v>2414</v>
      </c>
      <c r="B2415" s="23" t="s">
        <v>105</v>
      </c>
      <c r="C2415" s="18" t="s">
        <v>126</v>
      </c>
      <c r="D2415" s="18">
        <v>34</v>
      </c>
      <c r="E2415" s="18" t="s">
        <v>132</v>
      </c>
      <c r="F2415" s="18" t="str">
        <f>IF(OR(D2415&gt;Answers!L2430,D2415&lt;Answers!L2431),"Outlier","Normal")</f>
        <v>Outlier</v>
      </c>
      <c r="G2415" s="19" t="str">
        <f t="shared" si="37"/>
        <v>30-40</v>
      </c>
    </row>
    <row r="2416" spans="1:7" ht="20" customHeight="1" x14ac:dyDescent="0.35">
      <c r="A2416" s="17">
        <v>2415</v>
      </c>
      <c r="B2416" s="23" t="s">
        <v>103</v>
      </c>
      <c r="C2416" s="18" t="s">
        <v>126</v>
      </c>
      <c r="D2416" s="18">
        <v>54</v>
      </c>
      <c r="E2416" s="18" t="s">
        <v>132</v>
      </c>
      <c r="F2416" s="18" t="str">
        <f>IF(OR(D2416&gt;Answers!L2431,D2416&lt;Answers!L2432),"Outlier","Normal")</f>
        <v>Outlier</v>
      </c>
      <c r="G2416" s="19" t="str">
        <f t="shared" si="37"/>
        <v>40-50</v>
      </c>
    </row>
    <row r="2417" spans="1:7" ht="20" customHeight="1" x14ac:dyDescent="0.35">
      <c r="A2417" s="17">
        <v>2416</v>
      </c>
      <c r="B2417" s="23" t="s">
        <v>105</v>
      </c>
      <c r="C2417" s="18" t="s">
        <v>126</v>
      </c>
      <c r="D2417" s="18">
        <v>26</v>
      </c>
      <c r="E2417" s="18" t="s">
        <v>132</v>
      </c>
      <c r="F2417" s="18" t="str">
        <f>IF(OR(D2417&gt;Answers!L2432,D2417&lt;Answers!L2433),"Outlier","Normal")</f>
        <v>Outlier</v>
      </c>
      <c r="G2417" s="19" t="str">
        <f t="shared" si="37"/>
        <v>20-30</v>
      </c>
    </row>
    <row r="2418" spans="1:7" ht="20" customHeight="1" x14ac:dyDescent="0.35">
      <c r="A2418" s="17">
        <v>2417</v>
      </c>
      <c r="B2418" s="23" t="s">
        <v>99</v>
      </c>
      <c r="C2418" s="18" t="s">
        <v>125</v>
      </c>
      <c r="D2418" s="18">
        <v>52</v>
      </c>
      <c r="E2418" s="18" t="s">
        <v>132</v>
      </c>
      <c r="F2418" s="18" t="str">
        <f>IF(OR(D2418&gt;Answers!L2433,D2418&lt;Answers!L2434),"Outlier","Normal")</f>
        <v>Outlier</v>
      </c>
      <c r="G2418" s="19" t="str">
        <f t="shared" si="37"/>
        <v>40-50</v>
      </c>
    </row>
    <row r="2419" spans="1:7" ht="20" customHeight="1" x14ac:dyDescent="0.35">
      <c r="A2419" s="17">
        <v>2418</v>
      </c>
      <c r="B2419" s="23" t="s">
        <v>99</v>
      </c>
      <c r="C2419" s="18" t="s">
        <v>125</v>
      </c>
      <c r="D2419" s="18">
        <v>65</v>
      </c>
      <c r="E2419" s="18" t="s">
        <v>132</v>
      </c>
      <c r="F2419" s="18" t="str">
        <f>IF(OR(D2419&gt;Answers!L2434,D2419&lt;Answers!L2435),"Outlier","Normal")</f>
        <v>Outlier</v>
      </c>
      <c r="G2419" s="19" t="str">
        <f t="shared" si="37"/>
        <v>40-50</v>
      </c>
    </row>
    <row r="2420" spans="1:7" ht="20" customHeight="1" x14ac:dyDescent="0.35">
      <c r="A2420" s="17">
        <v>2419</v>
      </c>
      <c r="B2420" s="23" t="s">
        <v>107</v>
      </c>
      <c r="C2420" s="18" t="s">
        <v>125</v>
      </c>
      <c r="D2420" s="18">
        <v>83</v>
      </c>
      <c r="E2420" s="18" t="s">
        <v>132</v>
      </c>
      <c r="F2420" s="18" t="str">
        <f>IF(OR(D2420&gt;Answers!L2435,D2420&lt;Answers!L2436),"Outlier","Normal")</f>
        <v>Outlier</v>
      </c>
      <c r="G2420" s="19" t="str">
        <f t="shared" si="37"/>
        <v>40-50</v>
      </c>
    </row>
    <row r="2421" spans="1:7" ht="20" customHeight="1" x14ac:dyDescent="0.35">
      <c r="A2421" s="17">
        <v>2420</v>
      </c>
      <c r="B2421" s="23" t="s">
        <v>100</v>
      </c>
      <c r="C2421" s="18" t="s">
        <v>125</v>
      </c>
      <c r="D2421" s="18">
        <v>65</v>
      </c>
      <c r="E2421" s="18" t="s">
        <v>132</v>
      </c>
      <c r="F2421" s="18" t="str">
        <f>IF(OR(D2421&gt;Answers!L2436,D2421&lt;Answers!L2437),"Outlier","Normal")</f>
        <v>Outlier</v>
      </c>
      <c r="G2421" s="19" t="str">
        <f t="shared" si="37"/>
        <v>40-50</v>
      </c>
    </row>
    <row r="2422" spans="1:7" ht="20" customHeight="1" x14ac:dyDescent="0.35">
      <c r="A2422" s="17">
        <v>2421</v>
      </c>
      <c r="B2422" s="23" t="s">
        <v>107</v>
      </c>
      <c r="C2422" s="18" t="s">
        <v>126</v>
      </c>
      <c r="D2422" s="18">
        <v>78</v>
      </c>
      <c r="E2422" s="18" t="s">
        <v>132</v>
      </c>
      <c r="F2422" s="18" t="str">
        <f>IF(OR(D2422&gt;Answers!L2437,D2422&lt;Answers!L2438),"Outlier","Normal")</f>
        <v>Outlier</v>
      </c>
      <c r="G2422" s="19" t="str">
        <f t="shared" si="37"/>
        <v>40-50</v>
      </c>
    </row>
    <row r="2423" spans="1:7" ht="20" customHeight="1" x14ac:dyDescent="0.35">
      <c r="A2423" s="17">
        <v>2422</v>
      </c>
      <c r="B2423" s="23" t="s">
        <v>99</v>
      </c>
      <c r="C2423" s="18" t="s">
        <v>125</v>
      </c>
      <c r="D2423" s="18">
        <v>31</v>
      </c>
      <c r="E2423" s="18" t="s">
        <v>132</v>
      </c>
      <c r="F2423" s="18" t="str">
        <f>IF(OR(D2423&gt;Answers!L2438,D2423&lt;Answers!L2439),"Outlier","Normal")</f>
        <v>Outlier</v>
      </c>
      <c r="G2423" s="19" t="str">
        <f t="shared" si="37"/>
        <v>30-40</v>
      </c>
    </row>
    <row r="2424" spans="1:7" ht="20" customHeight="1" x14ac:dyDescent="0.35">
      <c r="A2424" s="17">
        <v>2423</v>
      </c>
      <c r="B2424" s="23" t="s">
        <v>101</v>
      </c>
      <c r="C2424" s="18" t="s">
        <v>126</v>
      </c>
      <c r="D2424" s="18">
        <v>88</v>
      </c>
      <c r="E2424" s="18" t="s">
        <v>132</v>
      </c>
      <c r="F2424" s="18" t="str">
        <f>IF(OR(D2424&gt;Answers!L2439,D2424&lt;Answers!L2440),"Outlier","Normal")</f>
        <v>Outlier</v>
      </c>
      <c r="G2424" s="19" t="str">
        <f t="shared" si="37"/>
        <v>40-50</v>
      </c>
    </row>
    <row r="2425" spans="1:7" ht="20" customHeight="1" x14ac:dyDescent="0.35">
      <c r="A2425" s="17">
        <v>2424</v>
      </c>
      <c r="B2425" s="23" t="s">
        <v>99</v>
      </c>
      <c r="C2425" s="18" t="s">
        <v>126</v>
      </c>
      <c r="D2425" s="18">
        <v>73</v>
      </c>
      <c r="E2425" s="18" t="s">
        <v>132</v>
      </c>
      <c r="F2425" s="18" t="str">
        <f>IF(OR(D2425&gt;Answers!L2440,D2425&lt;Answers!L2441),"Outlier","Normal")</f>
        <v>Outlier</v>
      </c>
      <c r="G2425" s="19" t="str">
        <f t="shared" si="37"/>
        <v>40-50</v>
      </c>
    </row>
    <row r="2426" spans="1:7" ht="20" customHeight="1" x14ac:dyDescent="0.35">
      <c r="A2426" s="17">
        <v>2425</v>
      </c>
      <c r="B2426" s="23" t="s">
        <v>101</v>
      </c>
      <c r="C2426" s="18" t="s">
        <v>125</v>
      </c>
      <c r="D2426" s="18">
        <v>76</v>
      </c>
      <c r="E2426" s="18" t="s">
        <v>132</v>
      </c>
      <c r="F2426" s="18" t="str">
        <f>IF(OR(D2426&gt;Answers!L2441,D2426&lt;Answers!L2442),"Outlier","Normal")</f>
        <v>Outlier</v>
      </c>
      <c r="G2426" s="19" t="str">
        <f t="shared" si="37"/>
        <v>40-50</v>
      </c>
    </row>
    <row r="2427" spans="1:7" ht="20" customHeight="1" x14ac:dyDescent="0.35">
      <c r="A2427" s="17">
        <v>2426</v>
      </c>
      <c r="B2427" s="23" t="s">
        <v>99</v>
      </c>
      <c r="C2427" s="18" t="s">
        <v>125</v>
      </c>
      <c r="D2427" s="18">
        <v>57</v>
      </c>
      <c r="E2427" s="18" t="s">
        <v>132</v>
      </c>
      <c r="F2427" s="18" t="str">
        <f>IF(OR(D2427&gt;Answers!L2442,D2427&lt;Answers!L2443),"Outlier","Normal")</f>
        <v>Outlier</v>
      </c>
      <c r="G2427" s="19" t="str">
        <f t="shared" si="37"/>
        <v>40-50</v>
      </c>
    </row>
    <row r="2428" spans="1:7" ht="20" customHeight="1" x14ac:dyDescent="0.35">
      <c r="A2428" s="17">
        <v>2427</v>
      </c>
      <c r="B2428" s="23" t="s">
        <v>105</v>
      </c>
      <c r="C2428" s="18" t="s">
        <v>126</v>
      </c>
      <c r="D2428" s="18">
        <v>30</v>
      </c>
      <c r="E2428" s="18" t="s">
        <v>132</v>
      </c>
      <c r="F2428" s="18" t="str">
        <f>IF(OR(D2428&gt;Answers!L2443,D2428&lt;Answers!L2444),"Outlier","Normal")</f>
        <v>Outlier</v>
      </c>
      <c r="G2428" s="19" t="str">
        <f t="shared" si="37"/>
        <v>20-30</v>
      </c>
    </row>
    <row r="2429" spans="1:7" ht="20" customHeight="1" x14ac:dyDescent="0.35">
      <c r="A2429" s="17">
        <v>2428</v>
      </c>
      <c r="B2429" s="23" t="s">
        <v>100</v>
      </c>
      <c r="C2429" s="18" t="s">
        <v>126</v>
      </c>
      <c r="D2429" s="18">
        <v>74</v>
      </c>
      <c r="E2429" s="18" t="s">
        <v>132</v>
      </c>
      <c r="F2429" s="18" t="str">
        <f>IF(OR(D2429&gt;Answers!L2444,D2429&lt;Answers!L2445),"Outlier","Normal")</f>
        <v>Outlier</v>
      </c>
      <c r="G2429" s="19" t="str">
        <f t="shared" si="37"/>
        <v>40-50</v>
      </c>
    </row>
    <row r="2430" spans="1:7" ht="20" customHeight="1" x14ac:dyDescent="0.35">
      <c r="A2430" s="17">
        <v>2429</v>
      </c>
      <c r="B2430" s="23" t="s">
        <v>99</v>
      </c>
      <c r="C2430" s="18" t="s">
        <v>125</v>
      </c>
      <c r="D2430" s="18">
        <v>38</v>
      </c>
      <c r="E2430" s="18" t="s">
        <v>132</v>
      </c>
      <c r="F2430" s="18" t="str">
        <f>IF(OR(D2430&gt;Answers!L2445,D2430&lt;Answers!L2446),"Outlier","Normal")</f>
        <v>Outlier</v>
      </c>
      <c r="G2430" s="19" t="str">
        <f t="shared" si="37"/>
        <v>30-40</v>
      </c>
    </row>
    <row r="2431" spans="1:7" ht="20" customHeight="1" x14ac:dyDescent="0.35">
      <c r="A2431" s="17">
        <v>2430</v>
      </c>
      <c r="B2431" s="23" t="s">
        <v>99</v>
      </c>
      <c r="C2431" s="18" t="s">
        <v>126</v>
      </c>
      <c r="D2431" s="18">
        <v>76</v>
      </c>
      <c r="E2431" s="18" t="s">
        <v>132</v>
      </c>
      <c r="F2431" s="18" t="str">
        <f>IF(OR(D2431&gt;Answers!L2446,D2431&lt;Answers!L2447),"Outlier","Normal")</f>
        <v>Outlier</v>
      </c>
      <c r="G2431" s="19" t="str">
        <f t="shared" si="37"/>
        <v>40-50</v>
      </c>
    </row>
    <row r="2432" spans="1:7" ht="20" customHeight="1" x14ac:dyDescent="0.35">
      <c r="A2432" s="17">
        <v>2431</v>
      </c>
      <c r="B2432" s="23" t="s">
        <v>100</v>
      </c>
      <c r="C2432" s="18" t="s">
        <v>126</v>
      </c>
      <c r="D2432" s="18">
        <v>46</v>
      </c>
      <c r="E2432" s="18" t="s">
        <v>132</v>
      </c>
      <c r="F2432" s="18" t="str">
        <f>IF(OR(D2432&gt;Answers!L2447,D2432&lt;Answers!L2448),"Outlier","Normal")</f>
        <v>Outlier</v>
      </c>
      <c r="G2432" s="19" t="str">
        <f t="shared" si="37"/>
        <v>40-50</v>
      </c>
    </row>
    <row r="2433" spans="1:7" ht="20" customHeight="1" x14ac:dyDescent="0.35">
      <c r="A2433" s="17">
        <v>2432</v>
      </c>
      <c r="B2433" s="23" t="s">
        <v>109</v>
      </c>
      <c r="C2433" s="18" t="s">
        <v>125</v>
      </c>
      <c r="D2433" s="18">
        <v>70</v>
      </c>
      <c r="E2433" s="18" t="s">
        <v>132</v>
      </c>
      <c r="F2433" s="18" t="str">
        <f>IF(OR(D2433&gt;Answers!L2448,D2433&lt;Answers!L2449),"Outlier","Normal")</f>
        <v>Outlier</v>
      </c>
      <c r="G2433" s="19" t="str">
        <f t="shared" si="37"/>
        <v>40-50</v>
      </c>
    </row>
    <row r="2434" spans="1:7" ht="20" customHeight="1" x14ac:dyDescent="0.35">
      <c r="A2434" s="17">
        <v>2433</v>
      </c>
      <c r="B2434" s="23" t="s">
        <v>105</v>
      </c>
      <c r="C2434" s="18" t="s">
        <v>126</v>
      </c>
      <c r="D2434" s="18">
        <v>58</v>
      </c>
      <c r="E2434" s="18" t="s">
        <v>132</v>
      </c>
      <c r="F2434" s="18" t="str">
        <f>IF(OR(D2434&gt;Answers!L2449,D2434&lt;Answers!L2450),"Outlier","Normal")</f>
        <v>Outlier</v>
      </c>
      <c r="G2434" s="19" t="str">
        <f t="shared" si="37"/>
        <v>40-50</v>
      </c>
    </row>
    <row r="2435" spans="1:7" ht="20" customHeight="1" x14ac:dyDescent="0.35">
      <c r="A2435" s="17">
        <v>2434</v>
      </c>
      <c r="B2435" s="23" t="s">
        <v>101</v>
      </c>
      <c r="C2435" s="18" t="s">
        <v>125</v>
      </c>
      <c r="D2435" s="18">
        <v>29</v>
      </c>
      <c r="E2435" s="18" t="s">
        <v>132</v>
      </c>
      <c r="F2435" s="18" t="str">
        <f>IF(OR(D2435&gt;Answers!L2450,D2435&lt;Answers!L2451),"Outlier","Normal")</f>
        <v>Outlier</v>
      </c>
      <c r="G2435" s="19" t="str">
        <f t="shared" ref="G2435:G2498" si="38">IF(D2435&lt;20,"&lt;20",
IF(D2435&lt;=30,"20-30",
IF(D2435&lt;=40,"30-40","40-50")))</f>
        <v>20-30</v>
      </c>
    </row>
    <row r="2436" spans="1:7" ht="20" customHeight="1" x14ac:dyDescent="0.35">
      <c r="A2436" s="17">
        <v>2435</v>
      </c>
      <c r="B2436" s="23" t="s">
        <v>105</v>
      </c>
      <c r="C2436" s="18" t="s">
        <v>126</v>
      </c>
      <c r="D2436" s="18">
        <v>82</v>
      </c>
      <c r="E2436" s="18" t="s">
        <v>132</v>
      </c>
      <c r="F2436" s="18" t="str">
        <f>IF(OR(D2436&gt;Answers!L2451,D2436&lt;Answers!L2452),"Outlier","Normal")</f>
        <v>Outlier</v>
      </c>
      <c r="G2436" s="19" t="str">
        <f t="shared" si="38"/>
        <v>40-50</v>
      </c>
    </row>
    <row r="2437" spans="1:7" ht="20" customHeight="1" x14ac:dyDescent="0.35">
      <c r="A2437" s="17">
        <v>2436</v>
      </c>
      <c r="B2437" s="23" t="s">
        <v>99</v>
      </c>
      <c r="C2437" s="18" t="s">
        <v>125</v>
      </c>
      <c r="D2437" s="18">
        <v>42</v>
      </c>
      <c r="E2437" s="18" t="s">
        <v>132</v>
      </c>
      <c r="F2437" s="18" t="str">
        <f>IF(OR(D2437&gt;Answers!L2452,D2437&lt;Answers!L2453),"Outlier","Normal")</f>
        <v>Outlier</v>
      </c>
      <c r="G2437" s="19" t="str">
        <f t="shared" si="38"/>
        <v>40-50</v>
      </c>
    </row>
    <row r="2438" spans="1:7" ht="20" customHeight="1" x14ac:dyDescent="0.35">
      <c r="A2438" s="17">
        <v>2437</v>
      </c>
      <c r="B2438" s="23" t="s">
        <v>108</v>
      </c>
      <c r="C2438" s="18" t="s">
        <v>125</v>
      </c>
      <c r="D2438" s="18">
        <v>65</v>
      </c>
      <c r="E2438" s="18" t="s">
        <v>132</v>
      </c>
      <c r="F2438" s="18" t="str">
        <f>IF(OR(D2438&gt;Answers!L2453,D2438&lt;Answers!L2454),"Outlier","Normal")</f>
        <v>Outlier</v>
      </c>
      <c r="G2438" s="19" t="str">
        <f t="shared" si="38"/>
        <v>40-50</v>
      </c>
    </row>
    <row r="2439" spans="1:7" ht="20" customHeight="1" x14ac:dyDescent="0.35">
      <c r="A2439" s="17">
        <v>2438</v>
      </c>
      <c r="B2439" s="23" t="s">
        <v>105</v>
      </c>
      <c r="C2439" s="18" t="s">
        <v>125</v>
      </c>
      <c r="D2439" s="18">
        <v>25</v>
      </c>
      <c r="E2439" s="18" t="s">
        <v>132</v>
      </c>
      <c r="F2439" s="18" t="str">
        <f>IF(OR(D2439&gt;Answers!L2454,D2439&lt;Answers!L2455),"Outlier","Normal")</f>
        <v>Outlier</v>
      </c>
      <c r="G2439" s="19" t="str">
        <f t="shared" si="38"/>
        <v>20-30</v>
      </c>
    </row>
    <row r="2440" spans="1:7" ht="20" customHeight="1" x14ac:dyDescent="0.35">
      <c r="A2440" s="17">
        <v>2439</v>
      </c>
      <c r="B2440" s="23" t="s">
        <v>99</v>
      </c>
      <c r="C2440" s="18" t="s">
        <v>125</v>
      </c>
      <c r="D2440" s="18">
        <v>84</v>
      </c>
      <c r="E2440" s="18" t="s">
        <v>132</v>
      </c>
      <c r="F2440" s="18" t="str">
        <f>IF(OR(D2440&gt;Answers!L2455,D2440&lt;Answers!L2456),"Outlier","Normal")</f>
        <v>Outlier</v>
      </c>
      <c r="G2440" s="19" t="str">
        <f t="shared" si="38"/>
        <v>40-50</v>
      </c>
    </row>
    <row r="2441" spans="1:7" ht="20" customHeight="1" x14ac:dyDescent="0.35">
      <c r="A2441" s="17">
        <v>2440</v>
      </c>
      <c r="B2441" s="23" t="s">
        <v>107</v>
      </c>
      <c r="C2441" s="18" t="s">
        <v>125</v>
      </c>
      <c r="D2441" s="18">
        <v>61</v>
      </c>
      <c r="E2441" s="18" t="s">
        <v>132</v>
      </c>
      <c r="F2441" s="18" t="str">
        <f>IF(OR(D2441&gt;Answers!L2456,D2441&lt;Answers!L2457),"Outlier","Normal")</f>
        <v>Outlier</v>
      </c>
      <c r="G2441" s="19" t="str">
        <f t="shared" si="38"/>
        <v>40-50</v>
      </c>
    </row>
    <row r="2442" spans="1:7" ht="20" customHeight="1" x14ac:dyDescent="0.35">
      <c r="A2442" s="17">
        <v>2441</v>
      </c>
      <c r="B2442" s="23" t="s">
        <v>99</v>
      </c>
      <c r="C2442" s="18" t="s">
        <v>126</v>
      </c>
      <c r="D2442" s="18">
        <v>68</v>
      </c>
      <c r="E2442" s="18" t="s">
        <v>132</v>
      </c>
      <c r="F2442" s="18" t="str">
        <f>IF(OR(D2442&gt;Answers!L2457,D2442&lt;Answers!L2458),"Outlier","Normal")</f>
        <v>Outlier</v>
      </c>
      <c r="G2442" s="19" t="str">
        <f t="shared" si="38"/>
        <v>40-50</v>
      </c>
    </row>
    <row r="2443" spans="1:7" ht="20" customHeight="1" x14ac:dyDescent="0.35">
      <c r="A2443" s="17">
        <v>2442</v>
      </c>
      <c r="B2443" s="23" t="s">
        <v>99</v>
      </c>
      <c r="C2443" s="18" t="s">
        <v>125</v>
      </c>
      <c r="D2443" s="18">
        <v>70</v>
      </c>
      <c r="E2443" s="18" t="s">
        <v>132</v>
      </c>
      <c r="F2443" s="18" t="str">
        <f>IF(OR(D2443&gt;Answers!L2458,D2443&lt;Answers!L2459),"Outlier","Normal")</f>
        <v>Outlier</v>
      </c>
      <c r="G2443" s="19" t="str">
        <f t="shared" si="38"/>
        <v>40-50</v>
      </c>
    </row>
    <row r="2444" spans="1:7" ht="20" customHeight="1" x14ac:dyDescent="0.35">
      <c r="A2444" s="17">
        <v>2443</v>
      </c>
      <c r="B2444" s="23" t="s">
        <v>105</v>
      </c>
      <c r="C2444" s="18" t="s">
        <v>125</v>
      </c>
      <c r="D2444" s="18">
        <v>23</v>
      </c>
      <c r="E2444" s="18" t="s">
        <v>132</v>
      </c>
      <c r="F2444" s="18" t="str">
        <f>IF(OR(D2444&gt;Answers!L2459,D2444&lt;Answers!L2460),"Outlier","Normal")</f>
        <v>Outlier</v>
      </c>
      <c r="G2444" s="19" t="str">
        <f t="shared" si="38"/>
        <v>20-30</v>
      </c>
    </row>
    <row r="2445" spans="1:7" ht="20" customHeight="1" x14ac:dyDescent="0.35">
      <c r="A2445" s="17">
        <v>2444</v>
      </c>
      <c r="B2445" s="23" t="s">
        <v>105</v>
      </c>
      <c r="C2445" s="18" t="s">
        <v>126</v>
      </c>
      <c r="D2445" s="18">
        <v>89</v>
      </c>
      <c r="E2445" s="18" t="s">
        <v>132</v>
      </c>
      <c r="F2445" s="18" t="str">
        <f>IF(OR(D2445&gt;Answers!L2460,D2445&lt;Answers!L2461),"Outlier","Normal")</f>
        <v>Outlier</v>
      </c>
      <c r="G2445" s="19" t="str">
        <f t="shared" si="38"/>
        <v>40-50</v>
      </c>
    </row>
    <row r="2446" spans="1:7" ht="20" customHeight="1" x14ac:dyDescent="0.35">
      <c r="A2446" s="17">
        <v>2445</v>
      </c>
      <c r="B2446" s="23" t="s">
        <v>99</v>
      </c>
      <c r="C2446" s="18" t="s">
        <v>125</v>
      </c>
      <c r="D2446" s="18">
        <v>46</v>
      </c>
      <c r="E2446" s="18" t="s">
        <v>132</v>
      </c>
      <c r="F2446" s="18" t="str">
        <f>IF(OR(D2446&gt;Answers!L2461,D2446&lt;Answers!L2462),"Outlier","Normal")</f>
        <v>Outlier</v>
      </c>
      <c r="G2446" s="19" t="str">
        <f t="shared" si="38"/>
        <v>40-50</v>
      </c>
    </row>
    <row r="2447" spans="1:7" ht="20" customHeight="1" x14ac:dyDescent="0.35">
      <c r="A2447" s="17">
        <v>2446</v>
      </c>
      <c r="B2447" s="23" t="s">
        <v>100</v>
      </c>
      <c r="C2447" s="18" t="s">
        <v>125</v>
      </c>
      <c r="D2447" s="18">
        <v>47</v>
      </c>
      <c r="E2447" s="18" t="s">
        <v>132</v>
      </c>
      <c r="F2447" s="18" t="str">
        <f>IF(OR(D2447&gt;Answers!L2462,D2447&lt;Answers!L2463),"Outlier","Normal")</f>
        <v>Outlier</v>
      </c>
      <c r="G2447" s="19" t="str">
        <f t="shared" si="38"/>
        <v>40-50</v>
      </c>
    </row>
    <row r="2448" spans="1:7" ht="20" customHeight="1" x14ac:dyDescent="0.35">
      <c r="A2448" s="17">
        <v>2447</v>
      </c>
      <c r="B2448" s="23" t="s">
        <v>110</v>
      </c>
      <c r="C2448" s="18" t="s">
        <v>126</v>
      </c>
      <c r="D2448" s="18">
        <v>25</v>
      </c>
      <c r="E2448" s="18" t="s">
        <v>132</v>
      </c>
      <c r="F2448" s="18" t="str">
        <f>IF(OR(D2448&gt;Answers!L2463,D2448&lt;Answers!L2464),"Outlier","Normal")</f>
        <v>Outlier</v>
      </c>
      <c r="G2448" s="19" t="str">
        <f t="shared" si="38"/>
        <v>20-30</v>
      </c>
    </row>
    <row r="2449" spans="1:7" ht="20" customHeight="1" x14ac:dyDescent="0.35">
      <c r="A2449" s="17">
        <v>2448</v>
      </c>
      <c r="B2449" s="23" t="s">
        <v>105</v>
      </c>
      <c r="C2449" s="18" t="s">
        <v>126</v>
      </c>
      <c r="D2449" s="18">
        <v>55</v>
      </c>
      <c r="E2449" s="18" t="s">
        <v>132</v>
      </c>
      <c r="F2449" s="18" t="str">
        <f>IF(OR(D2449&gt;Answers!L2464,D2449&lt;Answers!L2465),"Outlier","Normal")</f>
        <v>Outlier</v>
      </c>
      <c r="G2449" s="19" t="str">
        <f t="shared" si="38"/>
        <v>40-50</v>
      </c>
    </row>
    <row r="2450" spans="1:7" ht="20" customHeight="1" x14ac:dyDescent="0.35">
      <c r="A2450" s="17">
        <v>2449</v>
      </c>
      <c r="B2450" s="23" t="s">
        <v>105</v>
      </c>
      <c r="C2450" s="18" t="s">
        <v>125</v>
      </c>
      <c r="D2450" s="18">
        <v>57</v>
      </c>
      <c r="E2450" s="18" t="s">
        <v>132</v>
      </c>
      <c r="F2450" s="18" t="str">
        <f>IF(OR(D2450&gt;Answers!L2465,D2450&lt;Answers!L2466),"Outlier","Normal")</f>
        <v>Outlier</v>
      </c>
      <c r="G2450" s="19" t="str">
        <f t="shared" si="38"/>
        <v>40-50</v>
      </c>
    </row>
    <row r="2451" spans="1:7" ht="20" customHeight="1" x14ac:dyDescent="0.35">
      <c r="A2451" s="17">
        <v>2450</v>
      </c>
      <c r="B2451" s="23" t="s">
        <v>105</v>
      </c>
      <c r="C2451" s="18" t="s">
        <v>125</v>
      </c>
      <c r="D2451" s="18">
        <v>21</v>
      </c>
      <c r="E2451" s="18" t="s">
        <v>132</v>
      </c>
      <c r="F2451" s="18" t="str">
        <f>IF(OR(D2451&gt;Answers!L2466,D2451&lt;Answers!L2467),"Outlier","Normal")</f>
        <v>Outlier</v>
      </c>
      <c r="G2451" s="19" t="str">
        <f t="shared" si="38"/>
        <v>20-30</v>
      </c>
    </row>
    <row r="2452" spans="1:7" ht="20" customHeight="1" x14ac:dyDescent="0.35">
      <c r="A2452" s="17">
        <v>2451</v>
      </c>
      <c r="B2452" s="23" t="s">
        <v>99</v>
      </c>
      <c r="C2452" s="18" t="s">
        <v>126</v>
      </c>
      <c r="D2452" s="18">
        <v>89</v>
      </c>
      <c r="E2452" s="18" t="s">
        <v>132</v>
      </c>
      <c r="F2452" s="18" t="str">
        <f>IF(OR(D2452&gt;Answers!L2467,D2452&lt;Answers!L2468),"Outlier","Normal")</f>
        <v>Outlier</v>
      </c>
      <c r="G2452" s="19" t="str">
        <f t="shared" si="38"/>
        <v>40-50</v>
      </c>
    </row>
    <row r="2453" spans="1:7" ht="20" customHeight="1" x14ac:dyDescent="0.35">
      <c r="A2453" s="17">
        <v>2452</v>
      </c>
      <c r="B2453" s="23" t="s">
        <v>106</v>
      </c>
      <c r="C2453" s="18" t="s">
        <v>126</v>
      </c>
      <c r="D2453" s="18">
        <v>48</v>
      </c>
      <c r="E2453" s="18" t="s">
        <v>132</v>
      </c>
      <c r="F2453" s="18" t="str">
        <f>IF(OR(D2453&gt;Answers!L2468,D2453&lt;Answers!L2469),"Outlier","Normal")</f>
        <v>Outlier</v>
      </c>
      <c r="G2453" s="19" t="str">
        <f t="shared" si="38"/>
        <v>40-50</v>
      </c>
    </row>
    <row r="2454" spans="1:7" ht="20" customHeight="1" x14ac:dyDescent="0.35">
      <c r="A2454" s="17">
        <v>2453</v>
      </c>
      <c r="B2454" s="23" t="s">
        <v>99</v>
      </c>
      <c r="C2454" s="18" t="s">
        <v>125</v>
      </c>
      <c r="D2454" s="18">
        <v>37</v>
      </c>
      <c r="E2454" s="18" t="s">
        <v>132</v>
      </c>
      <c r="F2454" s="18" t="str">
        <f>IF(OR(D2454&gt;Answers!L2469,D2454&lt;Answers!L2470),"Outlier","Normal")</f>
        <v>Outlier</v>
      </c>
      <c r="G2454" s="19" t="str">
        <f t="shared" si="38"/>
        <v>30-40</v>
      </c>
    </row>
    <row r="2455" spans="1:7" ht="20" customHeight="1" x14ac:dyDescent="0.35">
      <c r="A2455" s="17">
        <v>2454</v>
      </c>
      <c r="B2455" s="23" t="s">
        <v>105</v>
      </c>
      <c r="C2455" s="18" t="s">
        <v>125</v>
      </c>
      <c r="D2455" s="18">
        <v>21</v>
      </c>
      <c r="E2455" s="18" t="s">
        <v>132</v>
      </c>
      <c r="F2455" s="18" t="str">
        <f>IF(OR(D2455&gt;Answers!L2470,D2455&lt;Answers!L2471),"Outlier","Normal")</f>
        <v>Outlier</v>
      </c>
      <c r="G2455" s="19" t="str">
        <f t="shared" si="38"/>
        <v>20-30</v>
      </c>
    </row>
    <row r="2456" spans="1:7" ht="20" customHeight="1" x14ac:dyDescent="0.35">
      <c r="A2456" s="17">
        <v>2455</v>
      </c>
      <c r="B2456" s="23" t="s">
        <v>99</v>
      </c>
      <c r="C2456" s="18" t="s">
        <v>125</v>
      </c>
      <c r="D2456" s="18">
        <v>68</v>
      </c>
      <c r="E2456" s="18" t="s">
        <v>132</v>
      </c>
      <c r="F2456" s="18" t="str">
        <f>IF(OR(D2456&gt;Answers!L2471,D2456&lt;Answers!L2472),"Outlier","Normal")</f>
        <v>Outlier</v>
      </c>
      <c r="G2456" s="19" t="str">
        <f t="shared" si="38"/>
        <v>40-50</v>
      </c>
    </row>
    <row r="2457" spans="1:7" ht="20" customHeight="1" x14ac:dyDescent="0.35">
      <c r="A2457" s="17">
        <v>2456</v>
      </c>
      <c r="B2457" s="23" t="s">
        <v>100</v>
      </c>
      <c r="C2457" s="18" t="s">
        <v>125</v>
      </c>
      <c r="D2457" s="18">
        <v>77</v>
      </c>
      <c r="E2457" s="18" t="s">
        <v>132</v>
      </c>
      <c r="F2457" s="18" t="str">
        <f>IF(OR(D2457&gt;Answers!L2472,D2457&lt;Answers!L2473),"Outlier","Normal")</f>
        <v>Outlier</v>
      </c>
      <c r="G2457" s="19" t="str">
        <f t="shared" si="38"/>
        <v>40-50</v>
      </c>
    </row>
    <row r="2458" spans="1:7" ht="20" customHeight="1" x14ac:dyDescent="0.35">
      <c r="A2458" s="17">
        <v>2457</v>
      </c>
      <c r="B2458" s="23" t="s">
        <v>99</v>
      </c>
      <c r="C2458" s="18" t="s">
        <v>125</v>
      </c>
      <c r="D2458" s="18">
        <v>50</v>
      </c>
      <c r="E2458" s="18" t="s">
        <v>132</v>
      </c>
      <c r="F2458" s="18" t="str">
        <f>IF(OR(D2458&gt;Answers!L2473,D2458&lt;Answers!L2474),"Outlier","Normal")</f>
        <v>Outlier</v>
      </c>
      <c r="G2458" s="19" t="str">
        <f t="shared" si="38"/>
        <v>40-50</v>
      </c>
    </row>
    <row r="2459" spans="1:7" ht="20" customHeight="1" x14ac:dyDescent="0.35">
      <c r="A2459" s="17">
        <v>2458</v>
      </c>
      <c r="B2459" s="23" t="s">
        <v>99</v>
      </c>
      <c r="C2459" s="18" t="s">
        <v>125</v>
      </c>
      <c r="D2459" s="18">
        <v>72</v>
      </c>
      <c r="E2459" s="18" t="s">
        <v>132</v>
      </c>
      <c r="F2459" s="18" t="str">
        <f>IF(OR(D2459&gt;Answers!L2474,D2459&lt;Answers!L2475),"Outlier","Normal")</f>
        <v>Outlier</v>
      </c>
      <c r="G2459" s="19" t="str">
        <f t="shared" si="38"/>
        <v>40-50</v>
      </c>
    </row>
    <row r="2460" spans="1:7" ht="20" customHeight="1" x14ac:dyDescent="0.35">
      <c r="A2460" s="17">
        <v>2459</v>
      </c>
      <c r="B2460" s="23" t="s">
        <v>99</v>
      </c>
      <c r="C2460" s="18" t="s">
        <v>125</v>
      </c>
      <c r="D2460" s="18">
        <v>72</v>
      </c>
      <c r="E2460" s="18" t="s">
        <v>132</v>
      </c>
      <c r="F2460" s="18" t="str">
        <f>IF(OR(D2460&gt;Answers!L2475,D2460&lt;Answers!L2476),"Outlier","Normal")</f>
        <v>Outlier</v>
      </c>
      <c r="G2460" s="19" t="str">
        <f t="shared" si="38"/>
        <v>40-50</v>
      </c>
    </row>
    <row r="2461" spans="1:7" ht="20" customHeight="1" x14ac:dyDescent="0.35">
      <c r="A2461" s="17">
        <v>2460</v>
      </c>
      <c r="B2461" s="23" t="s">
        <v>103</v>
      </c>
      <c r="C2461" s="18" t="s">
        <v>126</v>
      </c>
      <c r="D2461" s="18">
        <v>67</v>
      </c>
      <c r="E2461" s="18" t="s">
        <v>132</v>
      </c>
      <c r="F2461" s="18" t="str">
        <f>IF(OR(D2461&gt;Answers!L2476,D2461&lt;Answers!L2477),"Outlier","Normal")</f>
        <v>Outlier</v>
      </c>
      <c r="G2461" s="19" t="str">
        <f t="shared" si="38"/>
        <v>40-50</v>
      </c>
    </row>
    <row r="2462" spans="1:7" ht="20" customHeight="1" x14ac:dyDescent="0.35">
      <c r="A2462" s="17">
        <v>2461</v>
      </c>
      <c r="B2462" s="23" t="s">
        <v>99</v>
      </c>
      <c r="C2462" s="18" t="s">
        <v>125</v>
      </c>
      <c r="D2462" s="18">
        <v>40</v>
      </c>
      <c r="E2462" s="18" t="s">
        <v>132</v>
      </c>
      <c r="F2462" s="18" t="str">
        <f>IF(OR(D2462&gt;Answers!L2477,D2462&lt;Answers!L2478),"Outlier","Normal")</f>
        <v>Outlier</v>
      </c>
      <c r="G2462" s="19" t="str">
        <f t="shared" si="38"/>
        <v>30-40</v>
      </c>
    </row>
    <row r="2463" spans="1:7" ht="20" customHeight="1" x14ac:dyDescent="0.35">
      <c r="A2463" s="17">
        <v>2462</v>
      </c>
      <c r="B2463" s="23" t="s">
        <v>99</v>
      </c>
      <c r="C2463" s="18" t="s">
        <v>125</v>
      </c>
      <c r="D2463" s="18">
        <v>50</v>
      </c>
      <c r="E2463" s="18" t="s">
        <v>132</v>
      </c>
      <c r="F2463" s="18" t="str">
        <f>IF(OR(D2463&gt;Answers!L2478,D2463&lt;Answers!L2479),"Outlier","Normal")</f>
        <v>Outlier</v>
      </c>
      <c r="G2463" s="19" t="str">
        <f t="shared" si="38"/>
        <v>40-50</v>
      </c>
    </row>
    <row r="2464" spans="1:7" ht="20" customHeight="1" x14ac:dyDescent="0.35">
      <c r="A2464" s="17">
        <v>2463</v>
      </c>
      <c r="B2464" s="23" t="s">
        <v>99</v>
      </c>
      <c r="C2464" s="18" t="s">
        <v>125</v>
      </c>
      <c r="D2464" s="18">
        <v>58</v>
      </c>
      <c r="E2464" s="18" t="s">
        <v>132</v>
      </c>
      <c r="F2464" s="18" t="str">
        <f>IF(OR(D2464&gt;Answers!L2479,D2464&lt;Answers!L2480),"Outlier","Normal")</f>
        <v>Outlier</v>
      </c>
      <c r="G2464" s="19" t="str">
        <f t="shared" si="38"/>
        <v>40-50</v>
      </c>
    </row>
    <row r="2465" spans="1:7" ht="20" customHeight="1" x14ac:dyDescent="0.35">
      <c r="A2465" s="17">
        <v>2464</v>
      </c>
      <c r="B2465" s="23" t="s">
        <v>100</v>
      </c>
      <c r="C2465" s="18" t="s">
        <v>126</v>
      </c>
      <c r="D2465" s="18">
        <v>57</v>
      </c>
      <c r="E2465" s="18" t="s">
        <v>132</v>
      </c>
      <c r="F2465" s="18" t="str">
        <f>IF(OR(D2465&gt;Answers!L2480,D2465&lt;Answers!L2481),"Outlier","Normal")</f>
        <v>Outlier</v>
      </c>
      <c r="G2465" s="19" t="str">
        <f t="shared" si="38"/>
        <v>40-50</v>
      </c>
    </row>
    <row r="2466" spans="1:7" ht="20" customHeight="1" x14ac:dyDescent="0.35">
      <c r="A2466" s="17">
        <v>2465</v>
      </c>
      <c r="B2466" s="23" t="s">
        <v>101</v>
      </c>
      <c r="C2466" s="18" t="s">
        <v>126</v>
      </c>
      <c r="D2466" s="18">
        <v>38</v>
      </c>
      <c r="E2466" s="18" t="s">
        <v>132</v>
      </c>
      <c r="F2466" s="18" t="str">
        <f>IF(OR(D2466&gt;Answers!L2481,D2466&lt;Answers!L2482),"Outlier","Normal")</f>
        <v>Outlier</v>
      </c>
      <c r="G2466" s="19" t="str">
        <f t="shared" si="38"/>
        <v>30-40</v>
      </c>
    </row>
    <row r="2467" spans="1:7" ht="20" customHeight="1" x14ac:dyDescent="0.35">
      <c r="A2467" s="17">
        <v>2466</v>
      </c>
      <c r="B2467" s="23" t="s">
        <v>99</v>
      </c>
      <c r="C2467" s="18" t="s">
        <v>126</v>
      </c>
      <c r="D2467" s="18">
        <v>39</v>
      </c>
      <c r="E2467" s="18" t="s">
        <v>132</v>
      </c>
      <c r="F2467" s="18" t="str">
        <f>IF(OR(D2467&gt;Answers!L2482,D2467&lt;Answers!L2483),"Outlier","Normal")</f>
        <v>Outlier</v>
      </c>
      <c r="G2467" s="19" t="str">
        <f t="shared" si="38"/>
        <v>30-40</v>
      </c>
    </row>
    <row r="2468" spans="1:7" ht="20" customHeight="1" x14ac:dyDescent="0.35">
      <c r="A2468" s="17">
        <v>2467</v>
      </c>
      <c r="B2468" s="23" t="s">
        <v>100</v>
      </c>
      <c r="C2468" s="18" t="s">
        <v>125</v>
      </c>
      <c r="D2468" s="18">
        <v>37</v>
      </c>
      <c r="E2468" s="18" t="s">
        <v>132</v>
      </c>
      <c r="F2468" s="18" t="str">
        <f>IF(OR(D2468&gt;Answers!L2483,D2468&lt;Answers!L2484),"Outlier","Normal")</f>
        <v>Outlier</v>
      </c>
      <c r="G2468" s="19" t="str">
        <f t="shared" si="38"/>
        <v>30-40</v>
      </c>
    </row>
    <row r="2469" spans="1:7" ht="20" customHeight="1" x14ac:dyDescent="0.35">
      <c r="A2469" s="17">
        <v>2468</v>
      </c>
      <c r="B2469" s="23" t="s">
        <v>99</v>
      </c>
      <c r="C2469" s="18" t="s">
        <v>126</v>
      </c>
      <c r="D2469" s="18">
        <v>64</v>
      </c>
      <c r="E2469" s="18" t="s">
        <v>132</v>
      </c>
      <c r="F2469" s="18" t="str">
        <f>IF(OR(D2469&gt;Answers!L2484,D2469&lt;Answers!L2485),"Outlier","Normal")</f>
        <v>Outlier</v>
      </c>
      <c r="G2469" s="19" t="str">
        <f t="shared" si="38"/>
        <v>40-50</v>
      </c>
    </row>
    <row r="2470" spans="1:7" ht="20" customHeight="1" x14ac:dyDescent="0.35">
      <c r="A2470" s="17">
        <v>2469</v>
      </c>
      <c r="B2470" s="23" t="s">
        <v>101</v>
      </c>
      <c r="C2470" s="18" t="s">
        <v>126</v>
      </c>
      <c r="D2470" s="18">
        <v>41</v>
      </c>
      <c r="E2470" s="18" t="s">
        <v>132</v>
      </c>
      <c r="F2470" s="18" t="str">
        <f>IF(OR(D2470&gt;Answers!L2485,D2470&lt;Answers!L2486),"Outlier","Normal")</f>
        <v>Outlier</v>
      </c>
      <c r="G2470" s="19" t="str">
        <f t="shared" si="38"/>
        <v>40-50</v>
      </c>
    </row>
    <row r="2471" spans="1:7" ht="20" customHeight="1" x14ac:dyDescent="0.35">
      <c r="A2471" s="17">
        <v>2470</v>
      </c>
      <c r="B2471" s="23" t="s">
        <v>99</v>
      </c>
      <c r="C2471" s="18" t="s">
        <v>126</v>
      </c>
      <c r="D2471" s="18">
        <v>49</v>
      </c>
      <c r="E2471" s="18" t="s">
        <v>132</v>
      </c>
      <c r="F2471" s="18" t="str">
        <f>IF(OR(D2471&gt;Answers!L2486,D2471&lt;Answers!L2487),"Outlier","Normal")</f>
        <v>Outlier</v>
      </c>
      <c r="G2471" s="19" t="str">
        <f t="shared" si="38"/>
        <v>40-50</v>
      </c>
    </row>
    <row r="2472" spans="1:7" ht="20" customHeight="1" x14ac:dyDescent="0.35">
      <c r="A2472" s="17">
        <v>2471</v>
      </c>
      <c r="B2472" s="23" t="s">
        <v>99</v>
      </c>
      <c r="C2472" s="18" t="s">
        <v>125</v>
      </c>
      <c r="D2472" s="18">
        <v>57</v>
      </c>
      <c r="E2472" s="18" t="s">
        <v>132</v>
      </c>
      <c r="F2472" s="18" t="str">
        <f>IF(OR(D2472&gt;Answers!L2487,D2472&lt;Answers!L2488),"Outlier","Normal")</f>
        <v>Outlier</v>
      </c>
      <c r="G2472" s="19" t="str">
        <f t="shared" si="38"/>
        <v>40-50</v>
      </c>
    </row>
    <row r="2473" spans="1:7" ht="20" customHeight="1" x14ac:dyDescent="0.35">
      <c r="A2473" s="17">
        <v>2472</v>
      </c>
      <c r="B2473" s="23" t="s">
        <v>107</v>
      </c>
      <c r="C2473" s="18" t="s">
        <v>126</v>
      </c>
      <c r="D2473" s="18">
        <v>44</v>
      </c>
      <c r="E2473" s="18" t="s">
        <v>132</v>
      </c>
      <c r="F2473" s="18" t="str">
        <f>IF(OR(D2473&gt;Answers!L2488,D2473&lt;Answers!L2489),"Outlier","Normal")</f>
        <v>Outlier</v>
      </c>
      <c r="G2473" s="19" t="str">
        <f t="shared" si="38"/>
        <v>40-50</v>
      </c>
    </row>
    <row r="2474" spans="1:7" ht="20" customHeight="1" x14ac:dyDescent="0.35">
      <c r="A2474" s="17">
        <v>2473</v>
      </c>
      <c r="B2474" s="23" t="s">
        <v>108</v>
      </c>
      <c r="C2474" s="18" t="s">
        <v>125</v>
      </c>
      <c r="D2474" s="18">
        <v>42</v>
      </c>
      <c r="E2474" s="18" t="s">
        <v>132</v>
      </c>
      <c r="F2474" s="18" t="str">
        <f>IF(OR(D2474&gt;Answers!L2489,D2474&lt;Answers!L2490),"Outlier","Normal")</f>
        <v>Outlier</v>
      </c>
      <c r="G2474" s="19" t="str">
        <f t="shared" si="38"/>
        <v>40-50</v>
      </c>
    </row>
    <row r="2475" spans="1:7" ht="20" customHeight="1" x14ac:dyDescent="0.35">
      <c r="A2475" s="17">
        <v>2474</v>
      </c>
      <c r="B2475" s="23" t="s">
        <v>109</v>
      </c>
      <c r="C2475" s="18" t="s">
        <v>125</v>
      </c>
      <c r="D2475" s="18">
        <v>63</v>
      </c>
      <c r="E2475" s="18" t="s">
        <v>132</v>
      </c>
      <c r="F2475" s="18" t="str">
        <f>IF(OR(D2475&gt;Answers!L2490,D2475&lt;Answers!L2491),"Outlier","Normal")</f>
        <v>Outlier</v>
      </c>
      <c r="G2475" s="19" t="str">
        <f t="shared" si="38"/>
        <v>40-50</v>
      </c>
    </row>
    <row r="2476" spans="1:7" ht="20" customHeight="1" x14ac:dyDescent="0.35">
      <c r="A2476" s="17">
        <v>2475</v>
      </c>
      <c r="B2476" s="23" t="s">
        <v>99</v>
      </c>
      <c r="C2476" s="18" t="s">
        <v>126</v>
      </c>
      <c r="D2476" s="18">
        <v>78</v>
      </c>
      <c r="E2476" s="18" t="s">
        <v>132</v>
      </c>
      <c r="F2476" s="18" t="str">
        <f>IF(OR(D2476&gt;Answers!L2491,D2476&lt;Answers!L2492),"Outlier","Normal")</f>
        <v>Outlier</v>
      </c>
      <c r="G2476" s="19" t="str">
        <f t="shared" si="38"/>
        <v>40-50</v>
      </c>
    </row>
    <row r="2477" spans="1:7" ht="20" customHeight="1" x14ac:dyDescent="0.35">
      <c r="A2477" s="17">
        <v>2476</v>
      </c>
      <c r="B2477" s="23" t="s">
        <v>105</v>
      </c>
      <c r="C2477" s="18" t="s">
        <v>126</v>
      </c>
      <c r="D2477" s="18">
        <v>86</v>
      </c>
      <c r="E2477" s="18" t="s">
        <v>132</v>
      </c>
      <c r="F2477" s="18" t="str">
        <f>IF(OR(D2477&gt;Answers!L2492,D2477&lt;Answers!L2493),"Outlier","Normal")</f>
        <v>Outlier</v>
      </c>
      <c r="G2477" s="19" t="str">
        <f t="shared" si="38"/>
        <v>40-50</v>
      </c>
    </row>
    <row r="2478" spans="1:7" ht="20" customHeight="1" x14ac:dyDescent="0.35">
      <c r="A2478" s="17">
        <v>2477</v>
      </c>
      <c r="B2478" s="23" t="s">
        <v>99</v>
      </c>
      <c r="C2478" s="18" t="s">
        <v>125</v>
      </c>
      <c r="D2478" s="18">
        <v>69</v>
      </c>
      <c r="E2478" s="18" t="s">
        <v>132</v>
      </c>
      <c r="F2478" s="18" t="str">
        <f>IF(OR(D2478&gt;Answers!L2493,D2478&lt;Answers!L2494),"Outlier","Normal")</f>
        <v>Outlier</v>
      </c>
      <c r="G2478" s="19" t="str">
        <f t="shared" si="38"/>
        <v>40-50</v>
      </c>
    </row>
    <row r="2479" spans="1:7" ht="20" customHeight="1" x14ac:dyDescent="0.35">
      <c r="A2479" s="17">
        <v>2478</v>
      </c>
      <c r="B2479" s="23" t="s">
        <v>101</v>
      </c>
      <c r="C2479" s="18" t="s">
        <v>125</v>
      </c>
      <c r="D2479" s="18">
        <v>83</v>
      </c>
      <c r="E2479" s="18" t="s">
        <v>132</v>
      </c>
      <c r="F2479" s="18" t="str">
        <f>IF(OR(D2479&gt;Answers!L2494,D2479&lt;Answers!L2495),"Outlier","Normal")</f>
        <v>Outlier</v>
      </c>
      <c r="G2479" s="19" t="str">
        <f t="shared" si="38"/>
        <v>40-50</v>
      </c>
    </row>
    <row r="2480" spans="1:7" ht="20" customHeight="1" x14ac:dyDescent="0.35">
      <c r="A2480" s="17">
        <v>2479</v>
      </c>
      <c r="B2480" s="23" t="s">
        <v>99</v>
      </c>
      <c r="C2480" s="18" t="s">
        <v>126</v>
      </c>
      <c r="D2480" s="18">
        <v>89</v>
      </c>
      <c r="E2480" s="18" t="s">
        <v>132</v>
      </c>
      <c r="F2480" s="18" t="str">
        <f>IF(OR(D2480&gt;Answers!L2495,D2480&lt;Answers!L2496),"Outlier","Normal")</f>
        <v>Outlier</v>
      </c>
      <c r="G2480" s="19" t="str">
        <f t="shared" si="38"/>
        <v>40-50</v>
      </c>
    </row>
    <row r="2481" spans="1:7" ht="20" customHeight="1" x14ac:dyDescent="0.35">
      <c r="A2481" s="17">
        <v>2480</v>
      </c>
      <c r="B2481" s="23" t="s">
        <v>108</v>
      </c>
      <c r="C2481" s="18" t="s">
        <v>125</v>
      </c>
      <c r="D2481" s="18">
        <v>47</v>
      </c>
      <c r="E2481" s="18" t="s">
        <v>132</v>
      </c>
      <c r="F2481" s="18" t="str">
        <f>IF(OR(D2481&gt;Answers!L2496,D2481&lt;Answers!L2497),"Outlier","Normal")</f>
        <v>Outlier</v>
      </c>
      <c r="G2481" s="19" t="str">
        <f t="shared" si="38"/>
        <v>40-50</v>
      </c>
    </row>
    <row r="2482" spans="1:7" ht="20" customHeight="1" x14ac:dyDescent="0.35">
      <c r="A2482" s="17">
        <v>2481</v>
      </c>
      <c r="B2482" s="23" t="s">
        <v>105</v>
      </c>
      <c r="C2482" s="18" t="s">
        <v>125</v>
      </c>
      <c r="D2482" s="18">
        <v>56</v>
      </c>
      <c r="E2482" s="18" t="s">
        <v>132</v>
      </c>
      <c r="F2482" s="18" t="str">
        <f>IF(OR(D2482&gt;Answers!L2497,D2482&lt;Answers!L2498),"Outlier","Normal")</f>
        <v>Outlier</v>
      </c>
      <c r="G2482" s="19" t="str">
        <f t="shared" si="38"/>
        <v>40-50</v>
      </c>
    </row>
    <row r="2483" spans="1:7" ht="20" customHeight="1" x14ac:dyDescent="0.35">
      <c r="A2483" s="17">
        <v>2482</v>
      </c>
      <c r="B2483" s="23" t="s">
        <v>109</v>
      </c>
      <c r="C2483" s="18" t="s">
        <v>125</v>
      </c>
      <c r="D2483" s="18">
        <v>61</v>
      </c>
      <c r="E2483" s="18" t="s">
        <v>132</v>
      </c>
      <c r="F2483" s="18" t="str">
        <f>IF(OR(D2483&gt;Answers!L2498,D2483&lt;Answers!L2499),"Outlier","Normal")</f>
        <v>Outlier</v>
      </c>
      <c r="G2483" s="19" t="str">
        <f t="shared" si="38"/>
        <v>40-50</v>
      </c>
    </row>
    <row r="2484" spans="1:7" ht="20" customHeight="1" x14ac:dyDescent="0.35">
      <c r="A2484" s="17">
        <v>2483</v>
      </c>
      <c r="B2484" s="23" t="s">
        <v>102</v>
      </c>
      <c r="C2484" s="18" t="s">
        <v>126</v>
      </c>
      <c r="D2484" s="18">
        <v>90</v>
      </c>
      <c r="E2484" s="18" t="s">
        <v>132</v>
      </c>
      <c r="F2484" s="18" t="str">
        <f>IF(OR(D2484&gt;Answers!L2499,D2484&lt;Answers!L2500),"Outlier","Normal")</f>
        <v>Outlier</v>
      </c>
      <c r="G2484" s="19" t="str">
        <f t="shared" si="38"/>
        <v>40-50</v>
      </c>
    </row>
    <row r="2485" spans="1:7" ht="20" customHeight="1" x14ac:dyDescent="0.35">
      <c r="A2485" s="17">
        <v>2484</v>
      </c>
      <c r="B2485" s="23" t="s">
        <v>99</v>
      </c>
      <c r="C2485" s="18" t="s">
        <v>125</v>
      </c>
      <c r="D2485" s="18">
        <v>55</v>
      </c>
      <c r="E2485" s="18" t="s">
        <v>132</v>
      </c>
      <c r="F2485" s="18" t="str">
        <f>IF(OR(D2485&gt;Answers!L2500,D2485&lt;Answers!L2501),"Outlier","Normal")</f>
        <v>Outlier</v>
      </c>
      <c r="G2485" s="19" t="str">
        <f t="shared" si="38"/>
        <v>40-50</v>
      </c>
    </row>
    <row r="2486" spans="1:7" ht="20" customHeight="1" x14ac:dyDescent="0.35">
      <c r="A2486" s="17">
        <v>2485</v>
      </c>
      <c r="B2486" s="23" t="s">
        <v>101</v>
      </c>
      <c r="C2486" s="18" t="s">
        <v>126</v>
      </c>
      <c r="D2486" s="18">
        <v>64</v>
      </c>
      <c r="E2486" s="18" t="s">
        <v>132</v>
      </c>
      <c r="F2486" s="18" t="str">
        <f>IF(OR(D2486&gt;Answers!L2501,D2486&lt;Answers!L2502),"Outlier","Normal")</f>
        <v>Outlier</v>
      </c>
      <c r="G2486" s="19" t="str">
        <f t="shared" si="38"/>
        <v>40-50</v>
      </c>
    </row>
    <row r="2487" spans="1:7" ht="20" customHeight="1" x14ac:dyDescent="0.35">
      <c r="A2487" s="17">
        <v>2486</v>
      </c>
      <c r="B2487" s="23" t="s">
        <v>108</v>
      </c>
      <c r="C2487" s="18" t="s">
        <v>126</v>
      </c>
      <c r="D2487" s="18">
        <v>60</v>
      </c>
      <c r="E2487" s="18" t="s">
        <v>132</v>
      </c>
      <c r="F2487" s="18" t="str">
        <f>IF(OR(D2487&gt;Answers!L2502,D2487&lt;Answers!L2503),"Outlier","Normal")</f>
        <v>Outlier</v>
      </c>
      <c r="G2487" s="19" t="str">
        <f t="shared" si="38"/>
        <v>40-50</v>
      </c>
    </row>
    <row r="2488" spans="1:7" ht="20" customHeight="1" x14ac:dyDescent="0.35">
      <c r="A2488" s="17">
        <v>2487</v>
      </c>
      <c r="B2488" s="23" t="s">
        <v>99</v>
      </c>
      <c r="C2488" s="18" t="s">
        <v>126</v>
      </c>
      <c r="D2488" s="18">
        <v>89</v>
      </c>
      <c r="E2488" s="18" t="s">
        <v>132</v>
      </c>
      <c r="F2488" s="18" t="str">
        <f>IF(OR(D2488&gt;Answers!L2503,D2488&lt;Answers!L2504),"Outlier","Normal")</f>
        <v>Outlier</v>
      </c>
      <c r="G2488" s="19" t="str">
        <f t="shared" si="38"/>
        <v>40-50</v>
      </c>
    </row>
    <row r="2489" spans="1:7" ht="20" customHeight="1" x14ac:dyDescent="0.35">
      <c r="A2489" s="17">
        <v>2488</v>
      </c>
      <c r="B2489" s="23" t="s">
        <v>101</v>
      </c>
      <c r="C2489" s="18" t="s">
        <v>126</v>
      </c>
      <c r="D2489" s="18">
        <v>67</v>
      </c>
      <c r="E2489" s="18" t="s">
        <v>132</v>
      </c>
      <c r="F2489" s="18" t="str">
        <f>IF(OR(D2489&gt;Answers!L2504,D2489&lt;Answers!L2505),"Outlier","Normal")</f>
        <v>Outlier</v>
      </c>
      <c r="G2489" s="19" t="str">
        <f t="shared" si="38"/>
        <v>40-50</v>
      </c>
    </row>
    <row r="2490" spans="1:7" ht="20" customHeight="1" x14ac:dyDescent="0.35">
      <c r="A2490" s="17">
        <v>2489</v>
      </c>
      <c r="B2490" s="23" t="s">
        <v>99</v>
      </c>
      <c r="C2490" s="18" t="s">
        <v>125</v>
      </c>
      <c r="D2490" s="18">
        <v>68</v>
      </c>
      <c r="E2490" s="18" t="s">
        <v>132</v>
      </c>
      <c r="F2490" s="18" t="str">
        <f>IF(OR(D2490&gt;Answers!L2505,D2490&lt;Answers!L2506),"Outlier","Normal")</f>
        <v>Outlier</v>
      </c>
      <c r="G2490" s="19" t="str">
        <f t="shared" si="38"/>
        <v>40-50</v>
      </c>
    </row>
    <row r="2491" spans="1:7" ht="20" customHeight="1" x14ac:dyDescent="0.35">
      <c r="A2491" s="17">
        <v>2490</v>
      </c>
      <c r="B2491" s="23" t="s">
        <v>99</v>
      </c>
      <c r="C2491" s="18" t="s">
        <v>126</v>
      </c>
      <c r="D2491" s="18">
        <v>31</v>
      </c>
      <c r="E2491" s="18" t="s">
        <v>132</v>
      </c>
      <c r="F2491" s="18" t="str">
        <f>IF(OR(D2491&gt;Answers!L2506,D2491&lt;Answers!L2507),"Outlier","Normal")</f>
        <v>Outlier</v>
      </c>
      <c r="G2491" s="19" t="str">
        <f t="shared" si="38"/>
        <v>30-40</v>
      </c>
    </row>
    <row r="2492" spans="1:7" ht="20" customHeight="1" x14ac:dyDescent="0.35">
      <c r="A2492" s="17">
        <v>2491</v>
      </c>
      <c r="B2492" s="23" t="s">
        <v>102</v>
      </c>
      <c r="C2492" s="18" t="s">
        <v>125</v>
      </c>
      <c r="D2492" s="18">
        <v>69</v>
      </c>
      <c r="E2492" s="18" t="s">
        <v>132</v>
      </c>
      <c r="F2492" s="18" t="str">
        <f>IF(OR(D2492&gt;Answers!L2507,D2492&lt;Answers!L2508),"Outlier","Normal")</f>
        <v>Outlier</v>
      </c>
      <c r="G2492" s="19" t="str">
        <f t="shared" si="38"/>
        <v>40-50</v>
      </c>
    </row>
    <row r="2493" spans="1:7" ht="20" customHeight="1" x14ac:dyDescent="0.35">
      <c r="A2493" s="17">
        <v>2492</v>
      </c>
      <c r="B2493" s="23" t="s">
        <v>100</v>
      </c>
      <c r="C2493" s="18" t="s">
        <v>125</v>
      </c>
      <c r="D2493" s="18">
        <v>82</v>
      </c>
      <c r="E2493" s="18" t="s">
        <v>132</v>
      </c>
      <c r="F2493" s="18" t="str">
        <f>IF(OR(D2493&gt;Answers!L2508,D2493&lt;Answers!L2509),"Outlier","Normal")</f>
        <v>Outlier</v>
      </c>
      <c r="G2493" s="19" t="str">
        <f t="shared" si="38"/>
        <v>40-50</v>
      </c>
    </row>
    <row r="2494" spans="1:7" ht="20" customHeight="1" x14ac:dyDescent="0.35">
      <c r="A2494" s="17">
        <v>2493</v>
      </c>
      <c r="B2494" s="23" t="s">
        <v>99</v>
      </c>
      <c r="C2494" s="18" t="s">
        <v>126</v>
      </c>
      <c r="D2494" s="18">
        <v>65</v>
      </c>
      <c r="E2494" s="18" t="s">
        <v>132</v>
      </c>
      <c r="F2494" s="18" t="str">
        <f>IF(OR(D2494&gt;Answers!L2509,D2494&lt;Answers!L2510),"Outlier","Normal")</f>
        <v>Outlier</v>
      </c>
      <c r="G2494" s="19" t="str">
        <f t="shared" si="38"/>
        <v>40-50</v>
      </c>
    </row>
    <row r="2495" spans="1:7" ht="20" customHeight="1" x14ac:dyDescent="0.35">
      <c r="A2495" s="17">
        <v>2494</v>
      </c>
      <c r="B2495" s="23" t="s">
        <v>104</v>
      </c>
      <c r="C2495" s="18" t="s">
        <v>125</v>
      </c>
      <c r="D2495" s="18">
        <v>29</v>
      </c>
      <c r="E2495" s="18" t="s">
        <v>132</v>
      </c>
      <c r="F2495" s="18" t="str">
        <f>IF(OR(D2495&gt;Answers!L2510,D2495&lt;Answers!L2511),"Outlier","Normal")</f>
        <v>Outlier</v>
      </c>
      <c r="G2495" s="19" t="str">
        <f t="shared" si="38"/>
        <v>20-30</v>
      </c>
    </row>
    <row r="2496" spans="1:7" ht="20" customHeight="1" x14ac:dyDescent="0.35">
      <c r="A2496" s="17">
        <v>2495</v>
      </c>
      <c r="B2496" s="23" t="s">
        <v>101</v>
      </c>
      <c r="C2496" s="18" t="s">
        <v>125</v>
      </c>
      <c r="D2496" s="18">
        <f>ROUND(AVERAGE(D2493:D2495),0)</f>
        <v>59</v>
      </c>
      <c r="E2496" s="18" t="s">
        <v>132</v>
      </c>
      <c r="F2496" s="18" t="str">
        <f>IF(OR(D2496&gt;Answers!L2511,D2496&lt;Answers!L2512),"Outlier","Normal")</f>
        <v>Outlier</v>
      </c>
      <c r="G2496" s="19" t="str">
        <f t="shared" si="38"/>
        <v>40-50</v>
      </c>
    </row>
    <row r="2497" spans="1:7" ht="20" customHeight="1" x14ac:dyDescent="0.35">
      <c r="A2497" s="17">
        <v>2496</v>
      </c>
      <c r="B2497" s="23" t="s">
        <v>100</v>
      </c>
      <c r="C2497" s="18" t="s">
        <v>126</v>
      </c>
      <c r="D2497" s="18">
        <v>89</v>
      </c>
      <c r="E2497" s="18" t="s">
        <v>132</v>
      </c>
      <c r="F2497" s="18" t="str">
        <f>IF(OR(D2497&gt;Answers!L2512,D2497&lt;Answers!L2513),"Outlier","Normal")</f>
        <v>Outlier</v>
      </c>
      <c r="G2497" s="19" t="str">
        <f t="shared" si="38"/>
        <v>40-50</v>
      </c>
    </row>
    <row r="2498" spans="1:7" ht="20" customHeight="1" x14ac:dyDescent="0.35">
      <c r="A2498" s="17">
        <v>2497</v>
      </c>
      <c r="B2498" s="23" t="s">
        <v>105</v>
      </c>
      <c r="C2498" s="18" t="s">
        <v>125</v>
      </c>
      <c r="D2498" s="18">
        <v>74</v>
      </c>
      <c r="E2498" s="18" t="s">
        <v>132</v>
      </c>
      <c r="F2498" s="18" t="str">
        <f>IF(OR(D2498&gt;Answers!L2513,D2498&lt;Answers!L2514),"Outlier","Normal")</f>
        <v>Outlier</v>
      </c>
      <c r="G2498" s="19" t="str">
        <f t="shared" si="38"/>
        <v>40-50</v>
      </c>
    </row>
    <row r="2499" spans="1:7" ht="20" customHeight="1" x14ac:dyDescent="0.35">
      <c r="A2499" s="17">
        <v>2498</v>
      </c>
      <c r="B2499" s="23" t="s">
        <v>101</v>
      </c>
      <c r="C2499" s="18" t="s">
        <v>125</v>
      </c>
      <c r="D2499" s="18">
        <v>35</v>
      </c>
      <c r="E2499" s="18" t="s">
        <v>132</v>
      </c>
      <c r="F2499" s="18" t="str">
        <f>IF(OR(D2499&gt;Answers!L2514,D2499&lt;Answers!L2515),"Outlier","Normal")</f>
        <v>Outlier</v>
      </c>
      <c r="G2499" s="19" t="str">
        <f t="shared" ref="G2499:G2501" si="39">IF(D2499&lt;20,"&lt;20",
IF(D2499&lt;=30,"20-30",
IF(D2499&lt;=40,"30-40","40-50")))</f>
        <v>30-40</v>
      </c>
    </row>
    <row r="2500" spans="1:7" ht="20" customHeight="1" x14ac:dyDescent="0.35">
      <c r="A2500" s="17">
        <v>2499</v>
      </c>
      <c r="B2500" s="23" t="s">
        <v>99</v>
      </c>
      <c r="C2500" s="18" t="s">
        <v>126</v>
      </c>
      <c r="D2500" s="18">
        <v>86</v>
      </c>
      <c r="E2500" s="18" t="s">
        <v>132</v>
      </c>
      <c r="F2500" s="18" t="str">
        <f>IF(OR(D2500&gt;Answers!L2515,D2500&lt;Answers!L2516),"Outlier","Normal")</f>
        <v>Outlier</v>
      </c>
      <c r="G2500" s="19" t="str">
        <f t="shared" si="39"/>
        <v>40-50</v>
      </c>
    </row>
    <row r="2501" spans="1:7" ht="20" customHeight="1" thickBot="1" x14ac:dyDescent="0.4">
      <c r="A2501" s="20">
        <v>2500</v>
      </c>
      <c r="B2501" s="28" t="s">
        <v>108</v>
      </c>
      <c r="C2501" s="21" t="s">
        <v>126</v>
      </c>
      <c r="D2501" s="21">
        <v>46</v>
      </c>
      <c r="E2501" s="21" t="s">
        <v>132</v>
      </c>
      <c r="F2501" s="21" t="str">
        <f>IF(OR(D2501&gt;Answers!L2516,D2501&lt;Answers!L2517),"Outlier","Normal")</f>
        <v>Outlier</v>
      </c>
      <c r="G2501" s="22" t="str">
        <f t="shared" si="39"/>
        <v>40-50</v>
      </c>
    </row>
  </sheetData>
  <autoFilter ref="A1:G2501" xr:uid="{3948097F-60C5-4D3D-86B3-23A725C3CF4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2D3-77AC-4585-98C3-B221078828E5}">
  <sheetPr>
    <tabColor theme="7"/>
  </sheetPr>
  <dimension ref="A1:M93"/>
  <sheetViews>
    <sheetView workbookViewId="0">
      <selection activeCell="H83" sqref="H83"/>
    </sheetView>
  </sheetViews>
  <sheetFormatPr defaultRowHeight="18.5" customHeight="1" x14ac:dyDescent="0.35"/>
  <cols>
    <col min="1" max="1" width="19.54296875" bestFit="1" customWidth="1"/>
    <col min="2" max="2" width="28.54296875" bestFit="1" customWidth="1"/>
    <col min="3" max="3" width="15.54296875" bestFit="1" customWidth="1"/>
    <col min="4" max="4" width="21.1796875" bestFit="1" customWidth="1"/>
    <col min="5" max="5" width="18.90625" bestFit="1" customWidth="1"/>
    <col min="6" max="6" width="17.26953125" bestFit="1" customWidth="1"/>
    <col min="9" max="9" width="6.81640625" bestFit="1" customWidth="1"/>
    <col min="11" max="11" width="8.36328125" bestFit="1" customWidth="1"/>
    <col min="12" max="12" width="14.6328125" bestFit="1" customWidth="1"/>
  </cols>
  <sheetData>
    <row r="1" spans="1:13" ht="18.5" customHeight="1" x14ac:dyDescent="0.35">
      <c r="A1" s="32" t="s">
        <v>3</v>
      </c>
      <c r="B1" s="33" t="s">
        <v>152</v>
      </c>
      <c r="C1" s="33" t="s">
        <v>115</v>
      </c>
      <c r="D1" s="33" t="s">
        <v>121</v>
      </c>
      <c r="E1" s="33" t="s">
        <v>217</v>
      </c>
      <c r="F1" s="36" t="s">
        <v>216</v>
      </c>
    </row>
    <row r="2" spans="1:13" ht="18.5" customHeight="1" x14ac:dyDescent="0.35">
      <c r="A2" s="17" t="s">
        <v>27</v>
      </c>
      <c r="B2" s="18" t="s">
        <v>164</v>
      </c>
      <c r="C2" s="18" t="s">
        <v>116</v>
      </c>
      <c r="D2" s="18">
        <v>1000000</v>
      </c>
      <c r="E2" s="18">
        <f>SUMIFS(Orders!G:G,Orders!F:F,A2)</f>
        <v>1089868</v>
      </c>
      <c r="F2" s="19" t="str">
        <f>IF(E2&lt;D2,"Target Not Met",IF(E2=D2,"Target Met","Exceeded Target"))</f>
        <v>Exceeded Target</v>
      </c>
    </row>
    <row r="3" spans="1:13" ht="18.5" customHeight="1" x14ac:dyDescent="0.35">
      <c r="A3" s="17" t="s">
        <v>43</v>
      </c>
      <c r="B3" s="18" t="s">
        <v>176</v>
      </c>
      <c r="C3" s="18" t="s">
        <v>119</v>
      </c>
      <c r="D3" s="18">
        <v>1000000</v>
      </c>
      <c r="E3" s="18">
        <f>SUMIFS(Orders!G:G,Orders!F:F,A3)</f>
        <v>776835</v>
      </c>
      <c r="F3" s="19" t="str">
        <f>IF(E3&lt;D3,"Target Not Met",IF(E3=D3,"Target Met","Exceeded Target"))</f>
        <v>Target Not Met</v>
      </c>
    </row>
    <row r="4" spans="1:13" ht="18.5" customHeight="1" x14ac:dyDescent="0.35">
      <c r="A4" s="17" t="s">
        <v>81</v>
      </c>
      <c r="B4" s="18" t="s">
        <v>162</v>
      </c>
      <c r="C4" s="18" t="s">
        <v>117</v>
      </c>
      <c r="D4" s="18">
        <v>250000</v>
      </c>
      <c r="E4" s="18">
        <f>SUMIFS(Orders!G:G,Orders!F:F,A4)</f>
        <v>261093</v>
      </c>
      <c r="F4" s="19" t="str">
        <f>IF(E4&lt;D4,"Target Not Met",IF(E4=D4,"Target Met","Exceeded Target"))</f>
        <v>Exceeded Target</v>
      </c>
    </row>
    <row r="5" spans="1:13" ht="18.5" customHeight="1" x14ac:dyDescent="0.35">
      <c r="A5" s="17" t="s">
        <v>69</v>
      </c>
      <c r="B5" s="18" t="s">
        <v>172</v>
      </c>
      <c r="C5" s="18" t="s">
        <v>120</v>
      </c>
      <c r="D5" s="18">
        <v>250000</v>
      </c>
      <c r="E5" s="18">
        <f>SUMIFS(Orders!G:G,Orders!F:F,A5)</f>
        <v>171694</v>
      </c>
      <c r="F5" s="19" t="str">
        <f>IF(E5&lt;D5,"Target Not Met",IF(E5=D5,"Target Met","Exceeded Target"))</f>
        <v>Target Not Met</v>
      </c>
    </row>
    <row r="6" spans="1:13" ht="18.5" customHeight="1" x14ac:dyDescent="0.35">
      <c r="A6" s="17" t="s">
        <v>14</v>
      </c>
      <c r="B6" s="18" t="s">
        <v>174</v>
      </c>
      <c r="C6" s="18" t="s">
        <v>116</v>
      </c>
      <c r="D6" s="18">
        <v>250000</v>
      </c>
      <c r="E6" s="18">
        <f>SUMIFS(Orders!G:G,Orders!F:F,A6)</f>
        <v>261772</v>
      </c>
      <c r="F6" s="19" t="str">
        <f>IF(E6&lt;D6,"Target Not Met",IF(E6=D6,"Target Met","Exceeded Target"))</f>
        <v>Exceeded Target</v>
      </c>
    </row>
    <row r="7" spans="1:13" ht="18.5" customHeight="1" x14ac:dyDescent="0.35">
      <c r="A7" s="17" t="s">
        <v>8</v>
      </c>
      <c r="B7" s="18" t="s">
        <v>154</v>
      </c>
      <c r="C7" s="18" t="s">
        <v>116</v>
      </c>
      <c r="D7" s="18">
        <v>200000</v>
      </c>
      <c r="E7" s="18">
        <f>SUMIFS(Orders!G:G,Orders!F:F,A7)</f>
        <v>192740</v>
      </c>
      <c r="F7" s="19" t="str">
        <f>IF(E7&lt;D7,"Target Not Met",IF(E7=D7,"Target Met","Exceeded Target"))</f>
        <v>Target Not Met</v>
      </c>
    </row>
    <row r="8" spans="1:13" ht="18.5" customHeight="1" thickBot="1" x14ac:dyDescent="0.4">
      <c r="A8" s="17" t="s">
        <v>78</v>
      </c>
      <c r="B8" s="18" t="s">
        <v>155</v>
      </c>
      <c r="C8" s="18" t="s">
        <v>117</v>
      </c>
      <c r="D8" s="18">
        <v>200000</v>
      </c>
      <c r="E8" s="18">
        <f>SUMIFS(Orders!G:G,Orders!F:F,A8)</f>
        <v>227134</v>
      </c>
      <c r="F8" s="19" t="str">
        <f>IF(E8&lt;D8,"Target Not Met",IF(E8=D8,"Target Met","Exceeded Target"))</f>
        <v>Exceeded Target</v>
      </c>
    </row>
    <row r="9" spans="1:13" ht="18.5" customHeight="1" x14ac:dyDescent="0.35">
      <c r="A9" s="17" t="s">
        <v>24</v>
      </c>
      <c r="B9" s="18" t="s">
        <v>157</v>
      </c>
      <c r="C9" s="18" t="s">
        <v>117</v>
      </c>
      <c r="D9" s="18">
        <v>200000</v>
      </c>
      <c r="E9" s="18">
        <f>SUMIFS(Orders!G:G,Orders!F:F,A9)</f>
        <v>182094</v>
      </c>
      <c r="F9" s="19" t="str">
        <f>IF(E9&lt;D9,"Target Not Met",IF(E9=D9,"Target Met","Exceeded Target"))</f>
        <v>Target Not Met</v>
      </c>
      <c r="I9" s="37" t="s">
        <v>222</v>
      </c>
      <c r="J9" s="38"/>
      <c r="K9" s="38"/>
      <c r="L9" s="39"/>
    </row>
    <row r="10" spans="1:13" ht="18.5" customHeight="1" x14ac:dyDescent="0.35">
      <c r="A10" s="17" t="s">
        <v>4</v>
      </c>
      <c r="B10" s="18" t="s">
        <v>158</v>
      </c>
      <c r="C10" s="18" t="s">
        <v>116</v>
      </c>
      <c r="D10" s="18">
        <v>200000</v>
      </c>
      <c r="E10" s="18">
        <f>SUMIFS(Orders!G:G,Orders!F:F,A10)</f>
        <v>219735</v>
      </c>
      <c r="F10" s="19" t="str">
        <f>IF(E10&lt;D10,"Target Not Met",IF(E10=D10,"Target Met","Exceeded Target"))</f>
        <v>Exceeded Target</v>
      </c>
      <c r="I10" s="17">
        <f>INDEX(D:D, MATCH("Steve Frick", A:A, 0))</f>
        <v>100000</v>
      </c>
      <c r="J10" s="18"/>
      <c r="K10" s="18">
        <f>INDEX(E:E, MATCH("Steve Frick", A:A, 0))</f>
        <v>98119</v>
      </c>
      <c r="L10" s="19"/>
    </row>
    <row r="11" spans="1:13" ht="18.5" customHeight="1" thickBot="1" x14ac:dyDescent="0.4">
      <c r="A11" s="17" t="s">
        <v>5</v>
      </c>
      <c r="B11" s="18" t="s">
        <v>160</v>
      </c>
      <c r="C11" s="18" t="s">
        <v>117</v>
      </c>
      <c r="D11" s="18">
        <v>200000</v>
      </c>
      <c r="E11" s="18">
        <f>SUMIFS(Orders!G:G,Orders!F:F,A11)</f>
        <v>195983</v>
      </c>
      <c r="F11" s="19" t="str">
        <f>IF(E11&lt;D11,"Target Not Met",IF(E11=D11,"Target Met","Exceeded Target"))</f>
        <v>Target Not Met</v>
      </c>
      <c r="I11" s="20" t="s">
        <v>223</v>
      </c>
      <c r="J11" s="21"/>
      <c r="K11" s="21" t="s">
        <v>224</v>
      </c>
      <c r="L11" s="22"/>
    </row>
    <row r="12" spans="1:13" ht="18.5" customHeight="1" x14ac:dyDescent="0.35">
      <c r="A12" s="17" t="s">
        <v>46</v>
      </c>
      <c r="B12" s="18" t="s">
        <v>163</v>
      </c>
      <c r="C12" s="18" t="s">
        <v>116</v>
      </c>
      <c r="D12" s="18">
        <v>200000</v>
      </c>
      <c r="E12" s="18">
        <f>SUMIFS(Orders!G:G,Orders!F:F,A12)</f>
        <v>242439</v>
      </c>
      <c r="F12" s="19" t="str">
        <f>IF(E12&lt;D12,"Target Not Met",IF(E12=D12,"Target Met","Exceeded Target"))</f>
        <v>Exceeded Target</v>
      </c>
    </row>
    <row r="13" spans="1:13" ht="18.5" customHeight="1" thickBot="1" x14ac:dyDescent="0.4">
      <c r="A13" s="17" t="s">
        <v>18</v>
      </c>
      <c r="B13" s="18" t="s">
        <v>166</v>
      </c>
      <c r="C13" s="18" t="s">
        <v>119</v>
      </c>
      <c r="D13" s="18">
        <v>200000</v>
      </c>
      <c r="E13" s="18">
        <f>SUMIFS(Orders!G:G,Orders!F:F,A13)</f>
        <v>203887</v>
      </c>
      <c r="F13" s="19" t="str">
        <f>IF(E13&lt;D13,"Target Not Met",IF(E13=D13,"Target Met","Exceeded Target"))</f>
        <v>Exceeded Target</v>
      </c>
    </row>
    <row r="14" spans="1:13" ht="18.5" customHeight="1" x14ac:dyDescent="0.35">
      <c r="A14" s="17" t="s">
        <v>30</v>
      </c>
      <c r="B14" s="18" t="s">
        <v>177</v>
      </c>
      <c r="C14" s="18" t="s">
        <v>118</v>
      </c>
      <c r="D14" s="18">
        <v>200000</v>
      </c>
      <c r="E14" s="18">
        <f>SUMIFS(Orders!G:G,Orders!F:F,A14)</f>
        <v>201398</v>
      </c>
      <c r="F14" s="19" t="str">
        <f>IF(E14&lt;D14,"Target Not Met",IF(E14=D14,"Target Met","Exceeded Target"))</f>
        <v>Exceeded Target</v>
      </c>
      <c r="I14" s="40" t="s">
        <v>225</v>
      </c>
      <c r="J14" s="41"/>
      <c r="K14" s="41"/>
      <c r="L14" s="41" t="s">
        <v>226</v>
      </c>
      <c r="M14" s="44"/>
    </row>
    <row r="15" spans="1:13" ht="18.5" customHeight="1" thickBot="1" x14ac:dyDescent="0.4">
      <c r="A15" s="17" t="s">
        <v>83</v>
      </c>
      <c r="B15" s="18" t="s">
        <v>159</v>
      </c>
      <c r="C15" s="18" t="s">
        <v>117</v>
      </c>
      <c r="D15" s="18">
        <v>200000</v>
      </c>
      <c r="E15" s="18">
        <f>SUMIFS(Orders!G:G,Orders!F:F,A15)</f>
        <v>63116</v>
      </c>
      <c r="F15" s="19" t="str">
        <f>IF(E15&lt;D15,"Target Not Met",IF(E15=D15,"Target Met","Exceeded Target"))</f>
        <v>Target Not Met</v>
      </c>
      <c r="I15" s="42" t="str">
        <f>INDEX(C:C, MATCH("Dean Cassidy", A:A, 0))</f>
        <v>Beta</v>
      </c>
      <c r="J15" s="43"/>
      <c r="K15" s="43"/>
      <c r="L15" s="45" t="str">
        <f>INDEX(F:F, MATCH("Dean Cassidy", A:A, 0))</f>
        <v>Exceeded Target</v>
      </c>
      <c r="M15" s="46"/>
    </row>
    <row r="16" spans="1:13" ht="18.5" customHeight="1" x14ac:dyDescent="0.35">
      <c r="A16" s="17" t="s">
        <v>65</v>
      </c>
      <c r="B16" s="18" t="s">
        <v>172</v>
      </c>
      <c r="C16" s="18" t="s">
        <v>120</v>
      </c>
      <c r="D16" s="18">
        <v>200000</v>
      </c>
      <c r="E16" s="18">
        <f>SUMIFS(Orders!G:G,Orders!F:F,A16)</f>
        <v>195359</v>
      </c>
      <c r="F16" s="19" t="str">
        <f>IF(E16&lt;D16,"Target Not Met",IF(E16=D16,"Target Met","Exceeded Target"))</f>
        <v>Target Not Met</v>
      </c>
    </row>
    <row r="17" spans="1:6" ht="18.5" customHeight="1" x14ac:dyDescent="0.35">
      <c r="A17" s="17" t="s">
        <v>34</v>
      </c>
      <c r="B17" s="18" t="s">
        <v>169</v>
      </c>
      <c r="C17" s="18" t="s">
        <v>118</v>
      </c>
      <c r="D17" s="18">
        <v>150000</v>
      </c>
      <c r="E17" s="18">
        <f>SUMIFS(Orders!G:G,Orders!F:F,A17)</f>
        <v>173391</v>
      </c>
      <c r="F17" s="19" t="str">
        <f>IF(E17&lt;D17,"Target Not Met",IF(E17=D17,"Target Met","Exceeded Target"))</f>
        <v>Exceeded Target</v>
      </c>
    </row>
    <row r="18" spans="1:6" ht="18.5" customHeight="1" x14ac:dyDescent="0.35">
      <c r="A18" s="17" t="s">
        <v>72</v>
      </c>
      <c r="B18" s="18" t="s">
        <v>170</v>
      </c>
      <c r="C18" s="18" t="s">
        <v>117</v>
      </c>
      <c r="D18" s="18">
        <v>150000</v>
      </c>
      <c r="E18" s="18">
        <f>SUMIFS(Orders!G:G,Orders!F:F,A18)</f>
        <v>145237</v>
      </c>
      <c r="F18" s="19" t="str">
        <f>IF(E18&lt;D18,"Target Not Met",IF(E18=D18,"Target Met","Exceeded Target"))</f>
        <v>Target Not Met</v>
      </c>
    </row>
    <row r="19" spans="1:6" ht="18.5" customHeight="1" x14ac:dyDescent="0.35">
      <c r="A19" s="17" t="s">
        <v>71</v>
      </c>
      <c r="B19" s="18" t="s">
        <v>171</v>
      </c>
      <c r="C19" s="18" t="s">
        <v>119</v>
      </c>
      <c r="D19" s="18">
        <v>150000</v>
      </c>
      <c r="E19" s="18">
        <f>SUMIFS(Orders!G:G,Orders!F:F,A19)</f>
        <v>115291</v>
      </c>
      <c r="F19" s="19" t="str">
        <f>IF(E19&lt;D19,"Target Not Met",IF(E19=D19,"Target Met","Exceeded Target"))</f>
        <v>Target Not Met</v>
      </c>
    </row>
    <row r="20" spans="1:6" ht="18.5" customHeight="1" x14ac:dyDescent="0.35">
      <c r="A20" s="17" t="s">
        <v>90</v>
      </c>
      <c r="B20" s="18" t="s">
        <v>173</v>
      </c>
      <c r="C20" s="18" t="s">
        <v>116</v>
      </c>
      <c r="D20" s="18">
        <v>150000</v>
      </c>
      <c r="E20" s="18">
        <f>SUMIFS(Orders!G:G,Orders!F:F,A20)</f>
        <v>175816</v>
      </c>
      <c r="F20" s="19" t="str">
        <f>IF(E20&lt;D20,"Target Not Met",IF(E20=D20,"Target Met","Exceeded Target"))</f>
        <v>Exceeded Target</v>
      </c>
    </row>
    <row r="21" spans="1:6" ht="18.5" customHeight="1" x14ac:dyDescent="0.35">
      <c r="A21" s="17" t="s">
        <v>40</v>
      </c>
      <c r="B21" s="18" t="s">
        <v>174</v>
      </c>
      <c r="C21" s="18" t="s">
        <v>116</v>
      </c>
      <c r="D21" s="18">
        <v>150000</v>
      </c>
      <c r="E21" s="18">
        <f>SUMIFS(Orders!G:G,Orders!F:F,A21)</f>
        <v>137504</v>
      </c>
      <c r="F21" s="19" t="str">
        <f>IF(E21&lt;D21,"Target Not Met",IF(E21=D21,"Target Met","Exceeded Target"))</f>
        <v>Target Not Met</v>
      </c>
    </row>
    <row r="22" spans="1:6" ht="18.5" customHeight="1" x14ac:dyDescent="0.35">
      <c r="A22" s="17" t="s">
        <v>66</v>
      </c>
      <c r="B22" s="18" t="s">
        <v>179</v>
      </c>
      <c r="C22" s="18" t="s">
        <v>118</v>
      </c>
      <c r="D22" s="18">
        <v>150000</v>
      </c>
      <c r="E22" s="18">
        <f>SUMIFS(Orders!G:G,Orders!F:F,A22)</f>
        <v>125181</v>
      </c>
      <c r="F22" s="19" t="str">
        <f>IF(E22&lt;D22,"Target Not Met",IF(E22=D22,"Target Met","Exceeded Target"))</f>
        <v>Target Not Met</v>
      </c>
    </row>
    <row r="23" spans="1:6" ht="18.5" customHeight="1" x14ac:dyDescent="0.35">
      <c r="A23" s="17" t="s">
        <v>23</v>
      </c>
      <c r="B23" s="18" t="s">
        <v>180</v>
      </c>
      <c r="C23" s="18" t="s">
        <v>116</v>
      </c>
      <c r="D23" s="18">
        <v>150000</v>
      </c>
      <c r="E23" s="18">
        <f>SUMIFS(Orders!G:G,Orders!F:F,A23)</f>
        <v>188709</v>
      </c>
      <c r="F23" s="19" t="str">
        <f>IF(E23&lt;D23,"Target Not Met",IF(E23=D23,"Target Met","Exceeded Target"))</f>
        <v>Exceeded Target</v>
      </c>
    </row>
    <row r="24" spans="1:6" ht="18.5" customHeight="1" x14ac:dyDescent="0.35">
      <c r="A24" s="17" t="s">
        <v>9</v>
      </c>
      <c r="B24" s="18" t="s">
        <v>156</v>
      </c>
      <c r="C24" s="18" t="s">
        <v>118</v>
      </c>
      <c r="D24" s="18">
        <v>150000</v>
      </c>
      <c r="E24" s="18">
        <f>SUMIFS(Orders!G:G,Orders!F:F,A24)</f>
        <v>167417</v>
      </c>
      <c r="F24" s="19" t="str">
        <f>IF(E24&lt;D24,"Target Not Met",IF(E24=D24,"Target Met","Exceeded Target"))</f>
        <v>Exceeded Target</v>
      </c>
    </row>
    <row r="25" spans="1:6" ht="18.5" customHeight="1" x14ac:dyDescent="0.35">
      <c r="A25" s="17" t="s">
        <v>29</v>
      </c>
      <c r="B25" s="18" t="s">
        <v>157</v>
      </c>
      <c r="C25" s="18" t="s">
        <v>117</v>
      </c>
      <c r="D25" s="18">
        <v>150000</v>
      </c>
      <c r="E25" s="18">
        <f>SUMIFS(Orders!G:G,Orders!F:F,A25)</f>
        <v>139565</v>
      </c>
      <c r="F25" s="19" t="str">
        <f>IF(E25&lt;D25,"Target Not Met",IF(E25=D25,"Target Met","Exceeded Target"))</f>
        <v>Target Not Met</v>
      </c>
    </row>
    <row r="26" spans="1:6" ht="18.5" customHeight="1" x14ac:dyDescent="0.35">
      <c r="A26" s="17" t="s">
        <v>13</v>
      </c>
      <c r="B26" s="18" t="s">
        <v>159</v>
      </c>
      <c r="C26" s="18" t="s">
        <v>117</v>
      </c>
      <c r="D26" s="18">
        <v>150000</v>
      </c>
      <c r="E26" s="18">
        <f>SUMIFS(Orders!G:G,Orders!F:F,A26)</f>
        <v>143869</v>
      </c>
      <c r="F26" s="19" t="str">
        <f>IF(E26&lt;D26,"Target Not Met",IF(E26=D26,"Target Met","Exceeded Target"))</f>
        <v>Target Not Met</v>
      </c>
    </row>
    <row r="27" spans="1:6" ht="18.5" customHeight="1" x14ac:dyDescent="0.35">
      <c r="A27" s="17" t="s">
        <v>15</v>
      </c>
      <c r="B27" s="18" t="s">
        <v>160</v>
      </c>
      <c r="C27" s="18" t="s">
        <v>117</v>
      </c>
      <c r="D27" s="18">
        <v>150000</v>
      </c>
      <c r="E27" s="18">
        <f>SUMIFS(Orders!G:G,Orders!F:F,A27)</f>
        <v>123241</v>
      </c>
      <c r="F27" s="19" t="str">
        <f>IF(E27&lt;D27,"Target Not Met",IF(E27=D27,"Target Met","Exceeded Target"))</f>
        <v>Target Not Met</v>
      </c>
    </row>
    <row r="28" spans="1:6" ht="18.5" customHeight="1" x14ac:dyDescent="0.35">
      <c r="A28" s="17" t="s">
        <v>19</v>
      </c>
      <c r="B28" s="18" t="s">
        <v>163</v>
      </c>
      <c r="C28" s="18" t="s">
        <v>116</v>
      </c>
      <c r="D28" s="18">
        <v>150000</v>
      </c>
      <c r="E28" s="18">
        <f>SUMIFS(Orders!G:G,Orders!F:F,A28)</f>
        <v>144598</v>
      </c>
      <c r="F28" s="19" t="str">
        <f>IF(E28&lt;D28,"Target Not Met",IF(E28=D28,"Target Met","Exceeded Target"))</f>
        <v>Target Not Met</v>
      </c>
    </row>
    <row r="29" spans="1:6" ht="18.5" customHeight="1" x14ac:dyDescent="0.35">
      <c r="A29" s="17" t="s">
        <v>20</v>
      </c>
      <c r="B29" s="18" t="s">
        <v>165</v>
      </c>
      <c r="C29" s="18" t="s">
        <v>120</v>
      </c>
      <c r="D29" s="18">
        <v>150000</v>
      </c>
      <c r="E29" s="18">
        <f>SUMIFS(Orders!G:G,Orders!F:F,A29)</f>
        <v>133448</v>
      </c>
      <c r="F29" s="19" t="str">
        <f>IF(E29&lt;D29,"Target Not Met",IF(E29=D29,"Target Met","Exceeded Target"))</f>
        <v>Target Not Met</v>
      </c>
    </row>
    <row r="30" spans="1:6" ht="18.5" customHeight="1" x14ac:dyDescent="0.35">
      <c r="A30" s="17" t="s">
        <v>89</v>
      </c>
      <c r="B30" s="18" t="s">
        <v>169</v>
      </c>
      <c r="C30" s="18" t="s">
        <v>118</v>
      </c>
      <c r="D30" s="18">
        <v>150000</v>
      </c>
      <c r="E30" s="18">
        <f>SUMIFS(Orders!G:G,Orders!F:F,A30)</f>
        <v>107830</v>
      </c>
      <c r="F30" s="19" t="str">
        <f>IF(E30&lt;D30,"Target Not Met",IF(E30=D30,"Target Met","Exceeded Target"))</f>
        <v>Target Not Met</v>
      </c>
    </row>
    <row r="31" spans="1:6" ht="18.5" customHeight="1" x14ac:dyDescent="0.35">
      <c r="A31" s="17" t="s">
        <v>74</v>
      </c>
      <c r="B31" s="18" t="s">
        <v>171</v>
      </c>
      <c r="C31" s="18" t="s">
        <v>119</v>
      </c>
      <c r="D31" s="18">
        <v>150000</v>
      </c>
      <c r="E31" s="18">
        <f>SUMIFS(Orders!G:G,Orders!F:F,A31)</f>
        <v>164789</v>
      </c>
      <c r="F31" s="19" t="str">
        <f>IF(E31&lt;D31,"Target Not Met",IF(E31=D31,"Target Met","Exceeded Target"))</f>
        <v>Exceeded Target</v>
      </c>
    </row>
    <row r="32" spans="1:6" ht="18.5" customHeight="1" x14ac:dyDescent="0.35">
      <c r="A32" s="17" t="s">
        <v>44</v>
      </c>
      <c r="B32" s="18" t="s">
        <v>175</v>
      </c>
      <c r="C32" s="18" t="s">
        <v>118</v>
      </c>
      <c r="D32" s="18">
        <v>150000</v>
      </c>
      <c r="E32" s="18">
        <f>SUMIFS(Orders!G:G,Orders!F:F,A32)</f>
        <v>166573</v>
      </c>
      <c r="F32" s="19" t="str">
        <f>IF(E32&lt;D32,"Target Not Met",IF(E32=D32,"Target Met","Exceeded Target"))</f>
        <v>Exceeded Target</v>
      </c>
    </row>
    <row r="33" spans="1:6" ht="18.5" customHeight="1" x14ac:dyDescent="0.35">
      <c r="A33" s="17" t="s">
        <v>41</v>
      </c>
      <c r="B33" s="18" t="s">
        <v>176</v>
      </c>
      <c r="C33" s="18" t="s">
        <v>119</v>
      </c>
      <c r="D33" s="18">
        <v>150000</v>
      </c>
      <c r="E33" s="18">
        <f>SUMIFS(Orders!G:G,Orders!F:F,A33)</f>
        <v>156971</v>
      </c>
      <c r="F33" s="19" t="str">
        <f>IF(E33&lt;D33,"Target Not Met",IF(E33=D33,"Target Met","Exceeded Target"))</f>
        <v>Exceeded Target</v>
      </c>
    </row>
    <row r="34" spans="1:6" ht="18.5" customHeight="1" x14ac:dyDescent="0.35">
      <c r="A34" s="17" t="s">
        <v>12</v>
      </c>
      <c r="B34" s="18" t="s">
        <v>178</v>
      </c>
      <c r="C34" s="18" t="s">
        <v>117</v>
      </c>
      <c r="D34" s="18">
        <v>150000</v>
      </c>
      <c r="E34" s="18">
        <f>SUMIFS(Orders!G:G,Orders!F:F,A34)</f>
        <v>88917</v>
      </c>
      <c r="F34" s="19" t="str">
        <f>IF(E34&lt;D34,"Target Not Met",IF(E34=D34,"Target Met","Exceeded Target"))</f>
        <v>Target Not Met</v>
      </c>
    </row>
    <row r="35" spans="1:6" ht="18.5" customHeight="1" x14ac:dyDescent="0.35">
      <c r="A35" s="17" t="s">
        <v>11</v>
      </c>
      <c r="B35" s="18" t="s">
        <v>181</v>
      </c>
      <c r="C35" s="18" t="s">
        <v>117</v>
      </c>
      <c r="D35" s="18">
        <v>150000</v>
      </c>
      <c r="E35" s="18">
        <f>SUMIFS(Orders!G:G,Orders!F:F,A35)</f>
        <v>155548</v>
      </c>
      <c r="F35" s="19" t="str">
        <f>IF(E35&lt;D35,"Target Not Met",IF(E35=D35,"Target Met","Exceeded Target"))</f>
        <v>Exceeded Target</v>
      </c>
    </row>
    <row r="36" spans="1:6" ht="18.5" customHeight="1" x14ac:dyDescent="0.35">
      <c r="A36" s="17" t="s">
        <v>73</v>
      </c>
      <c r="B36" s="18" t="s">
        <v>153</v>
      </c>
      <c r="C36" s="18" t="s">
        <v>120</v>
      </c>
      <c r="D36" s="18">
        <v>150000</v>
      </c>
      <c r="E36" s="18">
        <f>SUMIFS(Orders!G:G,Orders!F:F,A36)</f>
        <v>156627</v>
      </c>
      <c r="F36" s="19" t="str">
        <f>IF(E36&lt;D36,"Target Not Met",IF(E36=D36,"Target Met","Exceeded Target"))</f>
        <v>Exceeded Target</v>
      </c>
    </row>
    <row r="37" spans="1:6" ht="18.5" customHeight="1" x14ac:dyDescent="0.35">
      <c r="A37" s="17" t="s">
        <v>7</v>
      </c>
      <c r="B37" s="18" t="s">
        <v>161</v>
      </c>
      <c r="C37" s="18" t="s">
        <v>118</v>
      </c>
      <c r="D37" s="18">
        <v>150000</v>
      </c>
      <c r="E37" s="18">
        <f>SUMIFS(Orders!G:G,Orders!F:F,A37)</f>
        <v>158488</v>
      </c>
      <c r="F37" s="19" t="str">
        <f>IF(E37&lt;D37,"Target Not Met",IF(E37=D37,"Target Met","Exceeded Target"))</f>
        <v>Exceeded Target</v>
      </c>
    </row>
    <row r="38" spans="1:6" ht="18.5" customHeight="1" x14ac:dyDescent="0.35">
      <c r="A38" s="17" t="s">
        <v>21</v>
      </c>
      <c r="B38" s="18" t="s">
        <v>163</v>
      </c>
      <c r="C38" s="18" t="s">
        <v>116</v>
      </c>
      <c r="D38" s="18">
        <v>150000</v>
      </c>
      <c r="E38" s="18">
        <f>SUMIFS(Orders!G:G,Orders!F:F,A38)</f>
        <v>153373</v>
      </c>
      <c r="F38" s="19" t="str">
        <f>IF(E38&lt;D38,"Target Not Met",IF(E38=D38,"Target Met","Exceeded Target"))</f>
        <v>Exceeded Target</v>
      </c>
    </row>
    <row r="39" spans="1:6" ht="18.5" customHeight="1" x14ac:dyDescent="0.35">
      <c r="A39" s="17" t="s">
        <v>10</v>
      </c>
      <c r="B39" s="18" t="s">
        <v>176</v>
      </c>
      <c r="C39" s="18" t="s">
        <v>119</v>
      </c>
      <c r="D39" s="18">
        <v>150000</v>
      </c>
      <c r="E39" s="18">
        <f>SUMIFS(Orders!G:G,Orders!F:F,A39)</f>
        <v>98774</v>
      </c>
      <c r="F39" s="19" t="str">
        <f>IF(E39&lt;D39,"Target Not Met",IF(E39=D39,"Target Met","Exceeded Target"))</f>
        <v>Target Not Met</v>
      </c>
    </row>
    <row r="40" spans="1:6" ht="18.5" customHeight="1" x14ac:dyDescent="0.35">
      <c r="A40" s="17" t="s">
        <v>77</v>
      </c>
      <c r="B40" s="18" t="s">
        <v>153</v>
      </c>
      <c r="C40" s="18" t="s">
        <v>120</v>
      </c>
      <c r="D40" s="18">
        <v>100000</v>
      </c>
      <c r="E40" s="18">
        <f>SUMIFS(Orders!G:G,Orders!F:F,A40)</f>
        <v>135017</v>
      </c>
      <c r="F40" s="19" t="str">
        <f>IF(E40&lt;D40,"Target Not Met",IF(E40=D40,"Target Met","Exceeded Target"))</f>
        <v>Exceeded Target</v>
      </c>
    </row>
    <row r="41" spans="1:6" ht="18.5" customHeight="1" x14ac:dyDescent="0.35">
      <c r="A41" s="17" t="s">
        <v>22</v>
      </c>
      <c r="B41" s="18" t="s">
        <v>156</v>
      </c>
      <c r="C41" s="18" t="s">
        <v>118</v>
      </c>
      <c r="D41" s="18">
        <v>100000</v>
      </c>
      <c r="E41" s="18">
        <f>SUMIFS(Orders!G:G,Orders!F:F,A41)</f>
        <v>130274</v>
      </c>
      <c r="F41" s="19" t="str">
        <f>IF(E41&lt;D41,"Target Not Met",IF(E41=D41,"Target Met","Exceeded Target"))</f>
        <v>Exceeded Target</v>
      </c>
    </row>
    <row r="42" spans="1:6" ht="18.5" customHeight="1" x14ac:dyDescent="0.35">
      <c r="A42" s="17" t="s">
        <v>52</v>
      </c>
      <c r="B42" s="18" t="s">
        <v>159</v>
      </c>
      <c r="C42" s="18" t="s">
        <v>117</v>
      </c>
      <c r="D42" s="18">
        <v>100000</v>
      </c>
      <c r="E42" s="18">
        <f>SUMIFS(Orders!G:G,Orders!F:F,A42)</f>
        <v>145221</v>
      </c>
      <c r="F42" s="19" t="str">
        <f>IF(E42&lt;D42,"Target Not Met",IF(E42=D42,"Target Met","Exceeded Target"))</f>
        <v>Exceeded Target</v>
      </c>
    </row>
    <row r="43" spans="1:6" ht="18.5" customHeight="1" x14ac:dyDescent="0.35">
      <c r="A43" s="17" t="s">
        <v>88</v>
      </c>
      <c r="B43" s="18" t="s">
        <v>161</v>
      </c>
      <c r="C43" s="18" t="s">
        <v>118</v>
      </c>
      <c r="D43" s="18">
        <v>100000</v>
      </c>
      <c r="E43" s="18">
        <f>SUMIFS(Orders!G:G,Orders!F:F,A43)</f>
        <v>107896</v>
      </c>
      <c r="F43" s="19" t="str">
        <f>IF(E43&lt;D43,"Target Not Met",IF(E43=D43,"Target Met","Exceeded Target"))</f>
        <v>Exceeded Target</v>
      </c>
    </row>
    <row r="44" spans="1:6" ht="18.5" customHeight="1" x14ac:dyDescent="0.35">
      <c r="A44" s="17" t="s">
        <v>39</v>
      </c>
      <c r="B44" s="18" t="s">
        <v>165</v>
      </c>
      <c r="C44" s="18" t="s">
        <v>120</v>
      </c>
      <c r="D44" s="18">
        <v>100000</v>
      </c>
      <c r="E44" s="18">
        <f>SUMIFS(Orders!G:G,Orders!F:F,A44)</f>
        <v>88953</v>
      </c>
      <c r="F44" s="19" t="str">
        <f>IF(E44&lt;D44,"Target Not Met",IF(E44=D44,"Target Met","Exceeded Target"))</f>
        <v>Target Not Met</v>
      </c>
    </row>
    <row r="45" spans="1:6" ht="18.5" customHeight="1" x14ac:dyDescent="0.35">
      <c r="A45" s="17" t="s">
        <v>55</v>
      </c>
      <c r="B45" s="18" t="s">
        <v>16</v>
      </c>
      <c r="C45" s="18" t="s">
        <v>118</v>
      </c>
      <c r="D45" s="18">
        <v>100000</v>
      </c>
      <c r="E45" s="18">
        <f>SUMIFS(Orders!G:G,Orders!F:F,A45)</f>
        <v>84119</v>
      </c>
      <c r="F45" s="19" t="str">
        <f>IF(E45&lt;D45,"Target Not Met",IF(E45=D45,"Target Met","Exceeded Target"))</f>
        <v>Target Not Met</v>
      </c>
    </row>
    <row r="46" spans="1:6" ht="18.5" customHeight="1" x14ac:dyDescent="0.35">
      <c r="A46" s="17" t="s">
        <v>51</v>
      </c>
      <c r="B46" s="18" t="s">
        <v>168</v>
      </c>
      <c r="C46" s="18" t="s">
        <v>119</v>
      </c>
      <c r="D46" s="18">
        <v>100000</v>
      </c>
      <c r="E46" s="18">
        <f>SUMIFS(Orders!G:G,Orders!F:F,A46)</f>
        <v>98119</v>
      </c>
      <c r="F46" s="19" t="str">
        <f>IF(E46&lt;D46,"Target Not Met",IF(E46=D46,"Target Met","Exceeded Target"))</f>
        <v>Target Not Met</v>
      </c>
    </row>
    <row r="47" spans="1:6" ht="18.5" customHeight="1" x14ac:dyDescent="0.35">
      <c r="A47" s="17" t="s">
        <v>60</v>
      </c>
      <c r="B47" s="18" t="s">
        <v>172</v>
      </c>
      <c r="C47" s="18" t="s">
        <v>120</v>
      </c>
      <c r="D47" s="18">
        <v>100000</v>
      </c>
      <c r="E47" s="18">
        <f>SUMIFS(Orders!G:G,Orders!F:F,A47)</f>
        <v>98950</v>
      </c>
      <c r="F47" s="19" t="str">
        <f>IF(E47&lt;D47,"Target Not Met",IF(E47=D47,"Target Met","Exceeded Target"))</f>
        <v>Target Not Met</v>
      </c>
    </row>
    <row r="48" spans="1:6" ht="18.5" customHeight="1" x14ac:dyDescent="0.35">
      <c r="A48" s="17" t="s">
        <v>6</v>
      </c>
      <c r="B48" s="18" t="s">
        <v>175</v>
      </c>
      <c r="C48" s="18" t="s">
        <v>118</v>
      </c>
      <c r="D48" s="18">
        <v>100000</v>
      </c>
      <c r="E48" s="18">
        <f>SUMIFS(Orders!G:G,Orders!F:F,A48)</f>
        <v>108833</v>
      </c>
      <c r="F48" s="19" t="str">
        <f>IF(E48&lt;D48,"Target Not Met",IF(E48=D48,"Target Met","Exceeded Target"))</f>
        <v>Exceeded Target</v>
      </c>
    </row>
    <row r="49" spans="1:6" ht="18.5" customHeight="1" x14ac:dyDescent="0.35">
      <c r="A49" s="17" t="s">
        <v>87</v>
      </c>
      <c r="B49" s="18" t="s">
        <v>177</v>
      </c>
      <c r="C49" s="18" t="s">
        <v>118</v>
      </c>
      <c r="D49" s="18">
        <v>100000</v>
      </c>
      <c r="E49" s="18">
        <f>SUMIFS(Orders!G:G,Orders!F:F,A49)</f>
        <v>94689</v>
      </c>
      <c r="F49" s="19" t="str">
        <f>IF(E49&lt;D49,"Target Not Met",IF(E49=D49,"Target Met","Exceeded Target"))</f>
        <v>Target Not Met</v>
      </c>
    </row>
    <row r="50" spans="1:6" ht="18.5" customHeight="1" x14ac:dyDescent="0.35">
      <c r="A50" s="17" t="s">
        <v>70</v>
      </c>
      <c r="B50" s="18" t="s">
        <v>178</v>
      </c>
      <c r="C50" s="18" t="s">
        <v>117</v>
      </c>
      <c r="D50" s="18">
        <v>100000</v>
      </c>
      <c r="E50" s="18">
        <f>SUMIFS(Orders!G:G,Orders!F:F,A50)</f>
        <v>132192</v>
      </c>
      <c r="F50" s="19" t="str">
        <f>IF(E50&lt;D50,"Target Not Met",IF(E50=D50,"Target Met","Exceeded Target"))</f>
        <v>Exceeded Target</v>
      </c>
    </row>
    <row r="51" spans="1:6" ht="18.5" customHeight="1" x14ac:dyDescent="0.35">
      <c r="A51" s="17" t="s">
        <v>49</v>
      </c>
      <c r="B51" s="18" t="s">
        <v>153</v>
      </c>
      <c r="C51" s="18" t="s">
        <v>120</v>
      </c>
      <c r="D51" s="18">
        <v>100000</v>
      </c>
      <c r="E51" s="18">
        <f>SUMIFS(Orders!G:G,Orders!F:F,A51)</f>
        <v>92100</v>
      </c>
      <c r="F51" s="19" t="str">
        <f>IF(E51&lt;D51,"Target Not Met",IF(E51=D51,"Target Met","Exceeded Target"))</f>
        <v>Target Not Met</v>
      </c>
    </row>
    <row r="52" spans="1:6" ht="18.5" customHeight="1" x14ac:dyDescent="0.35">
      <c r="A52" s="17" t="s">
        <v>25</v>
      </c>
      <c r="B52" s="18" t="s">
        <v>154</v>
      </c>
      <c r="C52" s="18" t="s">
        <v>116</v>
      </c>
      <c r="D52" s="18">
        <v>100000</v>
      </c>
      <c r="E52" s="18">
        <f>SUMIFS(Orders!G:G,Orders!F:F,A52)</f>
        <v>94314</v>
      </c>
      <c r="F52" s="19" t="str">
        <f>IF(E52&lt;D52,"Target Not Met",IF(E52=D52,"Target Met","Exceeded Target"))</f>
        <v>Target Not Met</v>
      </c>
    </row>
    <row r="53" spans="1:6" ht="18.5" customHeight="1" x14ac:dyDescent="0.35">
      <c r="A53" s="17" t="s">
        <v>28</v>
      </c>
      <c r="B53" s="18" t="s">
        <v>155</v>
      </c>
      <c r="C53" s="18" t="s">
        <v>117</v>
      </c>
      <c r="D53" s="18">
        <v>100000</v>
      </c>
      <c r="E53" s="18">
        <f>SUMIFS(Orders!G:G,Orders!F:F,A53)</f>
        <v>110015</v>
      </c>
      <c r="F53" s="19" t="str">
        <f>IF(E53&lt;D53,"Target Not Met",IF(E53=D53,"Target Met","Exceeded Target"))</f>
        <v>Exceeded Target</v>
      </c>
    </row>
    <row r="54" spans="1:6" ht="18.5" customHeight="1" x14ac:dyDescent="0.35">
      <c r="A54" s="17" t="s">
        <v>68</v>
      </c>
      <c r="B54" s="18" t="s">
        <v>161</v>
      </c>
      <c r="C54" s="18" t="s">
        <v>118</v>
      </c>
      <c r="D54" s="18">
        <v>100000</v>
      </c>
      <c r="E54" s="18">
        <f>SUMIFS(Orders!G:G,Orders!F:F,A54)</f>
        <v>92050</v>
      </c>
      <c r="F54" s="19" t="str">
        <f>IF(E54&lt;D54,"Target Not Met",IF(E54=D54,"Target Met","Exceeded Target"))</f>
        <v>Target Not Met</v>
      </c>
    </row>
    <row r="55" spans="1:6" ht="18.5" customHeight="1" x14ac:dyDescent="0.35">
      <c r="A55" s="17" t="s">
        <v>17</v>
      </c>
      <c r="B55" s="18" t="s">
        <v>164</v>
      </c>
      <c r="C55" s="18" t="s">
        <v>116</v>
      </c>
      <c r="D55" s="18">
        <v>100000</v>
      </c>
      <c r="E55" s="18">
        <f>SUMIFS(Orders!G:G,Orders!F:F,A55)</f>
        <v>130563</v>
      </c>
      <c r="F55" s="19" t="str">
        <f>IF(E55&lt;D55,"Target Not Met",IF(E55=D55,"Target Met","Exceeded Target"))</f>
        <v>Exceeded Target</v>
      </c>
    </row>
    <row r="56" spans="1:6" ht="18.5" customHeight="1" x14ac:dyDescent="0.35">
      <c r="A56" s="17" t="s">
        <v>33</v>
      </c>
      <c r="B56" s="18" t="s">
        <v>166</v>
      </c>
      <c r="C56" s="18" t="s">
        <v>119</v>
      </c>
      <c r="D56" s="18">
        <v>100000</v>
      </c>
      <c r="E56" s="18">
        <f>SUMIFS(Orders!G:G,Orders!F:F,A56)</f>
        <v>88589</v>
      </c>
      <c r="F56" s="19" t="str">
        <f>IF(E56&lt;D56,"Target Not Met",IF(E56=D56,"Target Met","Exceeded Target"))</f>
        <v>Target Not Met</v>
      </c>
    </row>
    <row r="57" spans="1:6" ht="18.5" customHeight="1" x14ac:dyDescent="0.35">
      <c r="A57" s="17" t="s">
        <v>35</v>
      </c>
      <c r="B57" s="18" t="s">
        <v>16</v>
      </c>
      <c r="C57" s="18" t="s">
        <v>118</v>
      </c>
      <c r="D57" s="18">
        <v>100000</v>
      </c>
      <c r="E57" s="18">
        <f>SUMIFS(Orders!G:G,Orders!F:F,A57)</f>
        <v>93064</v>
      </c>
      <c r="F57" s="19" t="str">
        <f>IF(E57&lt;D57,"Target Not Met",IF(E57=D57,"Target Met","Exceeded Target"))</f>
        <v>Target Not Met</v>
      </c>
    </row>
    <row r="58" spans="1:6" ht="18.5" customHeight="1" x14ac:dyDescent="0.35">
      <c r="A58" s="17" t="s">
        <v>62</v>
      </c>
      <c r="B58" s="18" t="s">
        <v>168</v>
      </c>
      <c r="C58" s="18" t="s">
        <v>119</v>
      </c>
      <c r="D58" s="18">
        <v>100000</v>
      </c>
      <c r="E58" s="18">
        <f>SUMIFS(Orders!G:G,Orders!F:F,A58)</f>
        <v>78336</v>
      </c>
      <c r="F58" s="19" t="str">
        <f>IF(E58&lt;D58,"Target Not Met",IF(E58=D58,"Target Met","Exceeded Target"))</f>
        <v>Target Not Met</v>
      </c>
    </row>
    <row r="59" spans="1:6" ht="18.5" customHeight="1" x14ac:dyDescent="0.35">
      <c r="A59" s="17" t="s">
        <v>64</v>
      </c>
      <c r="B59" s="18" t="s">
        <v>170</v>
      </c>
      <c r="C59" s="18" t="s">
        <v>117</v>
      </c>
      <c r="D59" s="18">
        <v>100000</v>
      </c>
      <c r="E59" s="18">
        <f>SUMIFS(Orders!G:G,Orders!F:F,A59)</f>
        <v>99157</v>
      </c>
      <c r="F59" s="19" t="str">
        <f>IF(E59&lt;D59,"Target Not Met",IF(E59=D59,"Target Met","Exceeded Target"))</f>
        <v>Target Not Met</v>
      </c>
    </row>
    <row r="60" spans="1:6" ht="18.5" customHeight="1" x14ac:dyDescent="0.35">
      <c r="A60" s="17" t="s">
        <v>53</v>
      </c>
      <c r="B60" s="18" t="s">
        <v>174</v>
      </c>
      <c r="C60" s="18" t="s">
        <v>116</v>
      </c>
      <c r="D60" s="18">
        <v>100000</v>
      </c>
      <c r="E60" s="18">
        <f>SUMIFS(Orders!G:G,Orders!F:F,A60)</f>
        <v>89991</v>
      </c>
      <c r="F60" s="19" t="str">
        <f>IF(E60&lt;D60,"Target Not Met",IF(E60=D60,"Target Met","Exceeded Target"))</f>
        <v>Target Not Met</v>
      </c>
    </row>
    <row r="61" spans="1:6" ht="18.5" customHeight="1" x14ac:dyDescent="0.35">
      <c r="A61" s="17" t="s">
        <v>54</v>
      </c>
      <c r="B61" s="18" t="s">
        <v>179</v>
      </c>
      <c r="C61" s="18" t="s">
        <v>118</v>
      </c>
      <c r="D61" s="18">
        <v>100000</v>
      </c>
      <c r="E61" s="18">
        <f>SUMIFS(Orders!G:G,Orders!F:F,A61)</f>
        <v>115877</v>
      </c>
      <c r="F61" s="19" t="str">
        <f>IF(E61&lt;D61,"Target Not Met",IF(E61=D61,"Target Met","Exceeded Target"))</f>
        <v>Exceeded Target</v>
      </c>
    </row>
    <row r="62" spans="1:6" ht="18.5" customHeight="1" x14ac:dyDescent="0.35">
      <c r="A62" s="17" t="s">
        <v>91</v>
      </c>
      <c r="B62" s="18" t="s">
        <v>180</v>
      </c>
      <c r="C62" s="18" t="s">
        <v>116</v>
      </c>
      <c r="D62" s="18">
        <v>100000</v>
      </c>
      <c r="E62" s="18">
        <f>SUMIFS(Orders!G:G,Orders!F:F,A62)</f>
        <v>87374</v>
      </c>
      <c r="F62" s="19" t="str">
        <f>IF(E62&lt;D62,"Target Not Met",IF(E62=D62,"Target Met","Exceeded Target"))</f>
        <v>Target Not Met</v>
      </c>
    </row>
    <row r="63" spans="1:6" ht="18.5" customHeight="1" x14ac:dyDescent="0.35">
      <c r="A63" s="17" t="s">
        <v>45</v>
      </c>
      <c r="B63" s="18" t="s">
        <v>158</v>
      </c>
      <c r="C63" s="18" t="s">
        <v>116</v>
      </c>
      <c r="D63" s="18">
        <v>100000</v>
      </c>
      <c r="E63" s="18">
        <f>SUMIFS(Orders!G:G,Orders!F:F,A63)</f>
        <v>116145</v>
      </c>
      <c r="F63" s="19" t="str">
        <f>IF(E63&lt;D63,"Target Not Met",IF(E63=D63,"Target Met","Exceeded Target"))</f>
        <v>Exceeded Target</v>
      </c>
    </row>
    <row r="64" spans="1:6" ht="18.5" customHeight="1" x14ac:dyDescent="0.35">
      <c r="A64" s="17" t="s">
        <v>63</v>
      </c>
      <c r="B64" s="18" t="s">
        <v>160</v>
      </c>
      <c r="C64" s="18" t="s">
        <v>117</v>
      </c>
      <c r="D64" s="18">
        <v>100000</v>
      </c>
      <c r="E64" s="18">
        <f>SUMIFS(Orders!G:G,Orders!F:F,A64)</f>
        <v>87269</v>
      </c>
      <c r="F64" s="19" t="str">
        <f>IF(E64&lt;D64,"Target Not Met",IF(E64=D64,"Target Met","Exceeded Target"))</f>
        <v>Target Not Met</v>
      </c>
    </row>
    <row r="65" spans="1:6" ht="18.5" customHeight="1" x14ac:dyDescent="0.35">
      <c r="A65" s="17" t="s">
        <v>38</v>
      </c>
      <c r="B65" s="18" t="s">
        <v>162</v>
      </c>
      <c r="C65" s="18" t="s">
        <v>117</v>
      </c>
      <c r="D65" s="18">
        <v>100000</v>
      </c>
      <c r="E65" s="18">
        <f>SUMIFS(Orders!G:G,Orders!F:F,A65)</f>
        <v>74372</v>
      </c>
      <c r="F65" s="19" t="str">
        <f>IF(E65&lt;D65,"Target Not Met",IF(E65=D65,"Target Met","Exceeded Target"))</f>
        <v>Target Not Met</v>
      </c>
    </row>
    <row r="66" spans="1:6" ht="18.5" customHeight="1" x14ac:dyDescent="0.35">
      <c r="A66" s="17" t="s">
        <v>82</v>
      </c>
      <c r="B66" s="18" t="s">
        <v>164</v>
      </c>
      <c r="C66" s="18" t="s">
        <v>116</v>
      </c>
      <c r="D66" s="18">
        <v>100000</v>
      </c>
      <c r="E66" s="18">
        <f>SUMIFS(Orders!G:G,Orders!F:F,A66)</f>
        <v>86682</v>
      </c>
      <c r="F66" s="19" t="str">
        <f>IF(E66&lt;D66,"Target Not Met",IF(E66=D66,"Target Met","Exceeded Target"))</f>
        <v>Target Not Met</v>
      </c>
    </row>
    <row r="67" spans="1:6" ht="18.5" customHeight="1" x14ac:dyDescent="0.35">
      <c r="A67" s="17" t="s">
        <v>85</v>
      </c>
      <c r="B67" s="18" t="s">
        <v>165</v>
      </c>
      <c r="C67" s="18" t="s">
        <v>120</v>
      </c>
      <c r="D67" s="18">
        <v>100000</v>
      </c>
      <c r="E67" s="18">
        <f>SUMIFS(Orders!G:G,Orders!F:F,A67)</f>
        <v>91534</v>
      </c>
      <c r="F67" s="19" t="str">
        <f>IF(E67&lt;D67,"Target Not Met",IF(E67=D67,"Target Met","Exceeded Target"))</f>
        <v>Target Not Met</v>
      </c>
    </row>
    <row r="68" spans="1:6" ht="18.5" customHeight="1" x14ac:dyDescent="0.35">
      <c r="A68" s="17" t="s">
        <v>26</v>
      </c>
      <c r="B68" s="18" t="s">
        <v>166</v>
      </c>
      <c r="C68" s="18" t="s">
        <v>119</v>
      </c>
      <c r="D68" s="18">
        <v>100000</v>
      </c>
      <c r="E68" s="18">
        <f>SUMIFS(Orders!G:G,Orders!F:F,A68)</f>
        <v>107329</v>
      </c>
      <c r="F68" s="19" t="str">
        <f>IF(E68&lt;D68,"Target Not Met",IF(E68=D68,"Target Met","Exceeded Target"))</f>
        <v>Exceeded Target</v>
      </c>
    </row>
    <row r="69" spans="1:6" ht="18.5" customHeight="1" x14ac:dyDescent="0.35">
      <c r="A69" s="17" t="s">
        <v>36</v>
      </c>
      <c r="B69" s="18" t="s">
        <v>167</v>
      </c>
      <c r="C69" s="18" t="s">
        <v>120</v>
      </c>
      <c r="D69" s="18">
        <v>100000</v>
      </c>
      <c r="E69" s="18">
        <f>SUMIFS(Orders!G:G,Orders!F:F,A69)</f>
        <v>73048</v>
      </c>
      <c r="F69" s="19" t="str">
        <f>IF(E69&lt;D69,"Target Not Met",IF(E69=D69,"Target Met","Exceeded Target"))</f>
        <v>Target Not Met</v>
      </c>
    </row>
    <row r="70" spans="1:6" ht="18.5" customHeight="1" x14ac:dyDescent="0.35">
      <c r="A70" s="17" t="s">
        <v>42</v>
      </c>
      <c r="B70" s="18" t="s">
        <v>16</v>
      </c>
      <c r="C70" s="18" t="s">
        <v>118</v>
      </c>
      <c r="D70" s="18">
        <v>100000</v>
      </c>
      <c r="E70" s="18">
        <f>SUMIFS(Orders!G:G,Orders!F:F,A70)</f>
        <v>86855</v>
      </c>
      <c r="F70" s="19" t="str">
        <f>IF(E70&lt;D70,"Target Not Met",IF(E70=D70,"Target Met","Exceeded Target"))</f>
        <v>Target Not Met</v>
      </c>
    </row>
    <row r="71" spans="1:6" ht="18.5" customHeight="1" x14ac:dyDescent="0.35">
      <c r="A71" s="17" t="s">
        <v>47</v>
      </c>
      <c r="B71" s="18" t="s">
        <v>169</v>
      </c>
      <c r="C71" s="18" t="s">
        <v>118</v>
      </c>
      <c r="D71" s="18">
        <v>100000</v>
      </c>
      <c r="E71" s="18">
        <f>SUMIFS(Orders!G:G,Orders!F:F,A71)</f>
        <v>85772</v>
      </c>
      <c r="F71" s="19" t="str">
        <f>IF(E71&lt;D71,"Target Not Met",IF(E71=D71,"Target Met","Exceeded Target"))</f>
        <v>Target Not Met</v>
      </c>
    </row>
    <row r="72" spans="1:6" ht="18.5" customHeight="1" x14ac:dyDescent="0.35">
      <c r="A72" s="17" t="s">
        <v>37</v>
      </c>
      <c r="B72" s="18" t="s">
        <v>175</v>
      </c>
      <c r="C72" s="18" t="s">
        <v>118</v>
      </c>
      <c r="D72" s="18">
        <v>100000</v>
      </c>
      <c r="E72" s="18">
        <f>SUMIFS(Orders!G:G,Orders!F:F,A72)</f>
        <v>44273</v>
      </c>
      <c r="F72" s="19" t="str">
        <f>IF(E72&lt;D72,"Target Not Met",IF(E72=D72,"Target Met","Exceeded Target"))</f>
        <v>Target Not Met</v>
      </c>
    </row>
    <row r="73" spans="1:6" ht="18.5" customHeight="1" x14ac:dyDescent="0.35">
      <c r="A73" s="17" t="s">
        <v>86</v>
      </c>
      <c r="B73" s="18" t="s">
        <v>177</v>
      </c>
      <c r="C73" s="18" t="s">
        <v>118</v>
      </c>
      <c r="D73" s="18">
        <v>100000</v>
      </c>
      <c r="E73" s="18">
        <f>SUMIFS(Orders!G:G,Orders!F:F,A73)</f>
        <v>94616</v>
      </c>
      <c r="F73" s="19" t="str">
        <f>IF(E73&lt;D73,"Target Not Met",IF(E73=D73,"Target Met","Exceeded Target"))</f>
        <v>Target Not Met</v>
      </c>
    </row>
    <row r="74" spans="1:6" ht="18.5" customHeight="1" x14ac:dyDescent="0.35">
      <c r="A74" s="17" t="s">
        <v>67</v>
      </c>
      <c r="B74" s="18" t="s">
        <v>180</v>
      </c>
      <c r="C74" s="18" t="s">
        <v>116</v>
      </c>
      <c r="D74" s="18">
        <v>100000</v>
      </c>
      <c r="E74" s="18">
        <f>SUMIFS(Orders!G:G,Orders!F:F,A74)</f>
        <v>85279</v>
      </c>
      <c r="F74" s="19" t="str">
        <f>IF(E74&lt;D74,"Target Not Met",IF(E74=D74,"Target Met","Exceeded Target"))</f>
        <v>Target Not Met</v>
      </c>
    </row>
    <row r="75" spans="1:6" ht="18.5" customHeight="1" x14ac:dyDescent="0.35">
      <c r="A75" s="17" t="s">
        <v>48</v>
      </c>
      <c r="B75" s="18" t="s">
        <v>164</v>
      </c>
      <c r="C75" s="18" t="s">
        <v>116</v>
      </c>
      <c r="D75" s="18">
        <v>100000</v>
      </c>
      <c r="E75" s="18">
        <f>SUMIFS(Orders!G:G,Orders!F:F,A75)</f>
        <v>95828</v>
      </c>
      <c r="F75" s="19" t="str">
        <f>IF(E75&lt;D75,"Target Not Met",IF(E75=D75,"Target Met","Exceeded Target"))</f>
        <v>Target Not Met</v>
      </c>
    </row>
    <row r="76" spans="1:6" ht="18.5" customHeight="1" x14ac:dyDescent="0.35">
      <c r="A76" s="17" t="s">
        <v>61</v>
      </c>
      <c r="B76" s="18" t="s">
        <v>158</v>
      </c>
      <c r="C76" s="18" t="s">
        <v>116</v>
      </c>
      <c r="D76" s="18">
        <v>80000</v>
      </c>
      <c r="E76" s="18">
        <f>SUMIFS(Orders!G:G,Orders!F:F,A76)</f>
        <v>71209</v>
      </c>
      <c r="F76" s="19" t="str">
        <f>IF(E76&lt;D76,"Target Not Met",IF(E76=D76,"Target Met","Exceeded Target"))</f>
        <v>Target Not Met</v>
      </c>
    </row>
    <row r="77" spans="1:6" ht="18.5" customHeight="1" x14ac:dyDescent="0.35">
      <c r="A77" s="17" t="s">
        <v>76</v>
      </c>
      <c r="B77" s="18" t="s">
        <v>154</v>
      </c>
      <c r="C77" s="18" t="s">
        <v>116</v>
      </c>
      <c r="D77" s="18">
        <v>80000</v>
      </c>
      <c r="E77" s="18">
        <f>SUMIFS(Orders!G:G,Orders!F:F,A77)</f>
        <v>87550</v>
      </c>
      <c r="F77" s="19" t="str">
        <f>IF(E77&lt;D77,"Target Not Met",IF(E77=D77,"Target Met","Exceeded Target"))</f>
        <v>Exceeded Target</v>
      </c>
    </row>
    <row r="78" spans="1:6" ht="18.5" customHeight="1" x14ac:dyDescent="0.35">
      <c r="A78" s="17" t="s">
        <v>58</v>
      </c>
      <c r="B78" s="18" t="s">
        <v>157</v>
      </c>
      <c r="C78" s="18" t="s">
        <v>117</v>
      </c>
      <c r="D78" s="18">
        <v>80000</v>
      </c>
      <c r="E78" s="18">
        <f>SUMIFS(Orders!G:G,Orders!F:F,A78)</f>
        <v>56034</v>
      </c>
      <c r="F78" s="19" t="str">
        <f>IF(E78&lt;D78,"Target Not Met",IF(E78=D78,"Target Met","Exceeded Target"))</f>
        <v>Target Not Met</v>
      </c>
    </row>
    <row r="79" spans="1:6" ht="18.5" customHeight="1" x14ac:dyDescent="0.35">
      <c r="A79" s="17" t="s">
        <v>32</v>
      </c>
      <c r="B79" s="18" t="s">
        <v>168</v>
      </c>
      <c r="C79" s="18" t="s">
        <v>119</v>
      </c>
      <c r="D79" s="18">
        <v>80000</v>
      </c>
      <c r="E79" s="18">
        <f>SUMIFS(Orders!G:G,Orders!F:F,A79)</f>
        <v>67941</v>
      </c>
      <c r="F79" s="19" t="str">
        <f>IF(E79&lt;D79,"Target Not Met",IF(E79=D79,"Target Met","Exceeded Target"))</f>
        <v>Target Not Met</v>
      </c>
    </row>
    <row r="80" spans="1:6" ht="18.5" customHeight="1" x14ac:dyDescent="0.35">
      <c r="A80" s="17" t="s">
        <v>16</v>
      </c>
      <c r="B80" s="18" t="s">
        <v>173</v>
      </c>
      <c r="C80" s="18" t="s">
        <v>116</v>
      </c>
      <c r="D80" s="18">
        <v>80000</v>
      </c>
      <c r="E80" s="18">
        <f>SUMIFS(Orders!G:G,Orders!F:F,A80)</f>
        <v>67627</v>
      </c>
      <c r="F80" s="19" t="str">
        <f>IF(E80&lt;D80,"Target Not Met",IF(E80=D80,"Target Met","Exceeded Target"))</f>
        <v>Target Not Met</v>
      </c>
    </row>
    <row r="81" spans="1:8" ht="18.5" customHeight="1" x14ac:dyDescent="0.35">
      <c r="A81" s="17" t="s">
        <v>59</v>
      </c>
      <c r="B81" s="18" t="s">
        <v>179</v>
      </c>
      <c r="C81" s="18" t="s">
        <v>118</v>
      </c>
      <c r="D81" s="18">
        <v>80000</v>
      </c>
      <c r="E81" s="18">
        <f>SUMIFS(Orders!G:G,Orders!F:F,A81)</f>
        <v>86182</v>
      </c>
      <c r="F81" s="19" t="str">
        <f>IF(E81&lt;D81,"Target Not Met",IF(E81=D81,"Target Met","Exceeded Target"))</f>
        <v>Exceeded Target</v>
      </c>
    </row>
    <row r="82" spans="1:8" ht="18.5" customHeight="1" x14ac:dyDescent="0.35">
      <c r="A82" s="17" t="s">
        <v>31</v>
      </c>
      <c r="B82" s="18" t="s">
        <v>181</v>
      </c>
      <c r="C82" s="18" t="s">
        <v>117</v>
      </c>
      <c r="D82" s="18">
        <v>80000</v>
      </c>
      <c r="E82" s="18">
        <f>SUMIFS(Orders!G:G,Orders!F:F,A82)</f>
        <v>70369</v>
      </c>
      <c r="F82" s="19" t="str">
        <f>IF(E82&lt;D82,"Target Not Met",IF(E82=D82,"Target Met","Exceeded Target"))</f>
        <v>Target Not Met</v>
      </c>
    </row>
    <row r="83" spans="1:8" ht="18.5" customHeight="1" x14ac:dyDescent="0.35">
      <c r="A83" s="17" t="s">
        <v>56</v>
      </c>
      <c r="B83" s="18" t="s">
        <v>167</v>
      </c>
      <c r="C83" s="18" t="s">
        <v>120</v>
      </c>
      <c r="D83" s="18">
        <v>50000</v>
      </c>
      <c r="E83" s="18">
        <f>SUMIFS(Orders!G:G,Orders!F:F,A83)</f>
        <v>49487</v>
      </c>
      <c r="F83" s="19" t="str">
        <f>IF(E83&lt;D83,"Target Not Met",IF(E83=D83,"Target Met","Exceeded Target"))</f>
        <v>Target Not Met</v>
      </c>
      <c r="H83">
        <v>6016306</v>
      </c>
    </row>
    <row r="84" spans="1:8" ht="18.5" customHeight="1" x14ac:dyDescent="0.35">
      <c r="A84" s="17" t="s">
        <v>79</v>
      </c>
      <c r="B84" s="18" t="s">
        <v>181</v>
      </c>
      <c r="C84" s="18" t="s">
        <v>117</v>
      </c>
      <c r="D84" s="18">
        <v>50000</v>
      </c>
      <c r="E84" s="18">
        <f>SUMIFS(Orders!G:G,Orders!F:F,A84)</f>
        <v>57084</v>
      </c>
      <c r="F84" s="19" t="str">
        <f>IF(E84&lt;D84,"Target Not Met",IF(E84=D84,"Target Met","Exceeded Target"))</f>
        <v>Exceeded Target</v>
      </c>
    </row>
    <row r="85" spans="1:8" ht="18.5" customHeight="1" x14ac:dyDescent="0.35">
      <c r="A85" s="17" t="s">
        <v>57</v>
      </c>
      <c r="B85" s="18" t="s">
        <v>173</v>
      </c>
      <c r="C85" s="18" t="s">
        <v>116</v>
      </c>
      <c r="D85" s="18">
        <v>50000</v>
      </c>
      <c r="E85" s="18">
        <f>SUMIFS(Orders!G:G,Orders!F:F,A85)</f>
        <v>45184</v>
      </c>
      <c r="F85" s="19" t="str">
        <f>IF(E85&lt;D85,"Target Not Met",IF(E85=D85,"Target Met","Exceeded Target"))</f>
        <v>Target Not Met</v>
      </c>
    </row>
    <row r="86" spans="1:8" ht="18.5" customHeight="1" x14ac:dyDescent="0.35">
      <c r="A86" s="17" t="s">
        <v>94</v>
      </c>
      <c r="B86" s="18" t="s">
        <v>155</v>
      </c>
      <c r="C86" s="18" t="s">
        <v>117</v>
      </c>
      <c r="D86" s="18">
        <v>50000</v>
      </c>
      <c r="E86" s="18">
        <f>SUMIFS(Orders!G:G,Orders!F:F,A86)</f>
        <v>44651</v>
      </c>
      <c r="F86" s="19" t="str">
        <f>IF(E86&lt;D86,"Target Not Met",IF(E86=D86,"Target Met","Exceeded Target"))</f>
        <v>Target Not Met</v>
      </c>
    </row>
    <row r="87" spans="1:8" ht="18.5" customHeight="1" x14ac:dyDescent="0.35">
      <c r="A87" s="17" t="s">
        <v>75</v>
      </c>
      <c r="B87" s="18" t="s">
        <v>178</v>
      </c>
      <c r="C87" s="18" t="s">
        <v>117</v>
      </c>
      <c r="D87" s="18">
        <v>50000</v>
      </c>
      <c r="E87" s="18">
        <f>SUMIFS(Orders!G:G,Orders!F:F,A87)</f>
        <v>51911</v>
      </c>
      <c r="F87" s="19" t="str">
        <f>IF(E87&lt;D87,"Target Not Met",IF(E87=D87,"Target Met","Exceeded Target"))</f>
        <v>Exceeded Target</v>
      </c>
    </row>
    <row r="88" spans="1:8" ht="18.5" customHeight="1" x14ac:dyDescent="0.35">
      <c r="A88" s="17" t="s">
        <v>80</v>
      </c>
      <c r="B88" s="18" t="s">
        <v>165</v>
      </c>
      <c r="C88" s="18" t="s">
        <v>120</v>
      </c>
      <c r="D88" s="18">
        <v>50000</v>
      </c>
      <c r="E88" s="18">
        <f>SUMIFS(Orders!G:G,Orders!F:F,A88)</f>
        <v>41950</v>
      </c>
      <c r="F88" s="19" t="str">
        <f>IF(E88&lt;D88,"Target Not Met",IF(E88=D88,"Target Met","Exceeded Target"))</f>
        <v>Target Not Met</v>
      </c>
    </row>
    <row r="89" spans="1:8" ht="18.5" customHeight="1" x14ac:dyDescent="0.35">
      <c r="A89" s="17" t="s">
        <v>95</v>
      </c>
      <c r="B89" s="18" t="s">
        <v>162</v>
      </c>
      <c r="C89" s="18" t="s">
        <v>117</v>
      </c>
      <c r="D89" s="18">
        <v>30000</v>
      </c>
      <c r="E89" s="18">
        <f>SUMIFS(Orders!G:G,Orders!F:F,A89)</f>
        <v>25048</v>
      </c>
      <c r="F89" s="19" t="str">
        <f>IF(E89&lt;D89,"Target Not Met",IF(E89=D89,"Target Met","Exceeded Target"))</f>
        <v>Target Not Met</v>
      </c>
    </row>
    <row r="90" spans="1:8" ht="18.5" customHeight="1" x14ac:dyDescent="0.35">
      <c r="A90" s="17" t="s">
        <v>93</v>
      </c>
      <c r="B90" s="18" t="s">
        <v>167</v>
      </c>
      <c r="C90" s="18" t="s">
        <v>120</v>
      </c>
      <c r="D90" s="18">
        <v>30000</v>
      </c>
      <c r="E90" s="18">
        <f>SUMIFS(Orders!G:G,Orders!F:F,A90)</f>
        <v>31897</v>
      </c>
      <c r="F90" s="19" t="str">
        <f>IF(E90&lt;D90,"Target Not Met",IF(E90=D90,"Target Met","Exceeded Target"))</f>
        <v>Exceeded Target</v>
      </c>
    </row>
    <row r="91" spans="1:8" ht="18.5" customHeight="1" x14ac:dyDescent="0.35">
      <c r="A91" s="17" t="s">
        <v>84</v>
      </c>
      <c r="B91" s="18" t="s">
        <v>156</v>
      </c>
      <c r="C91" s="18" t="s">
        <v>118</v>
      </c>
      <c r="D91" s="18">
        <v>30000</v>
      </c>
      <c r="E91" s="18">
        <f>SUMIFS(Orders!G:G,Orders!F:F,A91)</f>
        <v>10197</v>
      </c>
      <c r="F91" s="19" t="str">
        <f>IF(E91&lt;D91,"Target Not Met",IF(E91=D91,"Target Met","Exceeded Target"))</f>
        <v>Target Not Met</v>
      </c>
    </row>
    <row r="92" spans="1:8" ht="18.5" customHeight="1" x14ac:dyDescent="0.35">
      <c r="A92" s="17" t="s">
        <v>50</v>
      </c>
      <c r="B92" s="18" t="s">
        <v>170</v>
      </c>
      <c r="C92" s="18" t="s">
        <v>117</v>
      </c>
      <c r="D92" s="18">
        <v>30000</v>
      </c>
      <c r="E92" s="18">
        <f>SUMIFS(Orders!G:G,Orders!F:F,A92)</f>
        <v>38017</v>
      </c>
      <c r="F92" s="19" t="str">
        <f>IF(E92&lt;D92,"Target Not Met",IF(E92=D92,"Target Met","Exceeded Target"))</f>
        <v>Exceeded Target</v>
      </c>
    </row>
    <row r="93" spans="1:8" ht="18.5" customHeight="1" thickBot="1" x14ac:dyDescent="0.4">
      <c r="A93" s="20" t="s">
        <v>92</v>
      </c>
      <c r="B93" s="21" t="s">
        <v>171</v>
      </c>
      <c r="C93" s="21" t="s">
        <v>119</v>
      </c>
      <c r="D93" s="21">
        <v>30000</v>
      </c>
      <c r="E93" s="21">
        <f>SUMIFS(Orders!G:G,Orders!F:F,A93)</f>
        <v>42553</v>
      </c>
      <c r="F93" s="22" t="str">
        <f>IF(E93&lt;D93,"Target Not Met",IF(E93=D93,"Target Met","Exceeded Target"))</f>
        <v>Exceeded Target</v>
      </c>
    </row>
  </sheetData>
  <autoFilter ref="A1:F93" xr:uid="{DED8E2D3-77AC-4585-98C3-B221078828E5}">
    <sortState xmlns:xlrd2="http://schemas.microsoft.com/office/spreadsheetml/2017/richdata2" ref="A2:F93">
      <sortCondition descending="1" ref="D2:D93"/>
    </sortState>
  </autoFilter>
  <mergeCells count="5">
    <mergeCell ref="I9:L9"/>
    <mergeCell ref="I14:K14"/>
    <mergeCell ref="I15:K15"/>
    <mergeCell ref="L14:M14"/>
    <mergeCell ref="L15:M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77ED-E414-405A-96FD-65E673EA40E4}">
  <sheetPr>
    <tabColor theme="9" tint="0.39997558519241921"/>
  </sheetPr>
  <dimension ref="B2:P33"/>
  <sheetViews>
    <sheetView tabSelected="1" workbookViewId="0">
      <selection activeCell="J32" sqref="J32"/>
    </sheetView>
  </sheetViews>
  <sheetFormatPr defaultRowHeight="14.5" x14ac:dyDescent="0.35"/>
  <cols>
    <col min="2" max="2" width="10.453125" bestFit="1" customWidth="1"/>
    <col min="3" max="3" width="23.90625" bestFit="1" customWidth="1"/>
    <col min="5" max="5" width="10.08984375" bestFit="1" customWidth="1"/>
    <col min="6" max="6" width="19.6328125" bestFit="1" customWidth="1"/>
    <col min="8" max="8" width="10.453125" bestFit="1" customWidth="1"/>
    <col min="11" max="11" width="10.453125" customWidth="1"/>
  </cols>
  <sheetData>
    <row r="2" spans="2:15" x14ac:dyDescent="0.35">
      <c r="B2">
        <f>COUNTBLANK(Orders!C2:C2501)</f>
        <v>0</v>
      </c>
      <c r="C2">
        <f>COUNTBLANK(Customers!D2:D2501)</f>
        <v>0</v>
      </c>
    </row>
    <row r="3" spans="2:15" x14ac:dyDescent="0.35">
      <c r="B3">
        <f>COUNTA(Orders!C2:C2501)</f>
        <v>2500</v>
      </c>
    </row>
    <row r="4" spans="2:15" x14ac:dyDescent="0.35">
      <c r="B4">
        <f>B3-B2</f>
        <v>2500</v>
      </c>
    </row>
    <row r="6" spans="2:15" x14ac:dyDescent="0.35">
      <c r="B6" t="s">
        <v>138</v>
      </c>
      <c r="C6" t="s">
        <v>140</v>
      </c>
      <c r="E6" t="s">
        <v>138</v>
      </c>
      <c r="F6" t="s">
        <v>141</v>
      </c>
      <c r="H6">
        <v>1</v>
      </c>
      <c r="I6" s="51" t="s">
        <v>142</v>
      </c>
      <c r="J6" s="51"/>
      <c r="K6" s="51"/>
      <c r="L6" s="51"/>
      <c r="M6" s="51"/>
      <c r="N6" s="51"/>
    </row>
    <row r="7" spans="2:15" x14ac:dyDescent="0.35">
      <c r="B7" t="s">
        <v>99</v>
      </c>
      <c r="C7">
        <v>885</v>
      </c>
      <c r="E7" t="s">
        <v>98</v>
      </c>
      <c r="F7">
        <v>637</v>
      </c>
      <c r="H7">
        <v>2</v>
      </c>
      <c r="I7" s="49" t="s">
        <v>145</v>
      </c>
      <c r="J7" s="49"/>
      <c r="K7" s="49"/>
      <c r="L7" s="49"/>
      <c r="M7" s="49"/>
      <c r="N7" s="49"/>
      <c r="O7" s="49"/>
    </row>
    <row r="8" spans="2:15" x14ac:dyDescent="0.35">
      <c r="B8" t="s">
        <v>100</v>
      </c>
      <c r="C8">
        <v>323</v>
      </c>
      <c r="E8" t="s">
        <v>133</v>
      </c>
      <c r="F8">
        <v>633</v>
      </c>
    </row>
    <row r="9" spans="2:15" x14ac:dyDescent="0.35">
      <c r="B9" t="s">
        <v>113</v>
      </c>
      <c r="C9">
        <v>281</v>
      </c>
      <c r="E9" t="s">
        <v>97</v>
      </c>
      <c r="F9">
        <v>622</v>
      </c>
    </row>
    <row r="10" spans="2:15" x14ac:dyDescent="0.35">
      <c r="B10" t="s">
        <v>105</v>
      </c>
      <c r="C10">
        <v>268</v>
      </c>
      <c r="E10" t="s">
        <v>96</v>
      </c>
      <c r="F10">
        <v>591</v>
      </c>
    </row>
    <row r="11" spans="2:15" x14ac:dyDescent="0.35">
      <c r="B11" t="s">
        <v>101</v>
      </c>
      <c r="C11">
        <v>198</v>
      </c>
    </row>
    <row r="12" spans="2:15" x14ac:dyDescent="0.35">
      <c r="B12" t="s">
        <v>107</v>
      </c>
      <c r="C12">
        <v>112</v>
      </c>
      <c r="H12" s="53" t="s">
        <v>1</v>
      </c>
      <c r="I12" s="53"/>
      <c r="K12" s="53" t="s">
        <v>124</v>
      </c>
      <c r="L12" s="53"/>
    </row>
    <row r="13" spans="2:15" x14ac:dyDescent="0.35">
      <c r="B13" t="s">
        <v>106</v>
      </c>
      <c r="C13">
        <v>97</v>
      </c>
      <c r="H13" t="s">
        <v>146</v>
      </c>
      <c r="I13">
        <f>QUARTILE(Orders!G2:G2501,1)</f>
        <v>2364</v>
      </c>
      <c r="K13" t="s">
        <v>146</v>
      </c>
      <c r="L13">
        <f>QUARTILE(Customers!D2:D2501,1)</f>
        <v>36</v>
      </c>
    </row>
    <row r="14" spans="2:15" x14ac:dyDescent="0.35">
      <c r="B14" t="s">
        <v>108</v>
      </c>
      <c r="C14">
        <v>66</v>
      </c>
      <c r="H14" t="s">
        <v>147</v>
      </c>
      <c r="I14">
        <f>QUARTILE(Orders!G2:G2501,3)</f>
        <v>7439.25</v>
      </c>
      <c r="K14" t="s">
        <v>147</v>
      </c>
      <c r="L14">
        <f>QUARTILE(Customers!D2:D2501,3)</f>
        <v>72</v>
      </c>
    </row>
    <row r="15" spans="2:15" x14ac:dyDescent="0.35">
      <c r="B15" t="s">
        <v>102</v>
      </c>
      <c r="C15">
        <v>66</v>
      </c>
      <c r="H15" t="s">
        <v>148</v>
      </c>
      <c r="I15">
        <f>I14-I13</f>
        <v>5075.25</v>
      </c>
      <c r="K15" t="s">
        <v>148</v>
      </c>
      <c r="L15">
        <f>L14-L13</f>
        <v>36</v>
      </c>
    </row>
    <row r="16" spans="2:15" x14ac:dyDescent="0.35">
      <c r="B16" t="s">
        <v>109</v>
      </c>
      <c r="C16">
        <v>58</v>
      </c>
    </row>
    <row r="17" spans="2:16" x14ac:dyDescent="0.35">
      <c r="B17" t="s">
        <v>104</v>
      </c>
      <c r="C17">
        <v>43</v>
      </c>
      <c r="H17" t="s">
        <v>149</v>
      </c>
      <c r="I17">
        <f>I14+(1.5*I15)</f>
        <v>15052.125</v>
      </c>
      <c r="K17" t="s">
        <v>149</v>
      </c>
      <c r="L17">
        <f>L14+(1.5*L15)</f>
        <v>126</v>
      </c>
    </row>
    <row r="18" spans="2:16" x14ac:dyDescent="0.35">
      <c r="B18" t="s">
        <v>103</v>
      </c>
      <c r="C18">
        <v>40</v>
      </c>
      <c r="H18" t="s">
        <v>150</v>
      </c>
      <c r="I18">
        <f>I13-(1.5*I15)</f>
        <v>-5248.875</v>
      </c>
      <c r="K18" t="s">
        <v>150</v>
      </c>
      <c r="L18">
        <f>L13-(1.5*L15)</f>
        <v>-18</v>
      </c>
    </row>
    <row r="19" spans="2:16" x14ac:dyDescent="0.35">
      <c r="B19" t="s">
        <v>110</v>
      </c>
      <c r="C19">
        <v>36</v>
      </c>
    </row>
    <row r="20" spans="2:16" x14ac:dyDescent="0.35">
      <c r="B20" t="s">
        <v>111</v>
      </c>
      <c r="C20">
        <v>20</v>
      </c>
    </row>
    <row r="22" spans="2:16" ht="14.5" customHeight="1" x14ac:dyDescent="0.35">
      <c r="B22" t="str">
        <f>INDEX(Orders!C2:C2501,MODE(MATCH(Orders!C2:C2501,Orders!C2:C2501,0)))</f>
        <v>USA</v>
      </c>
      <c r="C22" s="49" t="s">
        <v>143</v>
      </c>
      <c r="D22" s="49"/>
      <c r="E22" s="49"/>
      <c r="F22" s="49"/>
      <c r="G22" s="49"/>
      <c r="J22">
        <f>SUMPRODUCT((MONTH(DATEVALUE("1 "&amp;Orders!J2:J2501))&gt;=7)*Orders!G2:G2501)</f>
        <v>6095203</v>
      </c>
      <c r="K22" s="49" t="s">
        <v>188</v>
      </c>
      <c r="L22" s="49"/>
      <c r="M22" s="8"/>
      <c r="N22" s="8"/>
      <c r="O22" s="8"/>
      <c r="P22" s="8"/>
    </row>
    <row r="23" spans="2:16" ht="14.5" customHeight="1" x14ac:dyDescent="0.35">
      <c r="C23" t="s">
        <v>144</v>
      </c>
      <c r="J23">
        <f>SUMPRODUCT(--(MONTH(DATEVALUE("1 "&amp;Orders!J2:J2501))&gt;=7))</f>
        <v>1249</v>
      </c>
      <c r="K23" s="49" t="s">
        <v>188</v>
      </c>
      <c r="L23" s="49"/>
      <c r="M23" s="8"/>
      <c r="N23" s="8"/>
      <c r="O23" s="8"/>
      <c r="P23" s="8"/>
    </row>
    <row r="25" spans="2:16" ht="15" thickBot="1" x14ac:dyDescent="0.4"/>
    <row r="26" spans="2:16" x14ac:dyDescent="0.35">
      <c r="J26" s="9">
        <f>SUMIFS(Orders!G2:G2501,Orders!H2:H2501,"&gt;="&amp;DATE(2023,7,1))</f>
        <v>6095203</v>
      </c>
      <c r="K26" s="48" t="s">
        <v>182</v>
      </c>
      <c r="L26" s="48"/>
      <c r="M26" s="48"/>
      <c r="N26" s="48"/>
      <c r="O26" s="48"/>
      <c r="P26" s="10"/>
    </row>
    <row r="27" spans="2:16" x14ac:dyDescent="0.35">
      <c r="J27" s="11">
        <f>COUNTIFS(Orders!H2:H2501,"&gt;="&amp;DATE(2023,7,1))</f>
        <v>1249</v>
      </c>
      <c r="K27" s="49" t="s">
        <v>183</v>
      </c>
      <c r="L27" s="49"/>
      <c r="M27" s="49"/>
      <c r="N27" s="49"/>
      <c r="O27" s="49"/>
      <c r="P27" s="50"/>
    </row>
    <row r="28" spans="2:16" x14ac:dyDescent="0.35">
      <c r="J28" s="52"/>
      <c r="K28" s="49"/>
      <c r="L28" s="49"/>
      <c r="M28" s="49"/>
      <c r="N28" s="49"/>
      <c r="O28" s="49"/>
      <c r="P28" s="50"/>
    </row>
    <row r="29" spans="2:16" x14ac:dyDescent="0.35">
      <c r="J29" s="11">
        <f>SUMIFS(Orders!G2:G2501,Orders!C2:C2501,"India")</f>
        <v>1356737</v>
      </c>
      <c r="K29" s="49" t="s">
        <v>184</v>
      </c>
      <c r="L29" s="49"/>
      <c r="P29" s="12"/>
    </row>
    <row r="30" spans="2:16" x14ac:dyDescent="0.35">
      <c r="J30" s="11">
        <f>COUNTIF(Orders!C2:C2501,"India")</f>
        <v>281</v>
      </c>
      <c r="K30" s="49" t="s">
        <v>185</v>
      </c>
      <c r="L30" s="49"/>
      <c r="P30" s="12"/>
    </row>
    <row r="31" spans="2:16" x14ac:dyDescent="0.35">
      <c r="J31" s="52"/>
      <c r="K31" s="49"/>
      <c r="L31" s="49"/>
      <c r="M31" s="49"/>
      <c r="N31" s="49"/>
      <c r="O31" s="49"/>
      <c r="P31" s="50"/>
    </row>
    <row r="32" spans="2:16" x14ac:dyDescent="0.35">
      <c r="J32" s="11">
        <f>AVERAGEIFS(Orders!G:G,Orders!E:E,"Whatsapp")</f>
        <v>4760.8230647709324</v>
      </c>
      <c r="K32" s="49" t="s">
        <v>186</v>
      </c>
      <c r="L32" s="49"/>
      <c r="P32" s="12"/>
    </row>
    <row r="33" spans="10:16" ht="15" thickBot="1" x14ac:dyDescent="0.4">
      <c r="J33" s="13">
        <f>COUNTIFS(Orders!H:H,"&gt;="&amp;DATE(2023,6,15),Customers!D:D,"&gt;30")</f>
        <v>1131</v>
      </c>
      <c r="K33" s="47" t="s">
        <v>187</v>
      </c>
      <c r="L33" s="47"/>
      <c r="M33" s="47"/>
      <c r="N33" s="14"/>
      <c r="O33" s="14"/>
      <c r="P33" s="15"/>
    </row>
  </sheetData>
  <mergeCells count="15">
    <mergeCell ref="C22:G22"/>
    <mergeCell ref="I7:O7"/>
    <mergeCell ref="H12:I12"/>
    <mergeCell ref="K12:L12"/>
    <mergeCell ref="K32:L32"/>
    <mergeCell ref="K33:M33"/>
    <mergeCell ref="K26:O26"/>
    <mergeCell ref="K27:P27"/>
    <mergeCell ref="I6:N6"/>
    <mergeCell ref="K22:L22"/>
    <mergeCell ref="K23:L23"/>
    <mergeCell ref="J28:P28"/>
    <mergeCell ref="J31:P31"/>
    <mergeCell ref="K29:L29"/>
    <mergeCell ref="K30:L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E68C-88EB-4B83-AD10-52EDFAC293FF}">
  <sheetPr>
    <tabColor theme="9" tint="0.39997558519241921"/>
  </sheetPr>
  <dimension ref="A3:F157"/>
  <sheetViews>
    <sheetView topLeftCell="A118" workbookViewId="0">
      <selection activeCell="B128" sqref="B128"/>
    </sheetView>
  </sheetViews>
  <sheetFormatPr defaultRowHeight="14.5" x14ac:dyDescent="0.35"/>
  <cols>
    <col min="1" max="1" width="16.7265625" bestFit="1" customWidth="1"/>
    <col min="2" max="2" width="21.81640625" bestFit="1" customWidth="1"/>
    <col min="3" max="4" width="19.453125" bestFit="1" customWidth="1"/>
  </cols>
  <sheetData>
    <row r="3" spans="1:3" x14ac:dyDescent="0.35">
      <c r="A3" s="6" t="s">
        <v>138</v>
      </c>
      <c r="B3" t="s">
        <v>227</v>
      </c>
      <c r="C3" t="s">
        <v>203</v>
      </c>
    </row>
    <row r="4" spans="1:3" x14ac:dyDescent="0.35">
      <c r="A4" s="7" t="s">
        <v>189</v>
      </c>
      <c r="B4" s="54">
        <v>217</v>
      </c>
      <c r="C4" s="16">
        <v>4854.4285714285716</v>
      </c>
    </row>
    <row r="5" spans="1:3" x14ac:dyDescent="0.35">
      <c r="A5" s="7" t="s">
        <v>190</v>
      </c>
      <c r="B5" s="54">
        <v>220</v>
      </c>
      <c r="C5" s="16">
        <v>4979.590909090909</v>
      </c>
    </row>
    <row r="6" spans="1:3" x14ac:dyDescent="0.35">
      <c r="A6" s="7" t="s">
        <v>191</v>
      </c>
      <c r="B6" s="54">
        <v>197</v>
      </c>
      <c r="C6" s="16">
        <v>5166.2233502538074</v>
      </c>
    </row>
    <row r="7" spans="1:3" x14ac:dyDescent="0.35">
      <c r="A7" s="7" t="s">
        <v>192</v>
      </c>
      <c r="B7" s="54">
        <v>197</v>
      </c>
      <c r="C7" s="16">
        <v>4822.2335025380708</v>
      </c>
    </row>
    <row r="8" spans="1:3" x14ac:dyDescent="0.35">
      <c r="A8" s="7" t="s">
        <v>193</v>
      </c>
      <c r="B8" s="54">
        <v>207</v>
      </c>
      <c r="C8" s="16">
        <v>4901.6425120772947</v>
      </c>
    </row>
    <row r="9" spans="1:3" x14ac:dyDescent="0.35">
      <c r="A9" s="7" t="s">
        <v>194</v>
      </c>
      <c r="B9" s="54">
        <v>213</v>
      </c>
      <c r="C9" s="16">
        <v>4926.7605633802814</v>
      </c>
    </row>
    <row r="10" spans="1:3" x14ac:dyDescent="0.35">
      <c r="A10" s="7" t="s">
        <v>195</v>
      </c>
      <c r="B10" s="54">
        <v>209</v>
      </c>
      <c r="C10" s="16">
        <v>4989.196172248804</v>
      </c>
    </row>
    <row r="11" spans="1:3" x14ac:dyDescent="0.35">
      <c r="A11" s="7" t="s">
        <v>196</v>
      </c>
      <c r="B11" s="54">
        <v>207</v>
      </c>
      <c r="C11" s="16">
        <v>5169.579710144928</v>
      </c>
    </row>
    <row r="12" spans="1:3" x14ac:dyDescent="0.35">
      <c r="A12" s="7" t="s">
        <v>197</v>
      </c>
      <c r="B12" s="54">
        <v>195</v>
      </c>
      <c r="C12" s="16">
        <v>4759.041025641026</v>
      </c>
    </row>
    <row r="13" spans="1:3" x14ac:dyDescent="0.35">
      <c r="A13" s="7" t="s">
        <v>198</v>
      </c>
      <c r="B13" s="54">
        <v>201</v>
      </c>
      <c r="C13" s="16">
        <v>4673.4925373134329</v>
      </c>
    </row>
    <row r="14" spans="1:3" x14ac:dyDescent="0.35">
      <c r="A14" s="7" t="s">
        <v>199</v>
      </c>
      <c r="B14" s="54">
        <v>229</v>
      </c>
      <c r="C14" s="16">
        <v>5236.1091703056773</v>
      </c>
    </row>
    <row r="15" spans="1:3" x14ac:dyDescent="0.35">
      <c r="A15" s="7" t="s">
        <v>200</v>
      </c>
      <c r="B15" s="54">
        <v>208</v>
      </c>
      <c r="C15" s="16">
        <v>4403.3846153846152</v>
      </c>
    </row>
    <row r="16" spans="1:3" x14ac:dyDescent="0.35">
      <c r="A16" s="7" t="s">
        <v>139</v>
      </c>
      <c r="B16" s="54">
        <v>2500</v>
      </c>
      <c r="C16" s="54">
        <v>4910.3559999999998</v>
      </c>
    </row>
    <row r="20" spans="1:3" x14ac:dyDescent="0.35">
      <c r="A20" s="6" t="s">
        <v>138</v>
      </c>
      <c r="B20" t="s">
        <v>201</v>
      </c>
      <c r="C20" t="s">
        <v>202</v>
      </c>
    </row>
    <row r="21" spans="1:3" x14ac:dyDescent="0.35">
      <c r="A21" s="7" t="s">
        <v>99</v>
      </c>
      <c r="B21">
        <v>892</v>
      </c>
      <c r="C21">
        <v>4295296</v>
      </c>
    </row>
    <row r="22" spans="1:3" x14ac:dyDescent="0.35">
      <c r="A22" s="7" t="s">
        <v>100</v>
      </c>
      <c r="B22">
        <v>323</v>
      </c>
      <c r="C22">
        <v>1637659</v>
      </c>
    </row>
    <row r="23" spans="1:3" x14ac:dyDescent="0.35">
      <c r="A23" s="7" t="s">
        <v>105</v>
      </c>
      <c r="B23">
        <v>268</v>
      </c>
      <c r="C23">
        <v>1378166</v>
      </c>
    </row>
    <row r="24" spans="1:3" x14ac:dyDescent="0.35">
      <c r="A24" s="7" t="s">
        <v>113</v>
      </c>
      <c r="B24">
        <v>281</v>
      </c>
      <c r="C24">
        <v>1356737</v>
      </c>
    </row>
    <row r="25" spans="1:3" x14ac:dyDescent="0.35">
      <c r="A25" s="7" t="s">
        <v>101</v>
      </c>
      <c r="B25">
        <v>198</v>
      </c>
      <c r="C25">
        <v>974217</v>
      </c>
    </row>
    <row r="26" spans="1:3" x14ac:dyDescent="0.35">
      <c r="A26" s="7" t="s">
        <v>107</v>
      </c>
      <c r="B26">
        <v>112</v>
      </c>
      <c r="C26">
        <v>538932</v>
      </c>
    </row>
    <row r="27" spans="1:3" x14ac:dyDescent="0.35">
      <c r="A27" s="7" t="s">
        <v>106</v>
      </c>
      <c r="B27">
        <v>97</v>
      </c>
      <c r="C27">
        <v>486633</v>
      </c>
    </row>
    <row r="28" spans="1:3" x14ac:dyDescent="0.35">
      <c r="A28" s="7" t="s">
        <v>102</v>
      </c>
      <c r="B28">
        <v>66</v>
      </c>
      <c r="C28">
        <v>324319</v>
      </c>
    </row>
    <row r="29" spans="1:3" x14ac:dyDescent="0.35">
      <c r="A29" s="7" t="s">
        <v>108</v>
      </c>
      <c r="B29">
        <v>66</v>
      </c>
      <c r="C29">
        <v>307260</v>
      </c>
    </row>
    <row r="30" spans="1:3" x14ac:dyDescent="0.35">
      <c r="A30" s="7" t="s">
        <v>109</v>
      </c>
      <c r="B30">
        <v>58</v>
      </c>
      <c r="C30">
        <v>299656</v>
      </c>
    </row>
    <row r="31" spans="1:3" x14ac:dyDescent="0.35">
      <c r="A31" s="7" t="s">
        <v>104</v>
      </c>
      <c r="B31">
        <v>43</v>
      </c>
      <c r="C31">
        <v>223916</v>
      </c>
    </row>
    <row r="32" spans="1:3" x14ac:dyDescent="0.35">
      <c r="A32" s="7" t="s">
        <v>103</v>
      </c>
      <c r="B32">
        <v>40</v>
      </c>
      <c r="C32">
        <v>195229</v>
      </c>
    </row>
    <row r="33" spans="1:3" x14ac:dyDescent="0.35">
      <c r="A33" s="7" t="s">
        <v>110</v>
      </c>
      <c r="B33">
        <v>36</v>
      </c>
      <c r="C33">
        <v>165904</v>
      </c>
    </row>
    <row r="34" spans="1:3" x14ac:dyDescent="0.35">
      <c r="A34" s="7" t="s">
        <v>111</v>
      </c>
      <c r="B34">
        <v>20</v>
      </c>
      <c r="C34">
        <v>91966</v>
      </c>
    </row>
    <row r="35" spans="1:3" x14ac:dyDescent="0.35">
      <c r="A35" s="7" t="s">
        <v>139</v>
      </c>
      <c r="B35">
        <v>2500</v>
      </c>
      <c r="C35">
        <v>12275890</v>
      </c>
    </row>
    <row r="39" spans="1:3" x14ac:dyDescent="0.35">
      <c r="A39" s="6" t="s">
        <v>138</v>
      </c>
      <c r="B39" t="s">
        <v>201</v>
      </c>
      <c r="C39" t="s">
        <v>203</v>
      </c>
    </row>
    <row r="40" spans="1:3" x14ac:dyDescent="0.35">
      <c r="A40" s="7" t="s">
        <v>208</v>
      </c>
      <c r="B40" s="54">
        <v>2</v>
      </c>
      <c r="C40" s="16">
        <v>6297.5</v>
      </c>
    </row>
    <row r="41" spans="1:3" x14ac:dyDescent="0.35">
      <c r="A41" s="7" t="s">
        <v>204</v>
      </c>
      <c r="B41" s="54">
        <v>1005</v>
      </c>
      <c r="C41" s="16">
        <v>4984.1631840796017</v>
      </c>
    </row>
    <row r="42" spans="1:3" x14ac:dyDescent="0.35">
      <c r="A42" s="7" t="s">
        <v>205</v>
      </c>
      <c r="B42" s="54">
        <v>629</v>
      </c>
      <c r="C42" s="16">
        <v>4969.430842607313</v>
      </c>
    </row>
    <row r="43" spans="1:3" x14ac:dyDescent="0.35">
      <c r="A43" s="7" t="s">
        <v>209</v>
      </c>
      <c r="B43" s="54">
        <v>156</v>
      </c>
      <c r="C43" s="16">
        <v>4933.6025641025644</v>
      </c>
    </row>
    <row r="44" spans="1:3" x14ac:dyDescent="0.35">
      <c r="A44" s="7" t="s">
        <v>210</v>
      </c>
      <c r="B44" s="54">
        <v>648</v>
      </c>
      <c r="C44" s="16">
        <v>4760.4429012345681</v>
      </c>
    </row>
    <row r="45" spans="1:3" x14ac:dyDescent="0.35">
      <c r="A45" s="7" t="s">
        <v>206</v>
      </c>
      <c r="B45" s="54">
        <v>58</v>
      </c>
      <c r="C45" s="16">
        <v>4571.4310344827591</v>
      </c>
    </row>
    <row r="46" spans="1:3" x14ac:dyDescent="0.35">
      <c r="A46" s="7" t="s">
        <v>207</v>
      </c>
      <c r="B46" s="54">
        <v>2</v>
      </c>
      <c r="C46" s="16">
        <v>4443.5</v>
      </c>
    </row>
    <row r="47" spans="1:3" x14ac:dyDescent="0.35">
      <c r="A47" s="7" t="s">
        <v>139</v>
      </c>
      <c r="B47" s="54">
        <v>2500</v>
      </c>
      <c r="C47" s="16">
        <v>4910.3559999999998</v>
      </c>
    </row>
    <row r="54" spans="1:2" x14ac:dyDescent="0.35">
      <c r="A54" s="6" t="s">
        <v>138</v>
      </c>
      <c r="B54" t="s">
        <v>201</v>
      </c>
    </row>
    <row r="55" spans="1:2" x14ac:dyDescent="0.35">
      <c r="A55" s="7" t="s">
        <v>215</v>
      </c>
      <c r="B55">
        <v>1702</v>
      </c>
    </row>
    <row r="56" spans="1:2" x14ac:dyDescent="0.35">
      <c r="A56" s="7" t="s">
        <v>213</v>
      </c>
      <c r="B56">
        <v>375</v>
      </c>
    </row>
    <row r="57" spans="1:2" x14ac:dyDescent="0.35">
      <c r="A57" s="7" t="s">
        <v>214</v>
      </c>
      <c r="B57">
        <v>357</v>
      </c>
    </row>
    <row r="58" spans="1:2" x14ac:dyDescent="0.35">
      <c r="A58" s="7" t="s">
        <v>212</v>
      </c>
      <c r="B58">
        <v>66</v>
      </c>
    </row>
    <row r="59" spans="1:2" x14ac:dyDescent="0.35">
      <c r="A59" s="7" t="s">
        <v>139</v>
      </c>
      <c r="B59">
        <v>2500</v>
      </c>
    </row>
    <row r="70" spans="1:3" x14ac:dyDescent="0.35">
      <c r="A70" s="6" t="s">
        <v>138</v>
      </c>
      <c r="B70" t="s">
        <v>218</v>
      </c>
      <c r="C70" t="s">
        <v>221</v>
      </c>
    </row>
    <row r="71" spans="1:3" x14ac:dyDescent="0.35">
      <c r="A71" s="7" t="s">
        <v>220</v>
      </c>
      <c r="B71">
        <v>6259584</v>
      </c>
      <c r="C71">
        <v>37</v>
      </c>
    </row>
    <row r="72" spans="1:3" x14ac:dyDescent="0.35">
      <c r="A72" s="7" t="s">
        <v>219</v>
      </c>
      <c r="B72">
        <v>6016306</v>
      </c>
      <c r="C72">
        <v>55</v>
      </c>
    </row>
    <row r="86" spans="1:2" x14ac:dyDescent="0.35">
      <c r="A86" s="6" t="s">
        <v>138</v>
      </c>
      <c r="B86" t="s">
        <v>227</v>
      </c>
    </row>
    <row r="87" spans="1:2" x14ac:dyDescent="0.35">
      <c r="A87" s="7" t="s">
        <v>228</v>
      </c>
      <c r="B87" s="54">
        <v>386</v>
      </c>
    </row>
    <row r="88" spans="1:2" x14ac:dyDescent="0.35">
      <c r="A88" s="7" t="s">
        <v>229</v>
      </c>
      <c r="B88" s="54">
        <v>366</v>
      </c>
    </row>
    <row r="89" spans="1:2" x14ac:dyDescent="0.35">
      <c r="A89" s="7" t="s">
        <v>230</v>
      </c>
      <c r="B89" s="54">
        <v>346</v>
      </c>
    </row>
    <row r="90" spans="1:2" x14ac:dyDescent="0.35">
      <c r="A90" s="7" t="s">
        <v>231</v>
      </c>
      <c r="B90" s="54">
        <v>347</v>
      </c>
    </row>
    <row r="91" spans="1:2" x14ac:dyDescent="0.35">
      <c r="A91" s="7" t="s">
        <v>232</v>
      </c>
      <c r="B91" s="54">
        <v>340</v>
      </c>
    </row>
    <row r="92" spans="1:2" x14ac:dyDescent="0.35">
      <c r="A92" s="7" t="s">
        <v>233</v>
      </c>
      <c r="B92" s="54">
        <v>368</v>
      </c>
    </row>
    <row r="93" spans="1:2" x14ac:dyDescent="0.35">
      <c r="A93" s="7" t="s">
        <v>234</v>
      </c>
      <c r="B93" s="54">
        <v>347</v>
      </c>
    </row>
    <row r="94" spans="1:2" x14ac:dyDescent="0.35">
      <c r="A94" s="7" t="s">
        <v>139</v>
      </c>
      <c r="B94" s="54">
        <v>2500</v>
      </c>
    </row>
    <row r="106" spans="1:3" x14ac:dyDescent="0.35">
      <c r="A106" s="6" t="s">
        <v>138</v>
      </c>
      <c r="B106" t="s">
        <v>227</v>
      </c>
      <c r="C106" t="s">
        <v>202</v>
      </c>
    </row>
    <row r="107" spans="1:3" x14ac:dyDescent="0.35">
      <c r="A107" s="7" t="s">
        <v>212</v>
      </c>
      <c r="B107" s="54">
        <v>78</v>
      </c>
      <c r="C107" s="54">
        <v>381802</v>
      </c>
    </row>
    <row r="108" spans="1:3" x14ac:dyDescent="0.35">
      <c r="A108" s="7" t="s">
        <v>235</v>
      </c>
      <c r="B108" s="54">
        <v>361</v>
      </c>
      <c r="C108" s="54">
        <v>1844978</v>
      </c>
    </row>
    <row r="109" spans="1:3" x14ac:dyDescent="0.35">
      <c r="A109" s="7" t="s">
        <v>236</v>
      </c>
      <c r="B109" s="54">
        <v>345</v>
      </c>
      <c r="C109" s="54">
        <v>1655399</v>
      </c>
    </row>
    <row r="110" spans="1:3" x14ac:dyDescent="0.35">
      <c r="A110" s="7" t="s">
        <v>237</v>
      </c>
      <c r="B110" s="54">
        <v>318</v>
      </c>
      <c r="C110" s="54">
        <v>1548902</v>
      </c>
    </row>
    <row r="111" spans="1:3" x14ac:dyDescent="0.35">
      <c r="A111" s="7" t="s">
        <v>238</v>
      </c>
      <c r="B111" s="54">
        <v>333</v>
      </c>
      <c r="C111" s="54">
        <v>1679857</v>
      </c>
    </row>
    <row r="112" spans="1:3" x14ac:dyDescent="0.35">
      <c r="A112" s="7" t="s">
        <v>239</v>
      </c>
      <c r="B112" s="54">
        <v>378</v>
      </c>
      <c r="C112" s="54">
        <v>1817748</v>
      </c>
    </row>
    <row r="113" spans="1:6" x14ac:dyDescent="0.35">
      <c r="A113" s="7" t="s">
        <v>240</v>
      </c>
      <c r="B113" s="54">
        <v>336</v>
      </c>
      <c r="C113" s="54">
        <v>1609293</v>
      </c>
      <c r="F113">
        <f>FREQUENCY(Orders!M2:M2501,11)</f>
        <v>0</v>
      </c>
    </row>
    <row r="114" spans="1:6" x14ac:dyDescent="0.35">
      <c r="A114" s="7" t="s">
        <v>241</v>
      </c>
      <c r="B114" s="54">
        <v>351</v>
      </c>
      <c r="C114" s="54">
        <v>1737911</v>
      </c>
    </row>
    <row r="115" spans="1:6" x14ac:dyDescent="0.35">
      <c r="A115" s="7" t="s">
        <v>139</v>
      </c>
      <c r="B115" s="54">
        <v>2500</v>
      </c>
      <c r="C115" s="54">
        <v>12275890</v>
      </c>
    </row>
    <row r="119" spans="1:6" x14ac:dyDescent="0.35">
      <c r="A119" s="6" t="s">
        <v>138</v>
      </c>
      <c r="B119" t="s">
        <v>242</v>
      </c>
    </row>
    <row r="120" spans="1:6" x14ac:dyDescent="0.35">
      <c r="A120" s="7" t="s">
        <v>116</v>
      </c>
      <c r="B120" s="54">
        <v>3690000</v>
      </c>
    </row>
    <row r="121" spans="1:6" x14ac:dyDescent="0.35">
      <c r="A121" s="7" t="s">
        <v>117</v>
      </c>
      <c r="B121" s="54">
        <v>2920000</v>
      </c>
    </row>
    <row r="122" spans="1:6" x14ac:dyDescent="0.35">
      <c r="A122" s="7" t="s">
        <v>118</v>
      </c>
      <c r="B122" s="54">
        <v>2410000</v>
      </c>
    </row>
    <row r="123" spans="1:6" x14ac:dyDescent="0.35">
      <c r="A123" s="7" t="s">
        <v>119</v>
      </c>
      <c r="B123" s="54">
        <v>2310000</v>
      </c>
    </row>
    <row r="124" spans="1:6" x14ac:dyDescent="0.35">
      <c r="A124" s="7" t="s">
        <v>120</v>
      </c>
      <c r="B124" s="54">
        <v>1480000</v>
      </c>
    </row>
    <row r="127" spans="1:6" x14ac:dyDescent="0.35">
      <c r="A127" s="6" t="s">
        <v>138</v>
      </c>
      <c r="B127" t="s">
        <v>242</v>
      </c>
      <c r="C127" t="s">
        <v>218</v>
      </c>
    </row>
    <row r="128" spans="1:6" x14ac:dyDescent="0.35">
      <c r="A128" s="7" t="s">
        <v>164</v>
      </c>
      <c r="B128" s="54">
        <v>1300000</v>
      </c>
      <c r="C128" s="54">
        <v>1402941</v>
      </c>
    </row>
    <row r="129" spans="1:3" x14ac:dyDescent="0.35">
      <c r="A129" s="7" t="s">
        <v>176</v>
      </c>
      <c r="B129" s="54">
        <v>1300000</v>
      </c>
      <c r="C129" s="54">
        <v>1032580</v>
      </c>
    </row>
    <row r="130" spans="1:3" x14ac:dyDescent="0.35">
      <c r="A130" s="7" t="s">
        <v>172</v>
      </c>
      <c r="B130" s="54">
        <v>550000</v>
      </c>
      <c r="C130" s="54">
        <v>466003</v>
      </c>
    </row>
    <row r="131" spans="1:3" x14ac:dyDescent="0.35">
      <c r="A131" s="7" t="s">
        <v>174</v>
      </c>
      <c r="B131" s="54">
        <v>500000</v>
      </c>
      <c r="C131" s="54">
        <v>489267</v>
      </c>
    </row>
    <row r="132" spans="1:3" x14ac:dyDescent="0.35">
      <c r="A132" s="7" t="s">
        <v>163</v>
      </c>
      <c r="B132" s="54">
        <v>500000</v>
      </c>
      <c r="C132" s="54">
        <v>540410</v>
      </c>
    </row>
    <row r="133" spans="1:3" x14ac:dyDescent="0.35">
      <c r="A133" s="7" t="s">
        <v>159</v>
      </c>
      <c r="B133" s="54">
        <v>450000</v>
      </c>
      <c r="C133" s="54">
        <v>352206</v>
      </c>
    </row>
    <row r="134" spans="1:3" x14ac:dyDescent="0.35">
      <c r="A134" s="7" t="s">
        <v>160</v>
      </c>
      <c r="B134" s="54">
        <v>450000</v>
      </c>
      <c r="C134" s="54">
        <v>406493</v>
      </c>
    </row>
    <row r="135" spans="1:3" x14ac:dyDescent="0.35">
      <c r="A135" s="7" t="s">
        <v>157</v>
      </c>
      <c r="B135" s="54">
        <v>430000</v>
      </c>
      <c r="C135" s="54">
        <v>377693</v>
      </c>
    </row>
    <row r="136" spans="1:3" x14ac:dyDescent="0.35">
      <c r="A136" s="7" t="s">
        <v>165</v>
      </c>
      <c r="B136" s="54">
        <v>400000</v>
      </c>
      <c r="C136" s="54">
        <v>355885</v>
      </c>
    </row>
    <row r="137" spans="1:3" x14ac:dyDescent="0.35">
      <c r="A137" s="7" t="s">
        <v>166</v>
      </c>
      <c r="B137" s="54">
        <v>400000</v>
      </c>
      <c r="C137" s="54">
        <v>399805</v>
      </c>
    </row>
    <row r="138" spans="1:3" x14ac:dyDescent="0.35">
      <c r="A138" s="7" t="s">
        <v>177</v>
      </c>
      <c r="B138" s="54">
        <v>400000</v>
      </c>
      <c r="C138" s="54">
        <v>390703</v>
      </c>
    </row>
    <row r="139" spans="1:3" x14ac:dyDescent="0.35">
      <c r="A139" s="7" t="s">
        <v>169</v>
      </c>
      <c r="B139" s="54">
        <v>400000</v>
      </c>
      <c r="C139" s="54">
        <v>366993</v>
      </c>
    </row>
    <row r="140" spans="1:3" x14ac:dyDescent="0.35">
      <c r="A140" s="7" t="s">
        <v>162</v>
      </c>
      <c r="B140" s="54">
        <v>380000</v>
      </c>
      <c r="C140" s="54">
        <v>360513</v>
      </c>
    </row>
    <row r="141" spans="1:3" x14ac:dyDescent="0.35">
      <c r="A141" s="7" t="s">
        <v>154</v>
      </c>
      <c r="B141" s="54">
        <v>380000</v>
      </c>
      <c r="C141" s="54">
        <v>374604</v>
      </c>
    </row>
    <row r="142" spans="1:3" x14ac:dyDescent="0.35">
      <c r="A142" s="7" t="s">
        <v>158</v>
      </c>
      <c r="B142" s="54">
        <v>380000</v>
      </c>
      <c r="C142" s="54">
        <v>407089</v>
      </c>
    </row>
    <row r="143" spans="1:3" x14ac:dyDescent="0.35">
      <c r="A143" s="7" t="s">
        <v>161</v>
      </c>
      <c r="B143" s="54">
        <v>350000</v>
      </c>
      <c r="C143" s="54">
        <v>358434</v>
      </c>
    </row>
    <row r="144" spans="1:3" x14ac:dyDescent="0.35">
      <c r="A144" s="7" t="s">
        <v>155</v>
      </c>
      <c r="B144" s="54">
        <v>350000</v>
      </c>
      <c r="C144" s="54">
        <v>381800</v>
      </c>
    </row>
    <row r="145" spans="1:3" x14ac:dyDescent="0.35">
      <c r="A145" s="7" t="s">
        <v>153</v>
      </c>
      <c r="B145" s="54">
        <v>350000</v>
      </c>
      <c r="C145" s="54">
        <v>383744</v>
      </c>
    </row>
    <row r="146" spans="1:3" x14ac:dyDescent="0.35">
      <c r="A146" s="7" t="s">
        <v>180</v>
      </c>
      <c r="B146" s="54">
        <v>350000</v>
      </c>
      <c r="C146" s="54">
        <v>361362</v>
      </c>
    </row>
    <row r="147" spans="1:3" x14ac:dyDescent="0.35">
      <c r="A147" s="7" t="s">
        <v>175</v>
      </c>
      <c r="B147" s="54">
        <v>350000</v>
      </c>
      <c r="C147" s="54">
        <v>319679</v>
      </c>
    </row>
    <row r="148" spans="1:3" x14ac:dyDescent="0.35">
      <c r="A148" s="7" t="s">
        <v>179</v>
      </c>
      <c r="B148" s="54">
        <v>330000</v>
      </c>
      <c r="C148" s="54">
        <v>327240</v>
      </c>
    </row>
    <row r="149" spans="1:3" x14ac:dyDescent="0.35">
      <c r="A149" s="7" t="s">
        <v>171</v>
      </c>
      <c r="B149" s="54">
        <v>330000</v>
      </c>
      <c r="C149" s="54">
        <v>322633</v>
      </c>
    </row>
    <row r="150" spans="1:3" x14ac:dyDescent="0.35">
      <c r="A150" s="7" t="s">
        <v>16</v>
      </c>
      <c r="B150" s="54">
        <v>300000</v>
      </c>
      <c r="C150" s="54">
        <v>264038</v>
      </c>
    </row>
    <row r="151" spans="1:3" x14ac:dyDescent="0.35">
      <c r="A151" s="7" t="s">
        <v>178</v>
      </c>
      <c r="B151" s="54">
        <v>300000</v>
      </c>
      <c r="C151" s="54">
        <v>273020</v>
      </c>
    </row>
    <row r="152" spans="1:3" x14ac:dyDescent="0.35">
      <c r="A152" s="7" t="s">
        <v>173</v>
      </c>
      <c r="B152" s="54">
        <v>280000</v>
      </c>
      <c r="C152" s="54">
        <v>288627</v>
      </c>
    </row>
    <row r="153" spans="1:3" x14ac:dyDescent="0.35">
      <c r="A153" s="7" t="s">
        <v>170</v>
      </c>
      <c r="B153" s="54">
        <v>280000</v>
      </c>
      <c r="C153" s="54">
        <v>282411</v>
      </c>
    </row>
    <row r="154" spans="1:3" x14ac:dyDescent="0.35">
      <c r="A154" s="7" t="s">
        <v>168</v>
      </c>
      <c r="B154" s="54">
        <v>280000</v>
      </c>
      <c r="C154" s="54">
        <v>244396</v>
      </c>
    </row>
    <row r="155" spans="1:3" x14ac:dyDescent="0.35">
      <c r="A155" s="7" t="s">
        <v>181</v>
      </c>
      <c r="B155" s="54">
        <v>280000</v>
      </c>
      <c r="C155" s="54">
        <v>283001</v>
      </c>
    </row>
    <row r="156" spans="1:3" x14ac:dyDescent="0.35">
      <c r="A156" s="7" t="s">
        <v>156</v>
      </c>
      <c r="B156" s="54">
        <v>280000</v>
      </c>
      <c r="C156" s="54">
        <v>307888</v>
      </c>
    </row>
    <row r="157" spans="1:3" x14ac:dyDescent="0.35">
      <c r="A157" s="7" t="s">
        <v>167</v>
      </c>
      <c r="B157" s="54">
        <v>180000</v>
      </c>
      <c r="C157" s="54">
        <v>154432</v>
      </c>
    </row>
  </sheetData>
  <pageMargins left="0.7" right="0.7" top="0.75" bottom="0.75" header="0.3" footer="0.3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4DAD74-20FD-43AE-BC10-7E602F148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Sales Targets</vt:lpstr>
      <vt:lpstr>Answers</vt:lpstr>
      <vt:lpstr>OBJS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Ashwin</dc:creator>
  <cp:lastModifiedBy>Mayukh Sen</cp:lastModifiedBy>
  <dcterms:created xsi:type="dcterms:W3CDTF">2024-05-06T17:02:48Z</dcterms:created>
  <dcterms:modified xsi:type="dcterms:W3CDTF">2026-04-05T07:43:01Z</dcterms:modified>
</cp:coreProperties>
</file>